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_FY" sheetId="2" state="visible" r:id="rId2"/>
    <sheet name="By_Month" sheetId="3" state="visible" r:id="rId3"/>
    <sheet name="CW_by_DTE_and_entry" sheetId="4" state="visible" r:id="rId4"/>
    <sheet name="Drawdowns" sheetId="5" state="visible" r:id="rId5"/>
    <sheet name="Dai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#,##0.0;[Red]-#,##0.0"/>
    <numFmt numFmtId="166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2" borderId="0" pivotButton="0" quotePrefix="0" xfId="0"/>
    <xf numFmtId="4" fontId="0" fillId="0" borderId="0" pivotButton="0" quotePrefix="0" xfId="0"/>
    <xf numFmtId="0" fontId="2" fillId="3" borderId="0" applyAlignment="1" pivotButton="0" quotePrefix="0" xfId="0">
      <alignment vertical="top" wrapText="1"/>
    </xf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8" customWidth="1" min="3" max="3"/>
    <col width="22" customWidth="1" min="4" max="4"/>
    <col width="18" customWidth="1" min="5" max="5"/>
    <col width="20" customWidth="1" min="6" max="6"/>
  </cols>
  <sheetData>
    <row r="1">
      <c r="A1" s="1" t="inlineStr">
        <is>
          <t>GammaShort - history summary (research results on the share)</t>
        </is>
      </c>
    </row>
    <row r="2">
      <c r="A2" t="inlineStr">
        <is>
          <t>01-Jan-2021 to 19-Aug-2026, 1373 days. Combined book = current-week + next-week legs.</t>
        </is>
      </c>
    </row>
    <row r="4">
      <c r="A4" s="2" t="inlineStr">
        <is>
          <t>Notional per trade (Rs)  &lt;- change this</t>
        </is>
      </c>
      <c r="B4" s="3" t="n">
        <v>112612500</v>
      </c>
      <c r="C4" t="inlineStr">
        <is>
          <t>default = 77 lots x 65 x index 22,500</t>
        </is>
      </c>
    </row>
    <row r="5">
      <c r="A5" t="inlineStr">
        <is>
          <t>Rupees per 1 normalised Rs</t>
        </is>
      </c>
      <c r="B5" s="4">
        <f>B4/25000</f>
        <v/>
      </c>
      <c r="C5" t="inlineStr">
        <is>
          <t>the files are sized at Rs 25,000 notional per trade</t>
        </is>
      </c>
    </row>
    <row r="7">
      <c r="A7" s="5" t="inlineStr">
        <is>
          <t>Metric</t>
        </is>
      </c>
      <c r="B7" s="5" t="inlineStr">
        <is>
          <t>Normalised Rs</t>
        </is>
      </c>
      <c r="C7" s="5" t="inlineStr">
        <is>
          <t>Rupees at the notional above</t>
        </is>
      </c>
      <c r="D7" s="5" t="inlineStr">
        <is>
          <t>Note</t>
        </is>
      </c>
    </row>
    <row r="8">
      <c r="A8" t="inlineStr">
        <is>
          <t>Net PnL (profit)</t>
        </is>
      </c>
      <c r="B8" s="6" t="n">
        <v>10600.25</v>
      </c>
      <c r="C8" s="7">
        <f>B8*$B$5</f>
        <v/>
      </c>
      <c r="D8" t="inlineStr"/>
    </row>
    <row r="9">
      <c r="A9" t="inlineStr">
        <is>
          <t>Max drawdown</t>
        </is>
      </c>
      <c r="B9" s="6" t="n">
        <v>162.11</v>
      </c>
      <c r="C9" s="7">
        <f>B9*$B$5</f>
        <v/>
      </c>
      <c r="D9" t="inlineStr">
        <is>
          <t>28-Feb-2025 peak to 24-Mar-2025 trough</t>
        </is>
      </c>
    </row>
    <row r="10">
      <c r="A10" t="inlineStr">
        <is>
          <t>PnL / max drawdown</t>
        </is>
      </c>
      <c r="B10" s="6" t="n">
        <v>65.39</v>
      </c>
      <c r="D10" t="inlineStr">
        <is>
          <t>size-independent</t>
        </is>
      </c>
    </row>
    <row r="11">
      <c r="A11" t="inlineStr">
        <is>
          <t>Days in the history</t>
        </is>
      </c>
      <c r="B11" s="6" t="n">
        <v>1373</v>
      </c>
      <c r="D11" t="inlineStr"/>
    </row>
    <row r="12">
      <c r="A12" t="inlineStr">
        <is>
          <t>Days with a trade</t>
        </is>
      </c>
      <c r="B12" s="6" t="n">
        <v>1003</v>
      </c>
      <c r="D12" t="inlineStr">
        <is>
          <t>days with non-zero PnL</t>
        </is>
      </c>
    </row>
    <row r="13">
      <c r="A13" t="inlineStr">
        <is>
          <t>Winning trades %</t>
        </is>
      </c>
      <c r="B13" s="6" t="n">
        <v>68.69</v>
      </c>
      <c r="D13" t="inlineStr"/>
    </row>
    <row r="14">
      <c r="A14" t="inlineStr">
        <is>
          <t>Average per trade</t>
        </is>
      </c>
      <c r="B14" s="6" t="n">
        <v>10.57</v>
      </c>
      <c r="C14" s="7">
        <f>B14*$B$5</f>
        <v/>
      </c>
      <c r="D14" t="inlineStr"/>
    </row>
    <row r="15">
      <c r="A15" t="inlineStr">
        <is>
          <t>Average winning trade</t>
        </is>
      </c>
      <c r="B15" s="6" t="n">
        <v>26.36</v>
      </c>
      <c r="C15" s="7">
        <f>B15*$B$5</f>
        <v/>
      </c>
      <c r="D15" t="inlineStr"/>
    </row>
    <row r="16">
      <c r="A16" t="inlineStr">
        <is>
          <t>Average losing trade</t>
        </is>
      </c>
      <c r="B16" s="6" t="n">
        <v>-24.09</v>
      </c>
      <c r="C16" s="7">
        <f>B16*$B$5</f>
        <v/>
      </c>
      <c r="D16" t="inlineStr"/>
    </row>
    <row r="17">
      <c r="A17" t="inlineStr">
        <is>
          <t>Best day</t>
        </is>
      </c>
      <c r="B17" s="6" t="n">
        <v>279.44</v>
      </c>
      <c r="C17" s="7">
        <f>B17*$B$5</f>
        <v/>
      </c>
      <c r="D17" t="inlineStr">
        <is>
          <t>24-Feb-2021</t>
        </is>
      </c>
    </row>
    <row r="18">
      <c r="A18" t="inlineStr">
        <is>
          <t>Worst day</t>
        </is>
      </c>
      <c r="B18" s="6" t="n">
        <v>-61.28</v>
      </c>
      <c r="C18" s="7">
        <f>B18*$B$5</f>
        <v/>
      </c>
      <c r="D18" t="inlineStr">
        <is>
          <t>29-Feb-2024</t>
        </is>
      </c>
    </row>
    <row r="19">
      <c r="A19" t="inlineStr">
        <is>
          <t>Average PnL per year</t>
        </is>
      </c>
      <c r="B19" s="6" t="n">
        <v>1883.14</v>
      </c>
      <c r="C19" s="7">
        <f>B19*$B$5</f>
        <v/>
      </c>
      <c r="D19" t="inlineStr">
        <is>
          <t>calendar years in the history</t>
        </is>
      </c>
    </row>
    <row r="21">
      <c r="A21" s="2" t="inlineStr">
        <is>
          <t>Sizing table</t>
        </is>
      </c>
    </row>
    <row r="22">
      <c r="A22" s="5" t="inlineStr">
        <is>
          <t>Size</t>
        </is>
      </c>
      <c r="B22" s="5" t="inlineStr">
        <is>
          <t>Notional (Rs)</t>
        </is>
      </c>
      <c r="C22" s="5" t="inlineStr">
        <is>
          <t>Net PnL (Rs)</t>
        </is>
      </c>
      <c r="D22" s="5" t="inlineStr">
        <is>
          <t>Max drawdown (Rs)</t>
        </is>
      </c>
      <c r="E22" s="5" t="inlineStr">
        <is>
          <t>Worst day (Rs)</t>
        </is>
      </c>
      <c r="F22" s="5" t="inlineStr">
        <is>
          <t>Avg per trade (Rs)</t>
        </is>
      </c>
    </row>
    <row r="23">
      <c r="A23" t="inlineStr">
        <is>
          <t>1 lot (65)</t>
        </is>
      </c>
      <c r="B23" s="7" t="n">
        <v>1462500</v>
      </c>
      <c r="C23" s="7">
        <f>B23/25000*10600.254014</f>
        <v/>
      </c>
      <c r="D23" s="7">
        <f>B23/25000*162.107010</f>
        <v/>
      </c>
      <c r="E23" s="7">
        <f>B23/25000*-61.279315</f>
        <v/>
      </c>
      <c r="F23" s="7">
        <f>B23/25000*10.568548</f>
        <v/>
      </c>
    </row>
    <row r="24">
      <c r="A24" t="inlineStr">
        <is>
          <t>10 lots</t>
        </is>
      </c>
      <c r="B24" s="7" t="n">
        <v>14625000</v>
      </c>
      <c r="C24" s="7">
        <f>B24/25000*10600.254014</f>
        <v/>
      </c>
      <c r="D24" s="7">
        <f>B24/25000*162.107010</f>
        <v/>
      </c>
      <c r="E24" s="7">
        <f>B24/25000*-61.279315</f>
        <v/>
      </c>
      <c r="F24" s="7">
        <f>B24/25000*10.568548</f>
        <v/>
      </c>
    </row>
    <row r="25">
      <c r="A25" t="inlineStr">
        <is>
          <t>25 lots</t>
        </is>
      </c>
      <c r="B25" s="7" t="n">
        <v>36562500</v>
      </c>
      <c r="C25" s="7">
        <f>B25/25000*10600.254014</f>
        <v/>
      </c>
      <c r="D25" s="7">
        <f>B25/25000*162.107010</f>
        <v/>
      </c>
      <c r="E25" s="7">
        <f>B25/25000*-61.279315</f>
        <v/>
      </c>
      <c r="F25" s="7">
        <f>B25/25000*10.568548</f>
        <v/>
      </c>
    </row>
    <row r="26">
      <c r="A26" t="inlineStr">
        <is>
          <t>50 lots</t>
        </is>
      </c>
      <c r="B26" s="7" t="n">
        <v>73125000</v>
      </c>
      <c r="C26" s="7">
        <f>B26/25000*10600.254014</f>
        <v/>
      </c>
      <c r="D26" s="7">
        <f>B26/25000*162.107010</f>
        <v/>
      </c>
      <c r="E26" s="7">
        <f>B26/25000*-61.279315</f>
        <v/>
      </c>
      <c r="F26" s="7">
        <f>B26/25000*10.568548</f>
        <v/>
      </c>
    </row>
    <row r="27">
      <c r="A27" t="inlineStr">
        <is>
          <t>77 lots (live size)</t>
        </is>
      </c>
      <c r="B27" s="7" t="n">
        <v>112612500</v>
      </c>
      <c r="C27" s="7">
        <f>B27/25000*10600.254014</f>
        <v/>
      </c>
      <c r="D27" s="7">
        <f>B27/25000*162.107010</f>
        <v/>
      </c>
      <c r="E27" s="7">
        <f>B27/25000*-61.279315</f>
        <v/>
      </c>
      <c r="F27" s="7">
        <f>B27/25000*10.568548</f>
        <v/>
      </c>
    </row>
    <row r="28">
      <c r="A28" t="inlineStr">
        <is>
          <t>100 lots</t>
        </is>
      </c>
      <c r="B28" s="7" t="n">
        <v>146250000</v>
      </c>
      <c r="C28" s="7">
        <f>B28/25000*10600.254014</f>
        <v/>
      </c>
      <c r="D28" s="7">
        <f>B28/25000*162.107010</f>
        <v/>
      </c>
      <c r="E28" s="7">
        <f>B28/25000*-61.279315</f>
        <v/>
      </c>
      <c r="F28" s="7">
        <f>B28/25000*10.568548</f>
        <v/>
      </c>
    </row>
    <row r="29">
      <c r="A29" t="inlineStr">
        <is>
          <t>150 lots</t>
        </is>
      </c>
      <c r="B29" s="7" t="n">
        <v>219375000</v>
      </c>
      <c r="C29" s="7">
        <f>B29/25000*10600.254014</f>
        <v/>
      </c>
      <c r="D29" s="7">
        <f>B29/25000*162.107010</f>
        <v/>
      </c>
      <c r="E29" s="7">
        <f>B29/25000*-61.279315</f>
        <v/>
      </c>
      <c r="F29" s="7">
        <f>B29/25000*10.568548</f>
        <v/>
      </c>
    </row>
    <row r="31">
      <c r="A31" t="inlineStr">
        <is>
          <t>How sizing works: every backtest trade is Rs 25,000 of notional, whatever the index level. Rupees = normalised x notional / 25,000.</t>
        </is>
      </c>
    </row>
    <row r="32">
      <c r="A32" t="inlineStr">
        <is>
          <t>Lots are converted at index 22,500 (1 lot = Rs 1,462,500 notional). A fixed number of lots was a smaller notional when the index was lower,</t>
        </is>
      </c>
    </row>
    <row r="33">
      <c r="A33" t="inlineStr">
        <is>
          <t>so 'lots' columns describe a constant-notional book equal to that many lots today, not a fixed lot count through history.</t>
        </is>
      </c>
    </row>
    <row r="34">
      <c r="A34" t="inlineStr">
        <is>
          <t>Max drawdown is on the daily closing equity (starting at 0), the same definition as the backtest script.</t>
        </is>
      </c>
    </row>
    <row r="35">
      <c r="A35" t="inlineStr">
        <is>
          <t>Costs are already inside these numbers (entry slippage and hedge cost as modelled by the research). Brokerage, STT and exchange charges are not.</t>
        </is>
      </c>
    </row>
    <row r="36">
      <c r="A36" t="inlineStr">
        <is>
          <t>Source: combined_book_daily.csv dated 02-Sep-2026 on the share. It predates the 17-Sep 'no-roll' re-base and the round-52 script in this folder,</t>
        </is>
      </c>
    </row>
    <row r="37">
      <c r="A37" t="inlineStr">
        <is>
          <t>whose header quotes 10,640.5 / MDD 144.4 over 1,379 days. This workbook reports the saved file, not a new run of the script.</t>
        </is>
      </c>
    </row>
    <row r="38">
      <c r="A38" t="inlineStr">
        <is>
          <t>Daily sheet, Leg column: CW = the day's PnL equals the current-week file; NW = it differs and the day is in the next-week file;</t>
        </is>
      </c>
    </row>
    <row r="39">
      <c r="A39" t="inlineStr">
        <is>
          <t>n/a = it differs and the saved files do not say which leg or entry produced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16" customWidth="1" min="5" max="5"/>
    <col width="16" customWidth="1" min="6" max="6"/>
    <col width="16" customWidth="1" min="7" max="7"/>
    <col width="18" customWidth="1" min="8" max="8"/>
    <col width="18" customWidth="1" min="9" max="9"/>
    <col width="18" customWidth="1" min="10" max="10"/>
  </cols>
  <sheetData>
    <row r="1">
      <c r="A1" s="5" t="inlineStr">
        <is>
          <t>Financial year</t>
        </is>
      </c>
      <c r="B1" s="5" t="inlineStr">
        <is>
          <t>Days</t>
        </is>
      </c>
      <c r="C1" s="5" t="inlineStr">
        <is>
          <t>Trades</t>
        </is>
      </c>
      <c r="D1" s="5" t="inlineStr">
        <is>
          <t>Win %</t>
        </is>
      </c>
      <c r="E1" s="5" t="inlineStr">
        <is>
          <t>Net PnL (norm)</t>
        </is>
      </c>
      <c r="F1" s="5" t="inlineStr">
        <is>
          <t>Max DD (norm)</t>
        </is>
      </c>
      <c r="G1" s="5" t="inlineStr">
        <is>
          <t>Worst day (norm)</t>
        </is>
      </c>
      <c r="H1" s="5" t="inlineStr">
        <is>
          <t>Net PnL (Rs)</t>
        </is>
      </c>
      <c r="I1" s="5" t="inlineStr">
        <is>
          <t>Max DD (Rs)</t>
        </is>
      </c>
      <c r="J1" s="5" t="inlineStr">
        <is>
          <t>Worst day (Rs)</t>
        </is>
      </c>
    </row>
    <row r="2">
      <c r="A2" t="inlineStr">
        <is>
          <t>FY20-21</t>
        </is>
      </c>
      <c r="B2" t="n">
        <v>61</v>
      </c>
      <c r="C2" t="n">
        <v>56</v>
      </c>
      <c r="D2" t="n">
        <v>66.09999999999999</v>
      </c>
      <c r="E2" t="n">
        <v>997.4</v>
      </c>
      <c r="F2" t="n">
        <v>97.5</v>
      </c>
      <c r="G2" t="n">
        <v>-46</v>
      </c>
      <c r="H2" s="7">
        <f>E2*Summary!$B$5</f>
        <v/>
      </c>
      <c r="I2" s="7">
        <f>F2*Summary!$B$5</f>
        <v/>
      </c>
      <c r="J2" s="7">
        <f>G2*Summary!$B$5</f>
        <v/>
      </c>
    </row>
    <row r="3">
      <c r="A3" t="inlineStr">
        <is>
          <t>FY21-22</t>
        </is>
      </c>
      <c r="B3" t="n">
        <v>245</v>
      </c>
      <c r="C3" t="n">
        <v>205</v>
      </c>
      <c r="D3" t="n">
        <v>70.2</v>
      </c>
      <c r="E3" t="n">
        <v>2415.2</v>
      </c>
      <c r="F3" t="n">
        <v>136</v>
      </c>
      <c r="G3" t="n">
        <v>-47.6</v>
      </c>
      <c r="H3" s="7">
        <f>E3*Summary!$B$5</f>
        <v/>
      </c>
      <c r="I3" s="7">
        <f>F3*Summary!$B$5</f>
        <v/>
      </c>
      <c r="J3" s="7">
        <f>G3*Summary!$B$5</f>
        <v/>
      </c>
    </row>
    <row r="4">
      <c r="A4" t="inlineStr">
        <is>
          <t>FY22-23</t>
        </is>
      </c>
      <c r="B4" t="n">
        <v>248</v>
      </c>
      <c r="C4" t="n">
        <v>192</v>
      </c>
      <c r="D4" t="n">
        <v>64.09999999999999</v>
      </c>
      <c r="E4" t="n">
        <v>1607.6</v>
      </c>
      <c r="F4" t="n">
        <v>136.6</v>
      </c>
      <c r="G4" t="n">
        <v>-51.2</v>
      </c>
      <c r="H4" s="7">
        <f>E4*Summary!$B$5</f>
        <v/>
      </c>
      <c r="I4" s="7">
        <f>F4*Summary!$B$5</f>
        <v/>
      </c>
      <c r="J4" s="7">
        <f>G4*Summary!$B$5</f>
        <v/>
      </c>
    </row>
    <row r="5">
      <c r="A5" t="inlineStr">
        <is>
          <t>FY23-24</t>
        </is>
      </c>
      <c r="B5" t="n">
        <v>244</v>
      </c>
      <c r="C5" t="n">
        <v>157</v>
      </c>
      <c r="D5" t="n">
        <v>68.8</v>
      </c>
      <c r="E5" t="n">
        <v>985</v>
      </c>
      <c r="F5" t="n">
        <v>107.9</v>
      </c>
      <c r="G5" t="n">
        <v>-61.3</v>
      </c>
      <c r="H5" s="7">
        <f>E5*Summary!$B$5</f>
        <v/>
      </c>
      <c r="I5" s="7">
        <f>F5*Summary!$B$5</f>
        <v/>
      </c>
      <c r="J5" s="7">
        <f>G5*Summary!$B$5</f>
        <v/>
      </c>
    </row>
    <row r="6">
      <c r="A6" t="inlineStr">
        <is>
          <t>FY24-25</t>
        </is>
      </c>
      <c r="B6" t="n">
        <v>240</v>
      </c>
      <c r="C6" t="n">
        <v>187</v>
      </c>
      <c r="D6" t="n">
        <v>69.5</v>
      </c>
      <c r="E6" t="n">
        <v>2116.7</v>
      </c>
      <c r="F6" t="n">
        <v>162.1</v>
      </c>
      <c r="G6" t="n">
        <v>-49.9</v>
      </c>
      <c r="H6" s="7">
        <f>E6*Summary!$B$5</f>
        <v/>
      </c>
      <c r="I6" s="7">
        <f>F6*Summary!$B$5</f>
        <v/>
      </c>
      <c r="J6" s="7">
        <f>G6*Summary!$B$5</f>
        <v/>
      </c>
    </row>
    <row r="7">
      <c r="A7" t="inlineStr">
        <is>
          <t>FY25-26</t>
        </is>
      </c>
      <c r="B7" t="n">
        <v>241</v>
      </c>
      <c r="C7" t="n">
        <v>144</v>
      </c>
      <c r="D7" t="n">
        <v>69.40000000000001</v>
      </c>
      <c r="E7" t="n">
        <v>1742.4</v>
      </c>
      <c r="F7" t="n">
        <v>116.8</v>
      </c>
      <c r="G7" t="n">
        <v>-48.6</v>
      </c>
      <c r="H7" s="7">
        <f>E7*Summary!$B$5</f>
        <v/>
      </c>
      <c r="I7" s="7">
        <f>F7*Summary!$B$5</f>
        <v/>
      </c>
      <c r="J7" s="7">
        <f>G7*Summary!$B$5</f>
        <v/>
      </c>
    </row>
    <row r="8">
      <c r="A8" t="inlineStr">
        <is>
          <t>FY26-27</t>
        </is>
      </c>
      <c r="B8" t="n">
        <v>94</v>
      </c>
      <c r="C8" t="n">
        <v>62</v>
      </c>
      <c r="D8" t="n">
        <v>75.8</v>
      </c>
      <c r="E8" t="n">
        <v>735.9</v>
      </c>
      <c r="F8" t="n">
        <v>57</v>
      </c>
      <c r="G8" t="n">
        <v>-43.5</v>
      </c>
      <c r="H8" s="7">
        <f>E8*Summary!$B$5</f>
        <v/>
      </c>
      <c r="I8" s="7">
        <f>F8*Summary!$B$5</f>
        <v/>
      </c>
      <c r="J8" s="7">
        <f>G8*Summary!$B$5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6" customWidth="1" min="4" max="4"/>
    <col width="16" customWidth="1" min="5" max="5"/>
    <col width="18" customWidth="1" min="6" max="6"/>
    <col width="18" customWidth="1" min="7" max="7"/>
  </cols>
  <sheetData>
    <row r="1">
      <c r="A1" s="5" t="inlineStr">
        <is>
          <t>Month</t>
        </is>
      </c>
      <c r="B1" s="5" t="inlineStr">
        <is>
          <t>Trades</t>
        </is>
      </c>
      <c r="C1" s="5" t="inlineStr">
        <is>
          <t>Win %</t>
        </is>
      </c>
      <c r="D1" s="5" t="inlineStr">
        <is>
          <t>Net PnL (norm)</t>
        </is>
      </c>
      <c r="E1" s="5" t="inlineStr">
        <is>
          <t>Worst day (norm)</t>
        </is>
      </c>
      <c r="F1" s="5" t="inlineStr">
        <is>
          <t>Net PnL (Rs)</t>
        </is>
      </c>
      <c r="G1" s="5" t="inlineStr">
        <is>
          <t>Worst day (Rs)</t>
        </is>
      </c>
    </row>
    <row r="2">
      <c r="A2" t="inlineStr">
        <is>
          <t>2021-01</t>
        </is>
      </c>
      <c r="B2" t="n">
        <v>20</v>
      </c>
      <c r="C2" t="n">
        <v>55</v>
      </c>
      <c r="D2" t="n">
        <v>26</v>
      </c>
      <c r="E2" t="n">
        <v>-45.7</v>
      </c>
      <c r="F2" s="7">
        <f>D2*Summary!$B$5</f>
        <v/>
      </c>
      <c r="G2" s="7">
        <f>E2*Summary!$B$5</f>
        <v/>
      </c>
    </row>
    <row r="3">
      <c r="A3" t="inlineStr">
        <is>
          <t>2021-02</t>
        </is>
      </c>
      <c r="B3" t="n">
        <v>18</v>
      </c>
      <c r="C3" t="n">
        <v>72.2</v>
      </c>
      <c r="D3" t="n">
        <v>514.4</v>
      </c>
      <c r="E3" t="n">
        <v>-46</v>
      </c>
      <c r="F3" s="7">
        <f>D3*Summary!$B$5</f>
        <v/>
      </c>
      <c r="G3" s="7">
        <f>E3*Summary!$B$5</f>
        <v/>
      </c>
    </row>
    <row r="4">
      <c r="A4" t="inlineStr">
        <is>
          <t>2021-03</t>
        </is>
      </c>
      <c r="B4" t="n">
        <v>18</v>
      </c>
      <c r="C4" t="n">
        <v>72.2</v>
      </c>
      <c r="D4" t="n">
        <v>457</v>
      </c>
      <c r="E4" t="n">
        <v>-39.6</v>
      </c>
      <c r="F4" s="7">
        <f>D4*Summary!$B$5</f>
        <v/>
      </c>
      <c r="G4" s="7">
        <f>E4*Summary!$B$5</f>
        <v/>
      </c>
    </row>
    <row r="5">
      <c r="A5" t="inlineStr">
        <is>
          <t>2021-04</t>
        </is>
      </c>
      <c r="B5" t="n">
        <v>17</v>
      </c>
      <c r="C5" t="n">
        <v>70.59999999999999</v>
      </c>
      <c r="D5" t="n">
        <v>206.5</v>
      </c>
      <c r="E5" t="n">
        <v>-47.6</v>
      </c>
      <c r="F5" s="7">
        <f>D5*Summary!$B$5</f>
        <v/>
      </c>
      <c r="G5" s="7">
        <f>E5*Summary!$B$5</f>
        <v/>
      </c>
    </row>
    <row r="6">
      <c r="A6" t="inlineStr">
        <is>
          <t>2021-05</t>
        </is>
      </c>
      <c r="B6" t="n">
        <v>15</v>
      </c>
      <c r="C6" t="n">
        <v>80</v>
      </c>
      <c r="D6" t="n">
        <v>323.6</v>
      </c>
      <c r="E6" t="n">
        <v>-40</v>
      </c>
      <c r="F6" s="7">
        <f>D6*Summary!$B$5</f>
        <v/>
      </c>
      <c r="G6" s="7">
        <f>E6*Summary!$B$5</f>
        <v/>
      </c>
    </row>
    <row r="7">
      <c r="A7" t="inlineStr">
        <is>
          <t>2021-06</t>
        </is>
      </c>
      <c r="B7" t="n">
        <v>20</v>
      </c>
      <c r="C7" t="n">
        <v>75</v>
      </c>
      <c r="D7" t="n">
        <v>222.2</v>
      </c>
      <c r="E7" t="n">
        <v>-39.2</v>
      </c>
      <c r="F7" s="7">
        <f>D7*Summary!$B$5</f>
        <v/>
      </c>
      <c r="G7" s="7">
        <f>E7*Summary!$B$5</f>
        <v/>
      </c>
    </row>
    <row r="8">
      <c r="A8" t="inlineStr">
        <is>
          <t>2021-07</t>
        </is>
      </c>
      <c r="B8" t="n">
        <v>15</v>
      </c>
      <c r="C8" t="n">
        <v>80</v>
      </c>
      <c r="D8" t="n">
        <v>126.9</v>
      </c>
      <c r="E8" t="n">
        <v>-40.2</v>
      </c>
      <c r="F8" s="7">
        <f>D8*Summary!$B$5</f>
        <v/>
      </c>
      <c r="G8" s="7">
        <f>E8*Summary!$B$5</f>
        <v/>
      </c>
    </row>
    <row r="9">
      <c r="A9" t="inlineStr">
        <is>
          <t>2021-08</t>
        </is>
      </c>
      <c r="B9" t="n">
        <v>16</v>
      </c>
      <c r="C9" t="n">
        <v>56.2</v>
      </c>
      <c r="D9" t="n">
        <v>63.2</v>
      </c>
      <c r="E9" t="n">
        <v>-38</v>
      </c>
      <c r="F9" s="7">
        <f>D9*Summary!$B$5</f>
        <v/>
      </c>
      <c r="G9" s="7">
        <f>E9*Summary!$B$5</f>
        <v/>
      </c>
    </row>
    <row r="10">
      <c r="A10" t="inlineStr">
        <is>
          <t>2021-09</t>
        </is>
      </c>
      <c r="B10" t="n">
        <v>14</v>
      </c>
      <c r="C10" t="n">
        <v>92.90000000000001</v>
      </c>
      <c r="D10" t="n">
        <v>234</v>
      </c>
      <c r="E10" t="n">
        <v>-46.7</v>
      </c>
      <c r="F10" s="7">
        <f>D10*Summary!$B$5</f>
        <v/>
      </c>
      <c r="G10" s="7">
        <f>E10*Summary!$B$5</f>
        <v/>
      </c>
    </row>
    <row r="11">
      <c r="A11" t="inlineStr">
        <is>
          <t>2021-10</t>
        </is>
      </c>
      <c r="B11" t="n">
        <v>19</v>
      </c>
      <c r="C11" t="n">
        <v>68.40000000000001</v>
      </c>
      <c r="D11" t="n">
        <v>186.6</v>
      </c>
      <c r="E11" t="n">
        <v>-38.8</v>
      </c>
      <c r="F11" s="7">
        <f>D11*Summary!$B$5</f>
        <v/>
      </c>
      <c r="G11" s="7">
        <f>E11*Summary!$B$5</f>
        <v/>
      </c>
    </row>
    <row r="12">
      <c r="A12" t="inlineStr">
        <is>
          <t>2021-11</t>
        </is>
      </c>
      <c r="B12" t="n">
        <v>16</v>
      </c>
      <c r="C12" t="n">
        <v>62.5</v>
      </c>
      <c r="D12" t="n">
        <v>53</v>
      </c>
      <c r="E12" t="n">
        <v>-47</v>
      </c>
      <c r="F12" s="7">
        <f>D12*Summary!$B$5</f>
        <v/>
      </c>
      <c r="G12" s="7">
        <f>E12*Summary!$B$5</f>
        <v/>
      </c>
    </row>
    <row r="13">
      <c r="A13" t="inlineStr">
        <is>
          <t>2021-12</t>
        </is>
      </c>
      <c r="B13" t="n">
        <v>21</v>
      </c>
      <c r="C13" t="n">
        <v>66.7</v>
      </c>
      <c r="D13" t="n">
        <v>328</v>
      </c>
      <c r="E13" t="n">
        <v>-41</v>
      </c>
      <c r="F13" s="7">
        <f>D13*Summary!$B$5</f>
        <v/>
      </c>
      <c r="G13" s="7">
        <f>E13*Summary!$B$5</f>
        <v/>
      </c>
    </row>
    <row r="14">
      <c r="A14" t="inlineStr">
        <is>
          <t>2022-01</t>
        </is>
      </c>
      <c r="B14" t="n">
        <v>20</v>
      </c>
      <c r="C14" t="n">
        <v>65</v>
      </c>
      <c r="D14" t="n">
        <v>148.1</v>
      </c>
      <c r="E14" t="n">
        <v>-45.9</v>
      </c>
      <c r="F14" s="7">
        <f>D14*Summary!$B$5</f>
        <v/>
      </c>
      <c r="G14" s="7">
        <f>E14*Summary!$B$5</f>
        <v/>
      </c>
    </row>
    <row r="15">
      <c r="A15" t="inlineStr">
        <is>
          <t>2022-02</t>
        </is>
      </c>
      <c r="B15" t="n">
        <v>15</v>
      </c>
      <c r="C15" t="n">
        <v>60</v>
      </c>
      <c r="D15" t="n">
        <v>189.9</v>
      </c>
      <c r="E15" t="n">
        <v>-40</v>
      </c>
      <c r="F15" s="7">
        <f>D15*Summary!$B$5</f>
        <v/>
      </c>
      <c r="G15" s="7">
        <f>E15*Summary!$B$5</f>
        <v/>
      </c>
    </row>
    <row r="16">
      <c r="A16" t="inlineStr">
        <is>
          <t>2022-03</t>
        </is>
      </c>
      <c r="B16" t="n">
        <v>17</v>
      </c>
      <c r="C16" t="n">
        <v>70.59999999999999</v>
      </c>
      <c r="D16" t="n">
        <v>333.1</v>
      </c>
      <c r="E16" t="n">
        <v>-12.6</v>
      </c>
      <c r="F16" s="7">
        <f>D16*Summary!$B$5</f>
        <v/>
      </c>
      <c r="G16" s="7">
        <f>E16*Summary!$B$5</f>
        <v/>
      </c>
    </row>
    <row r="17">
      <c r="A17" t="inlineStr">
        <is>
          <t>2022-04</t>
        </is>
      </c>
      <c r="B17" t="n">
        <v>12</v>
      </c>
      <c r="C17" t="n">
        <v>83.3</v>
      </c>
      <c r="D17" t="n">
        <v>168.5</v>
      </c>
      <c r="E17" t="n">
        <v>-36.7</v>
      </c>
      <c r="F17" s="7">
        <f>D17*Summary!$B$5</f>
        <v/>
      </c>
      <c r="G17" s="7">
        <f>E17*Summary!$B$5</f>
        <v/>
      </c>
    </row>
    <row r="18">
      <c r="A18" t="inlineStr">
        <is>
          <t>2022-05</t>
        </is>
      </c>
      <c r="B18" t="n">
        <v>18</v>
      </c>
      <c r="C18" t="n">
        <v>72.2</v>
      </c>
      <c r="D18" t="n">
        <v>267.2</v>
      </c>
      <c r="E18" t="n">
        <v>-51.2</v>
      </c>
      <c r="F18" s="7">
        <f>D18*Summary!$B$5</f>
        <v/>
      </c>
      <c r="G18" s="7">
        <f>E18*Summary!$B$5</f>
        <v/>
      </c>
    </row>
    <row r="19">
      <c r="A19" t="inlineStr">
        <is>
          <t>2022-06</t>
        </is>
      </c>
      <c r="B19" t="n">
        <v>18</v>
      </c>
      <c r="C19" t="n">
        <v>66.7</v>
      </c>
      <c r="D19" t="n">
        <v>238.6</v>
      </c>
      <c r="E19" t="n">
        <v>-46.8</v>
      </c>
      <c r="F19" s="7">
        <f>D19*Summary!$B$5</f>
        <v/>
      </c>
      <c r="G19" s="7">
        <f>E19*Summary!$B$5</f>
        <v/>
      </c>
    </row>
    <row r="20">
      <c r="A20" t="inlineStr">
        <is>
          <t>2022-07</t>
        </is>
      </c>
      <c r="B20" t="n">
        <v>17</v>
      </c>
      <c r="C20" t="n">
        <v>70.59999999999999</v>
      </c>
      <c r="D20" t="n">
        <v>209.2</v>
      </c>
      <c r="E20" t="n">
        <v>-42.4</v>
      </c>
      <c r="F20" s="7">
        <f>D20*Summary!$B$5</f>
        <v/>
      </c>
      <c r="G20" s="7">
        <f>E20*Summary!$B$5</f>
        <v/>
      </c>
    </row>
    <row r="21">
      <c r="A21" t="inlineStr">
        <is>
          <t>2022-08</t>
        </is>
      </c>
      <c r="B21" t="n">
        <v>17</v>
      </c>
      <c r="C21" t="n">
        <v>47.1</v>
      </c>
      <c r="D21" t="n">
        <v>39.7</v>
      </c>
      <c r="E21" t="n">
        <v>-46.2</v>
      </c>
      <c r="F21" s="7">
        <f>D21*Summary!$B$5</f>
        <v/>
      </c>
      <c r="G21" s="7">
        <f>E21*Summary!$B$5</f>
        <v/>
      </c>
    </row>
    <row r="22">
      <c r="A22" t="inlineStr">
        <is>
          <t>2022-09</t>
        </is>
      </c>
      <c r="B22" t="n">
        <v>18</v>
      </c>
      <c r="C22" t="n">
        <v>50</v>
      </c>
      <c r="D22" t="n">
        <v>113.2</v>
      </c>
      <c r="E22" t="n">
        <v>-39.5</v>
      </c>
      <c r="F22" s="7">
        <f>D22*Summary!$B$5</f>
        <v/>
      </c>
      <c r="G22" s="7">
        <f>E22*Summary!$B$5</f>
        <v/>
      </c>
    </row>
    <row r="23">
      <c r="A23" t="inlineStr">
        <is>
          <t>2022-10</t>
        </is>
      </c>
      <c r="B23" t="n">
        <v>12</v>
      </c>
      <c r="C23" t="n">
        <v>83.3</v>
      </c>
      <c r="D23" t="n">
        <v>275.2</v>
      </c>
      <c r="E23" t="n">
        <v>-40</v>
      </c>
      <c r="F23" s="7">
        <f>D23*Summary!$B$5</f>
        <v/>
      </c>
      <c r="G23" s="7">
        <f>E23*Summary!$B$5</f>
        <v/>
      </c>
    </row>
    <row r="24">
      <c r="A24" t="inlineStr">
        <is>
          <t>2022-11</t>
        </is>
      </c>
      <c r="B24" t="n">
        <v>15</v>
      </c>
      <c r="C24" t="n">
        <v>60</v>
      </c>
      <c r="D24" t="n">
        <v>119.4</v>
      </c>
      <c r="E24" t="n">
        <v>-18.2</v>
      </c>
      <c r="F24" s="7">
        <f>D24*Summary!$B$5</f>
        <v/>
      </c>
      <c r="G24" s="7">
        <f>E24*Summary!$B$5</f>
        <v/>
      </c>
    </row>
    <row r="25">
      <c r="A25" t="inlineStr">
        <is>
          <t>2022-12</t>
        </is>
      </c>
      <c r="B25" t="n">
        <v>16</v>
      </c>
      <c r="C25" t="n">
        <v>50</v>
      </c>
      <c r="D25" t="n">
        <v>-49.9</v>
      </c>
      <c r="E25" t="n">
        <v>-45.8</v>
      </c>
      <c r="F25" s="7">
        <f>D25*Summary!$B$5</f>
        <v/>
      </c>
      <c r="G25" s="7">
        <f>E25*Summary!$B$5</f>
        <v/>
      </c>
    </row>
    <row r="26">
      <c r="A26" t="inlineStr">
        <is>
          <t>2023-01</t>
        </is>
      </c>
      <c r="B26" t="n">
        <v>18</v>
      </c>
      <c r="C26" t="n">
        <v>61.1</v>
      </c>
      <c r="D26" t="n">
        <v>29.6</v>
      </c>
      <c r="E26" t="n">
        <v>-40.8</v>
      </c>
      <c r="F26" s="7">
        <f>D26*Summary!$B$5</f>
        <v/>
      </c>
      <c r="G26" s="7">
        <f>E26*Summary!$B$5</f>
        <v/>
      </c>
    </row>
    <row r="27">
      <c r="A27" t="inlineStr">
        <is>
          <t>2023-02</t>
        </is>
      </c>
      <c r="B27" t="n">
        <v>18</v>
      </c>
      <c r="C27" t="n">
        <v>66.7</v>
      </c>
      <c r="D27" t="n">
        <v>180.8</v>
      </c>
      <c r="E27" t="n">
        <v>-38.8</v>
      </c>
      <c r="F27" s="7">
        <f>D27*Summary!$B$5</f>
        <v/>
      </c>
      <c r="G27" s="7">
        <f>E27*Summary!$B$5</f>
        <v/>
      </c>
    </row>
    <row r="28">
      <c r="A28" t="inlineStr">
        <is>
          <t>2023-03</t>
        </is>
      </c>
      <c r="B28" t="n">
        <v>13</v>
      </c>
      <c r="C28" t="n">
        <v>69.2</v>
      </c>
      <c r="D28" t="n">
        <v>16.1</v>
      </c>
      <c r="E28" t="n">
        <v>-50.6</v>
      </c>
      <c r="F28" s="7">
        <f>D28*Summary!$B$5</f>
        <v/>
      </c>
      <c r="G28" s="7">
        <f>E28*Summary!$B$5</f>
        <v/>
      </c>
    </row>
    <row r="29">
      <c r="A29" t="inlineStr">
        <is>
          <t>2023-04</t>
        </is>
      </c>
      <c r="B29" t="n">
        <v>10</v>
      </c>
      <c r="C29" t="n">
        <v>70</v>
      </c>
      <c r="D29" t="n">
        <v>100.3</v>
      </c>
      <c r="E29" t="n">
        <v>-26.3</v>
      </c>
      <c r="F29" s="7">
        <f>D29*Summary!$B$5</f>
        <v/>
      </c>
      <c r="G29" s="7">
        <f>E29*Summary!$B$5</f>
        <v/>
      </c>
    </row>
    <row r="30">
      <c r="A30" t="inlineStr">
        <is>
          <t>2023-05</t>
        </is>
      </c>
      <c r="B30" t="n">
        <v>14</v>
      </c>
      <c r="C30" t="n">
        <v>64.3</v>
      </c>
      <c r="D30" t="n">
        <v>-9.199999999999999</v>
      </c>
      <c r="E30" t="n">
        <v>-40.1</v>
      </c>
      <c r="F30" s="7">
        <f>D30*Summary!$B$5</f>
        <v/>
      </c>
      <c r="G30" s="7">
        <f>E30*Summary!$B$5</f>
        <v/>
      </c>
    </row>
    <row r="31">
      <c r="A31" t="inlineStr">
        <is>
          <t>2023-06</t>
        </is>
      </c>
      <c r="B31" t="n">
        <v>10</v>
      </c>
      <c r="C31" t="n">
        <v>80</v>
      </c>
      <c r="D31" t="n">
        <v>86.2</v>
      </c>
      <c r="E31" t="n">
        <v>-13.1</v>
      </c>
      <c r="F31" s="7">
        <f>D31*Summary!$B$5</f>
        <v/>
      </c>
      <c r="G31" s="7">
        <f>E31*Summary!$B$5</f>
        <v/>
      </c>
    </row>
    <row r="32">
      <c r="A32" t="inlineStr">
        <is>
          <t>2023-07</t>
        </is>
      </c>
      <c r="B32" t="n">
        <v>13</v>
      </c>
      <c r="C32" t="n">
        <v>92.3</v>
      </c>
      <c r="D32" t="n">
        <v>230.7</v>
      </c>
      <c r="E32" t="n">
        <v>-1</v>
      </c>
      <c r="F32" s="7">
        <f>D32*Summary!$B$5</f>
        <v/>
      </c>
      <c r="G32" s="7">
        <f>E32*Summary!$B$5</f>
        <v/>
      </c>
    </row>
    <row r="33">
      <c r="A33" t="inlineStr">
        <is>
          <t>2023-08</t>
        </is>
      </c>
      <c r="B33" t="n">
        <v>11</v>
      </c>
      <c r="C33" t="n">
        <v>54.5</v>
      </c>
      <c r="D33" t="n">
        <v>-0.4</v>
      </c>
      <c r="E33" t="n">
        <v>-41.3</v>
      </c>
      <c r="F33" s="7">
        <f>D33*Summary!$B$5</f>
        <v/>
      </c>
      <c r="G33" s="7">
        <f>E33*Summary!$B$5</f>
        <v/>
      </c>
    </row>
    <row r="34">
      <c r="A34" t="inlineStr">
        <is>
          <t>2023-09</t>
        </is>
      </c>
      <c r="B34" t="n">
        <v>12</v>
      </c>
      <c r="C34" t="n">
        <v>50</v>
      </c>
      <c r="D34" t="n">
        <v>24.6</v>
      </c>
      <c r="E34" t="n">
        <v>-42.9</v>
      </c>
      <c r="F34" s="7">
        <f>D34*Summary!$B$5</f>
        <v/>
      </c>
      <c r="G34" s="7">
        <f>E34*Summary!$B$5</f>
        <v/>
      </c>
    </row>
    <row r="35">
      <c r="A35" t="inlineStr">
        <is>
          <t>2023-10</t>
        </is>
      </c>
      <c r="B35" t="n">
        <v>9</v>
      </c>
      <c r="C35" t="n">
        <v>66.7</v>
      </c>
      <c r="D35" t="n">
        <v>55.2</v>
      </c>
      <c r="E35" t="n">
        <v>-8.199999999999999</v>
      </c>
      <c r="F35" s="7">
        <f>D35*Summary!$B$5</f>
        <v/>
      </c>
      <c r="G35" s="7">
        <f>E35*Summary!$B$5</f>
        <v/>
      </c>
    </row>
    <row r="36">
      <c r="A36" t="inlineStr">
        <is>
          <t>2023-11</t>
        </is>
      </c>
      <c r="B36" t="n">
        <v>13</v>
      </c>
      <c r="C36" t="n">
        <v>69.2</v>
      </c>
      <c r="D36" t="n">
        <v>5.6</v>
      </c>
      <c r="E36" t="n">
        <v>-34.4</v>
      </c>
      <c r="F36" s="7">
        <f>D36*Summary!$B$5</f>
        <v/>
      </c>
      <c r="G36" s="7">
        <f>E36*Summary!$B$5</f>
        <v/>
      </c>
    </row>
    <row r="37">
      <c r="A37" t="inlineStr">
        <is>
          <t>2023-12</t>
        </is>
      </c>
      <c r="B37" t="n">
        <v>12</v>
      </c>
      <c r="C37" t="n">
        <v>75</v>
      </c>
      <c r="D37" t="n">
        <v>144.9</v>
      </c>
      <c r="E37" t="n">
        <v>-39.6</v>
      </c>
      <c r="F37" s="7">
        <f>D37*Summary!$B$5</f>
        <v/>
      </c>
      <c r="G37" s="7">
        <f>E37*Summary!$B$5</f>
        <v/>
      </c>
    </row>
    <row r="38">
      <c r="A38" t="inlineStr">
        <is>
          <t>2024-01</t>
        </is>
      </c>
      <c r="B38" t="n">
        <v>18</v>
      </c>
      <c r="C38" t="n">
        <v>72.2</v>
      </c>
      <c r="D38" t="n">
        <v>133.1</v>
      </c>
      <c r="E38" t="n">
        <v>-37.5</v>
      </c>
      <c r="F38" s="7">
        <f>D38*Summary!$B$5</f>
        <v/>
      </c>
      <c r="G38" s="7">
        <f>E38*Summary!$B$5</f>
        <v/>
      </c>
    </row>
    <row r="39">
      <c r="A39" t="inlineStr">
        <is>
          <t>2024-02</t>
        </is>
      </c>
      <c r="B39" t="n">
        <v>20</v>
      </c>
      <c r="C39" t="n">
        <v>60</v>
      </c>
      <c r="D39" t="n">
        <v>-34.9</v>
      </c>
      <c r="E39" t="n">
        <v>-61.3</v>
      </c>
      <c r="F39" s="7">
        <f>D39*Summary!$B$5</f>
        <v/>
      </c>
      <c r="G39" s="7">
        <f>E39*Summary!$B$5</f>
        <v/>
      </c>
    </row>
    <row r="40">
      <c r="A40" t="inlineStr">
        <is>
          <t>2024-03</t>
        </is>
      </c>
      <c r="B40" t="n">
        <v>15</v>
      </c>
      <c r="C40" t="n">
        <v>73.3</v>
      </c>
      <c r="D40" t="n">
        <v>248.7</v>
      </c>
      <c r="E40" t="n">
        <v>-40.2</v>
      </c>
      <c r="F40" s="7">
        <f>D40*Summary!$B$5</f>
        <v/>
      </c>
      <c r="G40" s="7">
        <f>E40*Summary!$B$5</f>
        <v/>
      </c>
    </row>
    <row r="41">
      <c r="A41" t="inlineStr">
        <is>
          <t>2024-04</t>
        </is>
      </c>
      <c r="B41" t="n">
        <v>16</v>
      </c>
      <c r="C41" t="n">
        <v>87.5</v>
      </c>
      <c r="D41" t="n">
        <v>176.1</v>
      </c>
      <c r="E41" t="n">
        <v>-37.5</v>
      </c>
      <c r="F41" s="7">
        <f>D41*Summary!$B$5</f>
        <v/>
      </c>
      <c r="G41" s="7">
        <f>E41*Summary!$B$5</f>
        <v/>
      </c>
    </row>
    <row r="42">
      <c r="A42" t="inlineStr">
        <is>
          <t>2024-05</t>
        </is>
      </c>
      <c r="B42" t="n">
        <v>21</v>
      </c>
      <c r="C42" t="n">
        <v>76.2</v>
      </c>
      <c r="D42" t="n">
        <v>291.7</v>
      </c>
      <c r="E42" t="n">
        <v>-45.7</v>
      </c>
      <c r="F42" s="7">
        <f>D42*Summary!$B$5</f>
        <v/>
      </c>
      <c r="G42" s="7">
        <f>E42*Summary!$B$5</f>
        <v/>
      </c>
    </row>
    <row r="43">
      <c r="A43" t="inlineStr">
        <is>
          <t>2024-06</t>
        </is>
      </c>
      <c r="B43" t="n">
        <v>15</v>
      </c>
      <c r="C43" t="n">
        <v>60</v>
      </c>
      <c r="D43" t="n">
        <v>181.6</v>
      </c>
      <c r="E43" t="n">
        <v>-49.1</v>
      </c>
      <c r="F43" s="7">
        <f>D43*Summary!$B$5</f>
        <v/>
      </c>
      <c r="G43" s="7">
        <f>E43*Summary!$B$5</f>
        <v/>
      </c>
    </row>
    <row r="44">
      <c r="A44" t="inlineStr">
        <is>
          <t>2024-07</t>
        </is>
      </c>
      <c r="B44" t="n">
        <v>14</v>
      </c>
      <c r="C44" t="n">
        <v>57.1</v>
      </c>
      <c r="D44" t="n">
        <v>94.7</v>
      </c>
      <c r="E44" t="n">
        <v>-37.4</v>
      </c>
      <c r="F44" s="7">
        <f>D44*Summary!$B$5</f>
        <v/>
      </c>
      <c r="G44" s="7">
        <f>E44*Summary!$B$5</f>
        <v/>
      </c>
    </row>
    <row r="45">
      <c r="A45" t="inlineStr">
        <is>
          <t>2024-08</t>
        </is>
      </c>
      <c r="B45" t="n">
        <v>11</v>
      </c>
      <c r="C45" t="n">
        <v>63.6</v>
      </c>
      <c r="D45" t="n">
        <v>80</v>
      </c>
      <c r="E45" t="n">
        <v>-49.4</v>
      </c>
      <c r="F45" s="7">
        <f>D45*Summary!$B$5</f>
        <v/>
      </c>
      <c r="G45" s="7">
        <f>E45*Summary!$B$5</f>
        <v/>
      </c>
    </row>
    <row r="46">
      <c r="A46" t="inlineStr">
        <is>
          <t>2024-09</t>
        </is>
      </c>
      <c r="B46" t="n">
        <v>14</v>
      </c>
      <c r="C46" t="n">
        <v>71.40000000000001</v>
      </c>
      <c r="D46" t="n">
        <v>90.8</v>
      </c>
      <c r="E46" t="n">
        <v>-43.8</v>
      </c>
      <c r="F46" s="7">
        <f>D46*Summary!$B$5</f>
        <v/>
      </c>
      <c r="G46" s="7">
        <f>E46*Summary!$B$5</f>
        <v/>
      </c>
    </row>
    <row r="47">
      <c r="A47" t="inlineStr">
        <is>
          <t>2024-10</t>
        </is>
      </c>
      <c r="B47" t="n">
        <v>16</v>
      </c>
      <c r="C47" t="n">
        <v>81.2</v>
      </c>
      <c r="D47" t="n">
        <v>325.4</v>
      </c>
      <c r="E47" t="n">
        <v>-13.7</v>
      </c>
      <c r="F47" s="7">
        <f>D47*Summary!$B$5</f>
        <v/>
      </c>
      <c r="G47" s="7">
        <f>E47*Summary!$B$5</f>
        <v/>
      </c>
    </row>
    <row r="48">
      <c r="A48" t="inlineStr">
        <is>
          <t>2024-11</t>
        </is>
      </c>
      <c r="B48" t="n">
        <v>14</v>
      </c>
      <c r="C48" t="n">
        <v>64.3</v>
      </c>
      <c r="D48" t="n">
        <v>57.7</v>
      </c>
      <c r="E48" t="n">
        <v>-49.9</v>
      </c>
      <c r="F48" s="7">
        <f>D48*Summary!$B$5</f>
        <v/>
      </c>
      <c r="G48" s="7">
        <f>E48*Summary!$B$5</f>
        <v/>
      </c>
    </row>
    <row r="49">
      <c r="A49" t="inlineStr">
        <is>
          <t>2024-12</t>
        </is>
      </c>
      <c r="B49" t="n">
        <v>17</v>
      </c>
      <c r="C49" t="n">
        <v>64.7</v>
      </c>
      <c r="D49" t="n">
        <v>209.9</v>
      </c>
      <c r="E49" t="n">
        <v>-45.5</v>
      </c>
      <c r="F49" s="7">
        <f>D49*Summary!$B$5</f>
        <v/>
      </c>
      <c r="G49" s="7">
        <f>E49*Summary!$B$5</f>
        <v/>
      </c>
    </row>
    <row r="50">
      <c r="A50" t="inlineStr">
        <is>
          <t>2025-01</t>
        </is>
      </c>
      <c r="B50" t="n">
        <v>20</v>
      </c>
      <c r="C50" t="n">
        <v>65</v>
      </c>
      <c r="D50" t="n">
        <v>266.8</v>
      </c>
      <c r="E50" t="n">
        <v>-41.6</v>
      </c>
      <c r="F50" s="7">
        <f>D50*Summary!$B$5</f>
        <v/>
      </c>
      <c r="G50" s="7">
        <f>E50*Summary!$B$5</f>
        <v/>
      </c>
    </row>
    <row r="51">
      <c r="A51" t="inlineStr">
        <is>
          <t>2025-02</t>
        </is>
      </c>
      <c r="B51" t="n">
        <v>16</v>
      </c>
      <c r="C51" t="n">
        <v>87.5</v>
      </c>
      <c r="D51" t="n">
        <v>416.4</v>
      </c>
      <c r="E51" t="n">
        <v>-32.7</v>
      </c>
      <c r="F51" s="7">
        <f>D51*Summary!$B$5</f>
        <v/>
      </c>
      <c r="G51" s="7">
        <f>E51*Summary!$B$5</f>
        <v/>
      </c>
    </row>
    <row r="52">
      <c r="A52" t="inlineStr">
        <is>
          <t>2025-03</t>
        </is>
      </c>
      <c r="B52" t="n">
        <v>13</v>
      </c>
      <c r="C52" t="n">
        <v>46.2</v>
      </c>
      <c r="D52" t="n">
        <v>-74.40000000000001</v>
      </c>
      <c r="E52" t="n">
        <v>-40.6</v>
      </c>
      <c r="F52" s="7">
        <f>D52*Summary!$B$5</f>
        <v/>
      </c>
      <c r="G52" s="7">
        <f>E52*Summary!$B$5</f>
        <v/>
      </c>
    </row>
    <row r="53">
      <c r="A53" t="inlineStr">
        <is>
          <t>2025-04</t>
        </is>
      </c>
      <c r="B53" t="n">
        <v>12</v>
      </c>
      <c r="C53" t="n">
        <v>75</v>
      </c>
      <c r="D53" t="n">
        <v>348.8</v>
      </c>
      <c r="E53" t="n">
        <v>-26.2</v>
      </c>
      <c r="F53" s="7">
        <f>D53*Summary!$B$5</f>
        <v/>
      </c>
      <c r="G53" s="7">
        <f>E53*Summary!$B$5</f>
        <v/>
      </c>
    </row>
    <row r="54">
      <c r="A54" t="inlineStr">
        <is>
          <t>2025-05</t>
        </is>
      </c>
      <c r="B54" t="n">
        <v>17</v>
      </c>
      <c r="C54" t="n">
        <v>58.8</v>
      </c>
      <c r="D54" t="n">
        <v>115.5</v>
      </c>
      <c r="E54" t="n">
        <v>-44.4</v>
      </c>
      <c r="F54" s="7">
        <f>D54*Summary!$B$5</f>
        <v/>
      </c>
      <c r="G54" s="7">
        <f>E54*Summary!$B$5</f>
        <v/>
      </c>
    </row>
    <row r="55">
      <c r="A55" t="inlineStr">
        <is>
          <t>2025-06</t>
        </is>
      </c>
      <c r="B55" t="n">
        <v>15</v>
      </c>
      <c r="C55" t="n">
        <v>86.7</v>
      </c>
      <c r="D55" t="n">
        <v>364.7</v>
      </c>
      <c r="E55" t="n">
        <v>-48.6</v>
      </c>
      <c r="F55" s="7">
        <f>D55*Summary!$B$5</f>
        <v/>
      </c>
      <c r="G55" s="7">
        <f>E55*Summary!$B$5</f>
        <v/>
      </c>
    </row>
    <row r="56">
      <c r="A56" t="inlineStr">
        <is>
          <t>2025-07</t>
        </is>
      </c>
      <c r="B56" t="n">
        <v>15</v>
      </c>
      <c r="C56" t="n">
        <v>73.3</v>
      </c>
      <c r="D56" t="n">
        <v>176.1</v>
      </c>
      <c r="E56" t="n">
        <v>-36.3</v>
      </c>
      <c r="F56" s="7">
        <f>D56*Summary!$B$5</f>
        <v/>
      </c>
      <c r="G56" s="7">
        <f>E56*Summary!$B$5</f>
        <v/>
      </c>
    </row>
    <row r="57">
      <c r="A57" t="inlineStr">
        <is>
          <t>2025-08</t>
        </is>
      </c>
      <c r="B57" t="n">
        <v>8</v>
      </c>
      <c r="C57" t="n">
        <v>87.5</v>
      </c>
      <c r="D57" t="n">
        <v>126.8</v>
      </c>
      <c r="E57" t="n">
        <v>-5.9</v>
      </c>
      <c r="F57" s="7">
        <f>D57*Summary!$B$5</f>
        <v/>
      </c>
      <c r="G57" s="7">
        <f>E57*Summary!$B$5</f>
        <v/>
      </c>
    </row>
    <row r="58">
      <c r="A58" t="inlineStr">
        <is>
          <t>2025-09</t>
        </is>
      </c>
      <c r="B58" t="n">
        <v>7</v>
      </c>
      <c r="C58" t="n">
        <v>85.7</v>
      </c>
      <c r="D58" t="n">
        <v>79.5</v>
      </c>
      <c r="E58" t="n">
        <v>-2.5</v>
      </c>
      <c r="F58" s="7">
        <f>D58*Summary!$B$5</f>
        <v/>
      </c>
      <c r="G58" s="7">
        <f>E58*Summary!$B$5</f>
        <v/>
      </c>
    </row>
    <row r="59">
      <c r="A59" t="inlineStr">
        <is>
          <t>2025-10</t>
        </is>
      </c>
      <c r="B59" t="n">
        <v>10</v>
      </c>
      <c r="C59" t="n">
        <v>60</v>
      </c>
      <c r="D59" t="n">
        <v>10.3</v>
      </c>
      <c r="E59" t="n">
        <v>-39.4</v>
      </c>
      <c r="F59" s="7">
        <f>D59*Summary!$B$5</f>
        <v/>
      </c>
      <c r="G59" s="7">
        <f>E59*Summary!$B$5</f>
        <v/>
      </c>
    </row>
    <row r="60">
      <c r="A60" t="inlineStr">
        <is>
          <t>2025-11</t>
        </is>
      </c>
      <c r="B60" t="n">
        <v>13</v>
      </c>
      <c r="C60" t="n">
        <v>84.59999999999999</v>
      </c>
      <c r="D60" t="n">
        <v>143.2</v>
      </c>
      <c r="E60" t="n">
        <v>-38.1</v>
      </c>
      <c r="F60" s="7">
        <f>D60*Summary!$B$5</f>
        <v/>
      </c>
      <c r="G60" s="7">
        <f>E60*Summary!$B$5</f>
        <v/>
      </c>
    </row>
    <row r="61">
      <c r="A61" t="inlineStr">
        <is>
          <t>2025-12</t>
        </is>
      </c>
      <c r="B61" t="n">
        <v>10</v>
      </c>
      <c r="C61" t="n">
        <v>80</v>
      </c>
      <c r="D61" t="n">
        <v>61</v>
      </c>
      <c r="E61" t="n">
        <v>-34.4</v>
      </c>
      <c r="F61" s="7">
        <f>D61*Summary!$B$5</f>
        <v/>
      </c>
      <c r="G61" s="7">
        <f>E61*Summary!$B$5</f>
        <v/>
      </c>
    </row>
    <row r="62">
      <c r="A62" t="inlineStr">
        <is>
          <t>2026-01</t>
        </is>
      </c>
      <c r="B62" t="n">
        <v>10</v>
      </c>
      <c r="C62" t="n">
        <v>50</v>
      </c>
      <c r="D62" t="n">
        <v>70.09999999999999</v>
      </c>
      <c r="E62" t="n">
        <v>-37</v>
      </c>
      <c r="F62" s="7">
        <f>D62*Summary!$B$5</f>
        <v/>
      </c>
      <c r="G62" s="7">
        <f>E62*Summary!$B$5</f>
        <v/>
      </c>
    </row>
    <row r="63">
      <c r="A63" t="inlineStr">
        <is>
          <t>2026-02</t>
        </is>
      </c>
      <c r="B63" t="n">
        <v>13</v>
      </c>
      <c r="C63" t="n">
        <v>53.8</v>
      </c>
      <c r="D63" t="n">
        <v>143.2</v>
      </c>
      <c r="E63" t="n">
        <v>-38.3</v>
      </c>
      <c r="F63" s="7">
        <f>D63*Summary!$B$5</f>
        <v/>
      </c>
      <c r="G63" s="7">
        <f>E63*Summary!$B$5</f>
        <v/>
      </c>
    </row>
    <row r="64">
      <c r="A64" t="inlineStr">
        <is>
          <t>2026-03</t>
        </is>
      </c>
      <c r="B64" t="n">
        <v>14</v>
      </c>
      <c r="C64" t="n">
        <v>50</v>
      </c>
      <c r="D64" t="n">
        <v>103.3</v>
      </c>
      <c r="E64" t="n">
        <v>-39</v>
      </c>
      <c r="F64" s="7">
        <f>D64*Summary!$B$5</f>
        <v/>
      </c>
      <c r="G64" s="7">
        <f>E64*Summary!$B$5</f>
        <v/>
      </c>
    </row>
    <row r="65">
      <c r="A65" t="inlineStr">
        <is>
          <t>2026-04</t>
        </is>
      </c>
      <c r="B65" t="n">
        <v>13</v>
      </c>
      <c r="C65" t="n">
        <v>69.2</v>
      </c>
      <c r="D65" t="n">
        <v>142.1</v>
      </c>
      <c r="E65" t="n">
        <v>-41.7</v>
      </c>
      <c r="F65" s="7">
        <f>D65*Summary!$B$5</f>
        <v/>
      </c>
      <c r="G65" s="7">
        <f>E65*Summary!$B$5</f>
        <v/>
      </c>
    </row>
    <row r="66">
      <c r="A66" t="inlineStr">
        <is>
          <t>2026-05</t>
        </is>
      </c>
      <c r="B66" t="n">
        <v>14</v>
      </c>
      <c r="C66" t="n">
        <v>71.40000000000001</v>
      </c>
      <c r="D66" t="n">
        <v>149.3</v>
      </c>
      <c r="E66" t="n">
        <v>-35.1</v>
      </c>
      <c r="F66" s="7">
        <f>D66*Summary!$B$5</f>
        <v/>
      </c>
      <c r="G66" s="7">
        <f>E66*Summary!$B$5</f>
        <v/>
      </c>
    </row>
    <row r="67">
      <c r="A67" t="inlineStr">
        <is>
          <t>2026-06</t>
        </is>
      </c>
      <c r="B67" t="n">
        <v>12</v>
      </c>
      <c r="C67" t="n">
        <v>75</v>
      </c>
      <c r="D67" t="n">
        <v>142.3</v>
      </c>
      <c r="E67" t="n">
        <v>-42.9</v>
      </c>
      <c r="F67" s="7">
        <f>D67*Summary!$B$5</f>
        <v/>
      </c>
      <c r="G67" s="7">
        <f>E67*Summary!$B$5</f>
        <v/>
      </c>
    </row>
    <row r="68">
      <c r="A68" t="inlineStr">
        <is>
          <t>2026-07</t>
        </is>
      </c>
      <c r="B68" t="n">
        <v>14</v>
      </c>
      <c r="C68" t="n">
        <v>85.7</v>
      </c>
      <c r="D68" t="n">
        <v>135.3</v>
      </c>
      <c r="E68" t="n">
        <v>-43.5</v>
      </c>
      <c r="F68" s="7">
        <f>D68*Summary!$B$5</f>
        <v/>
      </c>
      <c r="G68" s="7">
        <f>E68*Summary!$B$5</f>
        <v/>
      </c>
    </row>
    <row r="69">
      <c r="A69" t="inlineStr">
        <is>
          <t>2026-08</t>
        </is>
      </c>
      <c r="B69" t="n">
        <v>9</v>
      </c>
      <c r="C69" t="n">
        <v>77.8</v>
      </c>
      <c r="D69" t="n">
        <v>167</v>
      </c>
      <c r="E69" t="n">
        <v>-21.7</v>
      </c>
      <c r="F69" s="7">
        <f>D69*Summary!$B$5</f>
        <v/>
      </c>
      <c r="G69" s="7">
        <f>E69*Summary!$B$5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16" customWidth="1" min="4" max="4"/>
    <col width="20" customWidth="1" min="5" max="5"/>
    <col width="14" customWidth="1" min="6" max="6"/>
    <col width="18" customWidth="1" min="7" max="7"/>
    <col width="16" customWidth="1" min="8" max="8"/>
  </cols>
  <sheetData>
    <row r="1">
      <c r="A1" s="5" t="inlineStr">
        <is>
          <t>Group</t>
        </is>
      </c>
      <c r="B1" s="5" t="inlineStr">
        <is>
          <t>Trades</t>
        </is>
      </c>
      <c r="C1" s="5" t="inlineStr">
        <is>
          <t>Win %</t>
        </is>
      </c>
      <c r="D1" s="5" t="inlineStr">
        <is>
          <t>Net PnL (norm)</t>
        </is>
      </c>
      <c r="E1" s="5" t="inlineStr">
        <is>
          <t>Avg per trade (norm)</t>
        </is>
      </c>
      <c r="F1" s="5" t="inlineStr">
        <is>
          <t>Worst (norm)</t>
        </is>
      </c>
      <c r="G1" s="5" t="inlineStr">
        <is>
          <t>Net PnL (Rs)</t>
        </is>
      </c>
      <c r="H1" s="5" t="inlineStr">
        <is>
          <t>Worst (Rs)</t>
        </is>
      </c>
    </row>
    <row r="2">
      <c r="A2" s="2" t="inlineStr">
        <is>
          <t>By days to expiry (1 = expiry day)</t>
        </is>
      </c>
    </row>
    <row r="3">
      <c r="A3" t="inlineStr">
        <is>
          <t>DTE 1</t>
        </is>
      </c>
      <c r="B3" t="n">
        <v>212</v>
      </c>
      <c r="C3" t="n">
        <v>69.8</v>
      </c>
      <c r="D3" t="n">
        <v>3540.9</v>
      </c>
      <c r="E3" t="n">
        <v>16.7</v>
      </c>
      <c r="F3" t="n">
        <v>-61.3</v>
      </c>
      <c r="G3" s="7">
        <f>D3*Summary!$B$5</f>
        <v/>
      </c>
      <c r="H3" s="7">
        <f>F3*Summary!$B$5</f>
        <v/>
      </c>
    </row>
    <row r="4">
      <c r="A4" t="inlineStr">
        <is>
          <t>DTE 2</t>
        </is>
      </c>
      <c r="B4" t="n">
        <v>204</v>
      </c>
      <c r="C4" t="n">
        <v>64.2</v>
      </c>
      <c r="D4" t="n">
        <v>1548.3</v>
      </c>
      <c r="E4" t="n">
        <v>7.59</v>
      </c>
      <c r="F4" t="n">
        <v>-46.6</v>
      </c>
      <c r="G4" s="7">
        <f>D4*Summary!$B$5</f>
        <v/>
      </c>
      <c r="H4" s="7">
        <f>F4*Summary!$B$5</f>
        <v/>
      </c>
    </row>
    <row r="5">
      <c r="A5" t="inlineStr">
        <is>
          <t>DTE 3</t>
        </is>
      </c>
      <c r="B5" t="n">
        <v>154</v>
      </c>
      <c r="C5" t="n">
        <v>71.40000000000001</v>
      </c>
      <c r="D5" t="n">
        <v>1910.1</v>
      </c>
      <c r="E5" t="n">
        <v>12.4</v>
      </c>
      <c r="F5" t="n">
        <v>-46.7</v>
      </c>
      <c r="G5" s="7">
        <f>D5*Summary!$B$5</f>
        <v/>
      </c>
      <c r="H5" s="7">
        <f>F5*Summary!$B$5</f>
        <v/>
      </c>
    </row>
    <row r="6">
      <c r="A6" t="inlineStr">
        <is>
          <t>DTE 4</t>
        </is>
      </c>
      <c r="B6" t="n">
        <v>147</v>
      </c>
      <c r="C6" t="n">
        <v>66.7</v>
      </c>
      <c r="D6" t="n">
        <v>1151.9</v>
      </c>
      <c r="E6" t="n">
        <v>7.84</v>
      </c>
      <c r="F6" t="n">
        <v>-48.5</v>
      </c>
      <c r="G6" s="7">
        <f>D6*Summary!$B$5</f>
        <v/>
      </c>
      <c r="H6" s="7">
        <f>F6*Summary!$B$5</f>
        <v/>
      </c>
    </row>
    <row r="7">
      <c r="A7" t="inlineStr">
        <is>
          <t>DTE 5</t>
        </is>
      </c>
      <c r="B7" t="n">
        <v>25</v>
      </c>
      <c r="C7" t="n">
        <v>84</v>
      </c>
      <c r="D7" t="n">
        <v>397.4</v>
      </c>
      <c r="E7" t="n">
        <v>15.9</v>
      </c>
      <c r="F7" t="n">
        <v>-38.1</v>
      </c>
      <c r="G7" s="7">
        <f>D7*Summary!$B$5</f>
        <v/>
      </c>
      <c r="H7" s="7">
        <f>F7*Summary!$B$5</f>
        <v/>
      </c>
    </row>
    <row r="8">
      <c r="A8" t="inlineStr">
        <is>
          <t>DTE 6</t>
        </is>
      </c>
      <c r="B8" t="n">
        <v>117</v>
      </c>
      <c r="C8" t="n">
        <v>76.09999999999999</v>
      </c>
      <c r="D8" t="n">
        <v>1440.9</v>
      </c>
      <c r="E8" t="n">
        <v>12.32</v>
      </c>
      <c r="F8" t="n">
        <v>-48.6</v>
      </c>
      <c r="G8" s="7">
        <f>D8*Summary!$B$5</f>
        <v/>
      </c>
      <c r="H8" s="7">
        <f>F8*Summary!$B$5</f>
        <v/>
      </c>
    </row>
    <row r="10">
      <c r="A10" s="2" t="inlineStr">
        <is>
          <t>By entry time</t>
        </is>
      </c>
    </row>
    <row r="11">
      <c r="A11" t="inlineStr">
        <is>
          <t>09:16</t>
        </is>
      </c>
      <c r="B11" t="n">
        <v>188</v>
      </c>
      <c r="C11" t="n">
        <v>80.3</v>
      </c>
      <c r="D11" t="n">
        <v>4806.4</v>
      </c>
      <c r="E11" t="n">
        <v>25.57</v>
      </c>
      <c r="F11" t="n">
        <v>-49.9</v>
      </c>
      <c r="G11" s="7">
        <f>D11*Summary!$B$5</f>
        <v/>
      </c>
      <c r="H11" s="7">
        <f>F11*Summary!$B$5</f>
        <v/>
      </c>
    </row>
    <row r="12">
      <c r="A12" t="inlineStr">
        <is>
          <t>09:17</t>
        </is>
      </c>
      <c r="B12" t="n">
        <v>191</v>
      </c>
      <c r="C12" t="n">
        <v>75.40000000000001</v>
      </c>
      <c r="D12" t="n">
        <v>2892.5</v>
      </c>
      <c r="E12" t="n">
        <v>15.14</v>
      </c>
      <c r="F12" t="n">
        <v>-61.3</v>
      </c>
      <c r="G12" s="7">
        <f>D12*Summary!$B$5</f>
        <v/>
      </c>
      <c r="H12" s="7">
        <f>F12*Summary!$B$5</f>
        <v/>
      </c>
    </row>
    <row r="13">
      <c r="A13" t="inlineStr">
        <is>
          <t>09:18</t>
        </is>
      </c>
      <c r="B13" t="n">
        <v>430</v>
      </c>
      <c r="C13" t="n">
        <v>63.3</v>
      </c>
      <c r="D13" t="n">
        <v>1888.8</v>
      </c>
      <c r="E13" t="n">
        <v>4.39</v>
      </c>
      <c r="F13" t="n">
        <v>-59.7</v>
      </c>
      <c r="G13" s="7">
        <f>D13*Summary!$B$5</f>
        <v/>
      </c>
      <c r="H13" s="7">
        <f>F13*Summary!$B$5</f>
        <v/>
      </c>
    </row>
    <row r="14">
      <c r="A14" t="inlineStr">
        <is>
          <t>09:19</t>
        </is>
      </c>
      <c r="B14" t="n">
        <v>8</v>
      </c>
      <c r="C14" t="n">
        <v>37.5</v>
      </c>
      <c r="D14" t="n">
        <v>-40.2</v>
      </c>
      <c r="E14" t="n">
        <v>-5.02</v>
      </c>
      <c r="F14" t="n">
        <v>-37.9</v>
      </c>
      <c r="G14" s="7">
        <f>D14*Summary!$B$5</f>
        <v/>
      </c>
      <c r="H14" s="7">
        <f>F14*Summary!$B$5</f>
        <v/>
      </c>
    </row>
    <row r="15">
      <c r="A15" t="inlineStr">
        <is>
          <t>09:20-09:59</t>
        </is>
      </c>
      <c r="B15" t="n">
        <v>14</v>
      </c>
      <c r="C15" t="n">
        <v>50</v>
      </c>
      <c r="D15" t="n">
        <v>104</v>
      </c>
      <c r="E15" t="n">
        <v>7.43</v>
      </c>
      <c r="F15" t="n">
        <v>-38.7</v>
      </c>
      <c r="G15" s="7">
        <f>D15*Summary!$B$5</f>
        <v/>
      </c>
      <c r="H15" s="7">
        <f>F15*Summary!$B$5</f>
        <v/>
      </c>
    </row>
    <row r="16">
      <c r="A16" t="inlineStr">
        <is>
          <t>10:00 onwards</t>
        </is>
      </c>
      <c r="B16" t="n">
        <v>28</v>
      </c>
      <c r="C16" t="n">
        <v>71.40000000000001</v>
      </c>
      <c r="D16" t="n">
        <v>337.9</v>
      </c>
      <c r="E16" t="n">
        <v>12.07</v>
      </c>
      <c r="F16" t="n">
        <v>-48.5</v>
      </c>
      <c r="G16" s="7">
        <f>D16*Summary!$B$5</f>
        <v/>
      </c>
      <c r="H16" s="7">
        <f>F16*Summary!$B$5</f>
        <v/>
      </c>
    </row>
    <row r="18">
      <c r="A18" t="inlineStr">
        <is>
          <t>Source: ps1_daily_walk.csv (current-week leg only, before the next-week leg replaces some days).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18" customWidth="1" min="7" max="7"/>
  </cols>
  <sheetData>
    <row r="1">
      <c r="A1" s="5" t="inlineStr">
        <is>
          <t>Rank</t>
        </is>
      </c>
      <c r="B1" s="5" t="inlineStr">
        <is>
          <t>Peak date</t>
        </is>
      </c>
      <c r="C1" s="5" t="inlineStr">
        <is>
          <t>Trough date</t>
        </is>
      </c>
      <c r="D1" s="5" t="inlineStr">
        <is>
          <t>Recovered</t>
        </is>
      </c>
      <c r="E1" s="5" t="inlineStr">
        <is>
          <t>Days peak to trough</t>
        </is>
      </c>
      <c r="F1" s="5" t="inlineStr">
        <is>
          <t>Depth (norm)</t>
        </is>
      </c>
      <c r="G1" s="5" t="inlineStr">
        <is>
          <t>Depth (Rs)</t>
        </is>
      </c>
    </row>
    <row r="2">
      <c r="A2" t="n">
        <v>1</v>
      </c>
      <c r="B2" s="8" t="n">
        <v>45716</v>
      </c>
      <c r="C2" s="8" t="n">
        <v>45740</v>
      </c>
      <c r="D2" s="8" t="n">
        <v>45756</v>
      </c>
      <c r="E2" t="n">
        <v>24</v>
      </c>
      <c r="F2" t="n">
        <v>162.1</v>
      </c>
      <c r="G2" s="7">
        <f>F2*Summary!$B$5</f>
        <v/>
      </c>
    </row>
    <row r="3">
      <c r="A3" t="n">
        <v>2</v>
      </c>
      <c r="B3" s="8" t="n">
        <v>44904</v>
      </c>
      <c r="C3" s="8" t="n">
        <v>44917</v>
      </c>
      <c r="D3" s="8" t="n">
        <v>44949</v>
      </c>
      <c r="E3" t="n">
        <v>13</v>
      </c>
      <c r="F3" t="n">
        <v>136.6</v>
      </c>
      <c r="G3" s="7">
        <f>F3*Summary!$B$5</f>
        <v/>
      </c>
    </row>
    <row r="4">
      <c r="A4" t="n">
        <v>3</v>
      </c>
      <c r="B4" s="8" t="n">
        <v>44588</v>
      </c>
      <c r="C4" s="8" t="n">
        <v>44609</v>
      </c>
      <c r="D4" s="8" t="n">
        <v>44614</v>
      </c>
      <c r="E4" t="n">
        <v>21</v>
      </c>
      <c r="F4" t="n">
        <v>136</v>
      </c>
      <c r="G4" s="7">
        <f>F4*Summary!$B$5</f>
        <v/>
      </c>
    </row>
    <row r="5">
      <c r="A5" t="n">
        <v>4</v>
      </c>
      <c r="B5" s="8" t="n">
        <v>44791</v>
      </c>
      <c r="C5" s="8" t="n">
        <v>44825</v>
      </c>
      <c r="D5" s="8" t="n">
        <v>44834</v>
      </c>
      <c r="E5" t="n">
        <v>34</v>
      </c>
      <c r="F5" t="n">
        <v>131.3</v>
      </c>
      <c r="G5" s="7">
        <f>F5*Summary!$B$5</f>
        <v/>
      </c>
    </row>
    <row r="6">
      <c r="A6" t="n">
        <v>5</v>
      </c>
      <c r="B6" s="8" t="n">
        <v>45674</v>
      </c>
      <c r="C6" s="8" t="n">
        <v>45686</v>
      </c>
      <c r="D6" s="8" t="n">
        <v>45688</v>
      </c>
      <c r="E6" t="n">
        <v>12</v>
      </c>
      <c r="F6" t="n">
        <v>127.2</v>
      </c>
      <c r="G6" s="7">
        <f>F6*Summary!$B$5</f>
        <v/>
      </c>
    </row>
    <row r="7">
      <c r="A7" t="n">
        <v>6</v>
      </c>
      <c r="B7" s="8" t="n">
        <v>45799</v>
      </c>
      <c r="C7" s="8" t="n">
        <v>45804</v>
      </c>
      <c r="D7" s="8" t="n">
        <v>45806</v>
      </c>
      <c r="E7" t="n">
        <v>5</v>
      </c>
      <c r="F7" t="n">
        <v>116.8</v>
      </c>
      <c r="G7" s="7">
        <f>F7*Summary!$B$5</f>
        <v/>
      </c>
    </row>
    <row r="8">
      <c r="A8" t="n">
        <v>7</v>
      </c>
      <c r="B8" s="8" t="n">
        <v>45349</v>
      </c>
      <c r="C8" s="8" t="n">
        <v>45351</v>
      </c>
      <c r="D8" s="8" t="n">
        <v>45358</v>
      </c>
      <c r="E8" t="n">
        <v>2</v>
      </c>
      <c r="F8" t="n">
        <v>107.9</v>
      </c>
      <c r="G8" s="7">
        <f>F8*Summary!$B$5</f>
        <v/>
      </c>
    </row>
    <row r="9">
      <c r="A9" t="n">
        <v>8</v>
      </c>
      <c r="B9" s="8" t="n">
        <v>44540</v>
      </c>
      <c r="C9" s="8" t="n">
        <v>44545</v>
      </c>
      <c r="D9" s="8" t="n">
        <v>44553</v>
      </c>
      <c r="E9" t="n">
        <v>5</v>
      </c>
      <c r="F9" t="n">
        <v>100.9</v>
      </c>
      <c r="G9" s="7">
        <f>F9*Summary!$B$5</f>
        <v/>
      </c>
    </row>
    <row r="10">
      <c r="A10" t="n">
        <v>9</v>
      </c>
      <c r="B10" s="8" t="n">
        <v>44995</v>
      </c>
      <c r="C10" s="8" t="n">
        <v>45009</v>
      </c>
      <c r="D10" s="8" t="n">
        <v>45035</v>
      </c>
      <c r="E10" t="n">
        <v>14</v>
      </c>
      <c r="F10" t="n">
        <v>97.8</v>
      </c>
      <c r="G10" s="7">
        <f>F10*Summary!$B$5</f>
        <v/>
      </c>
    </row>
    <row r="11">
      <c r="A11" t="n">
        <v>10</v>
      </c>
      <c r="B11" s="8" t="n">
        <v>44217</v>
      </c>
      <c r="C11" s="8" t="n">
        <v>44225</v>
      </c>
      <c r="D11" s="8" t="n">
        <v>44231</v>
      </c>
      <c r="E11" t="n">
        <v>8</v>
      </c>
      <c r="F11" t="n">
        <v>97.5</v>
      </c>
      <c r="G11" s="7">
        <f>F11*Summary!$B$5</f>
        <v/>
      </c>
    </row>
    <row r="12">
      <c r="A12" t="n">
        <v>11</v>
      </c>
      <c r="B12" s="8" t="n">
        <v>44200</v>
      </c>
      <c r="C12" s="8" t="n">
        <v>44207</v>
      </c>
      <c r="D12" s="8" t="n">
        <v>44216</v>
      </c>
      <c r="E12" t="n">
        <v>7</v>
      </c>
      <c r="F12" t="n">
        <v>95.59999999999999</v>
      </c>
      <c r="G12" s="7">
        <f>F12*Summary!$B$5</f>
        <v/>
      </c>
    </row>
    <row r="13">
      <c r="A13" t="n">
        <v>12</v>
      </c>
      <c r="B13" s="8" t="n">
        <v>44950</v>
      </c>
      <c r="C13" s="8" t="n">
        <v>44956</v>
      </c>
      <c r="D13" s="8" t="n">
        <v>44964</v>
      </c>
      <c r="E13" t="n">
        <v>6</v>
      </c>
      <c r="F13" t="n">
        <v>92.59999999999999</v>
      </c>
      <c r="G13" s="7">
        <f>F13*Summary!$B$5</f>
        <v/>
      </c>
    </row>
    <row r="14">
      <c r="A14" t="n">
        <v>13</v>
      </c>
      <c r="B14" s="8" t="n">
        <v>45252</v>
      </c>
      <c r="C14" s="8" t="n">
        <v>45265</v>
      </c>
      <c r="D14" s="8" t="n">
        <v>45278</v>
      </c>
      <c r="E14" t="n">
        <v>13</v>
      </c>
      <c r="F14" t="n">
        <v>90.3</v>
      </c>
      <c r="G14" s="7">
        <f>F14*Summary!$B$5</f>
        <v/>
      </c>
    </row>
    <row r="15">
      <c r="A15" t="n">
        <v>14</v>
      </c>
      <c r="B15" s="8" t="n">
        <v>44517</v>
      </c>
      <c r="C15" s="8" t="n">
        <v>44525</v>
      </c>
      <c r="D15" s="8" t="n">
        <v>44529</v>
      </c>
      <c r="E15" t="n">
        <v>8</v>
      </c>
      <c r="F15" t="n">
        <v>87.59999999999999</v>
      </c>
      <c r="G15" s="7">
        <f>F15*Summary!$B$5</f>
        <v/>
      </c>
    </row>
    <row r="16">
      <c r="A16" t="n">
        <v>15</v>
      </c>
      <c r="B16" s="8" t="n">
        <v>46093</v>
      </c>
      <c r="C16" s="8" t="n">
        <v>46104</v>
      </c>
      <c r="D16" s="8" t="n">
        <v>46108</v>
      </c>
      <c r="E16" t="n">
        <v>11</v>
      </c>
      <c r="F16" t="n">
        <v>85</v>
      </c>
      <c r="G16" s="7">
        <f>F16*Summary!$B$5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0" customWidth="1" min="4" max="4"/>
    <col width="6" customWidth="1" min="5" max="5"/>
    <col width="12" customWidth="1" min="6" max="6"/>
    <col width="16" customWidth="1" min="7" max="7"/>
    <col width="16" customWidth="1" min="8" max="8"/>
    <col width="16" customWidth="1" min="9" max="9"/>
    <col width="18" customWidth="1" min="10" max="10"/>
    <col width="16" customWidth="1" min="11" max="11"/>
  </cols>
  <sheetData>
    <row r="1">
      <c r="A1" s="5" t="inlineStr">
        <is>
          <t>Date</t>
        </is>
      </c>
      <c r="B1" s="5" t="inlineStr">
        <is>
          <t>FY</t>
        </is>
      </c>
      <c r="C1" s="5" t="inlineStr">
        <is>
          <t>Leg</t>
        </is>
      </c>
      <c r="D1" s="5" t="inlineStr">
        <is>
          <t>CW entry</t>
        </is>
      </c>
      <c r="E1" s="5" t="inlineStr">
        <is>
          <t>DTE</t>
        </is>
      </c>
      <c r="F1" s="5" t="inlineStr">
        <is>
          <t>PnL (norm)</t>
        </is>
      </c>
      <c r="G1" s="5" t="inlineStr">
        <is>
          <t>Cum PnL (norm)</t>
        </is>
      </c>
      <c r="H1" s="5" t="inlineStr">
        <is>
          <t>Drawdown (norm)</t>
        </is>
      </c>
      <c r="I1" s="5" t="inlineStr">
        <is>
          <t>PnL (Rs)</t>
        </is>
      </c>
      <c r="J1" s="5" t="inlineStr">
        <is>
          <t>Cum PnL (Rs)</t>
        </is>
      </c>
      <c r="K1" s="5" t="inlineStr">
        <is>
          <t>Drawdown (Rs)</t>
        </is>
      </c>
    </row>
    <row r="2">
      <c r="A2" s="8" t="n">
        <v>44197</v>
      </c>
      <c r="B2" t="inlineStr">
        <is>
          <t>FY20-21</t>
        </is>
      </c>
      <c r="C2" t="inlineStr">
        <is>
          <t>CW</t>
        </is>
      </c>
      <c r="D2" t="inlineStr">
        <is>
          <t>09:17</t>
        </is>
      </c>
      <c r="E2" t="n">
        <v>6</v>
      </c>
      <c r="F2" t="n">
        <v>34.79</v>
      </c>
      <c r="G2" t="n">
        <v>34.79</v>
      </c>
      <c r="H2" t="n">
        <v>0</v>
      </c>
      <c r="I2" s="7">
        <f>F2*Summary!$B$5</f>
        <v/>
      </c>
      <c r="J2" s="7">
        <f>G2*Summary!$B$5</f>
        <v/>
      </c>
      <c r="K2" s="7">
        <f>H2*Summary!$B$5</f>
        <v/>
      </c>
    </row>
    <row r="3">
      <c r="A3" s="8" t="n">
        <v>44200</v>
      </c>
      <c r="B3" t="inlineStr">
        <is>
          <t>FY20-21</t>
        </is>
      </c>
      <c r="C3" t="inlineStr">
        <is>
          <t>CW</t>
        </is>
      </c>
      <c r="D3" t="inlineStr">
        <is>
          <t>11:01</t>
        </is>
      </c>
      <c r="E3" t="n">
        <v>4</v>
      </c>
      <c r="F3" t="n">
        <v>47.29</v>
      </c>
      <c r="G3" t="n">
        <v>82.08</v>
      </c>
      <c r="H3" t="n">
        <v>0</v>
      </c>
      <c r="I3" s="7">
        <f>F3*Summary!$B$5</f>
        <v/>
      </c>
      <c r="J3" s="7">
        <f>G3*Summary!$B$5</f>
        <v/>
      </c>
      <c r="K3" s="7">
        <f>H3*Summary!$B$5</f>
        <v/>
      </c>
    </row>
    <row r="4">
      <c r="A4" s="8" t="n">
        <v>44201</v>
      </c>
      <c r="B4" t="inlineStr">
        <is>
          <t>FY20-21</t>
        </is>
      </c>
      <c r="C4" t="inlineStr">
        <is>
          <t>CW</t>
        </is>
      </c>
      <c r="D4" t="inlineStr">
        <is>
          <t>09:18</t>
        </is>
      </c>
      <c r="E4" t="n">
        <v>3</v>
      </c>
      <c r="F4" t="n">
        <v>-13.77</v>
      </c>
      <c r="G4" t="n">
        <v>68.3</v>
      </c>
      <c r="H4" t="n">
        <v>-13.77</v>
      </c>
      <c r="I4" s="7">
        <f>F4*Summary!$B$5</f>
        <v/>
      </c>
      <c r="J4" s="7">
        <f>G4*Summary!$B$5</f>
        <v/>
      </c>
      <c r="K4" s="7">
        <f>H4*Summary!$B$5</f>
        <v/>
      </c>
    </row>
    <row r="5">
      <c r="A5" s="8" t="n">
        <v>44202</v>
      </c>
      <c r="B5" t="inlineStr">
        <is>
          <t>FY20-21</t>
        </is>
      </c>
      <c r="C5" t="inlineStr">
        <is>
          <t>CW</t>
        </is>
      </c>
      <c r="D5" t="inlineStr">
        <is>
          <t>09:18</t>
        </is>
      </c>
      <c r="E5" t="n">
        <v>2</v>
      </c>
      <c r="F5" t="n">
        <v>-42.27</v>
      </c>
      <c r="G5" t="n">
        <v>26.03</v>
      </c>
      <c r="H5" t="n">
        <v>-56.04</v>
      </c>
      <c r="I5" s="7">
        <f>F5*Summary!$B$5</f>
        <v/>
      </c>
      <c r="J5" s="7">
        <f>G5*Summary!$B$5</f>
        <v/>
      </c>
      <c r="K5" s="7">
        <f>H5*Summary!$B$5</f>
        <v/>
      </c>
    </row>
    <row r="6">
      <c r="A6" s="8" t="n">
        <v>44203</v>
      </c>
      <c r="B6" t="inlineStr">
        <is>
          <t>FY20-21</t>
        </is>
      </c>
      <c r="C6" t="inlineStr">
        <is>
          <t>CW</t>
        </is>
      </c>
      <c r="D6" t="inlineStr">
        <is>
          <t>09:18</t>
        </is>
      </c>
      <c r="E6" t="n">
        <v>1</v>
      </c>
      <c r="F6" t="n">
        <v>40.43</v>
      </c>
      <c r="G6" t="n">
        <v>66.45999999999999</v>
      </c>
      <c r="H6" t="n">
        <v>-15.61</v>
      </c>
      <c r="I6" s="7">
        <f>F6*Summary!$B$5</f>
        <v/>
      </c>
      <c r="J6" s="7">
        <f>G6*Summary!$B$5</f>
        <v/>
      </c>
      <c r="K6" s="7">
        <f>H6*Summary!$B$5</f>
        <v/>
      </c>
    </row>
    <row r="7">
      <c r="A7" s="8" t="n">
        <v>44204</v>
      </c>
      <c r="B7" t="inlineStr">
        <is>
          <t>FY20-21</t>
        </is>
      </c>
      <c r="C7" t="inlineStr">
        <is>
          <t>n/a</t>
        </is>
      </c>
      <c r="D7" t="inlineStr"/>
      <c r="E7" t="n">
        <v>0</v>
      </c>
      <c r="F7" t="n">
        <v>-42.03</v>
      </c>
      <c r="G7" t="n">
        <v>24.44</v>
      </c>
      <c r="H7" t="n">
        <v>-57.64</v>
      </c>
      <c r="I7" s="7">
        <f>F7*Summary!$B$5</f>
        <v/>
      </c>
      <c r="J7" s="7">
        <f>G7*Summary!$B$5</f>
        <v/>
      </c>
      <c r="K7" s="7">
        <f>H7*Summary!$B$5</f>
        <v/>
      </c>
    </row>
    <row r="8">
      <c r="A8" s="8" t="n">
        <v>44207</v>
      </c>
      <c r="B8" t="inlineStr">
        <is>
          <t>FY20-21</t>
        </is>
      </c>
      <c r="C8" t="inlineStr">
        <is>
          <t>CW</t>
        </is>
      </c>
      <c r="D8" t="inlineStr">
        <is>
          <t>09:19</t>
        </is>
      </c>
      <c r="E8" t="n">
        <v>4</v>
      </c>
      <c r="F8" t="n">
        <v>-37.92</v>
      </c>
      <c r="G8" t="n">
        <v>-13.49</v>
      </c>
      <c r="H8" t="n">
        <v>-95.56</v>
      </c>
      <c r="I8" s="7">
        <f>F8*Summary!$B$5</f>
        <v/>
      </c>
      <c r="J8" s="7">
        <f>G8*Summary!$B$5</f>
        <v/>
      </c>
      <c r="K8" s="7">
        <f>H8*Summary!$B$5</f>
        <v/>
      </c>
    </row>
    <row r="9">
      <c r="A9" s="8" t="n">
        <v>44208</v>
      </c>
      <c r="B9" t="inlineStr">
        <is>
          <t>FY20-21</t>
        </is>
      </c>
      <c r="C9" t="inlineStr">
        <is>
          <t>CW</t>
        </is>
      </c>
      <c r="D9" t="inlineStr">
        <is>
          <t>09:17</t>
        </is>
      </c>
      <c r="E9" t="n">
        <v>3</v>
      </c>
      <c r="F9" t="n">
        <v>12.98</v>
      </c>
      <c r="G9" t="n">
        <v>-0.51</v>
      </c>
      <c r="H9" t="n">
        <v>-82.58</v>
      </c>
      <c r="I9" s="7">
        <f>F9*Summary!$B$5</f>
        <v/>
      </c>
      <c r="J9" s="7">
        <f>G9*Summary!$B$5</f>
        <v/>
      </c>
      <c r="K9" s="7">
        <f>H9*Summary!$B$5</f>
        <v/>
      </c>
    </row>
    <row r="10">
      <c r="A10" s="8" t="n">
        <v>44209</v>
      </c>
      <c r="B10" t="inlineStr">
        <is>
          <t>FY20-21</t>
        </is>
      </c>
      <c r="C10" t="inlineStr">
        <is>
          <t>CW</t>
        </is>
      </c>
      <c r="D10" t="inlineStr">
        <is>
          <t>09:17</t>
        </is>
      </c>
      <c r="E10" t="n">
        <v>2</v>
      </c>
      <c r="F10" t="n">
        <v>29.87</v>
      </c>
      <c r="G10" t="n">
        <v>29.36</v>
      </c>
      <c r="H10" t="n">
        <v>-52.72</v>
      </c>
      <c r="I10" s="7">
        <f>F10*Summary!$B$5</f>
        <v/>
      </c>
      <c r="J10" s="7">
        <f>G10*Summary!$B$5</f>
        <v/>
      </c>
      <c r="K10" s="7">
        <f>H10*Summary!$B$5</f>
        <v/>
      </c>
    </row>
    <row r="11">
      <c r="A11" s="8" t="n">
        <v>44210</v>
      </c>
      <c r="B11" t="inlineStr">
        <is>
          <t>FY20-21</t>
        </is>
      </c>
      <c r="C11" t="inlineStr">
        <is>
          <t>CW</t>
        </is>
      </c>
      <c r="D11" t="inlineStr">
        <is>
          <t>09:17</t>
        </is>
      </c>
      <c r="E11" t="n">
        <v>1</v>
      </c>
      <c r="F11" t="n">
        <v>11.84</v>
      </c>
      <c r="G11" t="n">
        <v>41.2</v>
      </c>
      <c r="H11" t="n">
        <v>-40.88</v>
      </c>
      <c r="I11" s="7">
        <f>F11*Summary!$B$5</f>
        <v/>
      </c>
      <c r="J11" s="7">
        <f>G11*Summary!$B$5</f>
        <v/>
      </c>
      <c r="K11" s="7">
        <f>H11*Summary!$B$5</f>
        <v/>
      </c>
    </row>
    <row r="12">
      <c r="A12" s="8" t="n">
        <v>44211</v>
      </c>
      <c r="B12" t="inlineStr">
        <is>
          <t>FY20-21</t>
        </is>
      </c>
      <c r="C12" t="inlineStr">
        <is>
          <t>CW</t>
        </is>
      </c>
      <c r="D12" t="inlineStr">
        <is>
          <t>09:17</t>
        </is>
      </c>
      <c r="E12" t="n">
        <v>6</v>
      </c>
      <c r="F12" t="n">
        <v>-45.13</v>
      </c>
      <c r="G12" t="n">
        <v>-3.94</v>
      </c>
      <c r="H12" t="n">
        <v>-86.01000000000001</v>
      </c>
      <c r="I12" s="7">
        <f>F12*Summary!$B$5</f>
        <v/>
      </c>
      <c r="J12" s="7">
        <f>G12*Summary!$B$5</f>
        <v/>
      </c>
      <c r="K12" s="7">
        <f>H12*Summary!$B$5</f>
        <v/>
      </c>
    </row>
    <row r="13">
      <c r="A13" s="8" t="n">
        <v>44214</v>
      </c>
      <c r="B13" t="inlineStr">
        <is>
          <t>FY20-21</t>
        </is>
      </c>
      <c r="C13" t="inlineStr">
        <is>
          <t>CW</t>
        </is>
      </c>
      <c r="D13" t="inlineStr">
        <is>
          <t>09:18</t>
        </is>
      </c>
      <c r="E13" t="n">
        <v>4</v>
      </c>
      <c r="F13" t="n">
        <v>8.58</v>
      </c>
      <c r="G13" t="n">
        <v>4.64</v>
      </c>
      <c r="H13" t="n">
        <v>-77.43000000000001</v>
      </c>
      <c r="I13" s="7">
        <f>F13*Summary!$B$5</f>
        <v/>
      </c>
      <c r="J13" s="7">
        <f>G13*Summary!$B$5</f>
        <v/>
      </c>
      <c r="K13" s="7">
        <f>H13*Summary!$B$5</f>
        <v/>
      </c>
    </row>
    <row r="14">
      <c r="A14" s="8" t="n">
        <v>44215</v>
      </c>
      <c r="B14" t="inlineStr">
        <is>
          <t>FY20-21</t>
        </is>
      </c>
      <c r="C14" t="inlineStr">
        <is>
          <t>CW</t>
        </is>
      </c>
      <c r="D14" t="inlineStr">
        <is>
          <t>09:16</t>
        </is>
      </c>
      <c r="E14" t="n">
        <v>3</v>
      </c>
      <c r="F14" t="n">
        <v>43.05</v>
      </c>
      <c r="G14" t="n">
        <v>47.7</v>
      </c>
      <c r="H14" t="n">
        <v>-34.38</v>
      </c>
      <c r="I14" s="7">
        <f>F14*Summary!$B$5</f>
        <v/>
      </c>
      <c r="J14" s="7">
        <f>G14*Summary!$B$5</f>
        <v/>
      </c>
      <c r="K14" s="7">
        <f>H14*Summary!$B$5</f>
        <v/>
      </c>
    </row>
    <row r="15">
      <c r="A15" s="8" t="n">
        <v>44216</v>
      </c>
      <c r="B15" t="inlineStr">
        <is>
          <t>FY20-21</t>
        </is>
      </c>
      <c r="C15" t="inlineStr">
        <is>
          <t>CW</t>
        </is>
      </c>
      <c r="D15" t="inlineStr">
        <is>
          <t>09:17</t>
        </is>
      </c>
      <c r="E15" t="n">
        <v>2</v>
      </c>
      <c r="F15" t="n">
        <v>53.99</v>
      </c>
      <c r="G15" t="n">
        <v>101.69</v>
      </c>
      <c r="H15" t="n">
        <v>0</v>
      </c>
      <c r="I15" s="7">
        <f>F15*Summary!$B$5</f>
        <v/>
      </c>
      <c r="J15" s="7">
        <f>G15*Summary!$B$5</f>
        <v/>
      </c>
      <c r="K15" s="7">
        <f>H15*Summary!$B$5</f>
        <v/>
      </c>
    </row>
    <row r="16">
      <c r="A16" s="8" t="n">
        <v>44217</v>
      </c>
      <c r="B16" t="inlineStr">
        <is>
          <t>FY20-21</t>
        </is>
      </c>
      <c r="C16" t="inlineStr">
        <is>
          <t>CW</t>
        </is>
      </c>
      <c r="D16" t="inlineStr">
        <is>
          <t>09:16</t>
        </is>
      </c>
      <c r="E16" t="n">
        <v>1</v>
      </c>
      <c r="F16" t="n">
        <v>21.77</v>
      </c>
      <c r="G16" t="n">
        <v>123.46</v>
      </c>
      <c r="H16" t="n">
        <v>0</v>
      </c>
      <c r="I16" s="7">
        <f>F16*Summary!$B$5</f>
        <v/>
      </c>
      <c r="J16" s="7">
        <f>G16*Summary!$B$5</f>
        <v/>
      </c>
      <c r="K16" s="7">
        <f>H16*Summary!$B$5</f>
        <v/>
      </c>
    </row>
    <row r="17">
      <c r="A17" s="8" t="n">
        <v>44218</v>
      </c>
      <c r="B17" t="inlineStr">
        <is>
          <t>FY20-21</t>
        </is>
      </c>
      <c r="C17" t="inlineStr">
        <is>
          <t>CW</t>
        </is>
      </c>
      <c r="D17" t="inlineStr">
        <is>
          <t>11:18</t>
        </is>
      </c>
      <c r="E17" t="n">
        <v>6</v>
      </c>
      <c r="F17" t="n">
        <v>-35.66</v>
      </c>
      <c r="G17" t="n">
        <v>87.8</v>
      </c>
      <c r="H17" t="n">
        <v>-35.66</v>
      </c>
      <c r="I17" s="7">
        <f>F17*Summary!$B$5</f>
        <v/>
      </c>
      <c r="J17" s="7">
        <f>G17*Summary!$B$5</f>
        <v/>
      </c>
      <c r="K17" s="7">
        <f>H17*Summary!$B$5</f>
        <v/>
      </c>
    </row>
    <row r="18">
      <c r="A18" s="8" t="n">
        <v>44221</v>
      </c>
      <c r="B18" t="inlineStr">
        <is>
          <t>FY20-21</t>
        </is>
      </c>
      <c r="C18" t="inlineStr">
        <is>
          <t>n/a</t>
        </is>
      </c>
      <c r="D18" t="inlineStr"/>
      <c r="E18" t="n">
        <v>4</v>
      </c>
      <c r="F18" t="n">
        <v>-40.16</v>
      </c>
      <c r="G18" t="n">
        <v>47.64</v>
      </c>
      <c r="H18" t="n">
        <v>-75.81999999999999</v>
      </c>
      <c r="I18" s="7">
        <f>F18*Summary!$B$5</f>
        <v/>
      </c>
      <c r="J18" s="7">
        <f>G18*Summary!$B$5</f>
        <v/>
      </c>
      <c r="K18" s="7">
        <f>H18*Summary!$B$5</f>
        <v/>
      </c>
    </row>
    <row r="19">
      <c r="A19" s="8" t="n">
        <v>44223</v>
      </c>
      <c r="B19" t="inlineStr">
        <is>
          <t>FY20-21</t>
        </is>
      </c>
      <c r="C19" t="inlineStr">
        <is>
          <t>CW</t>
        </is>
      </c>
      <c r="D19" t="inlineStr">
        <is>
          <t>09:16</t>
        </is>
      </c>
      <c r="E19" t="n">
        <v>2</v>
      </c>
      <c r="F19" t="n">
        <v>67.06</v>
      </c>
      <c r="G19" t="n">
        <v>114.7</v>
      </c>
      <c r="H19" t="n">
        <v>-8.77</v>
      </c>
      <c r="I19" s="7">
        <f>F19*Summary!$B$5</f>
        <v/>
      </c>
      <c r="J19" s="7">
        <f>G19*Summary!$B$5</f>
        <v/>
      </c>
      <c r="K19" s="7">
        <f>H19*Summary!$B$5</f>
        <v/>
      </c>
    </row>
    <row r="20">
      <c r="A20" s="8" t="n">
        <v>44224</v>
      </c>
      <c r="B20" t="inlineStr">
        <is>
          <t>FY20-21</t>
        </is>
      </c>
      <c r="C20" t="inlineStr">
        <is>
          <t>CW</t>
        </is>
      </c>
      <c r="D20" t="inlineStr">
        <is>
          <t>09:16</t>
        </is>
      </c>
      <c r="E20" t="n">
        <v>1</v>
      </c>
      <c r="F20" t="n">
        <v>-45.7</v>
      </c>
      <c r="G20" t="n">
        <v>69</v>
      </c>
      <c r="H20" t="n">
        <v>-54.47</v>
      </c>
      <c r="I20" s="7">
        <f>F20*Summary!$B$5</f>
        <v/>
      </c>
      <c r="J20" s="7">
        <f>G20*Summary!$B$5</f>
        <v/>
      </c>
      <c r="K20" s="7">
        <f>H20*Summary!$B$5</f>
        <v/>
      </c>
    </row>
    <row r="21">
      <c r="A21" s="8" t="n">
        <v>44225</v>
      </c>
      <c r="B21" t="inlineStr">
        <is>
          <t>FY20-21</t>
        </is>
      </c>
      <c r="C21" t="inlineStr">
        <is>
          <t>CW</t>
        </is>
      </c>
      <c r="D21" t="inlineStr">
        <is>
          <t>09:16</t>
        </is>
      </c>
      <c r="E21" t="n">
        <v>6</v>
      </c>
      <c r="F21" t="n">
        <v>-42.99</v>
      </c>
      <c r="G21" t="n">
        <v>26</v>
      </c>
      <c r="H21" t="n">
        <v>-97.45999999999999</v>
      </c>
      <c r="I21" s="7">
        <f>F21*Summary!$B$5</f>
        <v/>
      </c>
      <c r="J21" s="7">
        <f>G21*Summary!$B$5</f>
        <v/>
      </c>
      <c r="K21" s="7">
        <f>H21*Summary!$B$5</f>
        <v/>
      </c>
    </row>
    <row r="22">
      <c r="A22" s="8" t="n">
        <v>44228</v>
      </c>
      <c r="B22" t="inlineStr">
        <is>
          <t>FY20-21</t>
        </is>
      </c>
      <c r="C22" t="inlineStr">
        <is>
          <t>CW</t>
        </is>
      </c>
      <c r="D22" t="inlineStr">
        <is>
          <t>09:18</t>
        </is>
      </c>
      <c r="E22" t="n">
        <v>4</v>
      </c>
      <c r="F22" t="n">
        <v>31.53</v>
      </c>
      <c r="G22" t="n">
        <v>57.53</v>
      </c>
      <c r="H22" t="n">
        <v>-65.93000000000001</v>
      </c>
      <c r="I22" s="7">
        <f>F22*Summary!$B$5</f>
        <v/>
      </c>
      <c r="J22" s="7">
        <f>G22*Summary!$B$5</f>
        <v/>
      </c>
      <c r="K22" s="7">
        <f>H22*Summary!$B$5</f>
        <v/>
      </c>
    </row>
    <row r="23">
      <c r="A23" s="8" t="n">
        <v>44229</v>
      </c>
      <c r="B23" t="inlineStr">
        <is>
          <t>FY20-21</t>
        </is>
      </c>
      <c r="C23" t="inlineStr"/>
      <c r="D23" t="inlineStr"/>
      <c r="E23" t="n">
        <v>0</v>
      </c>
      <c r="F23" t="n">
        <v>0</v>
      </c>
      <c r="G23" t="n">
        <v>57.53</v>
      </c>
      <c r="H23" t="n">
        <v>-65.93000000000001</v>
      </c>
      <c r="I23" s="7">
        <f>F23*Summary!$B$5</f>
        <v/>
      </c>
      <c r="J23" s="7">
        <f>G23*Summary!$B$5</f>
        <v/>
      </c>
      <c r="K23" s="7">
        <f>H23*Summary!$B$5</f>
        <v/>
      </c>
    </row>
    <row r="24">
      <c r="A24" s="8" t="n">
        <v>44230</v>
      </c>
      <c r="B24" t="inlineStr">
        <is>
          <t>FY20-21</t>
        </is>
      </c>
      <c r="C24" t="inlineStr">
        <is>
          <t>CW</t>
        </is>
      </c>
      <c r="D24" t="inlineStr">
        <is>
          <t>09:18</t>
        </is>
      </c>
      <c r="E24" t="n">
        <v>2</v>
      </c>
      <c r="F24" t="n">
        <v>8.84</v>
      </c>
      <c r="G24" t="n">
        <v>66.37</v>
      </c>
      <c r="H24" t="n">
        <v>-57.09</v>
      </c>
      <c r="I24" s="7">
        <f>F24*Summary!$B$5</f>
        <v/>
      </c>
      <c r="J24" s="7">
        <f>G24*Summary!$B$5</f>
        <v/>
      </c>
      <c r="K24" s="7">
        <f>H24*Summary!$B$5</f>
        <v/>
      </c>
    </row>
    <row r="25">
      <c r="A25" s="8" t="n">
        <v>44231</v>
      </c>
      <c r="B25" t="inlineStr">
        <is>
          <t>FY20-21</t>
        </is>
      </c>
      <c r="C25" t="inlineStr">
        <is>
          <t>CW</t>
        </is>
      </c>
      <c r="D25" t="inlineStr">
        <is>
          <t>09:16</t>
        </is>
      </c>
      <c r="E25" t="n">
        <v>1</v>
      </c>
      <c r="F25" t="n">
        <v>71.26000000000001</v>
      </c>
      <c r="G25" t="n">
        <v>137.63</v>
      </c>
      <c r="H25" t="n">
        <v>0</v>
      </c>
      <c r="I25" s="7">
        <f>F25*Summary!$B$5</f>
        <v/>
      </c>
      <c r="J25" s="7">
        <f>G25*Summary!$B$5</f>
        <v/>
      </c>
      <c r="K25" s="7">
        <f>H25*Summary!$B$5</f>
        <v/>
      </c>
    </row>
    <row r="26">
      <c r="A26" s="8" t="n">
        <v>44232</v>
      </c>
      <c r="B26" t="inlineStr">
        <is>
          <t>FY20-21</t>
        </is>
      </c>
      <c r="C26" t="inlineStr">
        <is>
          <t>CW</t>
        </is>
      </c>
      <c r="D26" t="inlineStr">
        <is>
          <t>09:17</t>
        </is>
      </c>
      <c r="E26" t="n">
        <v>6</v>
      </c>
      <c r="F26" t="n">
        <v>-36.53</v>
      </c>
      <c r="G26" t="n">
        <v>101.1</v>
      </c>
      <c r="H26" t="n">
        <v>-36.53</v>
      </c>
      <c r="I26" s="7">
        <f>F26*Summary!$B$5</f>
        <v/>
      </c>
      <c r="J26" s="7">
        <f>G26*Summary!$B$5</f>
        <v/>
      </c>
      <c r="K26" s="7">
        <f>H26*Summary!$B$5</f>
        <v/>
      </c>
    </row>
    <row r="27">
      <c r="A27" s="8" t="n">
        <v>44235</v>
      </c>
      <c r="B27" t="inlineStr">
        <is>
          <t>FY20-21</t>
        </is>
      </c>
      <c r="C27" t="inlineStr">
        <is>
          <t>CW</t>
        </is>
      </c>
      <c r="D27" t="inlineStr">
        <is>
          <t>09:16</t>
        </is>
      </c>
      <c r="E27" t="n">
        <v>4</v>
      </c>
      <c r="F27" t="n">
        <v>57.13</v>
      </c>
      <c r="G27" t="n">
        <v>158.23</v>
      </c>
      <c r="H27" t="n">
        <v>0</v>
      </c>
      <c r="I27" s="7">
        <f>F27*Summary!$B$5</f>
        <v/>
      </c>
      <c r="J27" s="7">
        <f>G27*Summary!$B$5</f>
        <v/>
      </c>
      <c r="K27" s="7">
        <f>H27*Summary!$B$5</f>
        <v/>
      </c>
    </row>
    <row r="28">
      <c r="A28" s="8" t="n">
        <v>44236</v>
      </c>
      <c r="B28" t="inlineStr">
        <is>
          <t>FY20-21</t>
        </is>
      </c>
      <c r="C28" t="inlineStr">
        <is>
          <t>CW</t>
        </is>
      </c>
      <c r="D28" t="inlineStr">
        <is>
          <t>09:16</t>
        </is>
      </c>
      <c r="E28" t="n">
        <v>3</v>
      </c>
      <c r="F28" t="n">
        <v>17.6</v>
      </c>
      <c r="G28" t="n">
        <v>175.83</v>
      </c>
      <c r="H28" t="n">
        <v>0</v>
      </c>
      <c r="I28" s="7">
        <f>F28*Summary!$B$5</f>
        <v/>
      </c>
      <c r="J28" s="7">
        <f>G28*Summary!$B$5</f>
        <v/>
      </c>
      <c r="K28" s="7">
        <f>H28*Summary!$B$5</f>
        <v/>
      </c>
    </row>
    <row r="29">
      <c r="A29" s="8" t="n">
        <v>44237</v>
      </c>
      <c r="B29" t="inlineStr">
        <is>
          <t>FY20-21</t>
        </is>
      </c>
      <c r="C29" t="inlineStr">
        <is>
          <t>NW</t>
        </is>
      </c>
      <c r="D29" t="inlineStr"/>
      <c r="E29" t="n">
        <v>2</v>
      </c>
      <c r="F29" t="n">
        <v>42.73</v>
      </c>
      <c r="G29" t="n">
        <v>218.56</v>
      </c>
      <c r="H29" t="n">
        <v>0</v>
      </c>
      <c r="I29" s="7">
        <f>F29*Summary!$B$5</f>
        <v/>
      </c>
      <c r="J29" s="7">
        <f>G29*Summary!$B$5</f>
        <v/>
      </c>
      <c r="K29" s="7">
        <f>H29*Summary!$B$5</f>
        <v/>
      </c>
    </row>
    <row r="30">
      <c r="A30" s="8" t="n">
        <v>44238</v>
      </c>
      <c r="B30" t="inlineStr">
        <is>
          <t>FY20-21</t>
        </is>
      </c>
      <c r="C30" t="inlineStr">
        <is>
          <t>CW</t>
        </is>
      </c>
      <c r="D30" t="inlineStr">
        <is>
          <t>09:16</t>
        </is>
      </c>
      <c r="E30" t="n">
        <v>1</v>
      </c>
      <c r="F30" t="n">
        <v>66.39</v>
      </c>
      <c r="G30" t="n">
        <v>284.95</v>
      </c>
      <c r="H30" t="n">
        <v>0</v>
      </c>
      <c r="I30" s="7">
        <f>F30*Summary!$B$5</f>
        <v/>
      </c>
      <c r="J30" s="7">
        <f>G30*Summary!$B$5</f>
        <v/>
      </c>
      <c r="K30" s="7">
        <f>H30*Summary!$B$5</f>
        <v/>
      </c>
    </row>
    <row r="31">
      <c r="A31" s="8" t="n">
        <v>44239</v>
      </c>
      <c r="B31" t="inlineStr">
        <is>
          <t>FY20-21</t>
        </is>
      </c>
      <c r="C31" t="inlineStr">
        <is>
          <t>CW</t>
        </is>
      </c>
      <c r="D31" t="inlineStr">
        <is>
          <t>09:18</t>
        </is>
      </c>
      <c r="E31" t="n">
        <v>6</v>
      </c>
      <c r="F31" t="n">
        <v>35.96</v>
      </c>
      <c r="G31" t="n">
        <v>320.91</v>
      </c>
      <c r="H31" t="n">
        <v>0</v>
      </c>
      <c r="I31" s="7">
        <f>F31*Summary!$B$5</f>
        <v/>
      </c>
      <c r="J31" s="7">
        <f>G31*Summary!$B$5</f>
        <v/>
      </c>
      <c r="K31" s="7">
        <f>H31*Summary!$B$5</f>
        <v/>
      </c>
    </row>
    <row r="32">
      <c r="A32" s="8" t="n">
        <v>44242</v>
      </c>
      <c r="B32" t="inlineStr">
        <is>
          <t>FY20-21</t>
        </is>
      </c>
      <c r="C32" t="inlineStr"/>
      <c r="D32" t="inlineStr"/>
      <c r="E32" t="n">
        <v>0</v>
      </c>
      <c r="F32" t="n">
        <v>0</v>
      </c>
      <c r="G32" t="n">
        <v>320.91</v>
      </c>
      <c r="H32" t="n">
        <v>0</v>
      </c>
      <c r="I32" s="7">
        <f>F32*Summary!$B$5</f>
        <v/>
      </c>
      <c r="J32" s="7">
        <f>G32*Summary!$B$5</f>
        <v/>
      </c>
      <c r="K32" s="7">
        <f>H32*Summary!$B$5</f>
        <v/>
      </c>
    </row>
    <row r="33">
      <c r="A33" s="8" t="n">
        <v>44243</v>
      </c>
      <c r="B33" t="inlineStr">
        <is>
          <t>FY20-21</t>
        </is>
      </c>
      <c r="C33" t="inlineStr">
        <is>
          <t>CW</t>
        </is>
      </c>
      <c r="D33" t="inlineStr">
        <is>
          <t>09:18</t>
        </is>
      </c>
      <c r="E33" t="n">
        <v>3</v>
      </c>
      <c r="F33" t="n">
        <v>6.29</v>
      </c>
      <c r="G33" t="n">
        <v>327.2</v>
      </c>
      <c r="H33" t="n">
        <v>0</v>
      </c>
      <c r="I33" s="7">
        <f>F33*Summary!$B$5</f>
        <v/>
      </c>
      <c r="J33" s="7">
        <f>G33*Summary!$B$5</f>
        <v/>
      </c>
      <c r="K33" s="7">
        <f>H33*Summary!$B$5</f>
        <v/>
      </c>
    </row>
    <row r="34">
      <c r="A34" s="8" t="n">
        <v>44244</v>
      </c>
      <c r="B34" t="inlineStr">
        <is>
          <t>FY20-21</t>
        </is>
      </c>
      <c r="C34" t="inlineStr">
        <is>
          <t>CW</t>
        </is>
      </c>
      <c r="D34" t="inlineStr">
        <is>
          <t>09:17</t>
        </is>
      </c>
      <c r="E34" t="n">
        <v>2</v>
      </c>
      <c r="F34" t="n">
        <v>-46.02</v>
      </c>
      <c r="G34" t="n">
        <v>281.18</v>
      </c>
      <c r="H34" t="n">
        <v>-46.02</v>
      </c>
      <c r="I34" s="7">
        <f>F34*Summary!$B$5</f>
        <v/>
      </c>
      <c r="J34" s="7">
        <f>G34*Summary!$B$5</f>
        <v/>
      </c>
      <c r="K34" s="7">
        <f>H34*Summary!$B$5</f>
        <v/>
      </c>
    </row>
    <row r="35">
      <c r="A35" s="8" t="n">
        <v>44245</v>
      </c>
      <c r="B35" t="inlineStr">
        <is>
          <t>FY20-21</t>
        </is>
      </c>
      <c r="C35" t="inlineStr">
        <is>
          <t>CW</t>
        </is>
      </c>
      <c r="D35" t="inlineStr">
        <is>
          <t>09:17</t>
        </is>
      </c>
      <c r="E35" t="n">
        <v>1</v>
      </c>
      <c r="F35" t="n">
        <v>49.19</v>
      </c>
      <c r="G35" t="n">
        <v>330.37</v>
      </c>
      <c r="H35" t="n">
        <v>0</v>
      </c>
      <c r="I35" s="7">
        <f>F35*Summary!$B$5</f>
        <v/>
      </c>
      <c r="J35" s="7">
        <f>G35*Summary!$B$5</f>
        <v/>
      </c>
      <c r="K35" s="7">
        <f>H35*Summary!$B$5</f>
        <v/>
      </c>
    </row>
    <row r="36">
      <c r="A36" s="8" t="n">
        <v>44246</v>
      </c>
      <c r="B36" t="inlineStr">
        <is>
          <t>FY20-21</t>
        </is>
      </c>
      <c r="C36" t="inlineStr">
        <is>
          <t>CW</t>
        </is>
      </c>
      <c r="D36" t="inlineStr">
        <is>
          <t>09:16</t>
        </is>
      </c>
      <c r="E36" t="n">
        <v>6</v>
      </c>
      <c r="F36" t="n">
        <v>-32.72</v>
      </c>
      <c r="G36" t="n">
        <v>297.66</v>
      </c>
      <c r="H36" t="n">
        <v>-32.72</v>
      </c>
      <c r="I36" s="7">
        <f>F36*Summary!$B$5</f>
        <v/>
      </c>
      <c r="J36" s="7">
        <f>G36*Summary!$B$5</f>
        <v/>
      </c>
      <c r="K36" s="7">
        <f>H36*Summary!$B$5</f>
        <v/>
      </c>
    </row>
    <row r="37">
      <c r="A37" s="8" t="n">
        <v>44249</v>
      </c>
      <c r="B37" t="inlineStr">
        <is>
          <t>FY20-21</t>
        </is>
      </c>
      <c r="C37" t="inlineStr">
        <is>
          <t>CW</t>
        </is>
      </c>
      <c r="D37" t="inlineStr">
        <is>
          <t>09:16</t>
        </is>
      </c>
      <c r="E37" t="n">
        <v>4</v>
      </c>
      <c r="F37" t="n">
        <v>-37.26</v>
      </c>
      <c r="G37" t="n">
        <v>260.39</v>
      </c>
      <c r="H37" t="n">
        <v>-69.98</v>
      </c>
      <c r="I37" s="7">
        <f>F37*Summary!$B$5</f>
        <v/>
      </c>
      <c r="J37" s="7">
        <f>G37*Summary!$B$5</f>
        <v/>
      </c>
      <c r="K37" s="7">
        <f>H37*Summary!$B$5</f>
        <v/>
      </c>
    </row>
    <row r="38">
      <c r="A38" s="8" t="n">
        <v>44250</v>
      </c>
      <c r="B38" t="inlineStr">
        <is>
          <t>FY20-21</t>
        </is>
      </c>
      <c r="C38" t="inlineStr">
        <is>
          <t>n/a</t>
        </is>
      </c>
      <c r="D38" t="inlineStr"/>
      <c r="E38" t="n">
        <v>3</v>
      </c>
      <c r="F38" t="n">
        <v>9.51</v>
      </c>
      <c r="G38" t="n">
        <v>269.91</v>
      </c>
      <c r="H38" t="n">
        <v>-60.47</v>
      </c>
      <c r="I38" s="7">
        <f>F38*Summary!$B$5</f>
        <v/>
      </c>
      <c r="J38" s="7">
        <f>G38*Summary!$B$5</f>
        <v/>
      </c>
      <c r="K38" s="7">
        <f>H38*Summary!$B$5</f>
        <v/>
      </c>
    </row>
    <row r="39">
      <c r="A39" s="8" t="n">
        <v>44251</v>
      </c>
      <c r="B39" t="inlineStr">
        <is>
          <t>FY20-21</t>
        </is>
      </c>
      <c r="C39" t="inlineStr">
        <is>
          <t>CW</t>
        </is>
      </c>
      <c r="D39" t="inlineStr">
        <is>
          <t>09:16</t>
        </is>
      </c>
      <c r="E39" t="n">
        <v>2</v>
      </c>
      <c r="F39" t="n">
        <v>279.44</v>
      </c>
      <c r="G39" t="n">
        <v>549.34</v>
      </c>
      <c r="H39" t="n">
        <v>0</v>
      </c>
      <c r="I39" s="7">
        <f>F39*Summary!$B$5</f>
        <v/>
      </c>
      <c r="J39" s="7">
        <f>G39*Summary!$B$5</f>
        <v/>
      </c>
      <c r="K39" s="7">
        <f>H39*Summary!$B$5</f>
        <v/>
      </c>
    </row>
    <row r="40">
      <c r="A40" s="8" t="n">
        <v>44252</v>
      </c>
      <c r="B40" t="inlineStr">
        <is>
          <t>FY20-21</t>
        </is>
      </c>
      <c r="C40" t="inlineStr">
        <is>
          <t>CW</t>
        </is>
      </c>
      <c r="D40" t="inlineStr">
        <is>
          <t>09:16</t>
        </is>
      </c>
      <c r="E40" t="n">
        <v>1</v>
      </c>
      <c r="F40" t="n">
        <v>28.39</v>
      </c>
      <c r="G40" t="n">
        <v>577.73</v>
      </c>
      <c r="H40" t="n">
        <v>0</v>
      </c>
      <c r="I40" s="7">
        <f>F40*Summary!$B$5</f>
        <v/>
      </c>
      <c r="J40" s="7">
        <f>G40*Summary!$B$5</f>
        <v/>
      </c>
      <c r="K40" s="7">
        <f>H40*Summary!$B$5</f>
        <v/>
      </c>
    </row>
    <row r="41">
      <c r="A41" s="8" t="n">
        <v>44253</v>
      </c>
      <c r="B41" t="inlineStr">
        <is>
          <t>FY20-21</t>
        </is>
      </c>
      <c r="C41" t="inlineStr">
        <is>
          <t>CW</t>
        </is>
      </c>
      <c r="D41" t="inlineStr">
        <is>
          <t>09:17</t>
        </is>
      </c>
      <c r="E41" t="n">
        <v>6</v>
      </c>
      <c r="F41" t="n">
        <v>-37.3</v>
      </c>
      <c r="G41" t="n">
        <v>540.4299999999999</v>
      </c>
      <c r="H41" t="n">
        <v>-37.3</v>
      </c>
      <c r="I41" s="7">
        <f>F41*Summary!$B$5</f>
        <v/>
      </c>
      <c r="J41" s="7">
        <f>G41*Summary!$B$5</f>
        <v/>
      </c>
      <c r="K41" s="7">
        <f>H41*Summary!$B$5</f>
        <v/>
      </c>
    </row>
    <row r="42">
      <c r="A42" s="8" t="n">
        <v>44256</v>
      </c>
      <c r="B42" t="inlineStr">
        <is>
          <t>FY20-21</t>
        </is>
      </c>
      <c r="C42" t="inlineStr">
        <is>
          <t>n/a</t>
        </is>
      </c>
      <c r="D42" t="inlineStr"/>
      <c r="E42" t="n">
        <v>0</v>
      </c>
      <c r="F42" t="n">
        <v>67.64</v>
      </c>
      <c r="G42" t="n">
        <v>608.08</v>
      </c>
      <c r="H42" t="n">
        <v>0</v>
      </c>
      <c r="I42" s="7">
        <f>F42*Summary!$B$5</f>
        <v/>
      </c>
      <c r="J42" s="7">
        <f>G42*Summary!$B$5</f>
        <v/>
      </c>
      <c r="K42" s="7">
        <f>H42*Summary!$B$5</f>
        <v/>
      </c>
    </row>
    <row r="43">
      <c r="A43" s="8" t="n">
        <v>44257</v>
      </c>
      <c r="B43" t="inlineStr">
        <is>
          <t>FY20-21</t>
        </is>
      </c>
      <c r="C43" t="inlineStr">
        <is>
          <t>CW</t>
        </is>
      </c>
      <c r="D43" t="inlineStr">
        <is>
          <t>09:16</t>
        </is>
      </c>
      <c r="E43" t="n">
        <v>3</v>
      </c>
      <c r="F43" t="n">
        <v>76.33</v>
      </c>
      <c r="G43" t="n">
        <v>684.41</v>
      </c>
      <c r="H43" t="n">
        <v>0</v>
      </c>
      <c r="I43" s="7">
        <f>F43*Summary!$B$5</f>
        <v/>
      </c>
      <c r="J43" s="7">
        <f>G43*Summary!$B$5</f>
        <v/>
      </c>
      <c r="K43" s="7">
        <f>H43*Summary!$B$5</f>
        <v/>
      </c>
    </row>
    <row r="44">
      <c r="A44" s="8" t="n">
        <v>44258</v>
      </c>
      <c r="B44" t="inlineStr">
        <is>
          <t>FY20-21</t>
        </is>
      </c>
      <c r="C44" t="inlineStr">
        <is>
          <t>NW</t>
        </is>
      </c>
      <c r="D44" t="inlineStr"/>
      <c r="E44" t="n">
        <v>0</v>
      </c>
      <c r="F44" t="n">
        <v>-39.63</v>
      </c>
      <c r="G44" t="n">
        <v>644.77</v>
      </c>
      <c r="H44" t="n">
        <v>-39.63</v>
      </c>
      <c r="I44" s="7">
        <f>F44*Summary!$B$5</f>
        <v/>
      </c>
      <c r="J44" s="7">
        <f>G44*Summary!$B$5</f>
        <v/>
      </c>
      <c r="K44" s="7">
        <f>H44*Summary!$B$5</f>
        <v/>
      </c>
    </row>
    <row r="45">
      <c r="A45" s="8" t="n">
        <v>44259</v>
      </c>
      <c r="B45" t="inlineStr">
        <is>
          <t>FY20-21</t>
        </is>
      </c>
      <c r="C45" t="inlineStr">
        <is>
          <t>CW</t>
        </is>
      </c>
      <c r="D45" t="inlineStr">
        <is>
          <t>09:17</t>
        </is>
      </c>
      <c r="E45" t="n">
        <v>1</v>
      </c>
      <c r="F45" t="n">
        <v>-1.28</v>
      </c>
      <c r="G45" t="n">
        <v>643.49</v>
      </c>
      <c r="H45" t="n">
        <v>-40.92</v>
      </c>
      <c r="I45" s="7">
        <f>F45*Summary!$B$5</f>
        <v/>
      </c>
      <c r="J45" s="7">
        <f>G45*Summary!$B$5</f>
        <v/>
      </c>
      <c r="K45" s="7">
        <f>H45*Summary!$B$5</f>
        <v/>
      </c>
    </row>
    <row r="46">
      <c r="A46" s="8" t="n">
        <v>44260</v>
      </c>
      <c r="B46" t="inlineStr">
        <is>
          <t>FY20-21</t>
        </is>
      </c>
      <c r="C46" t="inlineStr">
        <is>
          <t>CW</t>
        </is>
      </c>
      <c r="D46" t="inlineStr">
        <is>
          <t>09:16</t>
        </is>
      </c>
      <c r="E46" t="n">
        <v>5</v>
      </c>
      <c r="F46" t="n">
        <v>50.49</v>
      </c>
      <c r="G46" t="n">
        <v>693.98</v>
      </c>
      <c r="H46" t="n">
        <v>0</v>
      </c>
      <c r="I46" s="7">
        <f>F46*Summary!$B$5</f>
        <v/>
      </c>
      <c r="J46" s="7">
        <f>G46*Summary!$B$5</f>
        <v/>
      </c>
      <c r="K46" s="7">
        <f>H46*Summary!$B$5</f>
        <v/>
      </c>
    </row>
    <row r="47">
      <c r="A47" s="8" t="n">
        <v>44263</v>
      </c>
      <c r="B47" t="inlineStr">
        <is>
          <t>FY20-21</t>
        </is>
      </c>
      <c r="C47" t="inlineStr">
        <is>
          <t>CW</t>
        </is>
      </c>
      <c r="D47" t="inlineStr">
        <is>
          <t>09:16</t>
        </is>
      </c>
      <c r="E47" t="n">
        <v>3</v>
      </c>
      <c r="F47" t="n">
        <v>46.18</v>
      </c>
      <c r="G47" t="n">
        <v>740.16</v>
      </c>
      <c r="H47" t="n">
        <v>0</v>
      </c>
      <c r="I47" s="7">
        <f>F47*Summary!$B$5</f>
        <v/>
      </c>
      <c r="J47" s="7">
        <f>G47*Summary!$B$5</f>
        <v/>
      </c>
      <c r="K47" s="7">
        <f>H47*Summary!$B$5</f>
        <v/>
      </c>
    </row>
    <row r="48">
      <c r="A48" s="8" t="n">
        <v>44264</v>
      </c>
      <c r="B48" t="inlineStr">
        <is>
          <t>FY20-21</t>
        </is>
      </c>
      <c r="C48" t="inlineStr">
        <is>
          <t>CW</t>
        </is>
      </c>
      <c r="D48" t="inlineStr">
        <is>
          <t>09:17</t>
        </is>
      </c>
      <c r="E48" t="n">
        <v>2</v>
      </c>
      <c r="F48" t="n">
        <v>26.45</v>
      </c>
      <c r="G48" t="n">
        <v>766.62</v>
      </c>
      <c r="H48" t="n">
        <v>0</v>
      </c>
      <c r="I48" s="7">
        <f>F48*Summary!$B$5</f>
        <v/>
      </c>
      <c r="J48" s="7">
        <f>G48*Summary!$B$5</f>
        <v/>
      </c>
      <c r="K48" s="7">
        <f>H48*Summary!$B$5</f>
        <v/>
      </c>
    </row>
    <row r="49">
      <c r="A49" s="8" t="n">
        <v>44265</v>
      </c>
      <c r="B49" t="inlineStr">
        <is>
          <t>FY20-21</t>
        </is>
      </c>
      <c r="C49" t="inlineStr">
        <is>
          <t>CW</t>
        </is>
      </c>
      <c r="D49" t="inlineStr">
        <is>
          <t>09:18</t>
        </is>
      </c>
      <c r="E49" t="n">
        <v>1</v>
      </c>
      <c r="F49" t="n">
        <v>42.95</v>
      </c>
      <c r="G49" t="n">
        <v>809.5700000000001</v>
      </c>
      <c r="H49" t="n">
        <v>0</v>
      </c>
      <c r="I49" s="7">
        <f>F49*Summary!$B$5</f>
        <v/>
      </c>
      <c r="J49" s="7">
        <f>G49*Summary!$B$5</f>
        <v/>
      </c>
      <c r="K49" s="7">
        <f>H49*Summary!$B$5</f>
        <v/>
      </c>
    </row>
    <row r="50">
      <c r="A50" s="8" t="n">
        <v>44267</v>
      </c>
      <c r="B50" t="inlineStr">
        <is>
          <t>FY20-21</t>
        </is>
      </c>
      <c r="C50" t="inlineStr"/>
      <c r="D50" t="inlineStr"/>
      <c r="E50" t="n">
        <v>0</v>
      </c>
      <c r="F50" t="n">
        <v>0</v>
      </c>
      <c r="G50" t="n">
        <v>809.5700000000001</v>
      </c>
      <c r="H50" t="n">
        <v>0</v>
      </c>
      <c r="I50" s="7">
        <f>F50*Summary!$B$5</f>
        <v/>
      </c>
      <c r="J50" s="7">
        <f>G50*Summary!$B$5</f>
        <v/>
      </c>
      <c r="K50" s="7">
        <f>H50*Summary!$B$5</f>
        <v/>
      </c>
    </row>
    <row r="51">
      <c r="A51" s="8" t="n">
        <v>44270</v>
      </c>
      <c r="B51" t="inlineStr">
        <is>
          <t>FY20-21</t>
        </is>
      </c>
      <c r="C51" t="inlineStr"/>
      <c r="D51" t="inlineStr"/>
      <c r="E51" t="n">
        <v>0</v>
      </c>
      <c r="F51" t="n">
        <v>0</v>
      </c>
      <c r="G51" t="n">
        <v>809.5700000000001</v>
      </c>
      <c r="H51" t="n">
        <v>0</v>
      </c>
      <c r="I51" s="7">
        <f>F51*Summary!$B$5</f>
        <v/>
      </c>
      <c r="J51" s="7">
        <f>G51*Summary!$B$5</f>
        <v/>
      </c>
      <c r="K51" s="7">
        <f>H51*Summary!$B$5</f>
        <v/>
      </c>
    </row>
    <row r="52">
      <c r="A52" s="8" t="n">
        <v>44271</v>
      </c>
      <c r="B52" t="inlineStr">
        <is>
          <t>FY20-21</t>
        </is>
      </c>
      <c r="C52" t="inlineStr">
        <is>
          <t>CW</t>
        </is>
      </c>
      <c r="D52" t="inlineStr">
        <is>
          <t>09:17</t>
        </is>
      </c>
      <c r="E52" t="n">
        <v>3</v>
      </c>
      <c r="F52" t="n">
        <v>23.32</v>
      </c>
      <c r="G52" t="n">
        <v>832.89</v>
      </c>
      <c r="H52" t="n">
        <v>0</v>
      </c>
      <c r="I52" s="7">
        <f>F52*Summary!$B$5</f>
        <v/>
      </c>
      <c r="J52" s="7">
        <f>G52*Summary!$B$5</f>
        <v/>
      </c>
      <c r="K52" s="7">
        <f>H52*Summary!$B$5</f>
        <v/>
      </c>
    </row>
    <row r="53">
      <c r="A53" s="8" t="n">
        <v>44272</v>
      </c>
      <c r="B53" t="inlineStr">
        <is>
          <t>FY20-21</t>
        </is>
      </c>
      <c r="C53" t="inlineStr">
        <is>
          <t>CW</t>
        </is>
      </c>
      <c r="D53" t="inlineStr">
        <is>
          <t>09:16</t>
        </is>
      </c>
      <c r="E53" t="n">
        <v>2</v>
      </c>
      <c r="F53" t="n">
        <v>36.31</v>
      </c>
      <c r="G53" t="n">
        <v>869.2</v>
      </c>
      <c r="H53" t="n">
        <v>0</v>
      </c>
      <c r="I53" s="7">
        <f>F53*Summary!$B$5</f>
        <v/>
      </c>
      <c r="J53" s="7">
        <f>G53*Summary!$B$5</f>
        <v/>
      </c>
      <c r="K53" s="7">
        <f>H53*Summary!$B$5</f>
        <v/>
      </c>
    </row>
    <row r="54">
      <c r="A54" s="8" t="n">
        <v>44273</v>
      </c>
      <c r="B54" t="inlineStr">
        <is>
          <t>FY20-21</t>
        </is>
      </c>
      <c r="C54" t="inlineStr">
        <is>
          <t>CW</t>
        </is>
      </c>
      <c r="D54" t="inlineStr">
        <is>
          <t>09:16</t>
        </is>
      </c>
      <c r="E54" t="n">
        <v>1</v>
      </c>
      <c r="F54" t="n">
        <v>66.86</v>
      </c>
      <c r="G54" t="n">
        <v>936.0599999999999</v>
      </c>
      <c r="H54" t="n">
        <v>0</v>
      </c>
      <c r="I54" s="7">
        <f>F54*Summary!$B$5</f>
        <v/>
      </c>
      <c r="J54" s="7">
        <f>G54*Summary!$B$5</f>
        <v/>
      </c>
      <c r="K54" s="7">
        <f>H54*Summary!$B$5</f>
        <v/>
      </c>
    </row>
    <row r="55">
      <c r="A55" s="8" t="n">
        <v>44274</v>
      </c>
      <c r="B55" t="inlineStr">
        <is>
          <t>FY20-21</t>
        </is>
      </c>
      <c r="C55" t="inlineStr">
        <is>
          <t>CW</t>
        </is>
      </c>
      <c r="D55" t="inlineStr">
        <is>
          <t>09:16</t>
        </is>
      </c>
      <c r="E55" t="n">
        <v>6</v>
      </c>
      <c r="F55" t="n">
        <v>-33.85</v>
      </c>
      <c r="G55" t="n">
        <v>902.21</v>
      </c>
      <c r="H55" t="n">
        <v>-33.85</v>
      </c>
      <c r="I55" s="7">
        <f>F55*Summary!$B$5</f>
        <v/>
      </c>
      <c r="J55" s="7">
        <f>G55*Summary!$B$5</f>
        <v/>
      </c>
      <c r="K55" s="7">
        <f>H55*Summary!$B$5</f>
        <v/>
      </c>
    </row>
    <row r="56">
      <c r="A56" s="8" t="n">
        <v>44277</v>
      </c>
      <c r="B56" t="inlineStr">
        <is>
          <t>FY20-21</t>
        </is>
      </c>
      <c r="C56" t="inlineStr">
        <is>
          <t>CW</t>
        </is>
      </c>
      <c r="D56" t="inlineStr">
        <is>
          <t>09:16</t>
        </is>
      </c>
      <c r="E56" t="n">
        <v>4</v>
      </c>
      <c r="F56" t="n">
        <v>38.73</v>
      </c>
      <c r="G56" t="n">
        <v>940.95</v>
      </c>
      <c r="H56" t="n">
        <v>0</v>
      </c>
      <c r="I56" s="7">
        <f>F56*Summary!$B$5</f>
        <v/>
      </c>
      <c r="J56" s="7">
        <f>G56*Summary!$B$5</f>
        <v/>
      </c>
      <c r="K56" s="7">
        <f>H56*Summary!$B$5</f>
        <v/>
      </c>
    </row>
    <row r="57">
      <c r="A57" s="8" t="n">
        <v>44278</v>
      </c>
      <c r="B57" t="inlineStr">
        <is>
          <t>FY20-21</t>
        </is>
      </c>
      <c r="C57" t="inlineStr">
        <is>
          <t>CW</t>
        </is>
      </c>
      <c r="D57" t="inlineStr">
        <is>
          <t>09:16</t>
        </is>
      </c>
      <c r="E57" t="n">
        <v>3</v>
      </c>
      <c r="F57" t="n">
        <v>36.33</v>
      </c>
      <c r="G57" t="n">
        <v>977.27</v>
      </c>
      <c r="H57" t="n">
        <v>0</v>
      </c>
      <c r="I57" s="7">
        <f>F57*Summary!$B$5</f>
        <v/>
      </c>
      <c r="J57" s="7">
        <f>G57*Summary!$B$5</f>
        <v/>
      </c>
      <c r="K57" s="7">
        <f>H57*Summary!$B$5</f>
        <v/>
      </c>
    </row>
    <row r="58">
      <c r="A58" s="8" t="n">
        <v>44279</v>
      </c>
      <c r="B58" t="inlineStr">
        <is>
          <t>FY20-21</t>
        </is>
      </c>
      <c r="C58" t="inlineStr">
        <is>
          <t>CW</t>
        </is>
      </c>
      <c r="D58" t="inlineStr">
        <is>
          <t>09:16</t>
        </is>
      </c>
      <c r="E58" t="n">
        <v>2</v>
      </c>
      <c r="F58" t="n">
        <v>-37.22</v>
      </c>
      <c r="G58" t="n">
        <v>940.05</v>
      </c>
      <c r="H58" t="n">
        <v>-37.22</v>
      </c>
      <c r="I58" s="7">
        <f>F58*Summary!$B$5</f>
        <v/>
      </c>
      <c r="J58" s="7">
        <f>G58*Summary!$B$5</f>
        <v/>
      </c>
      <c r="K58" s="7">
        <f>H58*Summary!$B$5</f>
        <v/>
      </c>
    </row>
    <row r="59">
      <c r="A59" s="8" t="n">
        <v>44280</v>
      </c>
      <c r="B59" t="inlineStr">
        <is>
          <t>FY20-21</t>
        </is>
      </c>
      <c r="C59" t="inlineStr">
        <is>
          <t>CW</t>
        </is>
      </c>
      <c r="D59" t="inlineStr">
        <is>
          <t>09:16</t>
        </is>
      </c>
      <c r="E59" t="n">
        <v>1</v>
      </c>
      <c r="F59" t="n">
        <v>-36.45</v>
      </c>
      <c r="G59" t="n">
        <v>903.6</v>
      </c>
      <c r="H59" t="n">
        <v>-73.67</v>
      </c>
      <c r="I59" s="7">
        <f>F59*Summary!$B$5</f>
        <v/>
      </c>
      <c r="J59" s="7">
        <f>G59*Summary!$B$5</f>
        <v/>
      </c>
      <c r="K59" s="7">
        <f>H59*Summary!$B$5</f>
        <v/>
      </c>
    </row>
    <row r="60">
      <c r="A60" s="8" t="n">
        <v>44281</v>
      </c>
      <c r="B60" t="inlineStr">
        <is>
          <t>FY20-21</t>
        </is>
      </c>
      <c r="C60" t="inlineStr">
        <is>
          <t>CW</t>
        </is>
      </c>
      <c r="D60" t="inlineStr">
        <is>
          <t>09:16</t>
        </is>
      </c>
      <c r="E60" t="n">
        <v>6</v>
      </c>
      <c r="F60" t="n">
        <v>41.69</v>
      </c>
      <c r="G60" t="n">
        <v>945.29</v>
      </c>
      <c r="H60" t="n">
        <v>-31.98</v>
      </c>
      <c r="I60" s="7">
        <f>F60*Summary!$B$5</f>
        <v/>
      </c>
      <c r="J60" s="7">
        <f>G60*Summary!$B$5</f>
        <v/>
      </c>
      <c r="K60" s="7">
        <f>H60*Summary!$B$5</f>
        <v/>
      </c>
    </row>
    <row r="61">
      <c r="A61" s="8" t="n">
        <v>44285</v>
      </c>
      <c r="B61" t="inlineStr">
        <is>
          <t>FY20-21</t>
        </is>
      </c>
      <c r="C61" t="inlineStr"/>
      <c r="D61" t="inlineStr"/>
      <c r="E61" t="n">
        <v>0</v>
      </c>
      <c r="F61" t="n">
        <v>0</v>
      </c>
      <c r="G61" t="n">
        <v>945.29</v>
      </c>
      <c r="H61" t="n">
        <v>-31.98</v>
      </c>
      <c r="I61" s="7">
        <f>F61*Summary!$B$5</f>
        <v/>
      </c>
      <c r="J61" s="7">
        <f>G61*Summary!$B$5</f>
        <v/>
      </c>
      <c r="K61" s="7">
        <f>H61*Summary!$B$5</f>
        <v/>
      </c>
    </row>
    <row r="62">
      <c r="A62" s="8" t="n">
        <v>44286</v>
      </c>
      <c r="B62" t="inlineStr">
        <is>
          <t>FY20-21</t>
        </is>
      </c>
      <c r="C62" t="inlineStr">
        <is>
          <t>CW</t>
        </is>
      </c>
      <c r="D62" t="inlineStr">
        <is>
          <t>09:16</t>
        </is>
      </c>
      <c r="E62" t="n">
        <v>2</v>
      </c>
      <c r="F62" t="n">
        <v>52.1</v>
      </c>
      <c r="G62" t="n">
        <v>997.38</v>
      </c>
      <c r="H62" t="n">
        <v>0</v>
      </c>
      <c r="I62" s="7">
        <f>F62*Summary!$B$5</f>
        <v/>
      </c>
      <c r="J62" s="7">
        <f>G62*Summary!$B$5</f>
        <v/>
      </c>
      <c r="K62" s="7">
        <f>H62*Summary!$B$5</f>
        <v/>
      </c>
    </row>
    <row r="63">
      <c r="A63" s="8" t="n">
        <v>44287</v>
      </c>
      <c r="B63" t="inlineStr">
        <is>
          <t>FY21-22</t>
        </is>
      </c>
      <c r="C63" t="inlineStr">
        <is>
          <t>CW</t>
        </is>
      </c>
      <c r="D63" t="inlineStr">
        <is>
          <t>09:16</t>
        </is>
      </c>
      <c r="E63" t="n">
        <v>1</v>
      </c>
      <c r="F63" t="n">
        <v>62.01</v>
      </c>
      <c r="G63" t="n">
        <v>1059.39</v>
      </c>
      <c r="H63" t="n">
        <v>0</v>
      </c>
      <c r="I63" s="7">
        <f>F63*Summary!$B$5</f>
        <v/>
      </c>
      <c r="J63" s="7">
        <f>G63*Summary!$B$5</f>
        <v/>
      </c>
      <c r="K63" s="7">
        <f>H63*Summary!$B$5</f>
        <v/>
      </c>
    </row>
    <row r="64">
      <c r="A64" s="8" t="n">
        <v>44291</v>
      </c>
      <c r="B64" t="inlineStr">
        <is>
          <t>FY21-22</t>
        </is>
      </c>
      <c r="C64" t="inlineStr">
        <is>
          <t>CW</t>
        </is>
      </c>
      <c r="D64" t="inlineStr">
        <is>
          <t>09:17</t>
        </is>
      </c>
      <c r="E64" t="n">
        <v>4</v>
      </c>
      <c r="F64" t="n">
        <v>-29.48</v>
      </c>
      <c r="G64" t="n">
        <v>1029.91</v>
      </c>
      <c r="H64" t="n">
        <v>-29.48</v>
      </c>
      <c r="I64" s="7">
        <f>F64*Summary!$B$5</f>
        <v/>
      </c>
      <c r="J64" s="7">
        <f>G64*Summary!$B$5</f>
        <v/>
      </c>
      <c r="K64" s="7">
        <f>H64*Summary!$B$5</f>
        <v/>
      </c>
    </row>
    <row r="65">
      <c r="A65" s="8" t="n">
        <v>44292</v>
      </c>
      <c r="B65" t="inlineStr">
        <is>
          <t>FY21-22</t>
        </is>
      </c>
      <c r="C65" t="inlineStr">
        <is>
          <t>CW</t>
        </is>
      </c>
      <c r="D65" t="inlineStr">
        <is>
          <t>09:18</t>
        </is>
      </c>
      <c r="E65" t="n">
        <v>3</v>
      </c>
      <c r="F65" t="n">
        <v>6.35</v>
      </c>
      <c r="G65" t="n">
        <v>1036.26</v>
      </c>
      <c r="H65" t="n">
        <v>-23.13</v>
      </c>
      <c r="I65" s="7">
        <f>F65*Summary!$B$5</f>
        <v/>
      </c>
      <c r="J65" s="7">
        <f>G65*Summary!$B$5</f>
        <v/>
      </c>
      <c r="K65" s="7">
        <f>H65*Summary!$B$5</f>
        <v/>
      </c>
    </row>
    <row r="66">
      <c r="A66" s="8" t="n">
        <v>44293</v>
      </c>
      <c r="B66" t="inlineStr">
        <is>
          <t>FY21-22</t>
        </is>
      </c>
      <c r="C66" t="inlineStr">
        <is>
          <t>CW</t>
        </is>
      </c>
      <c r="D66" t="inlineStr">
        <is>
          <t>09:16</t>
        </is>
      </c>
      <c r="E66" t="n">
        <v>2</v>
      </c>
      <c r="F66" t="n">
        <v>29.97</v>
      </c>
      <c r="G66" t="n">
        <v>1066.23</v>
      </c>
      <c r="H66" t="n">
        <v>0</v>
      </c>
      <c r="I66" s="7">
        <f>F66*Summary!$B$5</f>
        <v/>
      </c>
      <c r="J66" s="7">
        <f>G66*Summary!$B$5</f>
        <v/>
      </c>
      <c r="K66" s="7">
        <f>H66*Summary!$B$5</f>
        <v/>
      </c>
    </row>
    <row r="67">
      <c r="A67" s="8" t="n">
        <v>44294</v>
      </c>
      <c r="B67" t="inlineStr">
        <is>
          <t>FY21-22</t>
        </is>
      </c>
      <c r="C67" t="inlineStr">
        <is>
          <t>CW</t>
        </is>
      </c>
      <c r="D67" t="inlineStr">
        <is>
          <t>09:16</t>
        </is>
      </c>
      <c r="E67" t="n">
        <v>1</v>
      </c>
      <c r="F67" t="n">
        <v>30.84</v>
      </c>
      <c r="G67" t="n">
        <v>1097.06</v>
      </c>
      <c r="H67" t="n">
        <v>0</v>
      </c>
      <c r="I67" s="7">
        <f>F67*Summary!$B$5</f>
        <v/>
      </c>
      <c r="J67" s="7">
        <f>G67*Summary!$B$5</f>
        <v/>
      </c>
      <c r="K67" s="7">
        <f>H67*Summary!$B$5</f>
        <v/>
      </c>
    </row>
    <row r="68">
      <c r="A68" s="8" t="n">
        <v>44295</v>
      </c>
      <c r="B68" t="inlineStr">
        <is>
          <t>FY21-22</t>
        </is>
      </c>
      <c r="C68" t="inlineStr">
        <is>
          <t>CW</t>
        </is>
      </c>
      <c r="D68" t="inlineStr">
        <is>
          <t>09:16</t>
        </is>
      </c>
      <c r="E68" t="n">
        <v>6</v>
      </c>
      <c r="F68" t="n">
        <v>40.26</v>
      </c>
      <c r="G68" t="n">
        <v>1137.32</v>
      </c>
      <c r="H68" t="n">
        <v>0</v>
      </c>
      <c r="I68" s="7">
        <f>F68*Summary!$B$5</f>
        <v/>
      </c>
      <c r="J68" s="7">
        <f>G68*Summary!$B$5</f>
        <v/>
      </c>
      <c r="K68" s="7">
        <f>H68*Summary!$B$5</f>
        <v/>
      </c>
    </row>
    <row r="69">
      <c r="A69" s="8" t="n">
        <v>44298</v>
      </c>
      <c r="B69" t="inlineStr">
        <is>
          <t>FY21-22</t>
        </is>
      </c>
      <c r="C69" t="inlineStr">
        <is>
          <t>CW</t>
        </is>
      </c>
      <c r="D69" t="inlineStr">
        <is>
          <t>09:16</t>
        </is>
      </c>
      <c r="E69" t="n">
        <v>4</v>
      </c>
      <c r="F69" t="n">
        <v>-32.55</v>
      </c>
      <c r="G69" t="n">
        <v>1104.77</v>
      </c>
      <c r="H69" t="n">
        <v>-32.55</v>
      </c>
      <c r="I69" s="7">
        <f>F69*Summary!$B$5</f>
        <v/>
      </c>
      <c r="J69" s="7">
        <f>G69*Summary!$B$5</f>
        <v/>
      </c>
      <c r="K69" s="7">
        <f>H69*Summary!$B$5</f>
        <v/>
      </c>
    </row>
    <row r="70">
      <c r="A70" s="8" t="n">
        <v>44299</v>
      </c>
      <c r="B70" t="inlineStr">
        <is>
          <t>FY21-22</t>
        </is>
      </c>
      <c r="C70" t="inlineStr"/>
      <c r="D70" t="inlineStr"/>
      <c r="E70" t="n">
        <v>0</v>
      </c>
      <c r="F70" t="n">
        <v>0</v>
      </c>
      <c r="G70" t="n">
        <v>1104.77</v>
      </c>
      <c r="H70" t="n">
        <v>-32.55</v>
      </c>
      <c r="I70" s="7">
        <f>F70*Summary!$B$5</f>
        <v/>
      </c>
      <c r="J70" s="7">
        <f>G70*Summary!$B$5</f>
        <v/>
      </c>
      <c r="K70" s="7">
        <f>H70*Summary!$B$5</f>
        <v/>
      </c>
    </row>
    <row r="71">
      <c r="A71" s="8" t="n">
        <v>44301</v>
      </c>
      <c r="B71" t="inlineStr">
        <is>
          <t>FY21-22</t>
        </is>
      </c>
      <c r="C71" t="inlineStr">
        <is>
          <t>CW</t>
        </is>
      </c>
      <c r="D71" t="inlineStr">
        <is>
          <t>09:16</t>
        </is>
      </c>
      <c r="E71" t="n">
        <v>1</v>
      </c>
      <c r="F71" t="n">
        <v>-16.6</v>
      </c>
      <c r="G71" t="n">
        <v>1088.16</v>
      </c>
      <c r="H71" t="n">
        <v>-49.15</v>
      </c>
      <c r="I71" s="7">
        <f>F71*Summary!$B$5</f>
        <v/>
      </c>
      <c r="J71" s="7">
        <f>G71*Summary!$B$5</f>
        <v/>
      </c>
      <c r="K71" s="7">
        <f>H71*Summary!$B$5</f>
        <v/>
      </c>
    </row>
    <row r="72">
      <c r="A72" s="8" t="n">
        <v>44302</v>
      </c>
      <c r="B72" t="inlineStr">
        <is>
          <t>FY21-22</t>
        </is>
      </c>
      <c r="C72" t="inlineStr">
        <is>
          <t>CW</t>
        </is>
      </c>
      <c r="D72" t="inlineStr">
        <is>
          <t>09:16</t>
        </is>
      </c>
      <c r="E72" t="n">
        <v>6</v>
      </c>
      <c r="F72" t="n">
        <v>39.72</v>
      </c>
      <c r="G72" t="n">
        <v>1127.88</v>
      </c>
      <c r="H72" t="n">
        <v>-9.43</v>
      </c>
      <c r="I72" s="7">
        <f>F72*Summary!$B$5</f>
        <v/>
      </c>
      <c r="J72" s="7">
        <f>G72*Summary!$B$5</f>
        <v/>
      </c>
      <c r="K72" s="7">
        <f>H72*Summary!$B$5</f>
        <v/>
      </c>
    </row>
    <row r="73">
      <c r="A73" s="8" t="n">
        <v>44305</v>
      </c>
      <c r="B73" t="inlineStr">
        <is>
          <t>FY21-22</t>
        </is>
      </c>
      <c r="C73" t="inlineStr">
        <is>
          <t>CW</t>
        </is>
      </c>
      <c r="D73" t="inlineStr">
        <is>
          <t>09:16</t>
        </is>
      </c>
      <c r="E73" t="n">
        <v>4</v>
      </c>
      <c r="F73" t="n">
        <v>54.24</v>
      </c>
      <c r="G73" t="n">
        <v>1182.12</v>
      </c>
      <c r="H73" t="n">
        <v>0</v>
      </c>
      <c r="I73" s="7">
        <f>F73*Summary!$B$5</f>
        <v/>
      </c>
      <c r="J73" s="7">
        <f>G73*Summary!$B$5</f>
        <v/>
      </c>
      <c r="K73" s="7">
        <f>H73*Summary!$B$5</f>
        <v/>
      </c>
    </row>
    <row r="74">
      <c r="A74" s="8" t="n">
        <v>44306</v>
      </c>
      <c r="B74" t="inlineStr">
        <is>
          <t>FY21-22</t>
        </is>
      </c>
      <c r="C74" t="inlineStr"/>
      <c r="D74" t="inlineStr"/>
      <c r="E74" t="n">
        <v>0</v>
      </c>
      <c r="F74" t="n">
        <v>0</v>
      </c>
      <c r="G74" t="n">
        <v>1182.12</v>
      </c>
      <c r="H74" t="n">
        <v>0</v>
      </c>
      <c r="I74" s="7">
        <f>F74*Summary!$B$5</f>
        <v/>
      </c>
      <c r="J74" s="7">
        <f>G74*Summary!$B$5</f>
        <v/>
      </c>
      <c r="K74" s="7">
        <f>H74*Summary!$B$5</f>
        <v/>
      </c>
    </row>
    <row r="75">
      <c r="A75" s="8" t="n">
        <v>44308</v>
      </c>
      <c r="B75" t="inlineStr">
        <is>
          <t>FY21-22</t>
        </is>
      </c>
      <c r="C75" t="inlineStr">
        <is>
          <t>CW</t>
        </is>
      </c>
      <c r="D75" t="inlineStr">
        <is>
          <t>09:16</t>
        </is>
      </c>
      <c r="E75" t="n">
        <v>1</v>
      </c>
      <c r="F75" t="n">
        <v>11.54</v>
      </c>
      <c r="G75" t="n">
        <v>1193.66</v>
      </c>
      <c r="H75" t="n">
        <v>0</v>
      </c>
      <c r="I75" s="7">
        <f>F75*Summary!$B$5</f>
        <v/>
      </c>
      <c r="J75" s="7">
        <f>G75*Summary!$B$5</f>
        <v/>
      </c>
      <c r="K75" s="7">
        <f>H75*Summary!$B$5</f>
        <v/>
      </c>
    </row>
    <row r="76">
      <c r="A76" s="8" t="n">
        <v>44309</v>
      </c>
      <c r="B76" t="inlineStr">
        <is>
          <t>FY21-22</t>
        </is>
      </c>
      <c r="C76" t="inlineStr">
        <is>
          <t>CW</t>
        </is>
      </c>
      <c r="D76" t="inlineStr">
        <is>
          <t>09:16</t>
        </is>
      </c>
      <c r="E76" t="n">
        <v>6</v>
      </c>
      <c r="F76" t="n">
        <v>13.93</v>
      </c>
      <c r="G76" t="n">
        <v>1207.6</v>
      </c>
      <c r="H76" t="n">
        <v>0</v>
      </c>
      <c r="I76" s="7">
        <f>F76*Summary!$B$5</f>
        <v/>
      </c>
      <c r="J76" s="7">
        <f>G76*Summary!$B$5</f>
        <v/>
      </c>
      <c r="K76" s="7">
        <f>H76*Summary!$B$5</f>
        <v/>
      </c>
    </row>
    <row r="77">
      <c r="A77" s="8" t="n">
        <v>44312</v>
      </c>
      <c r="B77" t="inlineStr">
        <is>
          <t>FY21-22</t>
        </is>
      </c>
      <c r="C77" t="inlineStr">
        <is>
          <t>CW</t>
        </is>
      </c>
      <c r="D77" t="inlineStr">
        <is>
          <t>09:18</t>
        </is>
      </c>
      <c r="E77" t="n">
        <v>4</v>
      </c>
      <c r="F77" t="n">
        <v>-38.1</v>
      </c>
      <c r="G77" t="n">
        <v>1169.5</v>
      </c>
      <c r="H77" t="n">
        <v>-38.1</v>
      </c>
      <c r="I77" s="7">
        <f>F77*Summary!$B$5</f>
        <v/>
      </c>
      <c r="J77" s="7">
        <f>G77*Summary!$B$5</f>
        <v/>
      </c>
      <c r="K77" s="7">
        <f>H77*Summary!$B$5</f>
        <v/>
      </c>
    </row>
    <row r="78">
      <c r="A78" s="8" t="n">
        <v>44313</v>
      </c>
      <c r="B78" t="inlineStr">
        <is>
          <t>FY21-22</t>
        </is>
      </c>
      <c r="C78" t="inlineStr">
        <is>
          <t>CW</t>
        </is>
      </c>
      <c r="D78" t="inlineStr">
        <is>
          <t>09:16</t>
        </is>
      </c>
      <c r="E78" t="n">
        <v>3</v>
      </c>
      <c r="F78" t="n">
        <v>31.75</v>
      </c>
      <c r="G78" t="n">
        <v>1201.25</v>
      </c>
      <c r="H78" t="n">
        <v>-6.35</v>
      </c>
      <c r="I78" s="7">
        <f>F78*Summary!$B$5</f>
        <v/>
      </c>
      <c r="J78" s="7">
        <f>G78*Summary!$B$5</f>
        <v/>
      </c>
      <c r="K78" s="7">
        <f>H78*Summary!$B$5</f>
        <v/>
      </c>
    </row>
    <row r="79">
      <c r="A79" s="8" t="n">
        <v>44314</v>
      </c>
      <c r="B79" t="inlineStr">
        <is>
          <t>FY21-22</t>
        </is>
      </c>
      <c r="C79" t="inlineStr">
        <is>
          <t>CW</t>
        </is>
      </c>
      <c r="D79" t="inlineStr">
        <is>
          <t>09:17</t>
        </is>
      </c>
      <c r="E79" t="n">
        <v>2</v>
      </c>
      <c r="F79" t="n">
        <v>4</v>
      </c>
      <c r="G79" t="n">
        <v>1205.25</v>
      </c>
      <c r="H79" t="n">
        <v>-2.35</v>
      </c>
      <c r="I79" s="7">
        <f>F79*Summary!$B$5</f>
        <v/>
      </c>
      <c r="J79" s="7">
        <f>G79*Summary!$B$5</f>
        <v/>
      </c>
      <c r="K79" s="7">
        <f>H79*Summary!$B$5</f>
        <v/>
      </c>
    </row>
    <row r="80">
      <c r="A80" s="8" t="n">
        <v>44315</v>
      </c>
      <c r="B80" t="inlineStr">
        <is>
          <t>FY21-22</t>
        </is>
      </c>
      <c r="C80" t="inlineStr">
        <is>
          <t>CW</t>
        </is>
      </c>
      <c r="D80" t="inlineStr">
        <is>
          <t>09:18</t>
        </is>
      </c>
      <c r="E80" t="n">
        <v>1</v>
      </c>
      <c r="F80" t="n">
        <v>-47.61</v>
      </c>
      <c r="G80" t="n">
        <v>1157.64</v>
      </c>
      <c r="H80" t="n">
        <v>-49.95</v>
      </c>
      <c r="I80" s="7">
        <f>F80*Summary!$B$5</f>
        <v/>
      </c>
      <c r="J80" s="7">
        <f>G80*Summary!$B$5</f>
        <v/>
      </c>
      <c r="K80" s="7">
        <f>H80*Summary!$B$5</f>
        <v/>
      </c>
    </row>
    <row r="81">
      <c r="A81" s="8" t="n">
        <v>44316</v>
      </c>
      <c r="B81" t="inlineStr">
        <is>
          <t>FY21-22</t>
        </is>
      </c>
      <c r="C81" t="inlineStr">
        <is>
          <t>CW</t>
        </is>
      </c>
      <c r="D81" t="inlineStr">
        <is>
          <t>09:18</t>
        </is>
      </c>
      <c r="E81" t="n">
        <v>6</v>
      </c>
      <c r="F81" t="n">
        <v>46.22</v>
      </c>
      <c r="G81" t="n">
        <v>1203.86</v>
      </c>
      <c r="H81" t="n">
        <v>-3.74</v>
      </c>
      <c r="I81" s="7">
        <f>F81*Summary!$B$5</f>
        <v/>
      </c>
      <c r="J81" s="7">
        <f>G81*Summary!$B$5</f>
        <v/>
      </c>
      <c r="K81" s="7">
        <f>H81*Summary!$B$5</f>
        <v/>
      </c>
    </row>
    <row r="82">
      <c r="A82" s="8" t="n">
        <v>44319</v>
      </c>
      <c r="B82" t="inlineStr">
        <is>
          <t>FY21-22</t>
        </is>
      </c>
      <c r="C82" t="inlineStr">
        <is>
          <t>n/a</t>
        </is>
      </c>
      <c r="D82" t="inlineStr"/>
      <c r="E82" t="n">
        <v>0</v>
      </c>
      <c r="F82" t="n">
        <v>15.87</v>
      </c>
      <c r="G82" t="n">
        <v>1219.73</v>
      </c>
      <c r="H82" t="n">
        <v>0</v>
      </c>
      <c r="I82" s="7">
        <f>F82*Summary!$B$5</f>
        <v/>
      </c>
      <c r="J82" s="7">
        <f>G82*Summary!$B$5</f>
        <v/>
      </c>
      <c r="K82" s="7">
        <f>H82*Summary!$B$5</f>
        <v/>
      </c>
    </row>
    <row r="83">
      <c r="A83" s="8" t="n">
        <v>44320</v>
      </c>
      <c r="B83" t="inlineStr">
        <is>
          <t>FY21-22</t>
        </is>
      </c>
      <c r="C83" t="inlineStr"/>
      <c r="D83" t="inlineStr"/>
      <c r="E83" t="n">
        <v>0</v>
      </c>
      <c r="F83" t="n">
        <v>0</v>
      </c>
      <c r="G83" t="n">
        <v>1219.73</v>
      </c>
      <c r="H83" t="n">
        <v>0</v>
      </c>
      <c r="I83" s="7">
        <f>F83*Summary!$B$5</f>
        <v/>
      </c>
      <c r="J83" s="7">
        <f>G83*Summary!$B$5</f>
        <v/>
      </c>
      <c r="K83" s="7">
        <f>H83*Summary!$B$5</f>
        <v/>
      </c>
    </row>
    <row r="84">
      <c r="A84" s="8" t="n">
        <v>44321</v>
      </c>
      <c r="B84" t="inlineStr">
        <is>
          <t>FY21-22</t>
        </is>
      </c>
      <c r="C84" t="inlineStr">
        <is>
          <t>CW</t>
        </is>
      </c>
      <c r="D84" t="inlineStr">
        <is>
          <t>09:16</t>
        </is>
      </c>
      <c r="E84" t="n">
        <v>2</v>
      </c>
      <c r="F84" t="n">
        <v>13.62</v>
      </c>
      <c r="G84" t="n">
        <v>1233.35</v>
      </c>
      <c r="H84" t="n">
        <v>0</v>
      </c>
      <c r="I84" s="7">
        <f>F84*Summary!$B$5</f>
        <v/>
      </c>
      <c r="J84" s="7">
        <f>G84*Summary!$B$5</f>
        <v/>
      </c>
      <c r="K84" s="7">
        <f>H84*Summary!$B$5</f>
        <v/>
      </c>
    </row>
    <row r="85">
      <c r="A85" s="8" t="n">
        <v>44322</v>
      </c>
      <c r="B85" t="inlineStr">
        <is>
          <t>FY21-22</t>
        </is>
      </c>
      <c r="C85" t="inlineStr">
        <is>
          <t>CW</t>
        </is>
      </c>
      <c r="D85" t="inlineStr">
        <is>
          <t>09:16</t>
        </is>
      </c>
      <c r="E85" t="n">
        <v>1</v>
      </c>
      <c r="F85" t="n">
        <v>68.88</v>
      </c>
      <c r="G85" t="n">
        <v>1302.23</v>
      </c>
      <c r="H85" t="n">
        <v>0</v>
      </c>
      <c r="I85" s="7">
        <f>F85*Summary!$B$5</f>
        <v/>
      </c>
      <c r="J85" s="7">
        <f>G85*Summary!$B$5</f>
        <v/>
      </c>
      <c r="K85" s="7">
        <f>H85*Summary!$B$5</f>
        <v/>
      </c>
    </row>
    <row r="86">
      <c r="A86" s="8" t="n">
        <v>44323</v>
      </c>
      <c r="B86" t="inlineStr">
        <is>
          <t>FY21-22</t>
        </is>
      </c>
      <c r="C86" t="inlineStr">
        <is>
          <t>CW</t>
        </is>
      </c>
      <c r="D86" t="inlineStr">
        <is>
          <t>09:17</t>
        </is>
      </c>
      <c r="E86" t="n">
        <v>5</v>
      </c>
      <c r="F86" t="n">
        <v>15.43</v>
      </c>
      <c r="G86" t="n">
        <v>1317.66</v>
      </c>
      <c r="H86" t="n">
        <v>0</v>
      </c>
      <c r="I86" s="7">
        <f>F86*Summary!$B$5</f>
        <v/>
      </c>
      <c r="J86" s="7">
        <f>G86*Summary!$B$5</f>
        <v/>
      </c>
      <c r="K86" s="7">
        <f>H86*Summary!$B$5</f>
        <v/>
      </c>
    </row>
    <row r="87">
      <c r="A87" s="8" t="n">
        <v>44326</v>
      </c>
      <c r="B87" t="inlineStr">
        <is>
          <t>FY21-22</t>
        </is>
      </c>
      <c r="C87" t="inlineStr">
        <is>
          <t>CW</t>
        </is>
      </c>
      <c r="D87" t="inlineStr">
        <is>
          <t>09:17</t>
        </is>
      </c>
      <c r="E87" t="n">
        <v>3</v>
      </c>
      <c r="F87" t="n">
        <v>43.46</v>
      </c>
      <c r="G87" t="n">
        <v>1361.12</v>
      </c>
      <c r="H87" t="n">
        <v>0</v>
      </c>
      <c r="I87" s="7">
        <f>F87*Summary!$B$5</f>
        <v/>
      </c>
      <c r="J87" s="7">
        <f>G87*Summary!$B$5</f>
        <v/>
      </c>
      <c r="K87" s="7">
        <f>H87*Summary!$B$5</f>
        <v/>
      </c>
    </row>
    <row r="88">
      <c r="A88" s="8" t="n">
        <v>44327</v>
      </c>
      <c r="B88" t="inlineStr">
        <is>
          <t>FY21-22</t>
        </is>
      </c>
      <c r="C88" t="inlineStr">
        <is>
          <t>CW</t>
        </is>
      </c>
      <c r="D88" t="inlineStr">
        <is>
          <t>09:18</t>
        </is>
      </c>
      <c r="E88" t="n">
        <v>2</v>
      </c>
      <c r="F88" t="n">
        <v>23.41</v>
      </c>
      <c r="G88" t="n">
        <v>1384.53</v>
      </c>
      <c r="H88" t="n">
        <v>0</v>
      </c>
      <c r="I88" s="7">
        <f>F88*Summary!$B$5</f>
        <v/>
      </c>
      <c r="J88" s="7">
        <f>G88*Summary!$B$5</f>
        <v/>
      </c>
      <c r="K88" s="7">
        <f>H88*Summary!$B$5</f>
        <v/>
      </c>
    </row>
    <row r="89">
      <c r="A89" s="8" t="n">
        <v>44328</v>
      </c>
      <c r="B89" t="inlineStr">
        <is>
          <t>FY21-22</t>
        </is>
      </c>
      <c r="C89" t="inlineStr">
        <is>
          <t>CW</t>
        </is>
      </c>
      <c r="D89" t="inlineStr">
        <is>
          <t>09:16</t>
        </is>
      </c>
      <c r="E89" t="n">
        <v>1</v>
      </c>
      <c r="F89" t="n">
        <v>40.76</v>
      </c>
      <c r="G89" t="n">
        <v>1425.29</v>
      </c>
      <c r="H89" t="n">
        <v>0</v>
      </c>
      <c r="I89" s="7">
        <f>F89*Summary!$B$5</f>
        <v/>
      </c>
      <c r="J89" s="7">
        <f>G89*Summary!$B$5</f>
        <v/>
      </c>
      <c r="K89" s="7">
        <f>H89*Summary!$B$5</f>
        <v/>
      </c>
    </row>
    <row r="90">
      <c r="A90" s="8" t="n">
        <v>44330</v>
      </c>
      <c r="B90" t="inlineStr">
        <is>
          <t>FY21-22</t>
        </is>
      </c>
      <c r="C90" t="inlineStr">
        <is>
          <t>CW</t>
        </is>
      </c>
      <c r="D90" t="inlineStr">
        <is>
          <t>09:18</t>
        </is>
      </c>
      <c r="E90" t="n">
        <v>6</v>
      </c>
      <c r="F90" t="n">
        <v>0.15</v>
      </c>
      <c r="G90" t="n">
        <v>1425.44</v>
      </c>
      <c r="H90" t="n">
        <v>0</v>
      </c>
      <c r="I90" s="7">
        <f>F90*Summary!$B$5</f>
        <v/>
      </c>
      <c r="J90" s="7">
        <f>G90*Summary!$B$5</f>
        <v/>
      </c>
      <c r="K90" s="7">
        <f>H90*Summary!$B$5</f>
        <v/>
      </c>
    </row>
    <row r="91">
      <c r="A91" s="8" t="n">
        <v>44333</v>
      </c>
      <c r="B91" t="inlineStr">
        <is>
          <t>FY21-22</t>
        </is>
      </c>
      <c r="C91" t="inlineStr"/>
      <c r="D91" t="inlineStr"/>
      <c r="E91" t="n">
        <v>0</v>
      </c>
      <c r="F91" t="n">
        <v>0</v>
      </c>
      <c r="G91" t="n">
        <v>1425.44</v>
      </c>
      <c r="H91" t="n">
        <v>0</v>
      </c>
      <c r="I91" s="7">
        <f>F91*Summary!$B$5</f>
        <v/>
      </c>
      <c r="J91" s="7">
        <f>G91*Summary!$B$5</f>
        <v/>
      </c>
      <c r="K91" s="7">
        <f>H91*Summary!$B$5</f>
        <v/>
      </c>
    </row>
    <row r="92">
      <c r="A92" s="8" t="n">
        <v>44334</v>
      </c>
      <c r="B92" t="inlineStr">
        <is>
          <t>FY21-22</t>
        </is>
      </c>
      <c r="C92" t="inlineStr"/>
      <c r="D92" t="inlineStr"/>
      <c r="E92" t="n">
        <v>0</v>
      </c>
      <c r="F92" t="n">
        <v>0</v>
      </c>
      <c r="G92" t="n">
        <v>1425.44</v>
      </c>
      <c r="H92" t="n">
        <v>0</v>
      </c>
      <c r="I92" s="7">
        <f>F92*Summary!$B$5</f>
        <v/>
      </c>
      <c r="J92" s="7">
        <f>G92*Summary!$B$5</f>
        <v/>
      </c>
      <c r="K92" s="7">
        <f>H92*Summary!$B$5</f>
        <v/>
      </c>
    </row>
    <row r="93">
      <c r="A93" s="8" t="n">
        <v>44335</v>
      </c>
      <c r="B93" t="inlineStr">
        <is>
          <t>FY21-22</t>
        </is>
      </c>
      <c r="C93" t="inlineStr">
        <is>
          <t>CW</t>
        </is>
      </c>
      <c r="D93" t="inlineStr">
        <is>
          <t>09:18</t>
        </is>
      </c>
      <c r="E93" t="n">
        <v>2</v>
      </c>
      <c r="F93" t="n">
        <v>-1.44</v>
      </c>
      <c r="G93" t="n">
        <v>1424</v>
      </c>
      <c r="H93" t="n">
        <v>-1.44</v>
      </c>
      <c r="I93" s="7">
        <f>F93*Summary!$B$5</f>
        <v/>
      </c>
      <c r="J93" s="7">
        <f>G93*Summary!$B$5</f>
        <v/>
      </c>
      <c r="K93" s="7">
        <f>H93*Summary!$B$5</f>
        <v/>
      </c>
    </row>
    <row r="94">
      <c r="A94" s="8" t="n">
        <v>44336</v>
      </c>
      <c r="B94" t="inlineStr">
        <is>
          <t>FY21-22</t>
        </is>
      </c>
      <c r="C94" t="inlineStr">
        <is>
          <t>CW</t>
        </is>
      </c>
      <c r="D94" t="inlineStr">
        <is>
          <t>09:17</t>
        </is>
      </c>
      <c r="E94" t="n">
        <v>1</v>
      </c>
      <c r="F94" t="n">
        <v>54.3</v>
      </c>
      <c r="G94" t="n">
        <v>1478.3</v>
      </c>
      <c r="H94" t="n">
        <v>0</v>
      </c>
      <c r="I94" s="7">
        <f>F94*Summary!$B$5</f>
        <v/>
      </c>
      <c r="J94" s="7">
        <f>G94*Summary!$B$5</f>
        <v/>
      </c>
      <c r="K94" s="7">
        <f>H94*Summary!$B$5</f>
        <v/>
      </c>
    </row>
    <row r="95">
      <c r="A95" s="8" t="n">
        <v>44337</v>
      </c>
      <c r="B95" t="inlineStr">
        <is>
          <t>FY21-22</t>
        </is>
      </c>
      <c r="C95" t="inlineStr">
        <is>
          <t>n/a</t>
        </is>
      </c>
      <c r="D95" t="inlineStr"/>
      <c r="E95" t="n">
        <v>0</v>
      </c>
      <c r="F95" t="n">
        <v>-39.96</v>
      </c>
      <c r="G95" t="n">
        <v>1438.34</v>
      </c>
      <c r="H95" t="n">
        <v>-39.96</v>
      </c>
      <c r="I95" s="7">
        <f>F95*Summary!$B$5</f>
        <v/>
      </c>
      <c r="J95" s="7">
        <f>G95*Summary!$B$5</f>
        <v/>
      </c>
      <c r="K95" s="7">
        <f>H95*Summary!$B$5</f>
        <v/>
      </c>
    </row>
    <row r="96">
      <c r="A96" s="8" t="n">
        <v>44340</v>
      </c>
      <c r="B96" t="inlineStr">
        <is>
          <t>FY21-22</t>
        </is>
      </c>
      <c r="C96" t="inlineStr">
        <is>
          <t>CW</t>
        </is>
      </c>
      <c r="D96" t="inlineStr">
        <is>
          <t>09:18</t>
        </is>
      </c>
      <c r="E96" t="n">
        <v>4</v>
      </c>
      <c r="F96" t="n">
        <v>48.04</v>
      </c>
      <c r="G96" t="n">
        <v>1486.37</v>
      </c>
      <c r="H96" t="n">
        <v>0</v>
      </c>
      <c r="I96" s="7">
        <f>F96*Summary!$B$5</f>
        <v/>
      </c>
      <c r="J96" s="7">
        <f>G96*Summary!$B$5</f>
        <v/>
      </c>
      <c r="K96" s="7">
        <f>H96*Summary!$B$5</f>
        <v/>
      </c>
    </row>
    <row r="97">
      <c r="A97" s="8" t="n">
        <v>44341</v>
      </c>
      <c r="B97" t="inlineStr">
        <is>
          <t>FY21-22</t>
        </is>
      </c>
      <c r="C97" t="inlineStr"/>
      <c r="D97" t="inlineStr"/>
      <c r="E97" t="n">
        <v>0</v>
      </c>
      <c r="F97" t="n">
        <v>0</v>
      </c>
      <c r="G97" t="n">
        <v>1486.37</v>
      </c>
      <c r="H97" t="n">
        <v>0</v>
      </c>
      <c r="I97" s="7">
        <f>F97*Summary!$B$5</f>
        <v/>
      </c>
      <c r="J97" s="7">
        <f>G97*Summary!$B$5</f>
        <v/>
      </c>
      <c r="K97" s="7">
        <f>H97*Summary!$B$5</f>
        <v/>
      </c>
    </row>
    <row r="98">
      <c r="A98" s="8" t="n">
        <v>44342</v>
      </c>
      <c r="B98" t="inlineStr">
        <is>
          <t>FY21-22</t>
        </is>
      </c>
      <c r="C98" t="inlineStr"/>
      <c r="D98" t="inlineStr"/>
      <c r="E98" t="n">
        <v>0</v>
      </c>
      <c r="F98" t="n">
        <v>0</v>
      </c>
      <c r="G98" t="n">
        <v>1486.37</v>
      </c>
      <c r="H98" t="n">
        <v>0</v>
      </c>
      <c r="I98" s="7">
        <f>F98*Summary!$B$5</f>
        <v/>
      </c>
      <c r="J98" s="7">
        <f>G98*Summary!$B$5</f>
        <v/>
      </c>
      <c r="K98" s="7">
        <f>H98*Summary!$B$5</f>
        <v/>
      </c>
    </row>
    <row r="99">
      <c r="A99" s="8" t="n">
        <v>44343</v>
      </c>
      <c r="B99" t="inlineStr">
        <is>
          <t>FY21-22</t>
        </is>
      </c>
      <c r="C99" t="inlineStr">
        <is>
          <t>CW</t>
        </is>
      </c>
      <c r="D99" t="inlineStr">
        <is>
          <t>09:16</t>
        </is>
      </c>
      <c r="E99" t="n">
        <v>1</v>
      </c>
      <c r="F99" t="n">
        <v>33.45</v>
      </c>
      <c r="G99" t="n">
        <v>1519.82</v>
      </c>
      <c r="H99" t="n">
        <v>0</v>
      </c>
      <c r="I99" s="7">
        <f>F99*Summary!$B$5</f>
        <v/>
      </c>
      <c r="J99" s="7">
        <f>G99*Summary!$B$5</f>
        <v/>
      </c>
      <c r="K99" s="7">
        <f>H99*Summary!$B$5</f>
        <v/>
      </c>
    </row>
    <row r="100">
      <c r="A100" s="8" t="n">
        <v>44344</v>
      </c>
      <c r="B100" t="inlineStr">
        <is>
          <t>FY21-22</t>
        </is>
      </c>
      <c r="C100" t="inlineStr">
        <is>
          <t>CW</t>
        </is>
      </c>
      <c r="D100" t="inlineStr">
        <is>
          <t>09:18</t>
        </is>
      </c>
      <c r="E100" t="n">
        <v>6</v>
      </c>
      <c r="F100" t="n">
        <v>22.4</v>
      </c>
      <c r="G100" t="n">
        <v>1542.22</v>
      </c>
      <c r="H100" t="n">
        <v>0</v>
      </c>
      <c r="I100" s="7">
        <f>F100*Summary!$B$5</f>
        <v/>
      </c>
      <c r="J100" s="7">
        <f>G100*Summary!$B$5</f>
        <v/>
      </c>
      <c r="K100" s="7">
        <f>H100*Summary!$B$5</f>
        <v/>
      </c>
    </row>
    <row r="101">
      <c r="A101" s="8" t="n">
        <v>44347</v>
      </c>
      <c r="B101" t="inlineStr">
        <is>
          <t>FY21-22</t>
        </is>
      </c>
      <c r="C101" t="inlineStr">
        <is>
          <t>n/a</t>
        </is>
      </c>
      <c r="D101" t="inlineStr"/>
      <c r="E101" t="n">
        <v>0</v>
      </c>
      <c r="F101" t="n">
        <v>-14.74</v>
      </c>
      <c r="G101" t="n">
        <v>1527.48</v>
      </c>
      <c r="H101" t="n">
        <v>-14.74</v>
      </c>
      <c r="I101" s="7">
        <f>F101*Summary!$B$5</f>
        <v/>
      </c>
      <c r="J101" s="7">
        <f>G101*Summary!$B$5</f>
        <v/>
      </c>
      <c r="K101" s="7">
        <f>H101*Summary!$B$5</f>
        <v/>
      </c>
    </row>
    <row r="102">
      <c r="A102" s="8" t="n">
        <v>44348</v>
      </c>
      <c r="B102" t="inlineStr">
        <is>
          <t>FY21-22</t>
        </is>
      </c>
      <c r="C102" t="inlineStr">
        <is>
          <t>CW</t>
        </is>
      </c>
      <c r="D102" t="inlineStr">
        <is>
          <t>09:18</t>
        </is>
      </c>
      <c r="E102" t="n">
        <v>3</v>
      </c>
      <c r="F102" t="n">
        <v>-34.58</v>
      </c>
      <c r="G102" t="n">
        <v>1492.91</v>
      </c>
      <c r="H102" t="n">
        <v>-49.31</v>
      </c>
      <c r="I102" s="7">
        <f>F102*Summary!$B$5</f>
        <v/>
      </c>
      <c r="J102" s="7">
        <f>G102*Summary!$B$5</f>
        <v/>
      </c>
      <c r="K102" s="7">
        <f>H102*Summary!$B$5</f>
        <v/>
      </c>
    </row>
    <row r="103">
      <c r="A103" s="8" t="n">
        <v>44349</v>
      </c>
      <c r="B103" t="inlineStr">
        <is>
          <t>FY21-22</t>
        </is>
      </c>
      <c r="C103" t="inlineStr">
        <is>
          <t>CW</t>
        </is>
      </c>
      <c r="D103" t="inlineStr">
        <is>
          <t>09:17</t>
        </is>
      </c>
      <c r="E103" t="n">
        <v>2</v>
      </c>
      <c r="F103" t="n">
        <v>25.4</v>
      </c>
      <c r="G103" t="n">
        <v>1518.3</v>
      </c>
      <c r="H103" t="n">
        <v>-23.92</v>
      </c>
      <c r="I103" s="7">
        <f>F103*Summary!$B$5</f>
        <v/>
      </c>
      <c r="J103" s="7">
        <f>G103*Summary!$B$5</f>
        <v/>
      </c>
      <c r="K103" s="7">
        <f>H103*Summary!$B$5</f>
        <v/>
      </c>
    </row>
    <row r="104">
      <c r="A104" s="8" t="n">
        <v>44350</v>
      </c>
      <c r="B104" t="inlineStr">
        <is>
          <t>FY21-22</t>
        </is>
      </c>
      <c r="C104" t="inlineStr">
        <is>
          <t>CW</t>
        </is>
      </c>
      <c r="D104" t="inlineStr">
        <is>
          <t>09:18</t>
        </is>
      </c>
      <c r="E104" t="n">
        <v>1</v>
      </c>
      <c r="F104" t="n">
        <v>30.93</v>
      </c>
      <c r="G104" t="n">
        <v>1549.23</v>
      </c>
      <c r="H104" t="n">
        <v>0</v>
      </c>
      <c r="I104" s="7">
        <f>F104*Summary!$B$5</f>
        <v/>
      </c>
      <c r="J104" s="7">
        <f>G104*Summary!$B$5</f>
        <v/>
      </c>
      <c r="K104" s="7">
        <f>H104*Summary!$B$5</f>
        <v/>
      </c>
    </row>
    <row r="105">
      <c r="A105" s="8" t="n">
        <v>44351</v>
      </c>
      <c r="B105" t="inlineStr">
        <is>
          <t>FY21-22</t>
        </is>
      </c>
      <c r="C105" t="inlineStr">
        <is>
          <t>CW</t>
        </is>
      </c>
      <c r="D105" t="inlineStr">
        <is>
          <t>09:16</t>
        </is>
      </c>
      <c r="E105" t="n">
        <v>6</v>
      </c>
      <c r="F105" t="n">
        <v>30.06</v>
      </c>
      <c r="G105" t="n">
        <v>1579.29</v>
      </c>
      <c r="H105" t="n">
        <v>0</v>
      </c>
      <c r="I105" s="7">
        <f>F105*Summary!$B$5</f>
        <v/>
      </c>
      <c r="J105" s="7">
        <f>G105*Summary!$B$5</f>
        <v/>
      </c>
      <c r="K105" s="7">
        <f>H105*Summary!$B$5</f>
        <v/>
      </c>
    </row>
    <row r="106">
      <c r="A106" s="8" t="n">
        <v>44354</v>
      </c>
      <c r="B106" t="inlineStr">
        <is>
          <t>FY21-22</t>
        </is>
      </c>
      <c r="C106" t="inlineStr">
        <is>
          <t>CW</t>
        </is>
      </c>
      <c r="D106" t="inlineStr">
        <is>
          <t>09:18</t>
        </is>
      </c>
      <c r="E106" t="n">
        <v>4</v>
      </c>
      <c r="F106" t="n">
        <v>12.15</v>
      </c>
      <c r="G106" t="n">
        <v>1591.44</v>
      </c>
      <c r="H106" t="n">
        <v>0</v>
      </c>
      <c r="I106" s="7">
        <f>F106*Summary!$B$5</f>
        <v/>
      </c>
      <c r="J106" s="7">
        <f>G106*Summary!$B$5</f>
        <v/>
      </c>
      <c r="K106" s="7">
        <f>H106*Summary!$B$5</f>
        <v/>
      </c>
    </row>
    <row r="107">
      <c r="A107" s="8" t="n">
        <v>44355</v>
      </c>
      <c r="B107" t="inlineStr">
        <is>
          <t>FY21-22</t>
        </is>
      </c>
      <c r="C107" t="inlineStr">
        <is>
          <t>CW</t>
        </is>
      </c>
      <c r="D107" t="inlineStr">
        <is>
          <t>09:17</t>
        </is>
      </c>
      <c r="E107" t="n">
        <v>3</v>
      </c>
      <c r="F107" t="n">
        <v>16.34</v>
      </c>
      <c r="G107" t="n">
        <v>1607.78</v>
      </c>
      <c r="H107" t="n">
        <v>0</v>
      </c>
      <c r="I107" s="7">
        <f>F107*Summary!$B$5</f>
        <v/>
      </c>
      <c r="J107" s="7">
        <f>G107*Summary!$B$5</f>
        <v/>
      </c>
      <c r="K107" s="7">
        <f>H107*Summary!$B$5</f>
        <v/>
      </c>
    </row>
    <row r="108">
      <c r="A108" s="8" t="n">
        <v>44356</v>
      </c>
      <c r="B108" t="inlineStr">
        <is>
          <t>FY21-22</t>
        </is>
      </c>
      <c r="C108" t="inlineStr">
        <is>
          <t>CW</t>
        </is>
      </c>
      <c r="D108" t="inlineStr">
        <is>
          <t>09:17</t>
        </is>
      </c>
      <c r="E108" t="n">
        <v>2</v>
      </c>
      <c r="F108" t="n">
        <v>-39.24</v>
      </c>
      <c r="G108" t="n">
        <v>1568.54</v>
      </c>
      <c r="H108" t="n">
        <v>-39.24</v>
      </c>
      <c r="I108" s="7">
        <f>F108*Summary!$B$5</f>
        <v/>
      </c>
      <c r="J108" s="7">
        <f>G108*Summary!$B$5</f>
        <v/>
      </c>
      <c r="K108" s="7">
        <f>H108*Summary!$B$5</f>
        <v/>
      </c>
    </row>
    <row r="109">
      <c r="A109" s="8" t="n">
        <v>44357</v>
      </c>
      <c r="B109" t="inlineStr">
        <is>
          <t>FY21-22</t>
        </is>
      </c>
      <c r="C109" t="inlineStr">
        <is>
          <t>CW</t>
        </is>
      </c>
      <c r="D109" t="inlineStr">
        <is>
          <t>09:18</t>
        </is>
      </c>
      <c r="E109" t="n">
        <v>1</v>
      </c>
      <c r="F109" t="n">
        <v>23.57</v>
      </c>
      <c r="G109" t="n">
        <v>1592.11</v>
      </c>
      <c r="H109" t="n">
        <v>-15.67</v>
      </c>
      <c r="I109" s="7">
        <f>F109*Summary!$B$5</f>
        <v/>
      </c>
      <c r="J109" s="7">
        <f>G109*Summary!$B$5</f>
        <v/>
      </c>
      <c r="K109" s="7">
        <f>H109*Summary!$B$5</f>
        <v/>
      </c>
    </row>
    <row r="110">
      <c r="A110" s="8" t="n">
        <v>44358</v>
      </c>
      <c r="B110" t="inlineStr">
        <is>
          <t>FY21-22</t>
        </is>
      </c>
      <c r="C110" t="inlineStr">
        <is>
          <t>CW</t>
        </is>
      </c>
      <c r="D110" t="inlineStr">
        <is>
          <t>09:18</t>
        </is>
      </c>
      <c r="E110" t="n">
        <v>6</v>
      </c>
      <c r="F110" t="n">
        <v>28.45</v>
      </c>
      <c r="G110" t="n">
        <v>1620.56</v>
      </c>
      <c r="H110" t="n">
        <v>0</v>
      </c>
      <c r="I110" s="7">
        <f>F110*Summary!$B$5</f>
        <v/>
      </c>
      <c r="J110" s="7">
        <f>G110*Summary!$B$5</f>
        <v/>
      </c>
      <c r="K110" s="7">
        <f>H110*Summary!$B$5</f>
        <v/>
      </c>
    </row>
    <row r="111">
      <c r="A111" s="8" t="n">
        <v>44361</v>
      </c>
      <c r="B111" t="inlineStr">
        <is>
          <t>FY21-22</t>
        </is>
      </c>
      <c r="C111" t="inlineStr">
        <is>
          <t>CW</t>
        </is>
      </c>
      <c r="D111" t="inlineStr">
        <is>
          <t>09:18</t>
        </is>
      </c>
      <c r="E111" t="n">
        <v>4</v>
      </c>
      <c r="F111" t="n">
        <v>-38.07</v>
      </c>
      <c r="G111" t="n">
        <v>1582.48</v>
      </c>
      <c r="H111" t="n">
        <v>-38.07</v>
      </c>
      <c r="I111" s="7">
        <f>F111*Summary!$B$5</f>
        <v/>
      </c>
      <c r="J111" s="7">
        <f>G111*Summary!$B$5</f>
        <v/>
      </c>
      <c r="K111" s="7">
        <f>H111*Summary!$B$5</f>
        <v/>
      </c>
    </row>
    <row r="112">
      <c r="A112" s="8" t="n">
        <v>44362</v>
      </c>
      <c r="B112" t="inlineStr">
        <is>
          <t>FY21-22</t>
        </is>
      </c>
      <c r="C112" t="inlineStr">
        <is>
          <t>CW</t>
        </is>
      </c>
      <c r="D112" t="inlineStr">
        <is>
          <t>09:18</t>
        </is>
      </c>
      <c r="E112" t="n">
        <v>3</v>
      </c>
      <c r="F112" t="n">
        <v>20.99</v>
      </c>
      <c r="G112" t="n">
        <v>1603.47</v>
      </c>
      <c r="H112" t="n">
        <v>-17.08</v>
      </c>
      <c r="I112" s="7">
        <f>F112*Summary!$B$5</f>
        <v/>
      </c>
      <c r="J112" s="7">
        <f>G112*Summary!$B$5</f>
        <v/>
      </c>
      <c r="K112" s="7">
        <f>H112*Summary!$B$5</f>
        <v/>
      </c>
    </row>
    <row r="113">
      <c r="A113" s="8" t="n">
        <v>44363</v>
      </c>
      <c r="B113" t="inlineStr">
        <is>
          <t>FY21-22</t>
        </is>
      </c>
      <c r="C113" t="inlineStr">
        <is>
          <t>CW</t>
        </is>
      </c>
      <c r="D113" t="inlineStr">
        <is>
          <t>09:17</t>
        </is>
      </c>
      <c r="E113" t="n">
        <v>2</v>
      </c>
      <c r="F113" t="n">
        <v>-14.8</v>
      </c>
      <c r="G113" t="n">
        <v>1588.67</v>
      </c>
      <c r="H113" t="n">
        <v>-31.89</v>
      </c>
      <c r="I113" s="7">
        <f>F113*Summary!$B$5</f>
        <v/>
      </c>
      <c r="J113" s="7">
        <f>G113*Summary!$B$5</f>
        <v/>
      </c>
      <c r="K113" s="7">
        <f>H113*Summary!$B$5</f>
        <v/>
      </c>
    </row>
    <row r="114">
      <c r="A114" s="8" t="n">
        <v>44364</v>
      </c>
      <c r="B114" t="inlineStr">
        <is>
          <t>FY21-22</t>
        </is>
      </c>
      <c r="C114" t="inlineStr">
        <is>
          <t>CW</t>
        </is>
      </c>
      <c r="D114" t="inlineStr">
        <is>
          <t>09:17</t>
        </is>
      </c>
      <c r="E114" t="n">
        <v>1</v>
      </c>
      <c r="F114" t="n">
        <v>38.09</v>
      </c>
      <c r="G114" t="n">
        <v>1626.76</v>
      </c>
      <c r="H114" t="n">
        <v>0</v>
      </c>
      <c r="I114" s="7">
        <f>F114*Summary!$B$5</f>
        <v/>
      </c>
      <c r="J114" s="7">
        <f>G114*Summary!$B$5</f>
        <v/>
      </c>
      <c r="K114" s="7">
        <f>H114*Summary!$B$5</f>
        <v/>
      </c>
    </row>
    <row r="115">
      <c r="A115" s="8" t="n">
        <v>44365</v>
      </c>
      <c r="B115" t="inlineStr">
        <is>
          <t>FY21-22</t>
        </is>
      </c>
      <c r="C115" t="inlineStr"/>
      <c r="D115" t="inlineStr"/>
      <c r="E115" t="n">
        <v>0</v>
      </c>
      <c r="F115" t="n">
        <v>0</v>
      </c>
      <c r="G115" t="n">
        <v>1626.76</v>
      </c>
      <c r="H115" t="n">
        <v>0</v>
      </c>
      <c r="I115" s="7">
        <f>F115*Summary!$B$5</f>
        <v/>
      </c>
      <c r="J115" s="7">
        <f>G115*Summary!$B$5</f>
        <v/>
      </c>
      <c r="K115" s="7">
        <f>H115*Summary!$B$5</f>
        <v/>
      </c>
    </row>
    <row r="116">
      <c r="A116" s="8" t="n">
        <v>44368</v>
      </c>
      <c r="B116" t="inlineStr">
        <is>
          <t>FY21-22</t>
        </is>
      </c>
      <c r="C116" t="inlineStr">
        <is>
          <t>CW</t>
        </is>
      </c>
      <c r="D116" t="inlineStr">
        <is>
          <t>09:18</t>
        </is>
      </c>
      <c r="E116" t="n">
        <v>4</v>
      </c>
      <c r="F116" t="n">
        <v>23.11</v>
      </c>
      <c r="G116" t="n">
        <v>1649.87</v>
      </c>
      <c r="H116" t="n">
        <v>0</v>
      </c>
      <c r="I116" s="7">
        <f>F116*Summary!$B$5</f>
        <v/>
      </c>
      <c r="J116" s="7">
        <f>G116*Summary!$B$5</f>
        <v/>
      </c>
      <c r="K116" s="7">
        <f>H116*Summary!$B$5</f>
        <v/>
      </c>
    </row>
    <row r="117">
      <c r="A117" s="8" t="n">
        <v>44369</v>
      </c>
      <c r="B117" t="inlineStr">
        <is>
          <t>FY21-22</t>
        </is>
      </c>
      <c r="C117" t="inlineStr"/>
      <c r="D117" t="inlineStr"/>
      <c r="E117" t="n">
        <v>0</v>
      </c>
      <c r="F117" t="n">
        <v>0</v>
      </c>
      <c r="G117" t="n">
        <v>1649.87</v>
      </c>
      <c r="H117" t="n">
        <v>0</v>
      </c>
      <c r="I117" s="7">
        <f>F117*Summary!$B$5</f>
        <v/>
      </c>
      <c r="J117" s="7">
        <f>G117*Summary!$B$5</f>
        <v/>
      </c>
      <c r="K117" s="7">
        <f>H117*Summary!$B$5</f>
        <v/>
      </c>
    </row>
    <row r="118">
      <c r="A118" s="8" t="n">
        <v>44370</v>
      </c>
      <c r="B118" t="inlineStr">
        <is>
          <t>FY21-22</t>
        </is>
      </c>
      <c r="C118" t="inlineStr">
        <is>
          <t>CW</t>
        </is>
      </c>
      <c r="D118" t="inlineStr">
        <is>
          <t>09:16</t>
        </is>
      </c>
      <c r="E118" t="n">
        <v>2</v>
      </c>
      <c r="F118" t="n">
        <v>-36.88</v>
      </c>
      <c r="G118" t="n">
        <v>1613</v>
      </c>
      <c r="H118" t="n">
        <v>-36.88</v>
      </c>
      <c r="I118" s="7">
        <f>F118*Summary!$B$5</f>
        <v/>
      </c>
      <c r="J118" s="7">
        <f>G118*Summary!$B$5</f>
        <v/>
      </c>
      <c r="K118" s="7">
        <f>H118*Summary!$B$5</f>
        <v/>
      </c>
    </row>
    <row r="119">
      <c r="A119" s="8" t="n">
        <v>44371</v>
      </c>
      <c r="B119" t="inlineStr">
        <is>
          <t>FY21-22</t>
        </is>
      </c>
      <c r="C119" t="inlineStr">
        <is>
          <t>CW</t>
        </is>
      </c>
      <c r="D119" t="inlineStr">
        <is>
          <t>09:17</t>
        </is>
      </c>
      <c r="E119" t="n">
        <v>1</v>
      </c>
      <c r="F119" t="n">
        <v>44.21</v>
      </c>
      <c r="G119" t="n">
        <v>1657.21</v>
      </c>
      <c r="H119" t="n">
        <v>0</v>
      </c>
      <c r="I119" s="7">
        <f>F119*Summary!$B$5</f>
        <v/>
      </c>
      <c r="J119" s="7">
        <f>G119*Summary!$B$5</f>
        <v/>
      </c>
      <c r="K119" s="7">
        <f>H119*Summary!$B$5</f>
        <v/>
      </c>
    </row>
    <row r="120">
      <c r="A120" s="8" t="n">
        <v>44372</v>
      </c>
      <c r="B120" t="inlineStr">
        <is>
          <t>FY21-22</t>
        </is>
      </c>
      <c r="C120" t="inlineStr">
        <is>
          <t>CW</t>
        </is>
      </c>
      <c r="D120" t="inlineStr">
        <is>
          <t>09:18</t>
        </is>
      </c>
      <c r="E120" t="n">
        <v>6</v>
      </c>
      <c r="F120" t="n">
        <v>30.92</v>
      </c>
      <c r="G120" t="n">
        <v>1688.13</v>
      </c>
      <c r="H120" t="n">
        <v>0</v>
      </c>
      <c r="I120" s="7">
        <f>F120*Summary!$B$5</f>
        <v/>
      </c>
      <c r="J120" s="7">
        <f>G120*Summary!$B$5</f>
        <v/>
      </c>
      <c r="K120" s="7">
        <f>H120*Summary!$B$5</f>
        <v/>
      </c>
    </row>
    <row r="121">
      <c r="A121" s="8" t="n">
        <v>44375</v>
      </c>
      <c r="B121" t="inlineStr">
        <is>
          <t>FY21-22</t>
        </is>
      </c>
      <c r="C121" t="inlineStr">
        <is>
          <t>n/a</t>
        </is>
      </c>
      <c r="D121" t="inlineStr"/>
      <c r="E121" t="n">
        <v>0</v>
      </c>
      <c r="F121" t="n">
        <v>12.13</v>
      </c>
      <c r="G121" t="n">
        <v>1700.26</v>
      </c>
      <c r="H121" t="n">
        <v>0</v>
      </c>
      <c r="I121" s="7">
        <f>F121*Summary!$B$5</f>
        <v/>
      </c>
      <c r="J121" s="7">
        <f>G121*Summary!$B$5</f>
        <v/>
      </c>
      <c r="K121" s="7">
        <f>H121*Summary!$B$5</f>
        <v/>
      </c>
    </row>
    <row r="122">
      <c r="A122" s="8" t="n">
        <v>44376</v>
      </c>
      <c r="B122" t="inlineStr">
        <is>
          <t>FY21-22</t>
        </is>
      </c>
      <c r="C122" t="inlineStr">
        <is>
          <t>CW</t>
        </is>
      </c>
      <c r="D122" t="inlineStr">
        <is>
          <t>09:18</t>
        </is>
      </c>
      <c r="E122" t="n">
        <v>3</v>
      </c>
      <c r="F122" t="n">
        <v>43.65</v>
      </c>
      <c r="G122" t="n">
        <v>1743.91</v>
      </c>
      <c r="H122" t="n">
        <v>0</v>
      </c>
      <c r="I122" s="7">
        <f>F122*Summary!$B$5</f>
        <v/>
      </c>
      <c r="J122" s="7">
        <f>G122*Summary!$B$5</f>
        <v/>
      </c>
      <c r="K122" s="7">
        <f>H122*Summary!$B$5</f>
        <v/>
      </c>
    </row>
    <row r="123">
      <c r="A123" s="8" t="n">
        <v>44377</v>
      </c>
      <c r="B123" t="inlineStr">
        <is>
          <t>FY21-22</t>
        </is>
      </c>
      <c r="C123" t="inlineStr">
        <is>
          <t>NW</t>
        </is>
      </c>
      <c r="D123" t="inlineStr"/>
      <c r="E123" t="n">
        <v>0</v>
      </c>
      <c r="F123" t="n">
        <v>5.83</v>
      </c>
      <c r="G123" t="n">
        <v>1749.73</v>
      </c>
      <c r="H123" t="n">
        <v>0</v>
      </c>
      <c r="I123" s="7">
        <f>F123*Summary!$B$5</f>
        <v/>
      </c>
      <c r="J123" s="7">
        <f>G123*Summary!$B$5</f>
        <v/>
      </c>
      <c r="K123" s="7">
        <f>H123*Summary!$B$5</f>
        <v/>
      </c>
    </row>
    <row r="124">
      <c r="A124" s="8" t="n">
        <v>44378</v>
      </c>
      <c r="B124" t="inlineStr">
        <is>
          <t>FY21-22</t>
        </is>
      </c>
      <c r="C124" t="inlineStr">
        <is>
          <t>CW</t>
        </is>
      </c>
      <c r="D124" t="inlineStr">
        <is>
          <t>09:18</t>
        </is>
      </c>
      <c r="E124" t="n">
        <v>1</v>
      </c>
      <c r="F124" t="n">
        <v>21.35</v>
      </c>
      <c r="G124" t="n">
        <v>1771.09</v>
      </c>
      <c r="H124" t="n">
        <v>0</v>
      </c>
      <c r="I124" s="7">
        <f>F124*Summary!$B$5</f>
        <v/>
      </c>
      <c r="J124" s="7">
        <f>G124*Summary!$B$5</f>
        <v/>
      </c>
      <c r="K124" s="7">
        <f>H124*Summary!$B$5</f>
        <v/>
      </c>
    </row>
    <row r="125">
      <c r="A125" s="8" t="n">
        <v>44379</v>
      </c>
      <c r="B125" t="inlineStr">
        <is>
          <t>FY21-22</t>
        </is>
      </c>
      <c r="C125" t="inlineStr">
        <is>
          <t>CW</t>
        </is>
      </c>
      <c r="D125" t="inlineStr">
        <is>
          <t>09:18</t>
        </is>
      </c>
      <c r="E125" t="n">
        <v>6</v>
      </c>
      <c r="F125" t="n">
        <v>24.36</v>
      </c>
      <c r="G125" t="n">
        <v>1795.44</v>
      </c>
      <c r="H125" t="n">
        <v>0</v>
      </c>
      <c r="I125" s="7">
        <f>F125*Summary!$B$5</f>
        <v/>
      </c>
      <c r="J125" s="7">
        <f>G125*Summary!$B$5</f>
        <v/>
      </c>
      <c r="K125" s="7">
        <f>H125*Summary!$B$5</f>
        <v/>
      </c>
    </row>
    <row r="126">
      <c r="A126" s="8" t="n">
        <v>44382</v>
      </c>
      <c r="B126" t="inlineStr">
        <is>
          <t>FY21-22</t>
        </is>
      </c>
      <c r="C126" t="inlineStr"/>
      <c r="D126" t="inlineStr"/>
      <c r="E126" t="n">
        <v>0</v>
      </c>
      <c r="F126" t="n">
        <v>0</v>
      </c>
      <c r="G126" t="n">
        <v>1795.44</v>
      </c>
      <c r="H126" t="n">
        <v>0</v>
      </c>
      <c r="I126" s="7">
        <f>F126*Summary!$B$5</f>
        <v/>
      </c>
      <c r="J126" s="7">
        <f>G126*Summary!$B$5</f>
        <v/>
      </c>
      <c r="K126" s="7">
        <f>H126*Summary!$B$5</f>
        <v/>
      </c>
    </row>
    <row r="127">
      <c r="A127" s="8" t="n">
        <v>44383</v>
      </c>
      <c r="B127" t="inlineStr">
        <is>
          <t>FY21-22</t>
        </is>
      </c>
      <c r="C127" t="inlineStr">
        <is>
          <t>CW</t>
        </is>
      </c>
      <c r="D127" t="inlineStr">
        <is>
          <t>09:18</t>
        </is>
      </c>
      <c r="E127" t="n">
        <v>3</v>
      </c>
      <c r="F127" t="n">
        <v>2.69</v>
      </c>
      <c r="G127" t="n">
        <v>1798.13</v>
      </c>
      <c r="H127" t="n">
        <v>0</v>
      </c>
      <c r="I127" s="7">
        <f>F127*Summary!$B$5</f>
        <v/>
      </c>
      <c r="J127" s="7">
        <f>G127*Summary!$B$5</f>
        <v/>
      </c>
      <c r="K127" s="7">
        <f>H127*Summary!$B$5</f>
        <v/>
      </c>
    </row>
    <row r="128">
      <c r="A128" s="8" t="n">
        <v>44384</v>
      </c>
      <c r="B128" t="inlineStr">
        <is>
          <t>FY21-22</t>
        </is>
      </c>
      <c r="C128" t="inlineStr">
        <is>
          <t>CW</t>
        </is>
      </c>
      <c r="D128" t="inlineStr">
        <is>
          <t>09:18</t>
        </is>
      </c>
      <c r="E128" t="n">
        <v>2</v>
      </c>
      <c r="F128" t="n">
        <v>-6.07</v>
      </c>
      <c r="G128" t="n">
        <v>1792.06</v>
      </c>
      <c r="H128" t="n">
        <v>-6.07</v>
      </c>
      <c r="I128" s="7">
        <f>F128*Summary!$B$5</f>
        <v/>
      </c>
      <c r="J128" s="7">
        <f>G128*Summary!$B$5</f>
        <v/>
      </c>
      <c r="K128" s="7">
        <f>H128*Summary!$B$5</f>
        <v/>
      </c>
    </row>
    <row r="129">
      <c r="A129" s="8" t="n">
        <v>44385</v>
      </c>
      <c r="B129" t="inlineStr">
        <is>
          <t>FY21-22</t>
        </is>
      </c>
      <c r="C129" t="inlineStr"/>
      <c r="D129" t="inlineStr"/>
      <c r="E129" t="n">
        <v>0</v>
      </c>
      <c r="F129" t="n">
        <v>0</v>
      </c>
      <c r="G129" t="n">
        <v>1792.06</v>
      </c>
      <c r="H129" t="n">
        <v>-6.07</v>
      </c>
      <c r="I129" s="7">
        <f>F129*Summary!$B$5</f>
        <v/>
      </c>
      <c r="J129" s="7">
        <f>G129*Summary!$B$5</f>
        <v/>
      </c>
      <c r="K129" s="7">
        <f>H129*Summary!$B$5</f>
        <v/>
      </c>
    </row>
    <row r="130">
      <c r="A130" s="8" t="n">
        <v>44386</v>
      </c>
      <c r="B130" t="inlineStr">
        <is>
          <t>FY21-22</t>
        </is>
      </c>
      <c r="C130" t="inlineStr">
        <is>
          <t>CW</t>
        </is>
      </c>
      <c r="D130" t="inlineStr">
        <is>
          <t>09:18</t>
        </is>
      </c>
      <c r="E130" t="n">
        <v>6</v>
      </c>
      <c r="F130" t="n">
        <v>26.49</v>
      </c>
      <c r="G130" t="n">
        <v>1818.56</v>
      </c>
      <c r="H130" t="n">
        <v>0</v>
      </c>
      <c r="I130" s="7">
        <f>F130*Summary!$B$5</f>
        <v/>
      </c>
      <c r="J130" s="7">
        <f>G130*Summary!$B$5</f>
        <v/>
      </c>
      <c r="K130" s="7">
        <f>H130*Summary!$B$5</f>
        <v/>
      </c>
    </row>
    <row r="131">
      <c r="A131" s="8" t="n">
        <v>44389</v>
      </c>
      <c r="B131" t="inlineStr">
        <is>
          <t>FY21-22</t>
        </is>
      </c>
      <c r="C131" t="inlineStr">
        <is>
          <t>n/a</t>
        </is>
      </c>
      <c r="D131" t="inlineStr"/>
      <c r="E131" t="n">
        <v>0</v>
      </c>
      <c r="F131" t="n">
        <v>-3.98</v>
      </c>
      <c r="G131" t="n">
        <v>1814.58</v>
      </c>
      <c r="H131" t="n">
        <v>-3.98</v>
      </c>
      <c r="I131" s="7">
        <f>F131*Summary!$B$5</f>
        <v/>
      </c>
      <c r="J131" s="7">
        <f>G131*Summary!$B$5</f>
        <v/>
      </c>
      <c r="K131" s="7">
        <f>H131*Summary!$B$5</f>
        <v/>
      </c>
    </row>
    <row r="132">
      <c r="A132" s="8" t="n">
        <v>44390</v>
      </c>
      <c r="B132" t="inlineStr">
        <is>
          <t>FY21-22</t>
        </is>
      </c>
      <c r="C132" t="inlineStr"/>
      <c r="D132" t="inlineStr"/>
      <c r="E132" t="n">
        <v>0</v>
      </c>
      <c r="F132" t="n">
        <v>0</v>
      </c>
      <c r="G132" t="n">
        <v>1814.58</v>
      </c>
      <c r="H132" t="n">
        <v>-3.98</v>
      </c>
      <c r="I132" s="7">
        <f>F132*Summary!$B$5</f>
        <v/>
      </c>
      <c r="J132" s="7">
        <f>G132*Summary!$B$5</f>
        <v/>
      </c>
      <c r="K132" s="7">
        <f>H132*Summary!$B$5</f>
        <v/>
      </c>
    </row>
    <row r="133">
      <c r="A133" s="8" t="n">
        <v>44391</v>
      </c>
      <c r="B133" t="inlineStr">
        <is>
          <t>FY21-22</t>
        </is>
      </c>
      <c r="C133" t="inlineStr">
        <is>
          <t>CW</t>
        </is>
      </c>
      <c r="D133" t="inlineStr">
        <is>
          <t>09:18</t>
        </is>
      </c>
      <c r="E133" t="n">
        <v>2</v>
      </c>
      <c r="F133" t="n">
        <v>7.14</v>
      </c>
      <c r="G133" t="n">
        <v>1821.72</v>
      </c>
      <c r="H133" t="n">
        <v>0</v>
      </c>
      <c r="I133" s="7">
        <f>F133*Summary!$B$5</f>
        <v/>
      </c>
      <c r="J133" s="7">
        <f>G133*Summary!$B$5</f>
        <v/>
      </c>
      <c r="K133" s="7">
        <f>H133*Summary!$B$5</f>
        <v/>
      </c>
    </row>
    <row r="134">
      <c r="A134" s="8" t="n">
        <v>44392</v>
      </c>
      <c r="B134" t="inlineStr">
        <is>
          <t>FY21-22</t>
        </is>
      </c>
      <c r="C134" t="inlineStr">
        <is>
          <t>CW</t>
        </is>
      </c>
      <c r="D134" t="inlineStr">
        <is>
          <t>09:18</t>
        </is>
      </c>
      <c r="E134" t="n">
        <v>1</v>
      </c>
      <c r="F134" t="n">
        <v>8.619999999999999</v>
      </c>
      <c r="G134" t="n">
        <v>1830.35</v>
      </c>
      <c r="H134" t="n">
        <v>0</v>
      </c>
      <c r="I134" s="7">
        <f>F134*Summary!$B$5</f>
        <v/>
      </c>
      <c r="J134" s="7">
        <f>G134*Summary!$B$5</f>
        <v/>
      </c>
      <c r="K134" s="7">
        <f>H134*Summary!$B$5</f>
        <v/>
      </c>
    </row>
    <row r="135">
      <c r="A135" s="8" t="n">
        <v>44393</v>
      </c>
      <c r="B135" t="inlineStr">
        <is>
          <t>FY21-22</t>
        </is>
      </c>
      <c r="C135" t="inlineStr">
        <is>
          <t>CW</t>
        </is>
      </c>
      <c r="D135" t="inlineStr">
        <is>
          <t>09:17</t>
        </is>
      </c>
      <c r="E135" t="n">
        <v>6</v>
      </c>
      <c r="F135" t="n">
        <v>7.62</v>
      </c>
      <c r="G135" t="n">
        <v>1837.97</v>
      </c>
      <c r="H135" t="n">
        <v>0</v>
      </c>
      <c r="I135" s="7">
        <f>F135*Summary!$B$5</f>
        <v/>
      </c>
      <c r="J135" s="7">
        <f>G135*Summary!$B$5</f>
        <v/>
      </c>
      <c r="K135" s="7">
        <f>H135*Summary!$B$5</f>
        <v/>
      </c>
    </row>
    <row r="136">
      <c r="A136" s="8" t="n">
        <v>44396</v>
      </c>
      <c r="B136" t="inlineStr">
        <is>
          <t>FY21-22</t>
        </is>
      </c>
      <c r="C136" t="inlineStr">
        <is>
          <t>CW</t>
        </is>
      </c>
      <c r="D136" t="inlineStr">
        <is>
          <t>13:07</t>
        </is>
      </c>
      <c r="E136" t="n">
        <v>4</v>
      </c>
      <c r="F136" t="n">
        <v>28.48</v>
      </c>
      <c r="G136" t="n">
        <v>1866.45</v>
      </c>
      <c r="H136" t="n">
        <v>0</v>
      </c>
      <c r="I136" s="7">
        <f>F136*Summary!$B$5</f>
        <v/>
      </c>
      <c r="J136" s="7">
        <f>G136*Summary!$B$5</f>
        <v/>
      </c>
      <c r="K136" s="7">
        <f>H136*Summary!$B$5</f>
        <v/>
      </c>
    </row>
    <row r="137">
      <c r="A137" s="8" t="n">
        <v>44397</v>
      </c>
      <c r="B137" t="inlineStr">
        <is>
          <t>FY21-22</t>
        </is>
      </c>
      <c r="C137" t="inlineStr"/>
      <c r="D137" t="inlineStr"/>
      <c r="E137" t="n">
        <v>0</v>
      </c>
      <c r="F137" t="n">
        <v>0</v>
      </c>
      <c r="G137" t="n">
        <v>1866.45</v>
      </c>
      <c r="H137" t="n">
        <v>0</v>
      </c>
      <c r="I137" s="7">
        <f>F137*Summary!$B$5</f>
        <v/>
      </c>
      <c r="J137" s="7">
        <f>G137*Summary!$B$5</f>
        <v/>
      </c>
      <c r="K137" s="7">
        <f>H137*Summary!$B$5</f>
        <v/>
      </c>
    </row>
    <row r="138">
      <c r="A138" s="8" t="n">
        <v>44399</v>
      </c>
      <c r="B138" t="inlineStr">
        <is>
          <t>FY21-22</t>
        </is>
      </c>
      <c r="C138" t="inlineStr">
        <is>
          <t>CW</t>
        </is>
      </c>
      <c r="D138" t="inlineStr">
        <is>
          <t>09:18</t>
        </is>
      </c>
      <c r="E138" t="n">
        <v>1</v>
      </c>
      <c r="F138" t="n">
        <v>2.7</v>
      </c>
      <c r="G138" t="n">
        <v>1869.15</v>
      </c>
      <c r="H138" t="n">
        <v>0</v>
      </c>
      <c r="I138" s="7">
        <f>F138*Summary!$B$5</f>
        <v/>
      </c>
      <c r="J138" s="7">
        <f>G138*Summary!$B$5</f>
        <v/>
      </c>
      <c r="K138" s="7">
        <f>H138*Summary!$B$5</f>
        <v/>
      </c>
    </row>
    <row r="139">
      <c r="A139" s="8" t="n">
        <v>44400</v>
      </c>
      <c r="B139" t="inlineStr">
        <is>
          <t>FY21-22</t>
        </is>
      </c>
      <c r="C139" t="inlineStr"/>
      <c r="D139" t="inlineStr"/>
      <c r="E139" t="n">
        <v>0</v>
      </c>
      <c r="F139" t="n">
        <v>0</v>
      </c>
      <c r="G139" t="n">
        <v>1869.15</v>
      </c>
      <c r="H139" t="n">
        <v>0</v>
      </c>
      <c r="I139" s="7">
        <f>F139*Summary!$B$5</f>
        <v/>
      </c>
      <c r="J139" s="7">
        <f>G139*Summary!$B$5</f>
        <v/>
      </c>
      <c r="K139" s="7">
        <f>H139*Summary!$B$5</f>
        <v/>
      </c>
    </row>
    <row r="140">
      <c r="A140" s="8" t="n">
        <v>44403</v>
      </c>
      <c r="B140" t="inlineStr">
        <is>
          <t>FY21-22</t>
        </is>
      </c>
      <c r="C140" t="inlineStr">
        <is>
          <t>CW</t>
        </is>
      </c>
      <c r="D140" t="inlineStr">
        <is>
          <t>09:18</t>
        </is>
      </c>
      <c r="E140" t="n">
        <v>4</v>
      </c>
      <c r="F140" t="n">
        <v>16.64</v>
      </c>
      <c r="G140" t="n">
        <v>1885.79</v>
      </c>
      <c r="H140" t="n">
        <v>0</v>
      </c>
      <c r="I140" s="7">
        <f>F140*Summary!$B$5</f>
        <v/>
      </c>
      <c r="J140" s="7">
        <f>G140*Summary!$B$5</f>
        <v/>
      </c>
      <c r="K140" s="7">
        <f>H140*Summary!$B$5</f>
        <v/>
      </c>
    </row>
    <row r="141">
      <c r="A141" s="8" t="n">
        <v>44404</v>
      </c>
      <c r="B141" t="inlineStr">
        <is>
          <t>FY21-22</t>
        </is>
      </c>
      <c r="C141" t="inlineStr"/>
      <c r="D141" t="inlineStr"/>
      <c r="E141" t="n">
        <v>0</v>
      </c>
      <c r="F141" t="n">
        <v>0</v>
      </c>
      <c r="G141" t="n">
        <v>1885.79</v>
      </c>
      <c r="H141" t="n">
        <v>0</v>
      </c>
      <c r="I141" s="7">
        <f>F141*Summary!$B$5</f>
        <v/>
      </c>
      <c r="J141" s="7">
        <f>G141*Summary!$B$5</f>
        <v/>
      </c>
      <c r="K141" s="7">
        <f>H141*Summary!$B$5</f>
        <v/>
      </c>
    </row>
    <row r="142">
      <c r="A142" s="8" t="n">
        <v>44405</v>
      </c>
      <c r="B142" t="inlineStr">
        <is>
          <t>FY21-22</t>
        </is>
      </c>
      <c r="C142" t="inlineStr">
        <is>
          <t>CW</t>
        </is>
      </c>
      <c r="D142" t="inlineStr">
        <is>
          <t>09:18</t>
        </is>
      </c>
      <c r="E142" t="n">
        <v>2</v>
      </c>
      <c r="F142" t="n">
        <v>-40.2</v>
      </c>
      <c r="G142" t="n">
        <v>1845.59</v>
      </c>
      <c r="H142" t="n">
        <v>-40.2</v>
      </c>
      <c r="I142" s="7">
        <f>F142*Summary!$B$5</f>
        <v/>
      </c>
      <c r="J142" s="7">
        <f>G142*Summary!$B$5</f>
        <v/>
      </c>
      <c r="K142" s="7">
        <f>H142*Summary!$B$5</f>
        <v/>
      </c>
    </row>
    <row r="143">
      <c r="A143" s="8" t="n">
        <v>44406</v>
      </c>
      <c r="B143" t="inlineStr">
        <is>
          <t>FY21-22</t>
        </is>
      </c>
      <c r="C143" t="inlineStr">
        <is>
          <t>NW</t>
        </is>
      </c>
      <c r="D143" t="inlineStr"/>
      <c r="E143" t="n">
        <v>0</v>
      </c>
      <c r="F143" t="n">
        <v>16.93</v>
      </c>
      <c r="G143" t="n">
        <v>1862.52</v>
      </c>
      <c r="H143" t="n">
        <v>-23.27</v>
      </c>
      <c r="I143" s="7">
        <f>F143*Summary!$B$5</f>
        <v/>
      </c>
      <c r="J143" s="7">
        <f>G143*Summary!$B$5</f>
        <v/>
      </c>
      <c r="K143" s="7">
        <f>H143*Summary!$B$5</f>
        <v/>
      </c>
    </row>
    <row r="144">
      <c r="A144" s="8" t="n">
        <v>44407</v>
      </c>
      <c r="B144" t="inlineStr">
        <is>
          <t>FY21-22</t>
        </is>
      </c>
      <c r="C144" t="inlineStr">
        <is>
          <t>n/a</t>
        </is>
      </c>
      <c r="D144" t="inlineStr"/>
      <c r="E144" t="n">
        <v>0</v>
      </c>
      <c r="F144" t="n">
        <v>14.08</v>
      </c>
      <c r="G144" t="n">
        <v>1876.59</v>
      </c>
      <c r="H144" t="n">
        <v>-9.19</v>
      </c>
      <c r="I144" s="7">
        <f>F144*Summary!$B$5</f>
        <v/>
      </c>
      <c r="J144" s="7">
        <f>G144*Summary!$B$5</f>
        <v/>
      </c>
      <c r="K144" s="7">
        <f>H144*Summary!$B$5</f>
        <v/>
      </c>
    </row>
    <row r="145">
      <c r="A145" s="8" t="n">
        <v>44410</v>
      </c>
      <c r="B145" t="inlineStr">
        <is>
          <t>FY21-22</t>
        </is>
      </c>
      <c r="C145" t="inlineStr"/>
      <c r="D145" t="inlineStr"/>
      <c r="E145" t="n">
        <v>0</v>
      </c>
      <c r="F145" t="n">
        <v>0</v>
      </c>
      <c r="G145" t="n">
        <v>1876.59</v>
      </c>
      <c r="H145" t="n">
        <v>-9.19</v>
      </c>
      <c r="I145" s="7">
        <f>F145*Summary!$B$5</f>
        <v/>
      </c>
      <c r="J145" s="7">
        <f>G145*Summary!$B$5</f>
        <v/>
      </c>
      <c r="K145" s="7">
        <f>H145*Summary!$B$5</f>
        <v/>
      </c>
    </row>
    <row r="146">
      <c r="A146" s="8" t="n">
        <v>44411</v>
      </c>
      <c r="B146" t="inlineStr">
        <is>
          <t>FY21-22</t>
        </is>
      </c>
      <c r="C146" t="inlineStr">
        <is>
          <t>CW</t>
        </is>
      </c>
      <c r="D146" t="inlineStr">
        <is>
          <t>09:18</t>
        </is>
      </c>
      <c r="E146" t="n">
        <v>3</v>
      </c>
      <c r="F146" t="n">
        <v>-38</v>
      </c>
      <c r="G146" t="n">
        <v>1838.59</v>
      </c>
      <c r="H146" t="n">
        <v>-47.2</v>
      </c>
      <c r="I146" s="7">
        <f>F146*Summary!$B$5</f>
        <v/>
      </c>
      <c r="J146" s="7">
        <f>G146*Summary!$B$5</f>
        <v/>
      </c>
      <c r="K146" s="7">
        <f>H146*Summary!$B$5</f>
        <v/>
      </c>
    </row>
    <row r="147">
      <c r="A147" s="8" t="n">
        <v>44412</v>
      </c>
      <c r="B147" t="inlineStr">
        <is>
          <t>FY21-22</t>
        </is>
      </c>
      <c r="C147" t="inlineStr">
        <is>
          <t>CW</t>
        </is>
      </c>
      <c r="D147" t="inlineStr">
        <is>
          <t>09:16</t>
        </is>
      </c>
      <c r="E147" t="n">
        <v>2</v>
      </c>
      <c r="F147" t="n">
        <v>38.42</v>
      </c>
      <c r="G147" t="n">
        <v>1877.01</v>
      </c>
      <c r="H147" t="n">
        <v>-8.779999999999999</v>
      </c>
      <c r="I147" s="7">
        <f>F147*Summary!$B$5</f>
        <v/>
      </c>
      <c r="J147" s="7">
        <f>G147*Summary!$B$5</f>
        <v/>
      </c>
      <c r="K147" s="7">
        <f>H147*Summary!$B$5</f>
        <v/>
      </c>
    </row>
    <row r="148">
      <c r="A148" s="8" t="n">
        <v>44413</v>
      </c>
      <c r="B148" t="inlineStr">
        <is>
          <t>FY21-22</t>
        </is>
      </c>
      <c r="C148" t="inlineStr">
        <is>
          <t>NW</t>
        </is>
      </c>
      <c r="D148" t="inlineStr"/>
      <c r="E148" t="n">
        <v>1</v>
      </c>
      <c r="F148" t="n">
        <v>17.89</v>
      </c>
      <c r="G148" t="n">
        <v>1894.9</v>
      </c>
      <c r="H148" t="n">
        <v>0</v>
      </c>
      <c r="I148" s="7">
        <f>F148*Summary!$B$5</f>
        <v/>
      </c>
      <c r="J148" s="7">
        <f>G148*Summary!$B$5</f>
        <v/>
      </c>
      <c r="K148" s="7">
        <f>H148*Summary!$B$5</f>
        <v/>
      </c>
    </row>
    <row r="149">
      <c r="A149" s="8" t="n">
        <v>44414</v>
      </c>
      <c r="B149" t="inlineStr">
        <is>
          <t>FY21-22</t>
        </is>
      </c>
      <c r="C149" t="inlineStr">
        <is>
          <t>CW</t>
        </is>
      </c>
      <c r="D149" t="inlineStr">
        <is>
          <t>09:16</t>
        </is>
      </c>
      <c r="E149" t="n">
        <v>6</v>
      </c>
      <c r="F149" t="n">
        <v>25.82</v>
      </c>
      <c r="G149" t="n">
        <v>1920.72</v>
      </c>
      <c r="H149" t="n">
        <v>0</v>
      </c>
      <c r="I149" s="7">
        <f>F149*Summary!$B$5</f>
        <v/>
      </c>
      <c r="J149" s="7">
        <f>G149*Summary!$B$5</f>
        <v/>
      </c>
      <c r="K149" s="7">
        <f>H149*Summary!$B$5</f>
        <v/>
      </c>
    </row>
    <row r="150">
      <c r="A150" s="8" t="n">
        <v>44417</v>
      </c>
      <c r="B150" t="inlineStr">
        <is>
          <t>FY21-22</t>
        </is>
      </c>
      <c r="C150" t="inlineStr">
        <is>
          <t>CW</t>
        </is>
      </c>
      <c r="D150" t="inlineStr">
        <is>
          <t>09:18</t>
        </is>
      </c>
      <c r="E150" t="n">
        <v>4</v>
      </c>
      <c r="F150" t="n">
        <v>8.76</v>
      </c>
      <c r="G150" t="n">
        <v>1929.49</v>
      </c>
      <c r="H150" t="n">
        <v>0</v>
      </c>
      <c r="I150" s="7">
        <f>F150*Summary!$B$5</f>
        <v/>
      </c>
      <c r="J150" s="7">
        <f>G150*Summary!$B$5</f>
        <v/>
      </c>
      <c r="K150" s="7">
        <f>H150*Summary!$B$5</f>
        <v/>
      </c>
    </row>
    <row r="151">
      <c r="A151" s="8" t="n">
        <v>44418</v>
      </c>
      <c r="B151" t="inlineStr">
        <is>
          <t>FY21-22</t>
        </is>
      </c>
      <c r="C151" t="inlineStr">
        <is>
          <t>CW</t>
        </is>
      </c>
      <c r="D151" t="inlineStr">
        <is>
          <t>09:18</t>
        </is>
      </c>
      <c r="E151" t="n">
        <v>3</v>
      </c>
      <c r="F151" t="n">
        <v>-8.08</v>
      </c>
      <c r="G151" t="n">
        <v>1921.41</v>
      </c>
      <c r="H151" t="n">
        <v>-8.08</v>
      </c>
      <c r="I151" s="7">
        <f>F151*Summary!$B$5</f>
        <v/>
      </c>
      <c r="J151" s="7">
        <f>G151*Summary!$B$5</f>
        <v/>
      </c>
      <c r="K151" s="7">
        <f>H151*Summary!$B$5</f>
        <v/>
      </c>
    </row>
    <row r="152">
      <c r="A152" s="8" t="n">
        <v>44419</v>
      </c>
      <c r="B152" t="inlineStr">
        <is>
          <t>FY21-22</t>
        </is>
      </c>
      <c r="C152" t="inlineStr">
        <is>
          <t>NW</t>
        </is>
      </c>
      <c r="D152" t="inlineStr"/>
      <c r="E152" t="n">
        <v>2</v>
      </c>
      <c r="F152" t="n">
        <v>9.890000000000001</v>
      </c>
      <c r="G152" t="n">
        <v>1931.3</v>
      </c>
      <c r="H152" t="n">
        <v>0</v>
      </c>
      <c r="I152" s="7">
        <f>F152*Summary!$B$5</f>
        <v/>
      </c>
      <c r="J152" s="7">
        <f>G152*Summary!$B$5</f>
        <v/>
      </c>
      <c r="K152" s="7">
        <f>H152*Summary!$B$5</f>
        <v/>
      </c>
    </row>
    <row r="153">
      <c r="A153" s="8" t="n">
        <v>44420</v>
      </c>
      <c r="B153" t="inlineStr">
        <is>
          <t>FY21-22</t>
        </is>
      </c>
      <c r="C153" t="inlineStr">
        <is>
          <t>NW</t>
        </is>
      </c>
      <c r="D153" t="inlineStr"/>
      <c r="E153" t="n">
        <v>1</v>
      </c>
      <c r="F153" t="n">
        <v>21.37</v>
      </c>
      <c r="G153" t="n">
        <v>1952.67</v>
      </c>
      <c r="H153" t="n">
        <v>0</v>
      </c>
      <c r="I153" s="7">
        <f>F153*Summary!$B$5</f>
        <v/>
      </c>
      <c r="J153" s="7">
        <f>G153*Summary!$B$5</f>
        <v/>
      </c>
      <c r="K153" s="7">
        <f>H153*Summary!$B$5</f>
        <v/>
      </c>
    </row>
    <row r="154">
      <c r="A154" s="8" t="n">
        <v>44421</v>
      </c>
      <c r="B154" t="inlineStr">
        <is>
          <t>FY21-22</t>
        </is>
      </c>
      <c r="C154" t="inlineStr"/>
      <c r="D154" t="inlineStr"/>
      <c r="E154" t="n">
        <v>0</v>
      </c>
      <c r="F154" t="n">
        <v>0</v>
      </c>
      <c r="G154" t="n">
        <v>1952.67</v>
      </c>
      <c r="H154" t="n">
        <v>0</v>
      </c>
      <c r="I154" s="7">
        <f>F154*Summary!$B$5</f>
        <v/>
      </c>
      <c r="J154" s="7">
        <f>G154*Summary!$B$5</f>
        <v/>
      </c>
      <c r="K154" s="7">
        <f>H154*Summary!$B$5</f>
        <v/>
      </c>
    </row>
    <row r="155">
      <c r="A155" s="8" t="n">
        <v>44424</v>
      </c>
      <c r="B155" t="inlineStr">
        <is>
          <t>FY21-22</t>
        </is>
      </c>
      <c r="C155" t="inlineStr">
        <is>
          <t>CW</t>
        </is>
      </c>
      <c r="D155" t="inlineStr">
        <is>
          <t>09:18</t>
        </is>
      </c>
      <c r="E155" t="n">
        <v>3</v>
      </c>
      <c r="F155" t="n">
        <v>15.68</v>
      </c>
      <c r="G155" t="n">
        <v>1968.35</v>
      </c>
      <c r="H155" t="n">
        <v>0</v>
      </c>
      <c r="I155" s="7">
        <f>F155*Summary!$B$5</f>
        <v/>
      </c>
      <c r="J155" s="7">
        <f>G155*Summary!$B$5</f>
        <v/>
      </c>
      <c r="K155" s="7">
        <f>H155*Summary!$B$5</f>
        <v/>
      </c>
    </row>
    <row r="156">
      <c r="A156" s="8" t="n">
        <v>44425</v>
      </c>
      <c r="B156" t="inlineStr">
        <is>
          <t>FY21-22</t>
        </is>
      </c>
      <c r="C156" t="inlineStr">
        <is>
          <t>CW</t>
        </is>
      </c>
      <c r="D156" t="inlineStr">
        <is>
          <t>09:16</t>
        </is>
      </c>
      <c r="E156" t="n">
        <v>2</v>
      </c>
      <c r="F156" t="n">
        <v>-2.04</v>
      </c>
      <c r="G156" t="n">
        <v>1966.32</v>
      </c>
      <c r="H156" t="n">
        <v>-2.04</v>
      </c>
      <c r="I156" s="7">
        <f>F156*Summary!$B$5</f>
        <v/>
      </c>
      <c r="J156" s="7">
        <f>G156*Summary!$B$5</f>
        <v/>
      </c>
      <c r="K156" s="7">
        <f>H156*Summary!$B$5</f>
        <v/>
      </c>
    </row>
    <row r="157">
      <c r="A157" s="8" t="n">
        <v>44426</v>
      </c>
      <c r="B157" t="inlineStr">
        <is>
          <t>FY21-22</t>
        </is>
      </c>
      <c r="C157" t="inlineStr"/>
      <c r="D157" t="inlineStr"/>
      <c r="E157" t="n">
        <v>0</v>
      </c>
      <c r="F157" t="n">
        <v>0</v>
      </c>
      <c r="G157" t="n">
        <v>1966.32</v>
      </c>
      <c r="H157" t="n">
        <v>-2.04</v>
      </c>
      <c r="I157" s="7">
        <f>F157*Summary!$B$5</f>
        <v/>
      </c>
      <c r="J157" s="7">
        <f>G157*Summary!$B$5</f>
        <v/>
      </c>
      <c r="K157" s="7">
        <f>H157*Summary!$B$5</f>
        <v/>
      </c>
    </row>
    <row r="158">
      <c r="A158" s="8" t="n">
        <v>44428</v>
      </c>
      <c r="B158" t="inlineStr">
        <is>
          <t>FY21-22</t>
        </is>
      </c>
      <c r="C158" t="inlineStr"/>
      <c r="D158" t="inlineStr"/>
      <c r="E158" t="n">
        <v>0</v>
      </c>
      <c r="F158" t="n">
        <v>0</v>
      </c>
      <c r="G158" t="n">
        <v>1966.32</v>
      </c>
      <c r="H158" t="n">
        <v>-2.04</v>
      </c>
      <c r="I158" s="7">
        <f>F158*Summary!$B$5</f>
        <v/>
      </c>
      <c r="J158" s="7">
        <f>G158*Summary!$B$5</f>
        <v/>
      </c>
      <c r="K158" s="7">
        <f>H158*Summary!$B$5</f>
        <v/>
      </c>
    </row>
    <row r="159">
      <c r="A159" s="8" t="n">
        <v>44431</v>
      </c>
      <c r="B159" t="inlineStr">
        <is>
          <t>FY21-22</t>
        </is>
      </c>
      <c r="C159" t="inlineStr"/>
      <c r="D159" t="inlineStr"/>
      <c r="E159" t="n">
        <v>0</v>
      </c>
      <c r="F159" t="n">
        <v>0</v>
      </c>
      <c r="G159" t="n">
        <v>1966.32</v>
      </c>
      <c r="H159" t="n">
        <v>-2.04</v>
      </c>
      <c r="I159" s="7">
        <f>F159*Summary!$B$5</f>
        <v/>
      </c>
      <c r="J159" s="7">
        <f>G159*Summary!$B$5</f>
        <v/>
      </c>
      <c r="K159" s="7">
        <f>H159*Summary!$B$5</f>
        <v/>
      </c>
    </row>
    <row r="160">
      <c r="A160" s="8" t="n">
        <v>44432</v>
      </c>
      <c r="B160" t="inlineStr">
        <is>
          <t>FY21-22</t>
        </is>
      </c>
      <c r="C160" t="inlineStr">
        <is>
          <t>n/a</t>
        </is>
      </c>
      <c r="D160" t="inlineStr"/>
      <c r="E160" t="n">
        <v>0</v>
      </c>
      <c r="F160" t="n">
        <v>20.45</v>
      </c>
      <c r="G160" t="n">
        <v>1986.76</v>
      </c>
      <c r="H160" t="n">
        <v>0</v>
      </c>
      <c r="I160" s="7">
        <f>F160*Summary!$B$5</f>
        <v/>
      </c>
      <c r="J160" s="7">
        <f>G160*Summary!$B$5</f>
        <v/>
      </c>
      <c r="K160" s="7">
        <f>H160*Summary!$B$5</f>
        <v/>
      </c>
    </row>
    <row r="161">
      <c r="A161" s="8" t="n">
        <v>44433</v>
      </c>
      <c r="B161" t="inlineStr">
        <is>
          <t>FY21-22</t>
        </is>
      </c>
      <c r="C161" t="inlineStr">
        <is>
          <t>NW</t>
        </is>
      </c>
      <c r="D161" t="inlineStr"/>
      <c r="E161" t="n">
        <v>0</v>
      </c>
      <c r="F161" t="n">
        <v>-3.37</v>
      </c>
      <c r="G161" t="n">
        <v>1983.39</v>
      </c>
      <c r="H161" t="n">
        <v>-3.37</v>
      </c>
      <c r="I161" s="7">
        <f>F161*Summary!$B$5</f>
        <v/>
      </c>
      <c r="J161" s="7">
        <f>G161*Summary!$B$5</f>
        <v/>
      </c>
      <c r="K161" s="7">
        <f>H161*Summary!$B$5</f>
        <v/>
      </c>
    </row>
    <row r="162">
      <c r="A162" s="8" t="n">
        <v>44434</v>
      </c>
      <c r="B162" t="inlineStr">
        <is>
          <t>FY21-22</t>
        </is>
      </c>
      <c r="C162" t="inlineStr">
        <is>
          <t>CW</t>
        </is>
      </c>
      <c r="D162" t="inlineStr">
        <is>
          <t>09:18</t>
        </is>
      </c>
      <c r="E162" t="n">
        <v>1</v>
      </c>
      <c r="F162" t="n">
        <v>30.54</v>
      </c>
      <c r="G162" t="n">
        <v>2013.93</v>
      </c>
      <c r="H162" t="n">
        <v>0</v>
      </c>
      <c r="I162" s="7">
        <f>F162*Summary!$B$5</f>
        <v/>
      </c>
      <c r="J162" s="7">
        <f>G162*Summary!$B$5</f>
        <v/>
      </c>
      <c r="K162" s="7">
        <f>H162*Summary!$B$5</f>
        <v/>
      </c>
    </row>
    <row r="163">
      <c r="A163" s="8" t="n">
        <v>44435</v>
      </c>
      <c r="B163" t="inlineStr">
        <is>
          <t>FY21-22</t>
        </is>
      </c>
      <c r="C163" t="inlineStr">
        <is>
          <t>CW</t>
        </is>
      </c>
      <c r="D163" t="inlineStr">
        <is>
          <t>09:17</t>
        </is>
      </c>
      <c r="E163" t="n">
        <v>6</v>
      </c>
      <c r="F163" t="n">
        <v>-9.800000000000001</v>
      </c>
      <c r="G163" t="n">
        <v>2004.13</v>
      </c>
      <c r="H163" t="n">
        <v>-9.800000000000001</v>
      </c>
      <c r="I163" s="7">
        <f>F163*Summary!$B$5</f>
        <v/>
      </c>
      <c r="J163" s="7">
        <f>G163*Summary!$B$5</f>
        <v/>
      </c>
      <c r="K163" s="7">
        <f>H163*Summary!$B$5</f>
        <v/>
      </c>
    </row>
    <row r="164">
      <c r="A164" s="8" t="n">
        <v>44438</v>
      </c>
      <c r="B164" t="inlineStr">
        <is>
          <t>FY21-22</t>
        </is>
      </c>
      <c r="C164" t="inlineStr">
        <is>
          <t>CW</t>
        </is>
      </c>
      <c r="D164" t="inlineStr">
        <is>
          <t>09:18</t>
        </is>
      </c>
      <c r="E164" t="n">
        <v>4</v>
      </c>
      <c r="F164" t="n">
        <v>-27.18</v>
      </c>
      <c r="G164" t="n">
        <v>1976.95</v>
      </c>
      <c r="H164" t="n">
        <v>-36.98</v>
      </c>
      <c r="I164" s="7">
        <f>F164*Summary!$B$5</f>
        <v/>
      </c>
      <c r="J164" s="7">
        <f>G164*Summary!$B$5</f>
        <v/>
      </c>
      <c r="K164" s="7">
        <f>H164*Summary!$B$5</f>
        <v/>
      </c>
    </row>
    <row r="165">
      <c r="A165" s="8" t="n">
        <v>44439</v>
      </c>
      <c r="B165" t="inlineStr">
        <is>
          <t>FY21-22</t>
        </is>
      </c>
      <c r="C165" t="inlineStr">
        <is>
          <t>CW</t>
        </is>
      </c>
      <c r="D165" t="inlineStr">
        <is>
          <t>09:18</t>
        </is>
      </c>
      <c r="E165" t="n">
        <v>3</v>
      </c>
      <c r="F165" t="n">
        <v>-37.14</v>
      </c>
      <c r="G165" t="n">
        <v>1939.81</v>
      </c>
      <c r="H165" t="n">
        <v>-74.12</v>
      </c>
      <c r="I165" s="7">
        <f>F165*Summary!$B$5</f>
        <v/>
      </c>
      <c r="J165" s="7">
        <f>G165*Summary!$B$5</f>
        <v/>
      </c>
      <c r="K165" s="7">
        <f>H165*Summary!$B$5</f>
        <v/>
      </c>
    </row>
    <row r="166">
      <c r="A166" s="8" t="n">
        <v>44441</v>
      </c>
      <c r="B166" t="inlineStr">
        <is>
          <t>FY21-22</t>
        </is>
      </c>
      <c r="C166" t="inlineStr"/>
      <c r="D166" t="inlineStr"/>
      <c r="E166" t="n">
        <v>0</v>
      </c>
      <c r="F166" t="n">
        <v>0</v>
      </c>
      <c r="G166" t="n">
        <v>1939.81</v>
      </c>
      <c r="H166" t="n">
        <v>-74.12</v>
      </c>
      <c r="I166" s="7">
        <f>F166*Summary!$B$5</f>
        <v/>
      </c>
      <c r="J166" s="7">
        <f>G166*Summary!$B$5</f>
        <v/>
      </c>
      <c r="K166" s="7">
        <f>H166*Summary!$B$5</f>
        <v/>
      </c>
    </row>
    <row r="167">
      <c r="A167" s="8" t="n">
        <v>44442</v>
      </c>
      <c r="B167" t="inlineStr">
        <is>
          <t>FY21-22</t>
        </is>
      </c>
      <c r="C167" t="inlineStr">
        <is>
          <t>CW</t>
        </is>
      </c>
      <c r="D167" t="inlineStr">
        <is>
          <t>09:16</t>
        </is>
      </c>
      <c r="E167" t="n">
        <v>6</v>
      </c>
      <c r="F167" t="n">
        <v>6.33</v>
      </c>
      <c r="G167" t="n">
        <v>1946.13</v>
      </c>
      <c r="H167" t="n">
        <v>-67.79000000000001</v>
      </c>
      <c r="I167" s="7">
        <f>F167*Summary!$B$5</f>
        <v/>
      </c>
      <c r="J167" s="7">
        <f>G167*Summary!$B$5</f>
        <v/>
      </c>
      <c r="K167" s="7">
        <f>H167*Summary!$B$5</f>
        <v/>
      </c>
    </row>
    <row r="168">
      <c r="A168" s="8" t="n">
        <v>44445</v>
      </c>
      <c r="B168" t="inlineStr">
        <is>
          <t>FY21-22</t>
        </is>
      </c>
      <c r="C168" t="inlineStr">
        <is>
          <t>CW</t>
        </is>
      </c>
      <c r="D168" t="inlineStr">
        <is>
          <t>09:18</t>
        </is>
      </c>
      <c r="E168" t="n">
        <v>4</v>
      </c>
      <c r="F168" t="n">
        <v>13.55</v>
      </c>
      <c r="G168" t="n">
        <v>1959.69</v>
      </c>
      <c r="H168" t="n">
        <v>-54.24</v>
      </c>
      <c r="I168" s="7">
        <f>F168*Summary!$B$5</f>
        <v/>
      </c>
      <c r="J168" s="7">
        <f>G168*Summary!$B$5</f>
        <v/>
      </c>
      <c r="K168" s="7">
        <f>H168*Summary!$B$5</f>
        <v/>
      </c>
    </row>
    <row r="169">
      <c r="A169" s="8" t="n">
        <v>44446</v>
      </c>
      <c r="B169" t="inlineStr">
        <is>
          <t>FY21-22</t>
        </is>
      </c>
      <c r="C169" t="inlineStr">
        <is>
          <t>CW</t>
        </is>
      </c>
      <c r="D169" t="inlineStr">
        <is>
          <t>09:17</t>
        </is>
      </c>
      <c r="E169" t="n">
        <v>3</v>
      </c>
      <c r="F169" t="n">
        <v>28.58</v>
      </c>
      <c r="G169" t="n">
        <v>1988.27</v>
      </c>
      <c r="H169" t="n">
        <v>-25.66</v>
      </c>
      <c r="I169" s="7">
        <f>F169*Summary!$B$5</f>
        <v/>
      </c>
      <c r="J169" s="7">
        <f>G169*Summary!$B$5</f>
        <v/>
      </c>
      <c r="K169" s="7">
        <f>H169*Summary!$B$5</f>
        <v/>
      </c>
    </row>
    <row r="170">
      <c r="A170" s="8" t="n">
        <v>44447</v>
      </c>
      <c r="B170" t="inlineStr">
        <is>
          <t>FY21-22</t>
        </is>
      </c>
      <c r="C170" t="inlineStr">
        <is>
          <t>CW</t>
        </is>
      </c>
      <c r="D170" t="inlineStr">
        <is>
          <t>09:17</t>
        </is>
      </c>
      <c r="E170" t="n">
        <v>2</v>
      </c>
      <c r="F170" t="n">
        <v>20.97</v>
      </c>
      <c r="G170" t="n">
        <v>2009.23</v>
      </c>
      <c r="H170" t="n">
        <v>-4.69</v>
      </c>
      <c r="I170" s="7">
        <f>F170*Summary!$B$5</f>
        <v/>
      </c>
      <c r="J170" s="7">
        <f>G170*Summary!$B$5</f>
        <v/>
      </c>
      <c r="K170" s="7">
        <f>H170*Summary!$B$5</f>
        <v/>
      </c>
    </row>
    <row r="171">
      <c r="A171" s="8" t="n">
        <v>44448</v>
      </c>
      <c r="B171" t="inlineStr">
        <is>
          <t>FY21-22</t>
        </is>
      </c>
      <c r="C171" t="inlineStr">
        <is>
          <t>NW</t>
        </is>
      </c>
      <c r="D171" t="inlineStr"/>
      <c r="E171" t="n">
        <v>1</v>
      </c>
      <c r="F171" t="n">
        <v>21.4</v>
      </c>
      <c r="G171" t="n">
        <v>2030.63</v>
      </c>
      <c r="H171" t="n">
        <v>0</v>
      </c>
      <c r="I171" s="7">
        <f>F171*Summary!$B$5</f>
        <v/>
      </c>
      <c r="J171" s="7">
        <f>G171*Summary!$B$5</f>
        <v/>
      </c>
      <c r="K171" s="7">
        <f>H171*Summary!$B$5</f>
        <v/>
      </c>
    </row>
    <row r="172">
      <c r="A172" s="8" t="n">
        <v>44452</v>
      </c>
      <c r="B172" t="inlineStr">
        <is>
          <t>FY21-22</t>
        </is>
      </c>
      <c r="C172" t="inlineStr">
        <is>
          <t>CW</t>
        </is>
      </c>
      <c r="D172" t="inlineStr">
        <is>
          <t>09:16</t>
        </is>
      </c>
      <c r="E172" t="n">
        <v>4</v>
      </c>
      <c r="F172" t="n">
        <v>37.21</v>
      </c>
      <c r="G172" t="n">
        <v>2067.84</v>
      </c>
      <c r="H172" t="n">
        <v>0</v>
      </c>
      <c r="I172" s="7">
        <f>F172*Summary!$B$5</f>
        <v/>
      </c>
      <c r="J172" s="7">
        <f>G172*Summary!$B$5</f>
        <v/>
      </c>
      <c r="K172" s="7">
        <f>H172*Summary!$B$5</f>
        <v/>
      </c>
    </row>
    <row r="173">
      <c r="A173" s="8" t="n">
        <v>44453</v>
      </c>
      <c r="B173" t="inlineStr">
        <is>
          <t>FY21-22</t>
        </is>
      </c>
      <c r="C173" t="inlineStr">
        <is>
          <t>CW</t>
        </is>
      </c>
      <c r="D173" t="inlineStr">
        <is>
          <t>09:18</t>
        </is>
      </c>
      <c r="E173" t="n">
        <v>3</v>
      </c>
      <c r="F173" t="n">
        <v>37.54</v>
      </c>
      <c r="G173" t="n">
        <v>2105.39</v>
      </c>
      <c r="H173" t="n">
        <v>0</v>
      </c>
      <c r="I173" s="7">
        <f>F173*Summary!$B$5</f>
        <v/>
      </c>
      <c r="J173" s="7">
        <f>G173*Summary!$B$5</f>
        <v/>
      </c>
      <c r="K173" s="7">
        <f>H173*Summary!$B$5</f>
        <v/>
      </c>
    </row>
    <row r="174">
      <c r="A174" s="8" t="n">
        <v>44454</v>
      </c>
      <c r="B174" t="inlineStr">
        <is>
          <t>FY21-22</t>
        </is>
      </c>
      <c r="C174" t="inlineStr">
        <is>
          <t>CW</t>
        </is>
      </c>
      <c r="D174" t="inlineStr">
        <is>
          <t>09:18</t>
        </is>
      </c>
      <c r="E174" t="n">
        <v>2</v>
      </c>
      <c r="F174" t="n">
        <v>2.83</v>
      </c>
      <c r="G174" t="n">
        <v>2108.21</v>
      </c>
      <c r="H174" t="n">
        <v>0</v>
      </c>
      <c r="I174" s="7">
        <f>F174*Summary!$B$5</f>
        <v/>
      </c>
      <c r="J174" s="7">
        <f>G174*Summary!$B$5</f>
        <v/>
      </c>
      <c r="K174" s="7">
        <f>H174*Summary!$B$5</f>
        <v/>
      </c>
    </row>
    <row r="175">
      <c r="A175" s="8" t="n">
        <v>44455</v>
      </c>
      <c r="B175" t="inlineStr">
        <is>
          <t>FY21-22</t>
        </is>
      </c>
      <c r="C175" t="inlineStr"/>
      <c r="D175" t="inlineStr"/>
      <c r="E175" t="n">
        <v>0</v>
      </c>
      <c r="F175" t="n">
        <v>0</v>
      </c>
      <c r="G175" t="n">
        <v>2108.21</v>
      </c>
      <c r="H175" t="n">
        <v>0</v>
      </c>
      <c r="I175" s="7">
        <f>F175*Summary!$B$5</f>
        <v/>
      </c>
      <c r="J175" s="7">
        <f>G175*Summary!$B$5</f>
        <v/>
      </c>
      <c r="K175" s="7">
        <f>H175*Summary!$B$5</f>
        <v/>
      </c>
    </row>
    <row r="176">
      <c r="A176" s="8" t="n">
        <v>44456</v>
      </c>
      <c r="B176" t="inlineStr">
        <is>
          <t>FY21-22</t>
        </is>
      </c>
      <c r="C176" t="inlineStr"/>
      <c r="D176" t="inlineStr"/>
      <c r="E176" t="n">
        <v>0</v>
      </c>
      <c r="F176" t="n">
        <v>0</v>
      </c>
      <c r="G176" t="n">
        <v>2108.21</v>
      </c>
      <c r="H176" t="n">
        <v>0</v>
      </c>
      <c r="I176" s="7">
        <f>F176*Summary!$B$5</f>
        <v/>
      </c>
      <c r="J176" s="7">
        <f>G176*Summary!$B$5</f>
        <v/>
      </c>
      <c r="K176" s="7">
        <f>H176*Summary!$B$5</f>
        <v/>
      </c>
    </row>
    <row r="177">
      <c r="A177" s="8" t="n">
        <v>44459</v>
      </c>
      <c r="B177" t="inlineStr">
        <is>
          <t>FY21-22</t>
        </is>
      </c>
      <c r="C177" t="inlineStr"/>
      <c r="D177" t="inlineStr"/>
      <c r="E177" t="n">
        <v>0</v>
      </c>
      <c r="F177" t="n">
        <v>0</v>
      </c>
      <c r="G177" t="n">
        <v>2108.21</v>
      </c>
      <c r="H177" t="n">
        <v>0</v>
      </c>
      <c r="I177" s="7">
        <f>F177*Summary!$B$5</f>
        <v/>
      </c>
      <c r="J177" s="7">
        <f>G177*Summary!$B$5</f>
        <v/>
      </c>
      <c r="K177" s="7">
        <f>H177*Summary!$B$5</f>
        <v/>
      </c>
    </row>
    <row r="178">
      <c r="A178" s="8" t="n">
        <v>44460</v>
      </c>
      <c r="B178" t="inlineStr">
        <is>
          <t>FY21-22</t>
        </is>
      </c>
      <c r="C178" t="inlineStr"/>
      <c r="D178" t="inlineStr"/>
      <c r="E178" t="n">
        <v>0</v>
      </c>
      <c r="F178" t="n">
        <v>0</v>
      </c>
      <c r="G178" t="n">
        <v>2108.21</v>
      </c>
      <c r="H178" t="n">
        <v>0</v>
      </c>
      <c r="I178" s="7">
        <f>F178*Summary!$B$5</f>
        <v/>
      </c>
      <c r="J178" s="7">
        <f>G178*Summary!$B$5</f>
        <v/>
      </c>
      <c r="K178" s="7">
        <f>H178*Summary!$B$5</f>
        <v/>
      </c>
    </row>
    <row r="179">
      <c r="A179" s="8" t="n">
        <v>44461</v>
      </c>
      <c r="B179" t="inlineStr">
        <is>
          <t>FY21-22</t>
        </is>
      </c>
      <c r="C179" t="inlineStr">
        <is>
          <t>CW</t>
        </is>
      </c>
      <c r="D179" t="inlineStr">
        <is>
          <t>09:18</t>
        </is>
      </c>
      <c r="E179" t="n">
        <v>2</v>
      </c>
      <c r="F179" t="n">
        <v>2.47</v>
      </c>
      <c r="G179" t="n">
        <v>2110.68</v>
      </c>
      <c r="H179" t="n">
        <v>0</v>
      </c>
      <c r="I179" s="7">
        <f>F179*Summary!$B$5</f>
        <v/>
      </c>
      <c r="J179" s="7">
        <f>G179*Summary!$B$5</f>
        <v/>
      </c>
      <c r="K179" s="7">
        <f>H179*Summary!$B$5</f>
        <v/>
      </c>
    </row>
    <row r="180">
      <c r="A180" s="8" t="n">
        <v>44462</v>
      </c>
      <c r="B180" t="inlineStr">
        <is>
          <t>FY21-22</t>
        </is>
      </c>
      <c r="C180" t="inlineStr"/>
      <c r="D180" t="inlineStr"/>
      <c r="E180" t="n">
        <v>0</v>
      </c>
      <c r="F180" t="n">
        <v>0</v>
      </c>
      <c r="G180" t="n">
        <v>2110.68</v>
      </c>
      <c r="H180" t="n">
        <v>0</v>
      </c>
      <c r="I180" s="7">
        <f>F180*Summary!$B$5</f>
        <v/>
      </c>
      <c r="J180" s="7">
        <f>G180*Summary!$B$5</f>
        <v/>
      </c>
      <c r="K180" s="7">
        <f>H180*Summary!$B$5</f>
        <v/>
      </c>
    </row>
    <row r="181">
      <c r="A181" s="8" t="n">
        <v>44463</v>
      </c>
      <c r="B181" t="inlineStr">
        <is>
          <t>FY21-22</t>
        </is>
      </c>
      <c r="C181" t="inlineStr">
        <is>
          <t>CW</t>
        </is>
      </c>
      <c r="D181" t="inlineStr">
        <is>
          <t>09:16</t>
        </is>
      </c>
      <c r="E181" t="n">
        <v>6</v>
      </c>
      <c r="F181" t="n">
        <v>30.25</v>
      </c>
      <c r="G181" t="n">
        <v>2140.92</v>
      </c>
      <c r="H181" t="n">
        <v>0</v>
      </c>
      <c r="I181" s="7">
        <f>F181*Summary!$B$5</f>
        <v/>
      </c>
      <c r="J181" s="7">
        <f>G181*Summary!$B$5</f>
        <v/>
      </c>
      <c r="K181" s="7">
        <f>H181*Summary!$B$5</f>
        <v/>
      </c>
    </row>
    <row r="182">
      <c r="A182" s="8" t="n">
        <v>44466</v>
      </c>
      <c r="B182" t="inlineStr">
        <is>
          <t>FY21-22</t>
        </is>
      </c>
      <c r="C182" t="inlineStr">
        <is>
          <t>CW</t>
        </is>
      </c>
      <c r="D182" t="inlineStr">
        <is>
          <t>09:18</t>
        </is>
      </c>
      <c r="E182" t="n">
        <v>4</v>
      </c>
      <c r="F182" t="n">
        <v>12.14</v>
      </c>
      <c r="G182" t="n">
        <v>2153.06</v>
      </c>
      <c r="H182" t="n">
        <v>0</v>
      </c>
      <c r="I182" s="7">
        <f>F182*Summary!$B$5</f>
        <v/>
      </c>
      <c r="J182" s="7">
        <f>G182*Summary!$B$5</f>
        <v/>
      </c>
      <c r="K182" s="7">
        <f>H182*Summary!$B$5</f>
        <v/>
      </c>
    </row>
    <row r="183">
      <c r="A183" s="8" t="n">
        <v>44467</v>
      </c>
      <c r="B183" t="inlineStr">
        <is>
          <t>FY21-22</t>
        </is>
      </c>
      <c r="C183" t="inlineStr">
        <is>
          <t>CW</t>
        </is>
      </c>
      <c r="D183" t="inlineStr">
        <is>
          <t>09:17</t>
        </is>
      </c>
      <c r="E183" t="n">
        <v>3</v>
      </c>
      <c r="F183" t="n">
        <v>-46.74</v>
      </c>
      <c r="G183" t="n">
        <v>2106.33</v>
      </c>
      <c r="H183" t="n">
        <v>-46.74</v>
      </c>
      <c r="I183" s="7">
        <f>F183*Summary!$B$5</f>
        <v/>
      </c>
      <c r="J183" s="7">
        <f>G183*Summary!$B$5</f>
        <v/>
      </c>
      <c r="K183" s="7">
        <f>H183*Summary!$B$5</f>
        <v/>
      </c>
    </row>
    <row r="184">
      <c r="A184" s="8" t="n">
        <v>44468</v>
      </c>
      <c r="B184" t="inlineStr">
        <is>
          <t>FY21-22</t>
        </is>
      </c>
      <c r="C184" t="inlineStr">
        <is>
          <t>CW</t>
        </is>
      </c>
      <c r="D184" t="inlineStr">
        <is>
          <t>09:16</t>
        </is>
      </c>
      <c r="E184" t="n">
        <v>2</v>
      </c>
      <c r="F184" t="n">
        <v>44.7</v>
      </c>
      <c r="G184" t="n">
        <v>2151.03</v>
      </c>
      <c r="H184" t="n">
        <v>-2.04</v>
      </c>
      <c r="I184" s="7">
        <f>F184*Summary!$B$5</f>
        <v/>
      </c>
      <c r="J184" s="7">
        <f>G184*Summary!$B$5</f>
        <v/>
      </c>
      <c r="K184" s="7">
        <f>H184*Summary!$B$5</f>
        <v/>
      </c>
    </row>
    <row r="185">
      <c r="A185" s="8" t="n">
        <v>44469</v>
      </c>
      <c r="B185" t="inlineStr">
        <is>
          <t>FY21-22</t>
        </is>
      </c>
      <c r="C185" t="inlineStr">
        <is>
          <t>CW</t>
        </is>
      </c>
      <c r="D185" t="inlineStr">
        <is>
          <t>09:18</t>
        </is>
      </c>
      <c r="E185" t="n">
        <v>1</v>
      </c>
      <c r="F185" t="n">
        <v>22.75</v>
      </c>
      <c r="G185" t="n">
        <v>2173.78</v>
      </c>
      <c r="H185" t="n">
        <v>0</v>
      </c>
      <c r="I185" s="7">
        <f>F185*Summary!$B$5</f>
        <v/>
      </c>
      <c r="J185" s="7">
        <f>G185*Summary!$B$5</f>
        <v/>
      </c>
      <c r="K185" s="7">
        <f>H185*Summary!$B$5</f>
        <v/>
      </c>
    </row>
    <row r="186">
      <c r="A186" s="8" t="n">
        <v>44470</v>
      </c>
      <c r="B186" t="inlineStr">
        <is>
          <t>FY21-22</t>
        </is>
      </c>
      <c r="C186" t="inlineStr">
        <is>
          <t>CW</t>
        </is>
      </c>
      <c r="D186" t="inlineStr">
        <is>
          <t>09:17</t>
        </is>
      </c>
      <c r="E186" t="n">
        <v>6</v>
      </c>
      <c r="F186" t="n">
        <v>37.71</v>
      </c>
      <c r="G186" t="n">
        <v>2211.49</v>
      </c>
      <c r="H186" t="n">
        <v>0</v>
      </c>
      <c r="I186" s="7">
        <f>F186*Summary!$B$5</f>
        <v/>
      </c>
      <c r="J186" s="7">
        <f>G186*Summary!$B$5</f>
        <v/>
      </c>
      <c r="K186" s="7">
        <f>H186*Summary!$B$5</f>
        <v/>
      </c>
    </row>
    <row r="187">
      <c r="A187" s="8" t="n">
        <v>44473</v>
      </c>
      <c r="B187" t="inlineStr">
        <is>
          <t>FY21-22</t>
        </is>
      </c>
      <c r="C187" t="inlineStr">
        <is>
          <t>n/a</t>
        </is>
      </c>
      <c r="D187" t="inlineStr"/>
      <c r="E187" t="n">
        <v>0</v>
      </c>
      <c r="F187" t="n">
        <v>18.23</v>
      </c>
      <c r="G187" t="n">
        <v>2229.72</v>
      </c>
      <c r="H187" t="n">
        <v>0</v>
      </c>
      <c r="I187" s="7">
        <f>F187*Summary!$B$5</f>
        <v/>
      </c>
      <c r="J187" s="7">
        <f>G187*Summary!$B$5</f>
        <v/>
      </c>
      <c r="K187" s="7">
        <f>H187*Summary!$B$5</f>
        <v/>
      </c>
    </row>
    <row r="188">
      <c r="A188" s="8" t="n">
        <v>44474</v>
      </c>
      <c r="B188" t="inlineStr">
        <is>
          <t>FY21-22</t>
        </is>
      </c>
      <c r="C188" t="inlineStr">
        <is>
          <t>CW</t>
        </is>
      </c>
      <c r="D188" t="inlineStr">
        <is>
          <t>09:17</t>
        </is>
      </c>
      <c r="E188" t="n">
        <v>3</v>
      </c>
      <c r="F188" t="n">
        <v>13.16</v>
      </c>
      <c r="G188" t="n">
        <v>2242.89</v>
      </c>
      <c r="H188" t="n">
        <v>0</v>
      </c>
      <c r="I188" s="7">
        <f>F188*Summary!$B$5</f>
        <v/>
      </c>
      <c r="J188" s="7">
        <f>G188*Summary!$B$5</f>
        <v/>
      </c>
      <c r="K188" s="7">
        <f>H188*Summary!$B$5</f>
        <v/>
      </c>
    </row>
    <row r="189">
      <c r="A189" s="8" t="n">
        <v>44475</v>
      </c>
      <c r="B189" t="inlineStr">
        <is>
          <t>FY21-22</t>
        </is>
      </c>
      <c r="C189" t="inlineStr">
        <is>
          <t>CW</t>
        </is>
      </c>
      <c r="D189" t="inlineStr">
        <is>
          <t>09:17</t>
        </is>
      </c>
      <c r="E189" t="n">
        <v>2</v>
      </c>
      <c r="F189" t="n">
        <v>-20</v>
      </c>
      <c r="G189" t="n">
        <v>2222.89</v>
      </c>
      <c r="H189" t="n">
        <v>-20</v>
      </c>
      <c r="I189" s="7">
        <f>F189*Summary!$B$5</f>
        <v/>
      </c>
      <c r="J189" s="7">
        <f>G189*Summary!$B$5</f>
        <v/>
      </c>
      <c r="K189" s="7">
        <f>H189*Summary!$B$5</f>
        <v/>
      </c>
    </row>
    <row r="190">
      <c r="A190" s="8" t="n">
        <v>44476</v>
      </c>
      <c r="B190" t="inlineStr">
        <is>
          <t>FY21-22</t>
        </is>
      </c>
      <c r="C190" t="inlineStr">
        <is>
          <t>NW</t>
        </is>
      </c>
      <c r="D190" t="inlineStr"/>
      <c r="E190" t="n">
        <v>0</v>
      </c>
      <c r="F190" t="n">
        <v>43.29</v>
      </c>
      <c r="G190" t="n">
        <v>2266.18</v>
      </c>
      <c r="H190" t="n">
        <v>0</v>
      </c>
      <c r="I190" s="7">
        <f>F190*Summary!$B$5</f>
        <v/>
      </c>
      <c r="J190" s="7">
        <f>G190*Summary!$B$5</f>
        <v/>
      </c>
      <c r="K190" s="7">
        <f>H190*Summary!$B$5</f>
        <v/>
      </c>
    </row>
    <row r="191">
      <c r="A191" s="8" t="n">
        <v>44477</v>
      </c>
      <c r="B191" t="inlineStr">
        <is>
          <t>FY21-22</t>
        </is>
      </c>
      <c r="C191" t="inlineStr">
        <is>
          <t>n/a</t>
        </is>
      </c>
      <c r="D191" t="inlineStr"/>
      <c r="E191" t="n">
        <v>0</v>
      </c>
      <c r="F191" t="n">
        <v>43.29</v>
      </c>
      <c r="G191" t="n">
        <v>2309.47</v>
      </c>
      <c r="H191" t="n">
        <v>0</v>
      </c>
      <c r="I191" s="7">
        <f>F191*Summary!$B$5</f>
        <v/>
      </c>
      <c r="J191" s="7">
        <f>G191*Summary!$B$5</f>
        <v/>
      </c>
      <c r="K191" s="7">
        <f>H191*Summary!$B$5</f>
        <v/>
      </c>
    </row>
    <row r="192">
      <c r="A192" s="8" t="n">
        <v>44480</v>
      </c>
      <c r="B192" t="inlineStr">
        <is>
          <t>FY21-22</t>
        </is>
      </c>
      <c r="C192" t="inlineStr">
        <is>
          <t>CW</t>
        </is>
      </c>
      <c r="D192" t="inlineStr">
        <is>
          <t>09:18</t>
        </is>
      </c>
      <c r="E192" t="n">
        <v>4</v>
      </c>
      <c r="F192" t="n">
        <v>-13.46</v>
      </c>
      <c r="G192" t="n">
        <v>2296.01</v>
      </c>
      <c r="H192" t="n">
        <v>-13.46</v>
      </c>
      <c r="I192" s="7">
        <f>F192*Summary!$B$5</f>
        <v/>
      </c>
      <c r="J192" s="7">
        <f>G192*Summary!$B$5</f>
        <v/>
      </c>
      <c r="K192" s="7">
        <f>H192*Summary!$B$5</f>
        <v/>
      </c>
    </row>
    <row r="193">
      <c r="A193" s="8" t="n">
        <v>44481</v>
      </c>
      <c r="B193" t="inlineStr">
        <is>
          <t>FY21-22</t>
        </is>
      </c>
      <c r="C193" t="inlineStr">
        <is>
          <t>CW</t>
        </is>
      </c>
      <c r="D193" t="inlineStr">
        <is>
          <t>09:16</t>
        </is>
      </c>
      <c r="E193" t="n">
        <v>3</v>
      </c>
      <c r="F193" t="n">
        <v>-2.74</v>
      </c>
      <c r="G193" t="n">
        <v>2293.27</v>
      </c>
      <c r="H193" t="n">
        <v>-16.2</v>
      </c>
      <c r="I193" s="7">
        <f>F193*Summary!$B$5</f>
        <v/>
      </c>
      <c r="J193" s="7">
        <f>G193*Summary!$B$5</f>
        <v/>
      </c>
      <c r="K193" s="7">
        <f>H193*Summary!$B$5</f>
        <v/>
      </c>
    </row>
    <row r="194">
      <c r="A194" s="8" t="n">
        <v>44482</v>
      </c>
      <c r="B194" t="inlineStr">
        <is>
          <t>FY21-22</t>
        </is>
      </c>
      <c r="C194" t="inlineStr">
        <is>
          <t>CW</t>
        </is>
      </c>
      <c r="D194" t="inlineStr">
        <is>
          <t>09:17</t>
        </is>
      </c>
      <c r="E194" t="n">
        <v>2</v>
      </c>
      <c r="F194" t="n">
        <v>4.15</v>
      </c>
      <c r="G194" t="n">
        <v>2297.42</v>
      </c>
      <c r="H194" t="n">
        <v>-12.05</v>
      </c>
      <c r="I194" s="7">
        <f>F194*Summary!$B$5</f>
        <v/>
      </c>
      <c r="J194" s="7">
        <f>G194*Summary!$B$5</f>
        <v/>
      </c>
      <c r="K194" s="7">
        <f>H194*Summary!$B$5</f>
        <v/>
      </c>
    </row>
    <row r="195">
      <c r="A195" s="8" t="n">
        <v>44483</v>
      </c>
      <c r="B195" t="inlineStr">
        <is>
          <t>FY21-22</t>
        </is>
      </c>
      <c r="C195" t="inlineStr">
        <is>
          <t>CW</t>
        </is>
      </c>
      <c r="D195" t="inlineStr">
        <is>
          <t>09:18</t>
        </is>
      </c>
      <c r="E195" t="n">
        <v>1</v>
      </c>
      <c r="F195" t="n">
        <v>21.27</v>
      </c>
      <c r="G195" t="n">
        <v>2318.69</v>
      </c>
      <c r="H195" t="n">
        <v>0</v>
      </c>
      <c r="I195" s="7">
        <f>F195*Summary!$B$5</f>
        <v/>
      </c>
      <c r="J195" s="7">
        <f>G195*Summary!$B$5</f>
        <v/>
      </c>
      <c r="K195" s="7">
        <f>H195*Summary!$B$5</f>
        <v/>
      </c>
    </row>
    <row r="196">
      <c r="A196" s="8" t="n">
        <v>44487</v>
      </c>
      <c r="B196" t="inlineStr">
        <is>
          <t>FY21-22</t>
        </is>
      </c>
      <c r="C196" t="inlineStr">
        <is>
          <t>CW</t>
        </is>
      </c>
      <c r="D196" t="inlineStr">
        <is>
          <t>09:18</t>
        </is>
      </c>
      <c r="E196" t="n">
        <v>4</v>
      </c>
      <c r="F196" t="n">
        <v>16.76</v>
      </c>
      <c r="G196" t="n">
        <v>2335.45</v>
      </c>
      <c r="H196" t="n">
        <v>0</v>
      </c>
      <c r="I196" s="7">
        <f>F196*Summary!$B$5</f>
        <v/>
      </c>
      <c r="J196" s="7">
        <f>G196*Summary!$B$5</f>
        <v/>
      </c>
      <c r="K196" s="7">
        <f>H196*Summary!$B$5</f>
        <v/>
      </c>
    </row>
    <row r="197">
      <c r="A197" s="8" t="n">
        <v>44488</v>
      </c>
      <c r="B197" t="inlineStr">
        <is>
          <t>FY21-22</t>
        </is>
      </c>
      <c r="C197" t="inlineStr">
        <is>
          <t>CW</t>
        </is>
      </c>
      <c r="D197" t="inlineStr">
        <is>
          <t>09:18</t>
        </is>
      </c>
      <c r="E197" t="n">
        <v>3</v>
      </c>
      <c r="F197" t="n">
        <v>-33.42</v>
      </c>
      <c r="G197" t="n">
        <v>2302.03</v>
      </c>
      <c r="H197" t="n">
        <v>-33.42</v>
      </c>
      <c r="I197" s="7">
        <f>F197*Summary!$B$5</f>
        <v/>
      </c>
      <c r="J197" s="7">
        <f>G197*Summary!$B$5</f>
        <v/>
      </c>
      <c r="K197" s="7">
        <f>H197*Summary!$B$5</f>
        <v/>
      </c>
    </row>
    <row r="198">
      <c r="A198" s="8" t="n">
        <v>44489</v>
      </c>
      <c r="B198" t="inlineStr">
        <is>
          <t>FY21-22</t>
        </is>
      </c>
      <c r="C198" t="inlineStr">
        <is>
          <t>CW</t>
        </is>
      </c>
      <c r="D198" t="inlineStr">
        <is>
          <t>09:18</t>
        </is>
      </c>
      <c r="E198" t="n">
        <v>2</v>
      </c>
      <c r="F198" t="n">
        <v>54.45</v>
      </c>
      <c r="G198" t="n">
        <v>2356.48</v>
      </c>
      <c r="H198" t="n">
        <v>0</v>
      </c>
      <c r="I198" s="7">
        <f>F198*Summary!$B$5</f>
        <v/>
      </c>
      <c r="J198" s="7">
        <f>G198*Summary!$B$5</f>
        <v/>
      </c>
      <c r="K198" s="7">
        <f>H198*Summary!$B$5</f>
        <v/>
      </c>
    </row>
    <row r="199">
      <c r="A199" s="8" t="n">
        <v>44490</v>
      </c>
      <c r="B199" t="inlineStr">
        <is>
          <t>FY21-22</t>
        </is>
      </c>
      <c r="C199" t="inlineStr">
        <is>
          <t>CW</t>
        </is>
      </c>
      <c r="D199" t="inlineStr">
        <is>
          <t>09:18</t>
        </is>
      </c>
      <c r="E199" t="n">
        <v>1</v>
      </c>
      <c r="F199" t="n">
        <v>-38.79</v>
      </c>
      <c r="G199" t="n">
        <v>2317.69</v>
      </c>
      <c r="H199" t="n">
        <v>-38.79</v>
      </c>
      <c r="I199" s="7">
        <f>F199*Summary!$B$5</f>
        <v/>
      </c>
      <c r="J199" s="7">
        <f>G199*Summary!$B$5</f>
        <v/>
      </c>
      <c r="K199" s="7">
        <f>H199*Summary!$B$5</f>
        <v/>
      </c>
    </row>
    <row r="200">
      <c r="A200" s="8" t="n">
        <v>44491</v>
      </c>
      <c r="B200" t="inlineStr">
        <is>
          <t>FY21-22</t>
        </is>
      </c>
      <c r="C200" t="inlineStr"/>
      <c r="D200" t="inlineStr"/>
      <c r="E200" t="n">
        <v>0</v>
      </c>
      <c r="F200" t="n">
        <v>0</v>
      </c>
      <c r="G200" t="n">
        <v>2317.69</v>
      </c>
      <c r="H200" t="n">
        <v>-38.79</v>
      </c>
      <c r="I200" s="7">
        <f>F200*Summary!$B$5</f>
        <v/>
      </c>
      <c r="J200" s="7">
        <f>G200*Summary!$B$5</f>
        <v/>
      </c>
      <c r="K200" s="7">
        <f>H200*Summary!$B$5</f>
        <v/>
      </c>
    </row>
    <row r="201">
      <c r="A201" s="8" t="n">
        <v>44494</v>
      </c>
      <c r="B201" t="inlineStr">
        <is>
          <t>FY21-22</t>
        </is>
      </c>
      <c r="C201" t="inlineStr">
        <is>
          <t>CW</t>
        </is>
      </c>
      <c r="D201" t="inlineStr">
        <is>
          <t>09:18</t>
        </is>
      </c>
      <c r="E201" t="n">
        <v>4</v>
      </c>
      <c r="F201" t="n">
        <v>-38.24</v>
      </c>
      <c r="G201" t="n">
        <v>2279.44</v>
      </c>
      <c r="H201" t="n">
        <v>-77.04000000000001</v>
      </c>
      <c r="I201" s="7">
        <f>F201*Summary!$B$5</f>
        <v/>
      </c>
      <c r="J201" s="7">
        <f>G201*Summary!$B$5</f>
        <v/>
      </c>
      <c r="K201" s="7">
        <f>H201*Summary!$B$5</f>
        <v/>
      </c>
    </row>
    <row r="202">
      <c r="A202" s="8" t="n">
        <v>44495</v>
      </c>
      <c r="B202" t="inlineStr">
        <is>
          <t>FY21-22</t>
        </is>
      </c>
      <c r="C202" t="inlineStr">
        <is>
          <t>CW</t>
        </is>
      </c>
      <c r="D202" t="inlineStr">
        <is>
          <t>09:17</t>
        </is>
      </c>
      <c r="E202" t="n">
        <v>3</v>
      </c>
      <c r="F202" t="n">
        <v>12.71</v>
      </c>
      <c r="G202" t="n">
        <v>2292.16</v>
      </c>
      <c r="H202" t="n">
        <v>-64.31999999999999</v>
      </c>
      <c r="I202" s="7">
        <f>F202*Summary!$B$5</f>
        <v/>
      </c>
      <c r="J202" s="7">
        <f>G202*Summary!$B$5</f>
        <v/>
      </c>
      <c r="K202" s="7">
        <f>H202*Summary!$B$5</f>
        <v/>
      </c>
    </row>
    <row r="203">
      <c r="A203" s="8" t="n">
        <v>44496</v>
      </c>
      <c r="B203" t="inlineStr">
        <is>
          <t>FY21-22</t>
        </is>
      </c>
      <c r="C203" t="inlineStr">
        <is>
          <t>CW</t>
        </is>
      </c>
      <c r="D203" t="inlineStr">
        <is>
          <t>09:17</t>
        </is>
      </c>
      <c r="E203" t="n">
        <v>2</v>
      </c>
      <c r="F203" t="n">
        <v>23.54</v>
      </c>
      <c r="G203" t="n">
        <v>2315.7</v>
      </c>
      <c r="H203" t="n">
        <v>-40.78</v>
      </c>
      <c r="I203" s="7">
        <f>F203*Summary!$B$5</f>
        <v/>
      </c>
      <c r="J203" s="7">
        <f>G203*Summary!$B$5</f>
        <v/>
      </c>
      <c r="K203" s="7">
        <f>H203*Summary!$B$5</f>
        <v/>
      </c>
    </row>
    <row r="204">
      <c r="A204" s="8" t="n">
        <v>44497</v>
      </c>
      <c r="B204" t="inlineStr">
        <is>
          <t>FY21-22</t>
        </is>
      </c>
      <c r="C204" t="inlineStr">
        <is>
          <t>CW</t>
        </is>
      </c>
      <c r="D204" t="inlineStr">
        <is>
          <t>09:16</t>
        </is>
      </c>
      <c r="E204" t="n">
        <v>1</v>
      </c>
      <c r="F204" t="n">
        <v>3.99</v>
      </c>
      <c r="G204" t="n">
        <v>2319.69</v>
      </c>
      <c r="H204" t="n">
        <v>-36.78</v>
      </c>
      <c r="I204" s="7">
        <f>F204*Summary!$B$5</f>
        <v/>
      </c>
      <c r="J204" s="7">
        <f>G204*Summary!$B$5</f>
        <v/>
      </c>
      <c r="K204" s="7">
        <f>H204*Summary!$B$5</f>
        <v/>
      </c>
    </row>
    <row r="205">
      <c r="A205" s="8" t="n">
        <v>44498</v>
      </c>
      <c r="B205" t="inlineStr">
        <is>
          <t>FY21-22</t>
        </is>
      </c>
      <c r="C205" t="inlineStr">
        <is>
          <t>CW</t>
        </is>
      </c>
      <c r="D205" t="inlineStr">
        <is>
          <t>09:18</t>
        </is>
      </c>
      <c r="E205" t="n">
        <v>5</v>
      </c>
      <c r="F205" t="n">
        <v>40.71</v>
      </c>
      <c r="G205" t="n">
        <v>2360.41</v>
      </c>
      <c r="H205" t="n">
        <v>0</v>
      </c>
      <c r="I205" s="7">
        <f>F205*Summary!$B$5</f>
        <v/>
      </c>
      <c r="J205" s="7">
        <f>G205*Summary!$B$5</f>
        <v/>
      </c>
      <c r="K205" s="7">
        <f>H205*Summary!$B$5</f>
        <v/>
      </c>
    </row>
    <row r="206">
      <c r="A206" s="8" t="n">
        <v>44501</v>
      </c>
      <c r="B206" t="inlineStr">
        <is>
          <t>FY21-22</t>
        </is>
      </c>
      <c r="C206" t="inlineStr"/>
      <c r="D206" t="inlineStr"/>
      <c r="E206" t="n">
        <v>0</v>
      </c>
      <c r="F206" t="n">
        <v>0</v>
      </c>
      <c r="G206" t="n">
        <v>2360.41</v>
      </c>
      <c r="H206" t="n">
        <v>0</v>
      </c>
      <c r="I206" s="7">
        <f>F206*Summary!$B$5</f>
        <v/>
      </c>
      <c r="J206" s="7">
        <f>G206*Summary!$B$5</f>
        <v/>
      </c>
      <c r="K206" s="7">
        <f>H206*Summary!$B$5</f>
        <v/>
      </c>
    </row>
    <row r="207">
      <c r="A207" s="8" t="n">
        <v>44502</v>
      </c>
      <c r="B207" t="inlineStr">
        <is>
          <t>FY21-22</t>
        </is>
      </c>
      <c r="C207" t="inlineStr">
        <is>
          <t>CW</t>
        </is>
      </c>
      <c r="D207" t="inlineStr">
        <is>
          <t>09:17</t>
        </is>
      </c>
      <c r="E207" t="n">
        <v>2</v>
      </c>
      <c r="F207" t="n">
        <v>16.56</v>
      </c>
      <c r="G207" t="n">
        <v>2376.97</v>
      </c>
      <c r="H207" t="n">
        <v>0</v>
      </c>
      <c r="I207" s="7">
        <f>F207*Summary!$B$5</f>
        <v/>
      </c>
      <c r="J207" s="7">
        <f>G207*Summary!$B$5</f>
        <v/>
      </c>
      <c r="K207" s="7">
        <f>H207*Summary!$B$5</f>
        <v/>
      </c>
    </row>
    <row r="208">
      <c r="A208" s="8" t="n">
        <v>44503</v>
      </c>
      <c r="B208" t="inlineStr">
        <is>
          <t>FY21-22</t>
        </is>
      </c>
      <c r="C208" t="inlineStr">
        <is>
          <t>CW</t>
        </is>
      </c>
      <c r="D208" t="inlineStr">
        <is>
          <t>09:18</t>
        </is>
      </c>
      <c r="E208" t="n">
        <v>1</v>
      </c>
      <c r="F208" t="n">
        <v>-8.550000000000001</v>
      </c>
      <c r="G208" t="n">
        <v>2368.42</v>
      </c>
      <c r="H208" t="n">
        <v>-8.550000000000001</v>
      </c>
      <c r="I208" s="7">
        <f>F208*Summary!$B$5</f>
        <v/>
      </c>
      <c r="J208" s="7">
        <f>G208*Summary!$B$5</f>
        <v/>
      </c>
      <c r="K208" s="7">
        <f>H208*Summary!$B$5</f>
        <v/>
      </c>
    </row>
    <row r="209">
      <c r="A209" s="8" t="n">
        <v>44508</v>
      </c>
      <c r="B209" t="inlineStr">
        <is>
          <t>FY21-22</t>
        </is>
      </c>
      <c r="C209" t="inlineStr">
        <is>
          <t>CW</t>
        </is>
      </c>
      <c r="D209" t="inlineStr">
        <is>
          <t>09:17</t>
        </is>
      </c>
      <c r="E209" t="n">
        <v>4</v>
      </c>
      <c r="F209" t="n">
        <v>-10.06</v>
      </c>
      <c r="G209" t="n">
        <v>2358.36</v>
      </c>
      <c r="H209" t="n">
        <v>-18.61</v>
      </c>
      <c r="I209" s="7">
        <f>F209*Summary!$B$5</f>
        <v/>
      </c>
      <c r="J209" s="7">
        <f>G209*Summary!$B$5</f>
        <v/>
      </c>
      <c r="K209" s="7">
        <f>H209*Summary!$B$5</f>
        <v/>
      </c>
    </row>
    <row r="210">
      <c r="A210" s="8" t="n">
        <v>44509</v>
      </c>
      <c r="B210" t="inlineStr">
        <is>
          <t>FY21-22</t>
        </is>
      </c>
      <c r="C210" t="inlineStr">
        <is>
          <t>CW</t>
        </is>
      </c>
      <c r="D210" t="inlineStr">
        <is>
          <t>09:16</t>
        </is>
      </c>
      <c r="E210" t="n">
        <v>3</v>
      </c>
      <c r="F210" t="n">
        <v>30.55</v>
      </c>
      <c r="G210" t="n">
        <v>2388.91</v>
      </c>
      <c r="H210" t="n">
        <v>0</v>
      </c>
      <c r="I210" s="7">
        <f>F210*Summary!$B$5</f>
        <v/>
      </c>
      <c r="J210" s="7">
        <f>G210*Summary!$B$5</f>
        <v/>
      </c>
      <c r="K210" s="7">
        <f>H210*Summary!$B$5</f>
        <v/>
      </c>
    </row>
    <row r="211">
      <c r="A211" s="8" t="n">
        <v>44510</v>
      </c>
      <c r="B211" t="inlineStr">
        <is>
          <t>FY21-22</t>
        </is>
      </c>
      <c r="C211" t="inlineStr">
        <is>
          <t>CW</t>
        </is>
      </c>
      <c r="D211" t="inlineStr">
        <is>
          <t>09:18</t>
        </is>
      </c>
      <c r="E211" t="n">
        <v>2</v>
      </c>
      <c r="F211" t="n">
        <v>3.69</v>
      </c>
      <c r="G211" t="n">
        <v>2392.6</v>
      </c>
      <c r="H211" t="n">
        <v>0</v>
      </c>
      <c r="I211" s="7">
        <f>F211*Summary!$B$5</f>
        <v/>
      </c>
      <c r="J211" s="7">
        <f>G211*Summary!$B$5</f>
        <v/>
      </c>
      <c r="K211" s="7">
        <f>H211*Summary!$B$5</f>
        <v/>
      </c>
    </row>
    <row r="212">
      <c r="A212" s="8" t="n">
        <v>44511</v>
      </c>
      <c r="B212" t="inlineStr">
        <is>
          <t>FY21-22</t>
        </is>
      </c>
      <c r="C212" t="inlineStr">
        <is>
          <t>CW</t>
        </is>
      </c>
      <c r="D212" t="inlineStr">
        <is>
          <t>09:18</t>
        </is>
      </c>
      <c r="E212" t="n">
        <v>1</v>
      </c>
      <c r="F212" t="n">
        <v>19.85</v>
      </c>
      <c r="G212" t="n">
        <v>2412.45</v>
      </c>
      <c r="H212" t="n">
        <v>0</v>
      </c>
      <c r="I212" s="7">
        <f>F212*Summary!$B$5</f>
        <v/>
      </c>
      <c r="J212" s="7">
        <f>G212*Summary!$B$5</f>
        <v/>
      </c>
      <c r="K212" s="7">
        <f>H212*Summary!$B$5</f>
        <v/>
      </c>
    </row>
    <row r="213">
      <c r="A213" s="8" t="n">
        <v>44512</v>
      </c>
      <c r="B213" t="inlineStr">
        <is>
          <t>FY21-22</t>
        </is>
      </c>
      <c r="C213" t="inlineStr"/>
      <c r="D213" t="inlineStr"/>
      <c r="E213" t="n">
        <v>0</v>
      </c>
      <c r="F213" t="n">
        <v>0</v>
      </c>
      <c r="G213" t="n">
        <v>2412.45</v>
      </c>
      <c r="H213" t="n">
        <v>0</v>
      </c>
      <c r="I213" s="7">
        <f>F213*Summary!$B$5</f>
        <v/>
      </c>
      <c r="J213" s="7">
        <f>G213*Summary!$B$5</f>
        <v/>
      </c>
      <c r="K213" s="7">
        <f>H213*Summary!$B$5</f>
        <v/>
      </c>
    </row>
    <row r="214">
      <c r="A214" s="8" t="n">
        <v>44515</v>
      </c>
      <c r="B214" t="inlineStr">
        <is>
          <t>FY21-22</t>
        </is>
      </c>
      <c r="C214" t="inlineStr"/>
      <c r="D214" t="inlineStr"/>
      <c r="E214" t="n">
        <v>0</v>
      </c>
      <c r="F214" t="n">
        <v>0</v>
      </c>
      <c r="G214" t="n">
        <v>2412.45</v>
      </c>
      <c r="H214" t="n">
        <v>0</v>
      </c>
      <c r="I214" s="7">
        <f>F214*Summary!$B$5</f>
        <v/>
      </c>
      <c r="J214" s="7">
        <f>G214*Summary!$B$5</f>
        <v/>
      </c>
      <c r="K214" s="7">
        <f>H214*Summary!$B$5</f>
        <v/>
      </c>
    </row>
    <row r="215">
      <c r="A215" s="8" t="n">
        <v>44516</v>
      </c>
      <c r="B215" t="inlineStr">
        <is>
          <t>FY21-22</t>
        </is>
      </c>
      <c r="C215" t="inlineStr">
        <is>
          <t>CW</t>
        </is>
      </c>
      <c r="D215" t="inlineStr">
        <is>
          <t>09:16</t>
        </is>
      </c>
      <c r="E215" t="n">
        <v>3</v>
      </c>
      <c r="F215" t="n">
        <v>18.53</v>
      </c>
      <c r="G215" t="n">
        <v>2430.99</v>
      </c>
      <c r="H215" t="n">
        <v>0</v>
      </c>
      <c r="I215" s="7">
        <f>F215*Summary!$B$5</f>
        <v/>
      </c>
      <c r="J215" s="7">
        <f>G215*Summary!$B$5</f>
        <v/>
      </c>
      <c r="K215" s="7">
        <f>H215*Summary!$B$5</f>
        <v/>
      </c>
    </row>
    <row r="216">
      <c r="A216" s="8" t="n">
        <v>44517</v>
      </c>
      <c r="B216" t="inlineStr">
        <is>
          <t>FY21-22</t>
        </is>
      </c>
      <c r="C216" t="inlineStr">
        <is>
          <t>CW</t>
        </is>
      </c>
      <c r="D216" t="inlineStr">
        <is>
          <t>09:17</t>
        </is>
      </c>
      <c r="E216" t="n">
        <v>2</v>
      </c>
      <c r="F216" t="n">
        <v>15.49</v>
      </c>
      <c r="G216" t="n">
        <v>2446.47</v>
      </c>
      <c r="H216" t="n">
        <v>0</v>
      </c>
      <c r="I216" s="7">
        <f>F216*Summary!$B$5</f>
        <v/>
      </c>
      <c r="J216" s="7">
        <f>G216*Summary!$B$5</f>
        <v/>
      </c>
      <c r="K216" s="7">
        <f>H216*Summary!$B$5</f>
        <v/>
      </c>
    </row>
    <row r="217">
      <c r="A217" s="8" t="n">
        <v>44518</v>
      </c>
      <c r="B217" t="inlineStr">
        <is>
          <t>FY21-22</t>
        </is>
      </c>
      <c r="C217" t="inlineStr">
        <is>
          <t>CW</t>
        </is>
      </c>
      <c r="D217" t="inlineStr">
        <is>
          <t>09:18</t>
        </is>
      </c>
      <c r="E217" t="n">
        <v>1</v>
      </c>
      <c r="F217" t="n">
        <v>-37.4</v>
      </c>
      <c r="G217" t="n">
        <v>2409.08</v>
      </c>
      <c r="H217" t="n">
        <v>-37.4</v>
      </c>
      <c r="I217" s="7">
        <f>F217*Summary!$B$5</f>
        <v/>
      </c>
      <c r="J217" s="7">
        <f>G217*Summary!$B$5</f>
        <v/>
      </c>
      <c r="K217" s="7">
        <f>H217*Summary!$B$5</f>
        <v/>
      </c>
    </row>
    <row r="218">
      <c r="A218" s="8" t="n">
        <v>44522</v>
      </c>
      <c r="B218" t="inlineStr">
        <is>
          <t>FY21-22</t>
        </is>
      </c>
      <c r="C218" t="inlineStr">
        <is>
          <t>CW</t>
        </is>
      </c>
      <c r="D218" t="inlineStr">
        <is>
          <t>09:17</t>
        </is>
      </c>
      <c r="E218" t="n">
        <v>4</v>
      </c>
      <c r="F218" t="n">
        <v>-24.37</v>
      </c>
      <c r="G218" t="n">
        <v>2384.71</v>
      </c>
      <c r="H218" t="n">
        <v>-61.77</v>
      </c>
      <c r="I218" s="7">
        <f>F218*Summary!$B$5</f>
        <v/>
      </c>
      <c r="J218" s="7">
        <f>G218*Summary!$B$5</f>
        <v/>
      </c>
      <c r="K218" s="7">
        <f>H218*Summary!$B$5</f>
        <v/>
      </c>
    </row>
    <row r="219">
      <c r="A219" s="8" t="n">
        <v>44523</v>
      </c>
      <c r="B219" t="inlineStr">
        <is>
          <t>FY21-22</t>
        </is>
      </c>
      <c r="C219" t="inlineStr">
        <is>
          <t>CW</t>
        </is>
      </c>
      <c r="D219" t="inlineStr">
        <is>
          <t>09:18</t>
        </is>
      </c>
      <c r="E219" t="n">
        <v>3</v>
      </c>
      <c r="F219" t="n">
        <v>7.61</v>
      </c>
      <c r="G219" t="n">
        <v>2392.32</v>
      </c>
      <c r="H219" t="n">
        <v>-54.16</v>
      </c>
      <c r="I219" s="7">
        <f>F219*Summary!$B$5</f>
        <v/>
      </c>
      <c r="J219" s="7">
        <f>G219*Summary!$B$5</f>
        <v/>
      </c>
      <c r="K219" s="7">
        <f>H219*Summary!$B$5</f>
        <v/>
      </c>
    </row>
    <row r="220">
      <c r="A220" s="8" t="n">
        <v>44524</v>
      </c>
      <c r="B220" t="inlineStr">
        <is>
          <t>FY21-22</t>
        </is>
      </c>
      <c r="C220" t="inlineStr">
        <is>
          <t>CW</t>
        </is>
      </c>
      <c r="D220" t="inlineStr">
        <is>
          <t>09:18</t>
        </is>
      </c>
      <c r="E220" t="n">
        <v>2</v>
      </c>
      <c r="F220" t="n">
        <v>13.53</v>
      </c>
      <c r="G220" t="n">
        <v>2405.84</v>
      </c>
      <c r="H220" t="n">
        <v>-40.63</v>
      </c>
      <c r="I220" s="7">
        <f>F220*Summary!$B$5</f>
        <v/>
      </c>
      <c r="J220" s="7">
        <f>G220*Summary!$B$5</f>
        <v/>
      </c>
      <c r="K220" s="7">
        <f>H220*Summary!$B$5</f>
        <v/>
      </c>
    </row>
    <row r="221">
      <c r="A221" s="8" t="n">
        <v>44525</v>
      </c>
      <c r="B221" t="inlineStr">
        <is>
          <t>FY21-22</t>
        </is>
      </c>
      <c r="C221" t="inlineStr">
        <is>
          <t>CW</t>
        </is>
      </c>
      <c r="D221" t="inlineStr">
        <is>
          <t>09:16</t>
        </is>
      </c>
      <c r="E221" t="n">
        <v>1</v>
      </c>
      <c r="F221" t="n">
        <v>-46.96</v>
      </c>
      <c r="G221" t="n">
        <v>2358.89</v>
      </c>
      <c r="H221" t="n">
        <v>-87.58</v>
      </c>
      <c r="I221" s="7">
        <f>F221*Summary!$B$5</f>
        <v/>
      </c>
      <c r="J221" s="7">
        <f>G221*Summary!$B$5</f>
        <v/>
      </c>
      <c r="K221" s="7">
        <f>H221*Summary!$B$5</f>
        <v/>
      </c>
    </row>
    <row r="222">
      <c r="A222" s="8" t="n">
        <v>44526</v>
      </c>
      <c r="B222" t="inlineStr">
        <is>
          <t>FY21-22</t>
        </is>
      </c>
      <c r="C222" t="inlineStr">
        <is>
          <t>CW</t>
        </is>
      </c>
      <c r="D222" t="inlineStr">
        <is>
          <t>09:17</t>
        </is>
      </c>
      <c r="E222" t="n">
        <v>6</v>
      </c>
      <c r="F222" t="n">
        <v>32.82</v>
      </c>
      <c r="G222" t="n">
        <v>2391.71</v>
      </c>
      <c r="H222" t="n">
        <v>-54.77</v>
      </c>
      <c r="I222" s="7">
        <f>F222*Summary!$B$5</f>
        <v/>
      </c>
      <c r="J222" s="7">
        <f>G222*Summary!$B$5</f>
        <v/>
      </c>
      <c r="K222" s="7">
        <f>H222*Summary!$B$5</f>
        <v/>
      </c>
    </row>
    <row r="223">
      <c r="A223" s="8" t="n">
        <v>44529</v>
      </c>
      <c r="B223" t="inlineStr">
        <is>
          <t>FY21-22</t>
        </is>
      </c>
      <c r="C223" t="inlineStr">
        <is>
          <t>n/a</t>
        </is>
      </c>
      <c r="D223" t="inlineStr"/>
      <c r="E223" t="n">
        <v>4</v>
      </c>
      <c r="F223" t="n">
        <v>61.12</v>
      </c>
      <c r="G223" t="n">
        <v>2452.83</v>
      </c>
      <c r="H223" t="n">
        <v>0</v>
      </c>
      <c r="I223" s="7">
        <f>F223*Summary!$B$5</f>
        <v/>
      </c>
      <c r="J223" s="7">
        <f>G223*Summary!$B$5</f>
        <v/>
      </c>
      <c r="K223" s="7">
        <f>H223*Summary!$B$5</f>
        <v/>
      </c>
    </row>
    <row r="224">
      <c r="A224" s="8" t="n">
        <v>44530</v>
      </c>
      <c r="B224" t="inlineStr">
        <is>
          <t>FY21-22</t>
        </is>
      </c>
      <c r="C224" t="inlineStr">
        <is>
          <t>n/a</t>
        </is>
      </c>
      <c r="D224" t="inlineStr"/>
      <c r="E224" t="n">
        <v>3</v>
      </c>
      <c r="F224" t="n">
        <v>-39.43</v>
      </c>
      <c r="G224" t="n">
        <v>2413.4</v>
      </c>
      <c r="H224" t="n">
        <v>-39.43</v>
      </c>
      <c r="I224" s="7">
        <f>F224*Summary!$B$5</f>
        <v/>
      </c>
      <c r="J224" s="7">
        <f>G224*Summary!$B$5</f>
        <v/>
      </c>
      <c r="K224" s="7">
        <f>H224*Summary!$B$5</f>
        <v/>
      </c>
    </row>
    <row r="225">
      <c r="A225" s="8" t="n">
        <v>44531</v>
      </c>
      <c r="B225" t="inlineStr">
        <is>
          <t>FY21-22</t>
        </is>
      </c>
      <c r="C225" t="inlineStr">
        <is>
          <t>CW</t>
        </is>
      </c>
      <c r="D225" t="inlineStr">
        <is>
          <t>09:16</t>
        </is>
      </c>
      <c r="E225" t="n">
        <v>2</v>
      </c>
      <c r="F225" t="n">
        <v>63.26</v>
      </c>
      <c r="G225" t="n">
        <v>2476.66</v>
      </c>
      <c r="H225" t="n">
        <v>0</v>
      </c>
      <c r="I225" s="7">
        <f>F225*Summary!$B$5</f>
        <v/>
      </c>
      <c r="J225" s="7">
        <f>G225*Summary!$B$5</f>
        <v/>
      </c>
      <c r="K225" s="7">
        <f>H225*Summary!$B$5</f>
        <v/>
      </c>
    </row>
    <row r="226">
      <c r="A226" s="8" t="n">
        <v>44532</v>
      </c>
      <c r="B226" t="inlineStr">
        <is>
          <t>FY21-22</t>
        </is>
      </c>
      <c r="C226" t="inlineStr">
        <is>
          <t>CW</t>
        </is>
      </c>
      <c r="D226" t="inlineStr">
        <is>
          <t>09:18</t>
        </is>
      </c>
      <c r="E226" t="n">
        <v>1</v>
      </c>
      <c r="F226" t="n">
        <v>46.1</v>
      </c>
      <c r="G226" t="n">
        <v>2522.76</v>
      </c>
      <c r="H226" t="n">
        <v>0</v>
      </c>
      <c r="I226" s="7">
        <f>F226*Summary!$B$5</f>
        <v/>
      </c>
      <c r="J226" s="7">
        <f>G226*Summary!$B$5</f>
        <v/>
      </c>
      <c r="K226" s="7">
        <f>H226*Summary!$B$5</f>
        <v/>
      </c>
    </row>
    <row r="227">
      <c r="A227" s="8" t="n">
        <v>44533</v>
      </c>
      <c r="B227" t="inlineStr">
        <is>
          <t>FY21-22</t>
        </is>
      </c>
      <c r="C227" t="inlineStr">
        <is>
          <t>CW</t>
        </is>
      </c>
      <c r="D227" t="inlineStr">
        <is>
          <t>09:17</t>
        </is>
      </c>
      <c r="E227" t="n">
        <v>6</v>
      </c>
      <c r="F227" t="n">
        <v>34.01</v>
      </c>
      <c r="G227" t="n">
        <v>2556.77</v>
      </c>
      <c r="H227" t="n">
        <v>0</v>
      </c>
      <c r="I227" s="7">
        <f>F227*Summary!$B$5</f>
        <v/>
      </c>
      <c r="J227" s="7">
        <f>G227*Summary!$B$5</f>
        <v/>
      </c>
      <c r="K227" s="7">
        <f>H227*Summary!$B$5</f>
        <v/>
      </c>
    </row>
    <row r="228">
      <c r="A228" s="8" t="n">
        <v>44536</v>
      </c>
      <c r="B228" t="inlineStr">
        <is>
          <t>FY21-22</t>
        </is>
      </c>
      <c r="C228" t="inlineStr">
        <is>
          <t>CW</t>
        </is>
      </c>
      <c r="D228" t="inlineStr">
        <is>
          <t>09:18</t>
        </is>
      </c>
      <c r="E228" t="n">
        <v>4</v>
      </c>
      <c r="F228" t="n">
        <v>35.21</v>
      </c>
      <c r="G228" t="n">
        <v>2591.98</v>
      </c>
      <c r="H228" t="n">
        <v>0</v>
      </c>
      <c r="I228" s="7">
        <f>F228*Summary!$B$5</f>
        <v/>
      </c>
      <c r="J228" s="7">
        <f>G228*Summary!$B$5</f>
        <v/>
      </c>
      <c r="K228" s="7">
        <f>H228*Summary!$B$5</f>
        <v/>
      </c>
    </row>
    <row r="229">
      <c r="A229" s="8" t="n">
        <v>44537</v>
      </c>
      <c r="B229" t="inlineStr">
        <is>
          <t>FY21-22</t>
        </is>
      </c>
      <c r="C229" t="inlineStr">
        <is>
          <t>CW</t>
        </is>
      </c>
      <c r="D229" t="inlineStr">
        <is>
          <t>09:17</t>
        </is>
      </c>
      <c r="E229" t="n">
        <v>3</v>
      </c>
      <c r="F229" t="n">
        <v>6.11</v>
      </c>
      <c r="G229" t="n">
        <v>2598.08</v>
      </c>
      <c r="H229" t="n">
        <v>0</v>
      </c>
      <c r="I229" s="7">
        <f>F229*Summary!$B$5</f>
        <v/>
      </c>
      <c r="J229" s="7">
        <f>G229*Summary!$B$5</f>
        <v/>
      </c>
      <c r="K229" s="7">
        <f>H229*Summary!$B$5</f>
        <v/>
      </c>
    </row>
    <row r="230">
      <c r="A230" s="8" t="n">
        <v>44538</v>
      </c>
      <c r="B230" t="inlineStr">
        <is>
          <t>FY21-22</t>
        </is>
      </c>
      <c r="C230" t="inlineStr">
        <is>
          <t>CW</t>
        </is>
      </c>
      <c r="D230" t="inlineStr">
        <is>
          <t>09:18</t>
        </is>
      </c>
      <c r="E230" t="n">
        <v>2</v>
      </c>
      <c r="F230" t="n">
        <v>10.07</v>
      </c>
      <c r="G230" t="n">
        <v>2608.16</v>
      </c>
      <c r="H230" t="n">
        <v>0</v>
      </c>
      <c r="I230" s="7">
        <f>F230*Summary!$B$5</f>
        <v/>
      </c>
      <c r="J230" s="7">
        <f>G230*Summary!$B$5</f>
        <v/>
      </c>
      <c r="K230" s="7">
        <f>H230*Summary!$B$5</f>
        <v/>
      </c>
    </row>
    <row r="231">
      <c r="A231" s="8" t="n">
        <v>44539</v>
      </c>
      <c r="B231" t="inlineStr">
        <is>
          <t>FY21-22</t>
        </is>
      </c>
      <c r="C231" t="inlineStr">
        <is>
          <t>CW</t>
        </is>
      </c>
      <c r="D231" t="inlineStr">
        <is>
          <t>09:18</t>
        </is>
      </c>
      <c r="E231" t="n">
        <v>1</v>
      </c>
      <c r="F231" t="n">
        <v>-10.45</v>
      </c>
      <c r="G231" t="n">
        <v>2597.71</v>
      </c>
      <c r="H231" t="n">
        <v>-10.45</v>
      </c>
      <c r="I231" s="7">
        <f>F231*Summary!$B$5</f>
        <v/>
      </c>
      <c r="J231" s="7">
        <f>G231*Summary!$B$5</f>
        <v/>
      </c>
      <c r="K231" s="7">
        <f>H231*Summary!$B$5</f>
        <v/>
      </c>
    </row>
    <row r="232">
      <c r="A232" s="8" t="n">
        <v>44540</v>
      </c>
      <c r="B232" t="inlineStr">
        <is>
          <t>FY21-22</t>
        </is>
      </c>
      <c r="C232" t="inlineStr">
        <is>
          <t>CW</t>
        </is>
      </c>
      <c r="D232" t="inlineStr">
        <is>
          <t>09:16</t>
        </is>
      </c>
      <c r="E232" t="n">
        <v>6</v>
      </c>
      <c r="F232" t="n">
        <v>32.23</v>
      </c>
      <c r="G232" t="n">
        <v>2629.94</v>
      </c>
      <c r="H232" t="n">
        <v>0</v>
      </c>
      <c r="I232" s="7">
        <f>F232*Summary!$B$5</f>
        <v/>
      </c>
      <c r="J232" s="7">
        <f>G232*Summary!$B$5</f>
        <v/>
      </c>
      <c r="K232" s="7">
        <f>H232*Summary!$B$5</f>
        <v/>
      </c>
    </row>
    <row r="233">
      <c r="A233" s="8" t="n">
        <v>44543</v>
      </c>
      <c r="B233" t="inlineStr">
        <is>
          <t>FY21-22</t>
        </is>
      </c>
      <c r="C233" t="inlineStr">
        <is>
          <t>n/a</t>
        </is>
      </c>
      <c r="D233" t="inlineStr"/>
      <c r="E233" t="n">
        <v>0</v>
      </c>
      <c r="F233" t="n">
        <v>-40.99</v>
      </c>
      <c r="G233" t="n">
        <v>2588.95</v>
      </c>
      <c r="H233" t="n">
        <v>-40.99</v>
      </c>
      <c r="I233" s="7">
        <f>F233*Summary!$B$5</f>
        <v/>
      </c>
      <c r="J233" s="7">
        <f>G233*Summary!$B$5</f>
        <v/>
      </c>
      <c r="K233" s="7">
        <f>H233*Summary!$B$5</f>
        <v/>
      </c>
    </row>
    <row r="234">
      <c r="A234" s="8" t="n">
        <v>44544</v>
      </c>
      <c r="B234" t="inlineStr">
        <is>
          <t>FY21-22</t>
        </is>
      </c>
      <c r="C234" t="inlineStr">
        <is>
          <t>n/a</t>
        </is>
      </c>
      <c r="D234" t="inlineStr"/>
      <c r="E234" t="n">
        <v>0</v>
      </c>
      <c r="F234" t="n">
        <v>-19.36</v>
      </c>
      <c r="G234" t="n">
        <v>2569.59</v>
      </c>
      <c r="H234" t="n">
        <v>-60.35</v>
      </c>
      <c r="I234" s="7">
        <f>F234*Summary!$B$5</f>
        <v/>
      </c>
      <c r="J234" s="7">
        <f>G234*Summary!$B$5</f>
        <v/>
      </c>
      <c r="K234" s="7">
        <f>H234*Summary!$B$5</f>
        <v/>
      </c>
    </row>
    <row r="235">
      <c r="A235" s="8" t="n">
        <v>44545</v>
      </c>
      <c r="B235" t="inlineStr">
        <is>
          <t>FY21-22</t>
        </is>
      </c>
      <c r="C235" t="inlineStr">
        <is>
          <t>CW</t>
        </is>
      </c>
      <c r="D235" t="inlineStr">
        <is>
          <t>09:18</t>
        </is>
      </c>
      <c r="E235" t="n">
        <v>2</v>
      </c>
      <c r="F235" t="n">
        <v>-40.57</v>
      </c>
      <c r="G235" t="n">
        <v>2529.02</v>
      </c>
      <c r="H235" t="n">
        <v>-100.92</v>
      </c>
      <c r="I235" s="7">
        <f>F235*Summary!$B$5</f>
        <v/>
      </c>
      <c r="J235" s="7">
        <f>G235*Summary!$B$5</f>
        <v/>
      </c>
      <c r="K235" s="7">
        <f>H235*Summary!$B$5</f>
        <v/>
      </c>
    </row>
    <row r="236">
      <c r="A236" s="8" t="n">
        <v>44546</v>
      </c>
      <c r="B236" t="inlineStr">
        <is>
          <t>FY21-22</t>
        </is>
      </c>
      <c r="C236" t="inlineStr">
        <is>
          <t>CW</t>
        </is>
      </c>
      <c r="D236" t="inlineStr">
        <is>
          <t>09:18</t>
        </is>
      </c>
      <c r="E236" t="n">
        <v>1</v>
      </c>
      <c r="F236" t="n">
        <v>47.93</v>
      </c>
      <c r="G236" t="n">
        <v>2576.95</v>
      </c>
      <c r="H236" t="n">
        <v>-52.99</v>
      </c>
      <c r="I236" s="7">
        <f>F236*Summary!$B$5</f>
        <v/>
      </c>
      <c r="J236" s="7">
        <f>G236*Summary!$B$5</f>
        <v/>
      </c>
      <c r="K236" s="7">
        <f>H236*Summary!$B$5</f>
        <v/>
      </c>
    </row>
    <row r="237">
      <c r="A237" s="8" t="n">
        <v>44547</v>
      </c>
      <c r="B237" t="inlineStr">
        <is>
          <t>FY21-22</t>
        </is>
      </c>
      <c r="C237" t="inlineStr"/>
      <c r="D237" t="inlineStr"/>
      <c r="E237" t="n">
        <v>0</v>
      </c>
      <c r="F237" t="n">
        <v>0</v>
      </c>
      <c r="G237" t="n">
        <v>2576.95</v>
      </c>
      <c r="H237" t="n">
        <v>-52.99</v>
      </c>
      <c r="I237" s="7">
        <f>F237*Summary!$B$5</f>
        <v/>
      </c>
      <c r="J237" s="7">
        <f>G237*Summary!$B$5</f>
        <v/>
      </c>
      <c r="K237" s="7">
        <f>H237*Summary!$B$5</f>
        <v/>
      </c>
    </row>
    <row r="238">
      <c r="A238" s="8" t="n">
        <v>44550</v>
      </c>
      <c r="B238" t="inlineStr">
        <is>
          <t>FY21-22</t>
        </is>
      </c>
      <c r="C238" t="inlineStr">
        <is>
          <t>CW</t>
        </is>
      </c>
      <c r="D238" t="inlineStr">
        <is>
          <t>09:18</t>
        </is>
      </c>
      <c r="E238" t="n">
        <v>4</v>
      </c>
      <c r="F238" t="n">
        <v>-5.44</v>
      </c>
      <c r="G238" t="n">
        <v>2571.51</v>
      </c>
      <c r="H238" t="n">
        <v>-58.43</v>
      </c>
      <c r="I238" s="7">
        <f>F238*Summary!$B$5</f>
        <v/>
      </c>
      <c r="J238" s="7">
        <f>G238*Summary!$B$5</f>
        <v/>
      </c>
      <c r="K238" s="7">
        <f>H238*Summary!$B$5</f>
        <v/>
      </c>
    </row>
    <row r="239">
      <c r="A239" s="8" t="n">
        <v>44551</v>
      </c>
      <c r="B239" t="inlineStr">
        <is>
          <t>FY21-22</t>
        </is>
      </c>
      <c r="C239" t="inlineStr"/>
      <c r="D239" t="inlineStr"/>
      <c r="E239" t="n">
        <v>0</v>
      </c>
      <c r="F239" t="n">
        <v>0</v>
      </c>
      <c r="G239" t="n">
        <v>2571.51</v>
      </c>
      <c r="H239" t="n">
        <v>-58.43</v>
      </c>
      <c r="I239" s="7">
        <f>F239*Summary!$B$5</f>
        <v/>
      </c>
      <c r="J239" s="7">
        <f>G239*Summary!$B$5</f>
        <v/>
      </c>
      <c r="K239" s="7">
        <f>H239*Summary!$B$5</f>
        <v/>
      </c>
    </row>
    <row r="240">
      <c r="A240" s="8" t="n">
        <v>44552</v>
      </c>
      <c r="B240" t="inlineStr">
        <is>
          <t>FY21-22</t>
        </is>
      </c>
      <c r="C240" t="inlineStr">
        <is>
          <t>CW</t>
        </is>
      </c>
      <c r="D240" t="inlineStr">
        <is>
          <t>09:18</t>
        </is>
      </c>
      <c r="E240" t="n">
        <v>2</v>
      </c>
      <c r="F240" t="n">
        <v>42.64</v>
      </c>
      <c r="G240" t="n">
        <v>2614.15</v>
      </c>
      <c r="H240" t="n">
        <v>-15.79</v>
      </c>
      <c r="I240" s="7">
        <f>F240*Summary!$B$5</f>
        <v/>
      </c>
      <c r="J240" s="7">
        <f>G240*Summary!$B$5</f>
        <v/>
      </c>
      <c r="K240" s="7">
        <f>H240*Summary!$B$5</f>
        <v/>
      </c>
    </row>
    <row r="241">
      <c r="A241" s="8" t="n">
        <v>44553</v>
      </c>
      <c r="B241" t="inlineStr">
        <is>
          <t>FY21-22</t>
        </is>
      </c>
      <c r="C241" t="inlineStr">
        <is>
          <t>CW</t>
        </is>
      </c>
      <c r="D241" t="inlineStr">
        <is>
          <t>09:18</t>
        </is>
      </c>
      <c r="E241" t="n">
        <v>1</v>
      </c>
      <c r="F241" t="n">
        <v>45.34</v>
      </c>
      <c r="G241" t="n">
        <v>2659.49</v>
      </c>
      <c r="H241" t="n">
        <v>0</v>
      </c>
      <c r="I241" s="7">
        <f>F241*Summary!$B$5</f>
        <v/>
      </c>
      <c r="J241" s="7">
        <f>G241*Summary!$B$5</f>
        <v/>
      </c>
      <c r="K241" s="7">
        <f>H241*Summary!$B$5</f>
        <v/>
      </c>
    </row>
    <row r="242">
      <c r="A242" s="8" t="n">
        <v>44554</v>
      </c>
      <c r="B242" t="inlineStr">
        <is>
          <t>FY21-22</t>
        </is>
      </c>
      <c r="C242" t="inlineStr">
        <is>
          <t>CW</t>
        </is>
      </c>
      <c r="D242" t="inlineStr">
        <is>
          <t>09:16</t>
        </is>
      </c>
      <c r="E242" t="n">
        <v>6</v>
      </c>
      <c r="F242" t="n">
        <v>-11.88</v>
      </c>
      <c r="G242" t="n">
        <v>2647.61</v>
      </c>
      <c r="H242" t="n">
        <v>-11.88</v>
      </c>
      <c r="I242" s="7">
        <f>F242*Summary!$B$5</f>
        <v/>
      </c>
      <c r="J242" s="7">
        <f>G242*Summary!$B$5</f>
        <v/>
      </c>
      <c r="K242" s="7">
        <f>H242*Summary!$B$5</f>
        <v/>
      </c>
    </row>
    <row r="243">
      <c r="A243" s="8" t="n">
        <v>44557</v>
      </c>
      <c r="B243" t="inlineStr">
        <is>
          <t>FY21-22</t>
        </is>
      </c>
      <c r="C243" t="inlineStr">
        <is>
          <t>CW</t>
        </is>
      </c>
      <c r="D243" t="inlineStr">
        <is>
          <t>09:16</t>
        </is>
      </c>
      <c r="E243" t="n">
        <v>4</v>
      </c>
      <c r="F243" t="n">
        <v>-6.75</v>
      </c>
      <c r="G243" t="n">
        <v>2640.86</v>
      </c>
      <c r="H243" t="n">
        <v>-18.63</v>
      </c>
      <c r="I243" s="7">
        <f>F243*Summary!$B$5</f>
        <v/>
      </c>
      <c r="J243" s="7">
        <f>G243*Summary!$B$5</f>
        <v/>
      </c>
      <c r="K243" s="7">
        <f>H243*Summary!$B$5</f>
        <v/>
      </c>
    </row>
    <row r="244">
      <c r="A244" s="8" t="n">
        <v>44558</v>
      </c>
      <c r="B244" t="inlineStr">
        <is>
          <t>FY21-22</t>
        </is>
      </c>
      <c r="C244" t="inlineStr">
        <is>
          <t>n/a</t>
        </is>
      </c>
      <c r="D244" t="inlineStr"/>
      <c r="E244" t="n">
        <v>0</v>
      </c>
      <c r="F244" t="n">
        <v>11.15</v>
      </c>
      <c r="G244" t="n">
        <v>2652.02</v>
      </c>
      <c r="H244" t="n">
        <v>-7.48</v>
      </c>
      <c r="I244" s="7">
        <f>F244*Summary!$B$5</f>
        <v/>
      </c>
      <c r="J244" s="7">
        <f>G244*Summary!$B$5</f>
        <v/>
      </c>
      <c r="K244" s="7">
        <f>H244*Summary!$B$5</f>
        <v/>
      </c>
    </row>
    <row r="245">
      <c r="A245" s="8" t="n">
        <v>44559</v>
      </c>
      <c r="B245" t="inlineStr">
        <is>
          <t>FY21-22</t>
        </is>
      </c>
      <c r="C245" t="inlineStr">
        <is>
          <t>CW</t>
        </is>
      </c>
      <c r="D245" t="inlineStr">
        <is>
          <t>09:17</t>
        </is>
      </c>
      <c r="E245" t="n">
        <v>2</v>
      </c>
      <c r="F245" t="n">
        <v>33.66</v>
      </c>
      <c r="G245" t="n">
        <v>2685.68</v>
      </c>
      <c r="H245" t="n">
        <v>0</v>
      </c>
      <c r="I245" s="7">
        <f>F245*Summary!$B$5</f>
        <v/>
      </c>
      <c r="J245" s="7">
        <f>G245*Summary!$B$5</f>
        <v/>
      </c>
      <c r="K245" s="7">
        <f>H245*Summary!$B$5</f>
        <v/>
      </c>
    </row>
    <row r="246">
      <c r="A246" s="8" t="n">
        <v>44560</v>
      </c>
      <c r="B246" t="inlineStr">
        <is>
          <t>FY21-22</t>
        </is>
      </c>
      <c r="C246" t="inlineStr">
        <is>
          <t>CW</t>
        </is>
      </c>
      <c r="D246" t="inlineStr">
        <is>
          <t>09:16</t>
        </is>
      </c>
      <c r="E246" t="n">
        <v>1</v>
      </c>
      <c r="F246" t="n">
        <v>37.68</v>
      </c>
      <c r="G246" t="n">
        <v>2723.36</v>
      </c>
      <c r="H246" t="n">
        <v>0</v>
      </c>
      <c r="I246" s="7">
        <f>F246*Summary!$B$5</f>
        <v/>
      </c>
      <c r="J246" s="7">
        <f>G246*Summary!$B$5</f>
        <v/>
      </c>
      <c r="K246" s="7">
        <f>H246*Summary!$B$5</f>
        <v/>
      </c>
    </row>
    <row r="247">
      <c r="A247" s="8" t="n">
        <v>44561</v>
      </c>
      <c r="B247" t="inlineStr">
        <is>
          <t>FY21-22</t>
        </is>
      </c>
      <c r="C247" t="inlineStr">
        <is>
          <t>CW</t>
        </is>
      </c>
      <c r="D247" t="inlineStr">
        <is>
          <t>09:17</t>
        </is>
      </c>
      <c r="E247" t="n">
        <v>6</v>
      </c>
      <c r="F247" t="n">
        <v>18.09</v>
      </c>
      <c r="G247" t="n">
        <v>2741.45</v>
      </c>
      <c r="H247" t="n">
        <v>0</v>
      </c>
      <c r="I247" s="7">
        <f>F247*Summary!$B$5</f>
        <v/>
      </c>
      <c r="J247" s="7">
        <f>G247*Summary!$B$5</f>
        <v/>
      </c>
      <c r="K247" s="7">
        <f>H247*Summary!$B$5</f>
        <v/>
      </c>
    </row>
    <row r="248">
      <c r="A248" s="8" t="n">
        <v>44564</v>
      </c>
      <c r="B248" t="inlineStr">
        <is>
          <t>FY21-22</t>
        </is>
      </c>
      <c r="C248" t="inlineStr">
        <is>
          <t>CW</t>
        </is>
      </c>
      <c r="D248" t="inlineStr">
        <is>
          <t>09:18</t>
        </is>
      </c>
      <c r="E248" t="n">
        <v>4</v>
      </c>
      <c r="F248" t="n">
        <v>-34.84</v>
      </c>
      <c r="G248" t="n">
        <v>2706.61</v>
      </c>
      <c r="H248" t="n">
        <v>-34.84</v>
      </c>
      <c r="I248" s="7">
        <f>F248*Summary!$B$5</f>
        <v/>
      </c>
      <c r="J248" s="7">
        <f>G248*Summary!$B$5</f>
        <v/>
      </c>
      <c r="K248" s="7">
        <f>H248*Summary!$B$5</f>
        <v/>
      </c>
    </row>
    <row r="249">
      <c r="A249" s="8" t="n">
        <v>44565</v>
      </c>
      <c r="B249" t="inlineStr">
        <is>
          <t>FY21-22</t>
        </is>
      </c>
      <c r="C249" t="inlineStr">
        <is>
          <t>CW</t>
        </is>
      </c>
      <c r="D249" t="inlineStr">
        <is>
          <t>09:16</t>
        </is>
      </c>
      <c r="E249" t="n">
        <v>3</v>
      </c>
      <c r="F249" t="n">
        <v>24.83</v>
      </c>
      <c r="G249" t="n">
        <v>2731.44</v>
      </c>
      <c r="H249" t="n">
        <v>-10</v>
      </c>
      <c r="I249" s="7">
        <f>F249*Summary!$B$5</f>
        <v/>
      </c>
      <c r="J249" s="7">
        <f>G249*Summary!$B$5</f>
        <v/>
      </c>
      <c r="K249" s="7">
        <f>H249*Summary!$B$5</f>
        <v/>
      </c>
    </row>
    <row r="250">
      <c r="A250" s="8" t="n">
        <v>44566</v>
      </c>
      <c r="B250" t="inlineStr">
        <is>
          <t>FY21-22</t>
        </is>
      </c>
      <c r="C250" t="inlineStr">
        <is>
          <t>CW</t>
        </is>
      </c>
      <c r="D250" t="inlineStr">
        <is>
          <t>09:17</t>
        </is>
      </c>
      <c r="E250" t="n">
        <v>2</v>
      </c>
      <c r="F250" t="n">
        <v>9.710000000000001</v>
      </c>
      <c r="G250" t="n">
        <v>2741.15</v>
      </c>
      <c r="H250" t="n">
        <v>-0.3</v>
      </c>
      <c r="I250" s="7">
        <f>F250*Summary!$B$5</f>
        <v/>
      </c>
      <c r="J250" s="7">
        <f>G250*Summary!$B$5</f>
        <v/>
      </c>
      <c r="K250" s="7">
        <f>H250*Summary!$B$5</f>
        <v/>
      </c>
    </row>
    <row r="251">
      <c r="A251" s="8" t="n">
        <v>44567</v>
      </c>
      <c r="B251" t="inlineStr">
        <is>
          <t>FY21-22</t>
        </is>
      </c>
      <c r="C251" t="inlineStr">
        <is>
          <t>CW</t>
        </is>
      </c>
      <c r="D251" t="inlineStr">
        <is>
          <t>09:18</t>
        </is>
      </c>
      <c r="E251" t="n">
        <v>1</v>
      </c>
      <c r="F251" t="n">
        <v>25.33</v>
      </c>
      <c r="G251" t="n">
        <v>2766.48</v>
      </c>
      <c r="H251" t="n">
        <v>0</v>
      </c>
      <c r="I251" s="7">
        <f>F251*Summary!$B$5</f>
        <v/>
      </c>
      <c r="J251" s="7">
        <f>G251*Summary!$B$5</f>
        <v/>
      </c>
      <c r="K251" s="7">
        <f>H251*Summary!$B$5</f>
        <v/>
      </c>
    </row>
    <row r="252">
      <c r="A252" s="8" t="n">
        <v>44568</v>
      </c>
      <c r="B252" t="inlineStr">
        <is>
          <t>FY21-22</t>
        </is>
      </c>
      <c r="C252" t="inlineStr">
        <is>
          <t>n/a</t>
        </is>
      </c>
      <c r="D252" t="inlineStr"/>
      <c r="E252" t="n">
        <v>0</v>
      </c>
      <c r="F252" t="n">
        <v>20.28</v>
      </c>
      <c r="G252" t="n">
        <v>2786.76</v>
      </c>
      <c r="H252" t="n">
        <v>0</v>
      </c>
      <c r="I252" s="7">
        <f>F252*Summary!$B$5</f>
        <v/>
      </c>
      <c r="J252" s="7">
        <f>G252*Summary!$B$5</f>
        <v/>
      </c>
      <c r="K252" s="7">
        <f>H252*Summary!$B$5</f>
        <v/>
      </c>
    </row>
    <row r="253">
      <c r="A253" s="8" t="n">
        <v>44571</v>
      </c>
      <c r="B253" t="inlineStr">
        <is>
          <t>FY21-22</t>
        </is>
      </c>
      <c r="C253" t="inlineStr">
        <is>
          <t>n/a</t>
        </is>
      </c>
      <c r="D253" t="inlineStr"/>
      <c r="E253" t="n">
        <v>0</v>
      </c>
      <c r="F253" t="n">
        <v>2.02</v>
      </c>
      <c r="G253" t="n">
        <v>2788.78</v>
      </c>
      <c r="H253" t="n">
        <v>0</v>
      </c>
      <c r="I253" s="7">
        <f>F253*Summary!$B$5</f>
        <v/>
      </c>
      <c r="J253" s="7">
        <f>G253*Summary!$B$5</f>
        <v/>
      </c>
      <c r="K253" s="7">
        <f>H253*Summary!$B$5</f>
        <v/>
      </c>
    </row>
    <row r="254">
      <c r="A254" s="8" t="n">
        <v>44572</v>
      </c>
      <c r="B254" t="inlineStr">
        <is>
          <t>FY21-22</t>
        </is>
      </c>
      <c r="C254" t="inlineStr">
        <is>
          <t>CW</t>
        </is>
      </c>
      <c r="D254" t="inlineStr">
        <is>
          <t>09:17</t>
        </is>
      </c>
      <c r="E254" t="n">
        <v>3</v>
      </c>
      <c r="F254" t="n">
        <v>27.76</v>
      </c>
      <c r="G254" t="n">
        <v>2816.55</v>
      </c>
      <c r="H254" t="n">
        <v>0</v>
      </c>
      <c r="I254" s="7">
        <f>F254*Summary!$B$5</f>
        <v/>
      </c>
      <c r="J254" s="7">
        <f>G254*Summary!$B$5</f>
        <v/>
      </c>
      <c r="K254" s="7">
        <f>H254*Summary!$B$5</f>
        <v/>
      </c>
    </row>
    <row r="255">
      <c r="A255" s="8" t="n">
        <v>44573</v>
      </c>
      <c r="B255" t="inlineStr">
        <is>
          <t>FY21-22</t>
        </is>
      </c>
      <c r="C255" t="inlineStr">
        <is>
          <t>CW</t>
        </is>
      </c>
      <c r="D255" t="inlineStr">
        <is>
          <t>09:17</t>
        </is>
      </c>
      <c r="E255" t="n">
        <v>2</v>
      </c>
      <c r="F255" t="n">
        <v>34.35</v>
      </c>
      <c r="G255" t="n">
        <v>2850.9</v>
      </c>
      <c r="H255" t="n">
        <v>0</v>
      </c>
      <c r="I255" s="7">
        <f>F255*Summary!$B$5</f>
        <v/>
      </c>
      <c r="J255" s="7">
        <f>G255*Summary!$B$5</f>
        <v/>
      </c>
      <c r="K255" s="7">
        <f>H255*Summary!$B$5</f>
        <v/>
      </c>
    </row>
    <row r="256">
      <c r="A256" s="8" t="n">
        <v>44574</v>
      </c>
      <c r="B256" t="inlineStr">
        <is>
          <t>FY21-22</t>
        </is>
      </c>
      <c r="C256" t="inlineStr">
        <is>
          <t>CW</t>
        </is>
      </c>
      <c r="D256" t="inlineStr">
        <is>
          <t>09:16</t>
        </is>
      </c>
      <c r="E256" t="n">
        <v>1</v>
      </c>
      <c r="F256" t="n">
        <v>39.34</v>
      </c>
      <c r="G256" t="n">
        <v>2890.24</v>
      </c>
      <c r="H256" t="n">
        <v>0</v>
      </c>
      <c r="I256" s="7">
        <f>F256*Summary!$B$5</f>
        <v/>
      </c>
      <c r="J256" s="7">
        <f>G256*Summary!$B$5</f>
        <v/>
      </c>
      <c r="K256" s="7">
        <f>H256*Summary!$B$5</f>
        <v/>
      </c>
    </row>
    <row r="257">
      <c r="A257" s="8" t="n">
        <v>44575</v>
      </c>
      <c r="B257" t="inlineStr">
        <is>
          <t>FY21-22</t>
        </is>
      </c>
      <c r="C257" t="inlineStr">
        <is>
          <t>CW</t>
        </is>
      </c>
      <c r="D257" t="inlineStr">
        <is>
          <t>09:18</t>
        </is>
      </c>
      <c r="E257" t="n">
        <v>6</v>
      </c>
      <c r="F257" t="n">
        <v>3.41</v>
      </c>
      <c r="G257" t="n">
        <v>2893.65</v>
      </c>
      <c r="H257" t="n">
        <v>0</v>
      </c>
      <c r="I257" s="7">
        <f>F257*Summary!$B$5</f>
        <v/>
      </c>
      <c r="J257" s="7">
        <f>G257*Summary!$B$5</f>
        <v/>
      </c>
      <c r="K257" s="7">
        <f>H257*Summary!$B$5</f>
        <v/>
      </c>
    </row>
    <row r="258">
      <c r="A258" s="8" t="n">
        <v>44578</v>
      </c>
      <c r="B258" t="inlineStr">
        <is>
          <t>FY21-22</t>
        </is>
      </c>
      <c r="C258" t="inlineStr">
        <is>
          <t>CW</t>
        </is>
      </c>
      <c r="D258" t="inlineStr">
        <is>
          <t>09:18</t>
        </is>
      </c>
      <c r="E258" t="n">
        <v>4</v>
      </c>
      <c r="F258" t="n">
        <v>29.78</v>
      </c>
      <c r="G258" t="n">
        <v>2923.43</v>
      </c>
      <c r="H258" t="n">
        <v>0</v>
      </c>
      <c r="I258" s="7">
        <f>F258*Summary!$B$5</f>
        <v/>
      </c>
      <c r="J258" s="7">
        <f>G258*Summary!$B$5</f>
        <v/>
      </c>
      <c r="K258" s="7">
        <f>H258*Summary!$B$5</f>
        <v/>
      </c>
    </row>
    <row r="259">
      <c r="A259" s="8" t="n">
        <v>44579</v>
      </c>
      <c r="B259" t="inlineStr">
        <is>
          <t>FY21-22</t>
        </is>
      </c>
      <c r="C259" t="inlineStr">
        <is>
          <t>CW</t>
        </is>
      </c>
      <c r="D259" t="inlineStr">
        <is>
          <t>09:18</t>
        </is>
      </c>
      <c r="E259" t="n">
        <v>3</v>
      </c>
      <c r="F259" t="n">
        <v>-33.76</v>
      </c>
      <c r="G259" t="n">
        <v>2889.67</v>
      </c>
      <c r="H259" t="n">
        <v>-33.76</v>
      </c>
      <c r="I259" s="7">
        <f>F259*Summary!$B$5</f>
        <v/>
      </c>
      <c r="J259" s="7">
        <f>G259*Summary!$B$5</f>
        <v/>
      </c>
      <c r="K259" s="7">
        <f>H259*Summary!$B$5</f>
        <v/>
      </c>
    </row>
    <row r="260">
      <c r="A260" s="8" t="n">
        <v>44580</v>
      </c>
      <c r="B260" t="inlineStr">
        <is>
          <t>FY21-22</t>
        </is>
      </c>
      <c r="C260" t="inlineStr">
        <is>
          <t>CW</t>
        </is>
      </c>
      <c r="D260" t="inlineStr">
        <is>
          <t>09:18</t>
        </is>
      </c>
      <c r="E260" t="n">
        <v>2</v>
      </c>
      <c r="F260" t="n">
        <v>2.03</v>
      </c>
      <c r="G260" t="n">
        <v>2891.7</v>
      </c>
      <c r="H260" t="n">
        <v>-31.73</v>
      </c>
      <c r="I260" s="7">
        <f>F260*Summary!$B$5</f>
        <v/>
      </c>
      <c r="J260" s="7">
        <f>G260*Summary!$B$5</f>
        <v/>
      </c>
      <c r="K260" s="7">
        <f>H260*Summary!$B$5</f>
        <v/>
      </c>
    </row>
    <row r="261">
      <c r="A261" s="8" t="n">
        <v>44581</v>
      </c>
      <c r="B261" t="inlineStr">
        <is>
          <t>FY21-22</t>
        </is>
      </c>
      <c r="C261" t="inlineStr">
        <is>
          <t>CW</t>
        </is>
      </c>
      <c r="D261" t="inlineStr">
        <is>
          <t>09:18</t>
        </is>
      </c>
      <c r="E261" t="n">
        <v>1</v>
      </c>
      <c r="F261" t="n">
        <v>-10.92</v>
      </c>
      <c r="G261" t="n">
        <v>2880.77</v>
      </c>
      <c r="H261" t="n">
        <v>-42.66</v>
      </c>
      <c r="I261" s="7">
        <f>F261*Summary!$B$5</f>
        <v/>
      </c>
      <c r="J261" s="7">
        <f>G261*Summary!$B$5</f>
        <v/>
      </c>
      <c r="K261" s="7">
        <f>H261*Summary!$B$5</f>
        <v/>
      </c>
    </row>
    <row r="262">
      <c r="A262" s="8" t="n">
        <v>44582</v>
      </c>
      <c r="B262" t="inlineStr">
        <is>
          <t>FY21-22</t>
        </is>
      </c>
      <c r="C262" t="inlineStr">
        <is>
          <t>CW</t>
        </is>
      </c>
      <c r="D262" t="inlineStr">
        <is>
          <t>09:16</t>
        </is>
      </c>
      <c r="E262" t="n">
        <v>6</v>
      </c>
      <c r="F262" t="n">
        <v>-2.43</v>
      </c>
      <c r="G262" t="n">
        <v>2878.34</v>
      </c>
      <c r="H262" t="n">
        <v>-45.09</v>
      </c>
      <c r="I262" s="7">
        <f>F262*Summary!$B$5</f>
        <v/>
      </c>
      <c r="J262" s="7">
        <f>G262*Summary!$B$5</f>
        <v/>
      </c>
      <c r="K262" s="7">
        <f>H262*Summary!$B$5</f>
        <v/>
      </c>
    </row>
    <row r="263">
      <c r="A263" s="8" t="n">
        <v>44585</v>
      </c>
      <c r="B263" t="inlineStr">
        <is>
          <t>FY21-22</t>
        </is>
      </c>
      <c r="C263" t="inlineStr">
        <is>
          <t>n/a</t>
        </is>
      </c>
      <c r="D263" t="inlineStr"/>
      <c r="E263" t="n">
        <v>4</v>
      </c>
      <c r="F263" t="n">
        <v>-39.4</v>
      </c>
      <c r="G263" t="n">
        <v>2838.95</v>
      </c>
      <c r="H263" t="n">
        <v>-84.48</v>
      </c>
      <c r="I263" s="7">
        <f>F263*Summary!$B$5</f>
        <v/>
      </c>
      <c r="J263" s="7">
        <f>G263*Summary!$B$5</f>
        <v/>
      </c>
      <c r="K263" s="7">
        <f>H263*Summary!$B$5</f>
        <v/>
      </c>
    </row>
    <row r="264">
      <c r="A264" s="8" t="n">
        <v>44586</v>
      </c>
      <c r="B264" t="inlineStr">
        <is>
          <t>FY21-22</t>
        </is>
      </c>
      <c r="C264" t="inlineStr">
        <is>
          <t>CW</t>
        </is>
      </c>
      <c r="D264" t="inlineStr">
        <is>
          <t>09:17</t>
        </is>
      </c>
      <c r="E264" t="n">
        <v>3</v>
      </c>
      <c r="F264" t="n">
        <v>39.69</v>
      </c>
      <c r="G264" t="n">
        <v>2878.64</v>
      </c>
      <c r="H264" t="n">
        <v>-44.79</v>
      </c>
      <c r="I264" s="7">
        <f>F264*Summary!$B$5</f>
        <v/>
      </c>
      <c r="J264" s="7">
        <f>G264*Summary!$B$5</f>
        <v/>
      </c>
      <c r="K264" s="7">
        <f>H264*Summary!$B$5</f>
        <v/>
      </c>
    </row>
    <row r="265">
      <c r="A265" s="8" t="n">
        <v>44588</v>
      </c>
      <c r="B265" t="inlineStr">
        <is>
          <t>FY21-22</t>
        </is>
      </c>
      <c r="C265" t="inlineStr">
        <is>
          <t>CW</t>
        </is>
      </c>
      <c r="D265" t="inlineStr">
        <is>
          <t>09:17</t>
        </is>
      </c>
      <c r="E265" t="n">
        <v>1</v>
      </c>
      <c r="F265" t="n">
        <v>96.76000000000001</v>
      </c>
      <c r="G265" t="n">
        <v>2975.4</v>
      </c>
      <c r="H265" t="n">
        <v>0</v>
      </c>
      <c r="I265" s="7">
        <f>F265*Summary!$B$5</f>
        <v/>
      </c>
      <c r="J265" s="7">
        <f>G265*Summary!$B$5</f>
        <v/>
      </c>
      <c r="K265" s="7">
        <f>H265*Summary!$B$5</f>
        <v/>
      </c>
    </row>
    <row r="266">
      <c r="A266" s="8" t="n">
        <v>44589</v>
      </c>
      <c r="B266" t="inlineStr">
        <is>
          <t>FY21-22</t>
        </is>
      </c>
      <c r="C266" t="inlineStr">
        <is>
          <t>n/a</t>
        </is>
      </c>
      <c r="D266" t="inlineStr"/>
      <c r="E266" t="n">
        <v>0</v>
      </c>
      <c r="F266" t="n">
        <v>-39.92</v>
      </c>
      <c r="G266" t="n">
        <v>2935.48</v>
      </c>
      <c r="H266" t="n">
        <v>-39.92</v>
      </c>
      <c r="I266" s="7">
        <f>F266*Summary!$B$5</f>
        <v/>
      </c>
      <c r="J266" s="7">
        <f>G266*Summary!$B$5</f>
        <v/>
      </c>
      <c r="K266" s="7">
        <f>H266*Summary!$B$5</f>
        <v/>
      </c>
    </row>
    <row r="267">
      <c r="A267" s="8" t="n">
        <v>44592</v>
      </c>
      <c r="B267" t="inlineStr">
        <is>
          <t>FY21-22</t>
        </is>
      </c>
      <c r="C267" t="inlineStr">
        <is>
          <t>CW</t>
        </is>
      </c>
      <c r="D267" t="inlineStr">
        <is>
          <t>09:16</t>
        </is>
      </c>
      <c r="E267" t="n">
        <v>4</v>
      </c>
      <c r="F267" t="n">
        <v>-45.91</v>
      </c>
      <c r="G267" t="n">
        <v>2889.56</v>
      </c>
      <c r="H267" t="n">
        <v>-85.84</v>
      </c>
      <c r="I267" s="7">
        <f>F267*Summary!$B$5</f>
        <v/>
      </c>
      <c r="J267" s="7">
        <f>G267*Summary!$B$5</f>
        <v/>
      </c>
      <c r="K267" s="7">
        <f>H267*Summary!$B$5</f>
        <v/>
      </c>
    </row>
    <row r="268">
      <c r="A268" s="8" t="n">
        <v>44593</v>
      </c>
      <c r="B268" t="inlineStr">
        <is>
          <t>FY21-22</t>
        </is>
      </c>
      <c r="C268" t="inlineStr">
        <is>
          <t>CW</t>
        </is>
      </c>
      <c r="D268" t="inlineStr">
        <is>
          <t>09:18</t>
        </is>
      </c>
      <c r="E268" t="n">
        <v>3</v>
      </c>
      <c r="F268" t="n">
        <v>-12.4</v>
      </c>
      <c r="G268" t="n">
        <v>2877.16</v>
      </c>
      <c r="H268" t="n">
        <v>-98.23999999999999</v>
      </c>
      <c r="I268" s="7">
        <f>F268*Summary!$B$5</f>
        <v/>
      </c>
      <c r="J268" s="7">
        <f>G268*Summary!$B$5</f>
        <v/>
      </c>
      <c r="K268" s="7">
        <f>H268*Summary!$B$5</f>
        <v/>
      </c>
    </row>
    <row r="269">
      <c r="A269" s="8" t="n">
        <v>44595</v>
      </c>
      <c r="B269" t="inlineStr">
        <is>
          <t>FY21-22</t>
        </is>
      </c>
      <c r="C269" t="inlineStr">
        <is>
          <t>CW</t>
        </is>
      </c>
      <c r="D269" t="inlineStr">
        <is>
          <t>09:18</t>
        </is>
      </c>
      <c r="E269" t="n">
        <v>1</v>
      </c>
      <c r="F269" t="n">
        <v>29.98</v>
      </c>
      <c r="G269" t="n">
        <v>2907.14</v>
      </c>
      <c r="H269" t="n">
        <v>-68.26000000000001</v>
      </c>
      <c r="I269" s="7">
        <f>F269*Summary!$B$5</f>
        <v/>
      </c>
      <c r="J269" s="7">
        <f>G269*Summary!$B$5</f>
        <v/>
      </c>
      <c r="K269" s="7">
        <f>H269*Summary!$B$5</f>
        <v/>
      </c>
    </row>
    <row r="270">
      <c r="A270" s="8" t="n">
        <v>44596</v>
      </c>
      <c r="B270" t="inlineStr">
        <is>
          <t>FY21-22</t>
        </is>
      </c>
      <c r="C270" t="inlineStr">
        <is>
          <t>CW</t>
        </is>
      </c>
      <c r="D270" t="inlineStr">
        <is>
          <t>09:18</t>
        </is>
      </c>
      <c r="E270" t="n">
        <v>6</v>
      </c>
      <c r="F270" t="n">
        <v>34.87</v>
      </c>
      <c r="G270" t="n">
        <v>2942.01</v>
      </c>
      <c r="H270" t="n">
        <v>-33.39</v>
      </c>
      <c r="I270" s="7">
        <f>F270*Summary!$B$5</f>
        <v/>
      </c>
      <c r="J270" s="7">
        <f>G270*Summary!$B$5</f>
        <v/>
      </c>
      <c r="K270" s="7">
        <f>H270*Summary!$B$5</f>
        <v/>
      </c>
    </row>
    <row r="271">
      <c r="A271" s="8" t="n">
        <v>44599</v>
      </c>
      <c r="B271" t="inlineStr">
        <is>
          <t>FY21-22</t>
        </is>
      </c>
      <c r="C271" t="inlineStr">
        <is>
          <t>CW</t>
        </is>
      </c>
      <c r="D271" t="inlineStr">
        <is>
          <t>09:18</t>
        </is>
      </c>
      <c r="E271" t="n">
        <v>4</v>
      </c>
      <c r="F271" t="n">
        <v>-36.79</v>
      </c>
      <c r="G271" t="n">
        <v>2905.23</v>
      </c>
      <c r="H271" t="n">
        <v>-70.17</v>
      </c>
      <c r="I271" s="7">
        <f>F271*Summary!$B$5</f>
        <v/>
      </c>
      <c r="J271" s="7">
        <f>G271*Summary!$B$5</f>
        <v/>
      </c>
      <c r="K271" s="7">
        <f>H271*Summary!$B$5</f>
        <v/>
      </c>
    </row>
    <row r="272">
      <c r="A272" s="8" t="n">
        <v>44600</v>
      </c>
      <c r="B272" t="inlineStr">
        <is>
          <t>FY21-22</t>
        </is>
      </c>
      <c r="C272" t="inlineStr">
        <is>
          <t>n/a</t>
        </is>
      </c>
      <c r="D272" t="inlineStr"/>
      <c r="E272" t="n">
        <v>0</v>
      </c>
      <c r="F272" t="n">
        <v>17.82</v>
      </c>
      <c r="G272" t="n">
        <v>2923.04</v>
      </c>
      <c r="H272" t="n">
        <v>-52.36</v>
      </c>
      <c r="I272" s="7">
        <f>F272*Summary!$B$5</f>
        <v/>
      </c>
      <c r="J272" s="7">
        <f>G272*Summary!$B$5</f>
        <v/>
      </c>
      <c r="K272" s="7">
        <f>H272*Summary!$B$5</f>
        <v/>
      </c>
    </row>
    <row r="273">
      <c r="A273" s="8" t="n">
        <v>44601</v>
      </c>
      <c r="B273" t="inlineStr">
        <is>
          <t>FY21-22</t>
        </is>
      </c>
      <c r="C273" t="inlineStr"/>
      <c r="D273" t="inlineStr"/>
      <c r="E273" t="n">
        <v>0</v>
      </c>
      <c r="F273" t="n">
        <v>0</v>
      </c>
      <c r="G273" t="n">
        <v>2923.04</v>
      </c>
      <c r="H273" t="n">
        <v>-52.36</v>
      </c>
      <c r="I273" s="7">
        <f>F273*Summary!$B$5</f>
        <v/>
      </c>
      <c r="J273" s="7">
        <f>G273*Summary!$B$5</f>
        <v/>
      </c>
      <c r="K273" s="7">
        <f>H273*Summary!$B$5</f>
        <v/>
      </c>
    </row>
    <row r="274">
      <c r="A274" s="8" t="n">
        <v>44602</v>
      </c>
      <c r="B274" t="inlineStr">
        <is>
          <t>FY21-22</t>
        </is>
      </c>
      <c r="C274" t="inlineStr">
        <is>
          <t>CW</t>
        </is>
      </c>
      <c r="D274" t="inlineStr">
        <is>
          <t>09:16</t>
        </is>
      </c>
      <c r="E274" t="n">
        <v>1</v>
      </c>
      <c r="F274" t="n">
        <v>12.22</v>
      </c>
      <c r="G274" t="n">
        <v>2935.26</v>
      </c>
      <c r="H274" t="n">
        <v>-40.14</v>
      </c>
      <c r="I274" s="7">
        <f>F274*Summary!$B$5</f>
        <v/>
      </c>
      <c r="J274" s="7">
        <f>G274*Summary!$B$5</f>
        <v/>
      </c>
      <c r="K274" s="7">
        <f>H274*Summary!$B$5</f>
        <v/>
      </c>
    </row>
    <row r="275">
      <c r="A275" s="8" t="n">
        <v>44603</v>
      </c>
      <c r="B275" t="inlineStr">
        <is>
          <t>FY21-22</t>
        </is>
      </c>
      <c r="C275" t="inlineStr">
        <is>
          <t>CW</t>
        </is>
      </c>
      <c r="D275" t="inlineStr">
        <is>
          <t>09:17</t>
        </is>
      </c>
      <c r="E275" t="n">
        <v>6</v>
      </c>
      <c r="F275" t="n">
        <v>-8.029999999999999</v>
      </c>
      <c r="G275" t="n">
        <v>2927.23</v>
      </c>
      <c r="H275" t="n">
        <v>-48.17</v>
      </c>
      <c r="I275" s="7">
        <f>F275*Summary!$B$5</f>
        <v/>
      </c>
      <c r="J275" s="7">
        <f>G275*Summary!$B$5</f>
        <v/>
      </c>
      <c r="K275" s="7">
        <f>H275*Summary!$B$5</f>
        <v/>
      </c>
    </row>
    <row r="276">
      <c r="A276" s="8" t="n">
        <v>44606</v>
      </c>
      <c r="B276" t="inlineStr">
        <is>
          <t>FY21-22</t>
        </is>
      </c>
      <c r="C276" t="inlineStr">
        <is>
          <t>CW</t>
        </is>
      </c>
      <c r="D276" t="inlineStr">
        <is>
          <t>09:18</t>
        </is>
      </c>
      <c r="E276" t="n">
        <v>4</v>
      </c>
      <c r="F276" t="n">
        <v>-40.04</v>
      </c>
      <c r="G276" t="n">
        <v>2887.19</v>
      </c>
      <c r="H276" t="n">
        <v>-88.20999999999999</v>
      </c>
      <c r="I276" s="7">
        <f>F276*Summary!$B$5</f>
        <v/>
      </c>
      <c r="J276" s="7">
        <f>G276*Summary!$B$5</f>
        <v/>
      </c>
      <c r="K276" s="7">
        <f>H276*Summary!$B$5</f>
        <v/>
      </c>
    </row>
    <row r="277">
      <c r="A277" s="8" t="n">
        <v>44607</v>
      </c>
      <c r="B277" t="inlineStr">
        <is>
          <t>FY21-22</t>
        </is>
      </c>
      <c r="C277" t="inlineStr"/>
      <c r="D277" t="inlineStr"/>
      <c r="E277" t="n">
        <v>0</v>
      </c>
      <c r="F277" t="n">
        <v>0</v>
      </c>
      <c r="G277" t="n">
        <v>2887.19</v>
      </c>
      <c r="H277" t="n">
        <v>-88.20999999999999</v>
      </c>
      <c r="I277" s="7">
        <f>F277*Summary!$B$5</f>
        <v/>
      </c>
      <c r="J277" s="7">
        <f>G277*Summary!$B$5</f>
        <v/>
      </c>
      <c r="K277" s="7">
        <f>H277*Summary!$B$5</f>
        <v/>
      </c>
    </row>
    <row r="278">
      <c r="A278" s="8" t="n">
        <v>44608</v>
      </c>
      <c r="B278" t="inlineStr">
        <is>
          <t>FY21-22</t>
        </is>
      </c>
      <c r="C278" t="inlineStr">
        <is>
          <t>CW</t>
        </is>
      </c>
      <c r="D278" t="inlineStr">
        <is>
          <t>11:05</t>
        </is>
      </c>
      <c r="E278" t="n">
        <v>2</v>
      </c>
      <c r="F278" t="n">
        <v>-13.21</v>
      </c>
      <c r="G278" t="n">
        <v>2873.98</v>
      </c>
      <c r="H278" t="n">
        <v>-101.42</v>
      </c>
      <c r="I278" s="7">
        <f>F278*Summary!$B$5</f>
        <v/>
      </c>
      <c r="J278" s="7">
        <f>G278*Summary!$B$5</f>
        <v/>
      </c>
      <c r="K278" s="7">
        <f>H278*Summary!$B$5</f>
        <v/>
      </c>
    </row>
    <row r="279">
      <c r="A279" s="8" t="n">
        <v>44609</v>
      </c>
      <c r="B279" t="inlineStr">
        <is>
          <t>FY21-22</t>
        </is>
      </c>
      <c r="C279" t="inlineStr">
        <is>
          <t>CW</t>
        </is>
      </c>
      <c r="D279" t="inlineStr">
        <is>
          <t>09:18</t>
        </is>
      </c>
      <c r="E279" t="n">
        <v>1</v>
      </c>
      <c r="F279" t="n">
        <v>-34.58</v>
      </c>
      <c r="G279" t="n">
        <v>2839.4</v>
      </c>
      <c r="H279" t="n">
        <v>-136</v>
      </c>
      <c r="I279" s="7">
        <f>F279*Summary!$B$5</f>
        <v/>
      </c>
      <c r="J279" s="7">
        <f>G279*Summary!$B$5</f>
        <v/>
      </c>
      <c r="K279" s="7">
        <f>H279*Summary!$B$5</f>
        <v/>
      </c>
    </row>
    <row r="280">
      <c r="A280" s="8" t="n">
        <v>44610</v>
      </c>
      <c r="B280" t="inlineStr">
        <is>
          <t>FY21-22</t>
        </is>
      </c>
      <c r="C280" t="inlineStr">
        <is>
          <t>CW</t>
        </is>
      </c>
      <c r="D280" t="inlineStr">
        <is>
          <t>09:16</t>
        </is>
      </c>
      <c r="E280" t="n">
        <v>6</v>
      </c>
      <c r="F280" t="n">
        <v>46.51</v>
      </c>
      <c r="G280" t="n">
        <v>2885.91</v>
      </c>
      <c r="H280" t="n">
        <v>-89.48999999999999</v>
      </c>
      <c r="I280" s="7">
        <f>F280*Summary!$B$5</f>
        <v/>
      </c>
      <c r="J280" s="7">
        <f>G280*Summary!$B$5</f>
        <v/>
      </c>
      <c r="K280" s="7">
        <f>H280*Summary!$B$5</f>
        <v/>
      </c>
    </row>
    <row r="281">
      <c r="A281" s="8" t="n">
        <v>44613</v>
      </c>
      <c r="B281" t="inlineStr">
        <is>
          <t>FY21-22</t>
        </is>
      </c>
      <c r="C281" t="inlineStr">
        <is>
          <t>CW</t>
        </is>
      </c>
      <c r="D281" t="inlineStr">
        <is>
          <t>09:16</t>
        </is>
      </c>
      <c r="E281" t="n">
        <v>4</v>
      </c>
      <c r="F281" t="n">
        <v>36.26</v>
      </c>
      <c r="G281" t="n">
        <v>2922.18</v>
      </c>
      <c r="H281" t="n">
        <v>-53.22</v>
      </c>
      <c r="I281" s="7">
        <f>F281*Summary!$B$5</f>
        <v/>
      </c>
      <c r="J281" s="7">
        <f>G281*Summary!$B$5</f>
        <v/>
      </c>
      <c r="K281" s="7">
        <f>H281*Summary!$B$5</f>
        <v/>
      </c>
    </row>
    <row r="282">
      <c r="A282" s="8" t="n">
        <v>44614</v>
      </c>
      <c r="B282" t="inlineStr">
        <is>
          <t>FY21-22</t>
        </is>
      </c>
      <c r="C282" t="inlineStr">
        <is>
          <t>CW</t>
        </is>
      </c>
      <c r="D282" t="inlineStr">
        <is>
          <t>09:16</t>
        </is>
      </c>
      <c r="E282" t="n">
        <v>3</v>
      </c>
      <c r="F282" t="n">
        <v>81.3</v>
      </c>
      <c r="G282" t="n">
        <v>3003.47</v>
      </c>
      <c r="H282" t="n">
        <v>0</v>
      </c>
      <c r="I282" s="7">
        <f>F282*Summary!$B$5</f>
        <v/>
      </c>
      <c r="J282" s="7">
        <f>G282*Summary!$B$5</f>
        <v/>
      </c>
      <c r="K282" s="7">
        <f>H282*Summary!$B$5</f>
        <v/>
      </c>
    </row>
    <row r="283">
      <c r="A283" s="8" t="n">
        <v>44615</v>
      </c>
      <c r="B283" t="inlineStr">
        <is>
          <t>FY21-22</t>
        </is>
      </c>
      <c r="C283" t="inlineStr">
        <is>
          <t>NW</t>
        </is>
      </c>
      <c r="D283" t="inlineStr"/>
      <c r="E283" t="n">
        <v>0</v>
      </c>
      <c r="F283" t="n">
        <v>60.21</v>
      </c>
      <c r="G283" t="n">
        <v>3063.68</v>
      </c>
      <c r="H283" t="n">
        <v>0</v>
      </c>
      <c r="I283" s="7">
        <f>F283*Summary!$B$5</f>
        <v/>
      </c>
      <c r="J283" s="7">
        <f>G283*Summary!$B$5</f>
        <v/>
      </c>
      <c r="K283" s="7">
        <f>H283*Summary!$B$5</f>
        <v/>
      </c>
    </row>
    <row r="284">
      <c r="A284" s="8" t="n">
        <v>44616</v>
      </c>
      <c r="B284" t="inlineStr">
        <is>
          <t>FY21-22</t>
        </is>
      </c>
      <c r="C284" t="inlineStr">
        <is>
          <t>CW</t>
        </is>
      </c>
      <c r="D284" t="inlineStr">
        <is>
          <t>09:18</t>
        </is>
      </c>
      <c r="E284" t="n">
        <v>1</v>
      </c>
      <c r="F284" t="n">
        <v>15.74</v>
      </c>
      <c r="G284" t="n">
        <v>3079.42</v>
      </c>
      <c r="H284" t="n">
        <v>0</v>
      </c>
      <c r="I284" s="7">
        <f>F284*Summary!$B$5</f>
        <v/>
      </c>
      <c r="J284" s="7">
        <f>G284*Summary!$B$5</f>
        <v/>
      </c>
      <c r="K284" s="7">
        <f>H284*Summary!$B$5</f>
        <v/>
      </c>
    </row>
    <row r="285">
      <c r="A285" s="8" t="n">
        <v>44617</v>
      </c>
      <c r="B285" t="inlineStr">
        <is>
          <t>FY21-22</t>
        </is>
      </c>
      <c r="C285" t="inlineStr"/>
      <c r="D285" t="inlineStr"/>
      <c r="E285" t="n">
        <v>0</v>
      </c>
      <c r="F285" t="n">
        <v>0</v>
      </c>
      <c r="G285" t="n">
        <v>3079.42</v>
      </c>
      <c r="H285" t="n">
        <v>0</v>
      </c>
      <c r="I285" s="7">
        <f>F285*Summary!$B$5</f>
        <v/>
      </c>
      <c r="J285" s="7">
        <f>G285*Summary!$B$5</f>
        <v/>
      </c>
      <c r="K285" s="7">
        <f>H285*Summary!$B$5</f>
        <v/>
      </c>
    </row>
    <row r="286">
      <c r="A286" s="8" t="n">
        <v>44620</v>
      </c>
      <c r="B286" t="inlineStr">
        <is>
          <t>FY21-22</t>
        </is>
      </c>
      <c r="C286" t="inlineStr"/>
      <c r="D286" t="inlineStr"/>
      <c r="E286" t="n">
        <v>0</v>
      </c>
      <c r="F286" t="n">
        <v>0</v>
      </c>
      <c r="G286" t="n">
        <v>3079.42</v>
      </c>
      <c r="H286" t="n">
        <v>0</v>
      </c>
      <c r="I286" s="7">
        <f>F286*Summary!$B$5</f>
        <v/>
      </c>
      <c r="J286" s="7">
        <f>G286*Summary!$B$5</f>
        <v/>
      </c>
      <c r="K286" s="7">
        <f>H286*Summary!$B$5</f>
        <v/>
      </c>
    </row>
    <row r="287">
      <c r="A287" s="8" t="n">
        <v>44622</v>
      </c>
      <c r="B287" t="inlineStr">
        <is>
          <t>FY21-22</t>
        </is>
      </c>
      <c r="C287" t="inlineStr">
        <is>
          <t>CW</t>
        </is>
      </c>
      <c r="D287" t="inlineStr">
        <is>
          <t>09:18</t>
        </is>
      </c>
      <c r="E287" t="n">
        <v>2</v>
      </c>
      <c r="F287" t="n">
        <v>37.7</v>
      </c>
      <c r="G287" t="n">
        <v>3117.12</v>
      </c>
      <c r="H287" t="n">
        <v>0</v>
      </c>
      <c r="I287" s="7">
        <f>F287*Summary!$B$5</f>
        <v/>
      </c>
      <c r="J287" s="7">
        <f>G287*Summary!$B$5</f>
        <v/>
      </c>
      <c r="K287" s="7">
        <f>H287*Summary!$B$5</f>
        <v/>
      </c>
    </row>
    <row r="288">
      <c r="A288" s="8" t="n">
        <v>44623</v>
      </c>
      <c r="B288" t="inlineStr">
        <is>
          <t>FY21-22</t>
        </is>
      </c>
      <c r="C288" t="inlineStr">
        <is>
          <t>n/a</t>
        </is>
      </c>
      <c r="D288" t="inlineStr"/>
      <c r="E288" t="n">
        <v>0</v>
      </c>
      <c r="F288" t="n">
        <v>94.31</v>
      </c>
      <c r="G288" t="n">
        <v>3211.42</v>
      </c>
      <c r="H288" t="n">
        <v>0</v>
      </c>
      <c r="I288" s="7">
        <f>F288*Summary!$B$5</f>
        <v/>
      </c>
      <c r="J288" s="7">
        <f>G288*Summary!$B$5</f>
        <v/>
      </c>
      <c r="K288" s="7">
        <f>H288*Summary!$B$5</f>
        <v/>
      </c>
    </row>
    <row r="289">
      <c r="A289" s="8" t="n">
        <v>44624</v>
      </c>
      <c r="B289" t="inlineStr">
        <is>
          <t>FY21-22</t>
        </is>
      </c>
      <c r="C289" t="inlineStr"/>
      <c r="D289" t="inlineStr"/>
      <c r="E289" t="n">
        <v>0</v>
      </c>
      <c r="F289" t="n">
        <v>0</v>
      </c>
      <c r="G289" t="n">
        <v>3211.42</v>
      </c>
      <c r="H289" t="n">
        <v>0</v>
      </c>
      <c r="I289" s="7">
        <f>F289*Summary!$B$5</f>
        <v/>
      </c>
      <c r="J289" s="7">
        <f>G289*Summary!$B$5</f>
        <v/>
      </c>
      <c r="K289" s="7">
        <f>H289*Summary!$B$5</f>
        <v/>
      </c>
    </row>
    <row r="290">
      <c r="A290" s="8" t="n">
        <v>44627</v>
      </c>
      <c r="B290" t="inlineStr">
        <is>
          <t>FY21-22</t>
        </is>
      </c>
      <c r="C290" t="inlineStr"/>
      <c r="D290" t="inlineStr"/>
      <c r="E290" t="n">
        <v>0</v>
      </c>
      <c r="F290" t="n">
        <v>0</v>
      </c>
      <c r="G290" t="n">
        <v>3211.42</v>
      </c>
      <c r="H290" t="n">
        <v>0</v>
      </c>
      <c r="I290" s="7">
        <f>F290*Summary!$B$5</f>
        <v/>
      </c>
      <c r="J290" s="7">
        <f>G290*Summary!$B$5</f>
        <v/>
      </c>
      <c r="K290" s="7">
        <f>H290*Summary!$B$5</f>
        <v/>
      </c>
    </row>
    <row r="291">
      <c r="A291" s="8" t="n">
        <v>44628</v>
      </c>
      <c r="B291" t="inlineStr">
        <is>
          <t>FY21-22</t>
        </is>
      </c>
      <c r="C291" t="inlineStr"/>
      <c r="D291" t="inlineStr"/>
      <c r="E291" t="n">
        <v>0</v>
      </c>
      <c r="F291" t="n">
        <v>0</v>
      </c>
      <c r="G291" t="n">
        <v>3211.42</v>
      </c>
      <c r="H291" t="n">
        <v>0</v>
      </c>
      <c r="I291" s="7">
        <f>F291*Summary!$B$5</f>
        <v/>
      </c>
      <c r="J291" s="7">
        <f>G291*Summary!$B$5</f>
        <v/>
      </c>
      <c r="K291" s="7">
        <f>H291*Summary!$B$5</f>
        <v/>
      </c>
    </row>
    <row r="292">
      <c r="A292" s="8" t="n">
        <v>44629</v>
      </c>
      <c r="B292" t="inlineStr">
        <is>
          <t>FY21-22</t>
        </is>
      </c>
      <c r="C292" t="inlineStr">
        <is>
          <t>CW</t>
        </is>
      </c>
      <c r="D292" t="inlineStr">
        <is>
          <t>09:18</t>
        </is>
      </c>
      <c r="E292" t="n">
        <v>2</v>
      </c>
      <c r="F292" t="n">
        <v>4.93</v>
      </c>
      <c r="G292" t="n">
        <v>3216.36</v>
      </c>
      <c r="H292" t="n">
        <v>0</v>
      </c>
      <c r="I292" s="7">
        <f>F292*Summary!$B$5</f>
        <v/>
      </c>
      <c r="J292" s="7">
        <f>G292*Summary!$B$5</f>
        <v/>
      </c>
      <c r="K292" s="7">
        <f>H292*Summary!$B$5</f>
        <v/>
      </c>
    </row>
    <row r="293">
      <c r="A293" s="8" t="n">
        <v>44630</v>
      </c>
      <c r="B293" t="inlineStr">
        <is>
          <t>FY21-22</t>
        </is>
      </c>
      <c r="C293" t="inlineStr"/>
      <c r="D293" t="inlineStr"/>
      <c r="E293" t="n">
        <v>0</v>
      </c>
      <c r="F293" t="n">
        <v>0</v>
      </c>
      <c r="G293" t="n">
        <v>3216.36</v>
      </c>
      <c r="H293" t="n">
        <v>0</v>
      </c>
      <c r="I293" s="7">
        <f>F293*Summary!$B$5</f>
        <v/>
      </c>
      <c r="J293" s="7">
        <f>G293*Summary!$B$5</f>
        <v/>
      </c>
      <c r="K293" s="7">
        <f>H293*Summary!$B$5</f>
        <v/>
      </c>
    </row>
    <row r="294">
      <c r="A294" s="8" t="n">
        <v>44631</v>
      </c>
      <c r="B294" t="inlineStr">
        <is>
          <t>FY21-22</t>
        </is>
      </c>
      <c r="C294" t="inlineStr">
        <is>
          <t>CW</t>
        </is>
      </c>
      <c r="D294" t="inlineStr">
        <is>
          <t>10:31</t>
        </is>
      </c>
      <c r="E294" t="n">
        <v>6</v>
      </c>
      <c r="F294" t="n">
        <v>5.01</v>
      </c>
      <c r="G294" t="n">
        <v>3221.36</v>
      </c>
      <c r="H294" t="n">
        <v>0</v>
      </c>
      <c r="I294" s="7">
        <f>F294*Summary!$B$5</f>
        <v/>
      </c>
      <c r="J294" s="7">
        <f>G294*Summary!$B$5</f>
        <v/>
      </c>
      <c r="K294" s="7">
        <f>H294*Summary!$B$5</f>
        <v/>
      </c>
    </row>
    <row r="295">
      <c r="A295" s="8" t="n">
        <v>44634</v>
      </c>
      <c r="B295" t="inlineStr">
        <is>
          <t>FY21-22</t>
        </is>
      </c>
      <c r="C295" t="inlineStr">
        <is>
          <t>CW</t>
        </is>
      </c>
      <c r="D295" t="inlineStr">
        <is>
          <t>09:18</t>
        </is>
      </c>
      <c r="E295" t="n">
        <v>4</v>
      </c>
      <c r="F295" t="n">
        <v>-12.32</v>
      </c>
      <c r="G295" t="n">
        <v>3209.04</v>
      </c>
      <c r="H295" t="n">
        <v>-12.32</v>
      </c>
      <c r="I295" s="7">
        <f>F295*Summary!$B$5</f>
        <v/>
      </c>
      <c r="J295" s="7">
        <f>G295*Summary!$B$5</f>
        <v/>
      </c>
      <c r="K295" s="7">
        <f>H295*Summary!$B$5</f>
        <v/>
      </c>
    </row>
    <row r="296">
      <c r="A296" s="8" t="n">
        <v>44635</v>
      </c>
      <c r="B296" t="inlineStr">
        <is>
          <t>FY21-22</t>
        </is>
      </c>
      <c r="C296" t="inlineStr">
        <is>
          <t>CW</t>
        </is>
      </c>
      <c r="D296" t="inlineStr">
        <is>
          <t>09:18</t>
        </is>
      </c>
      <c r="E296" t="n">
        <v>3</v>
      </c>
      <c r="F296" t="n">
        <v>-12.56</v>
      </c>
      <c r="G296" t="n">
        <v>3196.48</v>
      </c>
      <c r="H296" t="n">
        <v>-24.88</v>
      </c>
      <c r="I296" s="7">
        <f>F296*Summary!$B$5</f>
        <v/>
      </c>
      <c r="J296" s="7">
        <f>G296*Summary!$B$5</f>
        <v/>
      </c>
      <c r="K296" s="7">
        <f>H296*Summary!$B$5</f>
        <v/>
      </c>
    </row>
    <row r="297">
      <c r="A297" s="8" t="n">
        <v>44636</v>
      </c>
      <c r="B297" t="inlineStr">
        <is>
          <t>FY21-22</t>
        </is>
      </c>
      <c r="C297" t="inlineStr">
        <is>
          <t>n/a</t>
        </is>
      </c>
      <c r="D297" t="inlineStr"/>
      <c r="E297" t="n">
        <v>0</v>
      </c>
      <c r="F297" t="n">
        <v>13.22</v>
      </c>
      <c r="G297" t="n">
        <v>3209.7</v>
      </c>
      <c r="H297" t="n">
        <v>-11.66</v>
      </c>
      <c r="I297" s="7">
        <f>F297*Summary!$B$5</f>
        <v/>
      </c>
      <c r="J297" s="7">
        <f>G297*Summary!$B$5</f>
        <v/>
      </c>
      <c r="K297" s="7">
        <f>H297*Summary!$B$5</f>
        <v/>
      </c>
    </row>
    <row r="298">
      <c r="A298" s="8" t="n">
        <v>44637</v>
      </c>
      <c r="B298" t="inlineStr">
        <is>
          <t>FY21-22</t>
        </is>
      </c>
      <c r="C298" t="inlineStr">
        <is>
          <t>n/a</t>
        </is>
      </c>
      <c r="D298" t="inlineStr"/>
      <c r="E298" t="n">
        <v>0</v>
      </c>
      <c r="F298" t="n">
        <v>26.23</v>
      </c>
      <c r="G298" t="n">
        <v>3235.93</v>
      </c>
      <c r="H298" t="n">
        <v>0</v>
      </c>
      <c r="I298" s="7">
        <f>F298*Summary!$B$5</f>
        <v/>
      </c>
      <c r="J298" s="7">
        <f>G298*Summary!$B$5</f>
        <v/>
      </c>
      <c r="K298" s="7">
        <f>H298*Summary!$B$5</f>
        <v/>
      </c>
    </row>
    <row r="299">
      <c r="A299" s="8" t="n">
        <v>44641</v>
      </c>
      <c r="B299" t="inlineStr">
        <is>
          <t>FY21-22</t>
        </is>
      </c>
      <c r="C299" t="inlineStr">
        <is>
          <t>CW</t>
        </is>
      </c>
      <c r="D299" t="inlineStr">
        <is>
          <t>09:18</t>
        </is>
      </c>
      <c r="E299" t="n">
        <v>4</v>
      </c>
      <c r="F299" t="n">
        <v>-0.2</v>
      </c>
      <c r="G299" t="n">
        <v>3235.73</v>
      </c>
      <c r="H299" t="n">
        <v>-0.2</v>
      </c>
      <c r="I299" s="7">
        <f>F299*Summary!$B$5</f>
        <v/>
      </c>
      <c r="J299" s="7">
        <f>G299*Summary!$B$5</f>
        <v/>
      </c>
      <c r="K299" s="7">
        <f>H299*Summary!$B$5</f>
        <v/>
      </c>
    </row>
    <row r="300">
      <c r="A300" s="8" t="n">
        <v>44642</v>
      </c>
      <c r="B300" t="inlineStr">
        <is>
          <t>FY21-22</t>
        </is>
      </c>
      <c r="C300" t="inlineStr">
        <is>
          <t>CW</t>
        </is>
      </c>
      <c r="D300" t="inlineStr">
        <is>
          <t>09:18</t>
        </is>
      </c>
      <c r="E300" t="n">
        <v>3</v>
      </c>
      <c r="F300" t="n">
        <v>9.34</v>
      </c>
      <c r="G300" t="n">
        <v>3245.07</v>
      </c>
      <c r="H300" t="n">
        <v>0</v>
      </c>
      <c r="I300" s="7">
        <f>F300*Summary!$B$5</f>
        <v/>
      </c>
      <c r="J300" s="7">
        <f>G300*Summary!$B$5</f>
        <v/>
      </c>
      <c r="K300" s="7">
        <f>H300*Summary!$B$5</f>
        <v/>
      </c>
    </row>
    <row r="301">
      <c r="A301" s="8" t="n">
        <v>44643</v>
      </c>
      <c r="B301" t="inlineStr">
        <is>
          <t>FY21-22</t>
        </is>
      </c>
      <c r="C301" t="inlineStr">
        <is>
          <t>CW</t>
        </is>
      </c>
      <c r="D301" t="inlineStr">
        <is>
          <t>09:18</t>
        </is>
      </c>
      <c r="E301" t="n">
        <v>2</v>
      </c>
      <c r="F301" t="n">
        <v>-3.21</v>
      </c>
      <c r="G301" t="n">
        <v>3241.86</v>
      </c>
      <c r="H301" t="n">
        <v>-3.21</v>
      </c>
      <c r="I301" s="7">
        <f>F301*Summary!$B$5</f>
        <v/>
      </c>
      <c r="J301" s="7">
        <f>G301*Summary!$B$5</f>
        <v/>
      </c>
      <c r="K301" s="7">
        <f>H301*Summary!$B$5</f>
        <v/>
      </c>
    </row>
    <row r="302">
      <c r="A302" s="8" t="n">
        <v>44644</v>
      </c>
      <c r="B302" t="inlineStr">
        <is>
          <t>FY21-22</t>
        </is>
      </c>
      <c r="C302" t="inlineStr">
        <is>
          <t>CW</t>
        </is>
      </c>
      <c r="D302" t="inlineStr">
        <is>
          <t>09:18</t>
        </is>
      </c>
      <c r="E302" t="n">
        <v>1</v>
      </c>
      <c r="F302" t="n">
        <v>-5.57</v>
      </c>
      <c r="G302" t="n">
        <v>3236.28</v>
      </c>
      <c r="H302" t="n">
        <v>-8.789999999999999</v>
      </c>
      <c r="I302" s="7">
        <f>F302*Summary!$B$5</f>
        <v/>
      </c>
      <c r="J302" s="7">
        <f>G302*Summary!$B$5</f>
        <v/>
      </c>
      <c r="K302" s="7">
        <f>H302*Summary!$B$5</f>
        <v/>
      </c>
    </row>
    <row r="303">
      <c r="A303" s="8" t="n">
        <v>44645</v>
      </c>
      <c r="B303" t="inlineStr">
        <is>
          <t>FY21-22</t>
        </is>
      </c>
      <c r="C303" t="inlineStr">
        <is>
          <t>CW</t>
        </is>
      </c>
      <c r="D303" t="inlineStr">
        <is>
          <t>09:17</t>
        </is>
      </c>
      <c r="E303" t="n">
        <v>6</v>
      </c>
      <c r="F303" t="n">
        <v>29.59</v>
      </c>
      <c r="G303" t="n">
        <v>3265.87</v>
      </c>
      <c r="H303" t="n">
        <v>0</v>
      </c>
      <c r="I303" s="7">
        <f>F303*Summary!$B$5</f>
        <v/>
      </c>
      <c r="J303" s="7">
        <f>G303*Summary!$B$5</f>
        <v/>
      </c>
      <c r="K303" s="7">
        <f>H303*Summary!$B$5</f>
        <v/>
      </c>
    </row>
    <row r="304">
      <c r="A304" s="8" t="n">
        <v>44648</v>
      </c>
      <c r="B304" t="inlineStr">
        <is>
          <t>FY21-22</t>
        </is>
      </c>
      <c r="C304" t="inlineStr">
        <is>
          <t>CW</t>
        </is>
      </c>
      <c r="D304" t="inlineStr">
        <is>
          <t>09:17</t>
        </is>
      </c>
      <c r="E304" t="n">
        <v>4</v>
      </c>
      <c r="F304" t="n">
        <v>55.63</v>
      </c>
      <c r="G304" t="n">
        <v>3321.5</v>
      </c>
      <c r="H304" t="n">
        <v>0</v>
      </c>
      <c r="I304" s="7">
        <f>F304*Summary!$B$5</f>
        <v/>
      </c>
      <c r="J304" s="7">
        <f>G304*Summary!$B$5</f>
        <v/>
      </c>
      <c r="K304" s="7">
        <f>H304*Summary!$B$5</f>
        <v/>
      </c>
    </row>
    <row r="305">
      <c r="A305" s="8" t="n">
        <v>44649</v>
      </c>
      <c r="B305" t="inlineStr">
        <is>
          <t>FY21-22</t>
        </is>
      </c>
      <c r="C305" t="inlineStr">
        <is>
          <t>CW</t>
        </is>
      </c>
      <c r="D305" t="inlineStr">
        <is>
          <t>09:18</t>
        </is>
      </c>
      <c r="E305" t="n">
        <v>3</v>
      </c>
      <c r="F305" t="n">
        <v>39.85</v>
      </c>
      <c r="G305" t="n">
        <v>3361.35</v>
      </c>
      <c r="H305" t="n">
        <v>0</v>
      </c>
      <c r="I305" s="7">
        <f>F305*Summary!$B$5</f>
        <v/>
      </c>
      <c r="J305" s="7">
        <f>G305*Summary!$B$5</f>
        <v/>
      </c>
      <c r="K305" s="7">
        <f>H305*Summary!$B$5</f>
        <v/>
      </c>
    </row>
    <row r="306">
      <c r="A306" s="8" t="n">
        <v>44650</v>
      </c>
      <c r="B306" t="inlineStr">
        <is>
          <t>FY21-22</t>
        </is>
      </c>
      <c r="C306" t="inlineStr">
        <is>
          <t>CW</t>
        </is>
      </c>
      <c r="D306" t="inlineStr">
        <is>
          <t>10:38</t>
        </is>
      </c>
      <c r="E306" t="n">
        <v>2</v>
      </c>
      <c r="F306" t="n">
        <v>8.52</v>
      </c>
      <c r="G306" t="n">
        <v>3369.87</v>
      </c>
      <c r="H306" t="n">
        <v>0</v>
      </c>
      <c r="I306" s="7">
        <f>F306*Summary!$B$5</f>
        <v/>
      </c>
      <c r="J306" s="7">
        <f>G306*Summary!$B$5</f>
        <v/>
      </c>
      <c r="K306" s="7">
        <f>H306*Summary!$B$5</f>
        <v/>
      </c>
    </row>
    <row r="307">
      <c r="A307" s="8" t="n">
        <v>44651</v>
      </c>
      <c r="B307" t="inlineStr">
        <is>
          <t>FY21-22</t>
        </is>
      </c>
      <c r="C307" t="inlineStr">
        <is>
          <t>CW</t>
        </is>
      </c>
      <c r="D307" t="inlineStr">
        <is>
          <t>09:16</t>
        </is>
      </c>
      <c r="E307" t="n">
        <v>1</v>
      </c>
      <c r="F307" t="n">
        <v>42.7</v>
      </c>
      <c r="G307" t="n">
        <v>3412.56</v>
      </c>
      <c r="H307" t="n">
        <v>0</v>
      </c>
      <c r="I307" s="7">
        <f>F307*Summary!$B$5</f>
        <v/>
      </c>
      <c r="J307" s="7">
        <f>G307*Summary!$B$5</f>
        <v/>
      </c>
      <c r="K307" s="7">
        <f>H307*Summary!$B$5</f>
        <v/>
      </c>
    </row>
    <row r="308">
      <c r="A308" s="8" t="n">
        <v>44652</v>
      </c>
      <c r="B308" t="inlineStr">
        <is>
          <t>FY22-23</t>
        </is>
      </c>
      <c r="C308" t="inlineStr">
        <is>
          <t>CW</t>
        </is>
      </c>
      <c r="D308" t="inlineStr">
        <is>
          <t>09:16</t>
        </is>
      </c>
      <c r="E308" t="n">
        <v>6</v>
      </c>
      <c r="F308" t="n">
        <v>39.19</v>
      </c>
      <c r="G308" t="n">
        <v>3451.76</v>
      </c>
      <c r="H308" t="n">
        <v>0</v>
      </c>
      <c r="I308" s="7">
        <f>F308*Summary!$B$5</f>
        <v/>
      </c>
      <c r="J308" s="7">
        <f>G308*Summary!$B$5</f>
        <v/>
      </c>
      <c r="K308" s="7">
        <f>H308*Summary!$B$5</f>
        <v/>
      </c>
    </row>
    <row r="309">
      <c r="A309" s="8" t="n">
        <v>44655</v>
      </c>
      <c r="B309" t="inlineStr">
        <is>
          <t>FY22-23</t>
        </is>
      </c>
      <c r="C309" t="inlineStr"/>
      <c r="D309" t="inlineStr"/>
      <c r="E309" t="n">
        <v>0</v>
      </c>
      <c r="F309" t="n">
        <v>0</v>
      </c>
      <c r="G309" t="n">
        <v>3451.76</v>
      </c>
      <c r="H309" t="n">
        <v>0</v>
      </c>
      <c r="I309" s="7">
        <f>F309*Summary!$B$5</f>
        <v/>
      </c>
      <c r="J309" s="7">
        <f>G309*Summary!$B$5</f>
        <v/>
      </c>
      <c r="K309" s="7">
        <f>H309*Summary!$B$5</f>
        <v/>
      </c>
    </row>
    <row r="310">
      <c r="A310" s="8" t="n">
        <v>44656</v>
      </c>
      <c r="B310" t="inlineStr">
        <is>
          <t>FY22-23</t>
        </is>
      </c>
      <c r="C310" t="inlineStr">
        <is>
          <t>CW</t>
        </is>
      </c>
      <c r="D310" t="inlineStr">
        <is>
          <t>09:17</t>
        </is>
      </c>
      <c r="E310" t="n">
        <v>3</v>
      </c>
      <c r="F310" t="n">
        <v>16.93</v>
      </c>
      <c r="G310" t="n">
        <v>3468.69</v>
      </c>
      <c r="H310" t="n">
        <v>0</v>
      </c>
      <c r="I310" s="7">
        <f>F310*Summary!$B$5</f>
        <v/>
      </c>
      <c r="J310" s="7">
        <f>G310*Summary!$B$5</f>
        <v/>
      </c>
      <c r="K310" s="7">
        <f>H310*Summary!$B$5</f>
        <v/>
      </c>
    </row>
    <row r="311">
      <c r="A311" s="8" t="n">
        <v>44657</v>
      </c>
      <c r="B311" t="inlineStr">
        <is>
          <t>FY22-23</t>
        </is>
      </c>
      <c r="C311" t="inlineStr">
        <is>
          <t>CW</t>
        </is>
      </c>
      <c r="D311" t="inlineStr">
        <is>
          <t>09:17</t>
        </is>
      </c>
      <c r="E311" t="n">
        <v>2</v>
      </c>
      <c r="F311" t="n">
        <v>14.68</v>
      </c>
      <c r="G311" t="n">
        <v>3483.36</v>
      </c>
      <c r="H311" t="n">
        <v>0</v>
      </c>
      <c r="I311" s="7">
        <f>F311*Summary!$B$5</f>
        <v/>
      </c>
      <c r="J311" s="7">
        <f>G311*Summary!$B$5</f>
        <v/>
      </c>
      <c r="K311" s="7">
        <f>H311*Summary!$B$5</f>
        <v/>
      </c>
    </row>
    <row r="312">
      <c r="A312" s="8" t="n">
        <v>44658</v>
      </c>
      <c r="B312" t="inlineStr">
        <is>
          <t>FY22-23</t>
        </is>
      </c>
      <c r="C312" t="inlineStr">
        <is>
          <t>CW</t>
        </is>
      </c>
      <c r="D312" t="inlineStr">
        <is>
          <t>09:18</t>
        </is>
      </c>
      <c r="E312" t="n">
        <v>1</v>
      </c>
      <c r="F312" t="n">
        <v>-0.11</v>
      </c>
      <c r="G312" t="n">
        <v>3483.25</v>
      </c>
      <c r="H312" t="n">
        <v>-0.11</v>
      </c>
      <c r="I312" s="7">
        <f>F312*Summary!$B$5</f>
        <v/>
      </c>
      <c r="J312" s="7">
        <f>G312*Summary!$B$5</f>
        <v/>
      </c>
      <c r="K312" s="7">
        <f>H312*Summary!$B$5</f>
        <v/>
      </c>
    </row>
    <row r="313">
      <c r="A313" s="8" t="n">
        <v>44659</v>
      </c>
      <c r="B313" t="inlineStr">
        <is>
          <t>FY22-23</t>
        </is>
      </c>
      <c r="C313" t="inlineStr">
        <is>
          <t>CW</t>
        </is>
      </c>
      <c r="D313" t="inlineStr">
        <is>
          <t>09:17</t>
        </is>
      </c>
      <c r="E313" t="n">
        <v>5</v>
      </c>
      <c r="F313" t="n">
        <v>35.82</v>
      </c>
      <c r="G313" t="n">
        <v>3519.07</v>
      </c>
      <c r="H313" t="n">
        <v>0</v>
      </c>
      <c r="I313" s="7">
        <f>F313*Summary!$B$5</f>
        <v/>
      </c>
      <c r="J313" s="7">
        <f>G313*Summary!$B$5</f>
        <v/>
      </c>
      <c r="K313" s="7">
        <f>H313*Summary!$B$5</f>
        <v/>
      </c>
    </row>
    <row r="314">
      <c r="A314" s="8" t="n">
        <v>44662</v>
      </c>
      <c r="B314" t="inlineStr">
        <is>
          <t>FY22-23</t>
        </is>
      </c>
      <c r="C314" t="inlineStr">
        <is>
          <t>CW</t>
        </is>
      </c>
      <c r="D314" t="inlineStr">
        <is>
          <t>09:17</t>
        </is>
      </c>
      <c r="E314" t="n">
        <v>3</v>
      </c>
      <c r="F314" t="n">
        <v>37.87</v>
      </c>
      <c r="G314" t="n">
        <v>3556.94</v>
      </c>
      <c r="H314" t="n">
        <v>0</v>
      </c>
      <c r="I314" s="7">
        <f>F314*Summary!$B$5</f>
        <v/>
      </c>
      <c r="J314" s="7">
        <f>G314*Summary!$B$5</f>
        <v/>
      </c>
      <c r="K314" s="7">
        <f>H314*Summary!$B$5</f>
        <v/>
      </c>
    </row>
    <row r="315">
      <c r="A315" s="8" t="n">
        <v>44663</v>
      </c>
      <c r="B315" t="inlineStr">
        <is>
          <t>FY22-23</t>
        </is>
      </c>
      <c r="C315" t="inlineStr"/>
      <c r="D315" t="inlineStr"/>
      <c r="E315" t="n">
        <v>0</v>
      </c>
      <c r="F315" t="n">
        <v>0</v>
      </c>
      <c r="G315" t="n">
        <v>3556.94</v>
      </c>
      <c r="H315" t="n">
        <v>0</v>
      </c>
      <c r="I315" s="7">
        <f>F315*Summary!$B$5</f>
        <v/>
      </c>
      <c r="J315" s="7">
        <f>G315*Summary!$B$5</f>
        <v/>
      </c>
      <c r="K315" s="7">
        <f>H315*Summary!$B$5</f>
        <v/>
      </c>
    </row>
    <row r="316">
      <c r="A316" s="8" t="n">
        <v>44664</v>
      </c>
      <c r="B316" t="inlineStr">
        <is>
          <t>FY22-23</t>
        </is>
      </c>
      <c r="C316" t="inlineStr"/>
      <c r="D316" t="inlineStr"/>
      <c r="E316" t="n">
        <v>0</v>
      </c>
      <c r="F316" t="n">
        <v>0</v>
      </c>
      <c r="G316" t="n">
        <v>3556.94</v>
      </c>
      <c r="H316" t="n">
        <v>0</v>
      </c>
      <c r="I316" s="7">
        <f>F316*Summary!$B$5</f>
        <v/>
      </c>
      <c r="J316" s="7">
        <f>G316*Summary!$B$5</f>
        <v/>
      </c>
      <c r="K316" s="7">
        <f>H316*Summary!$B$5</f>
        <v/>
      </c>
    </row>
    <row r="317">
      <c r="A317" s="8" t="n">
        <v>44669</v>
      </c>
      <c r="B317" t="inlineStr">
        <is>
          <t>FY22-23</t>
        </is>
      </c>
      <c r="C317" t="inlineStr">
        <is>
          <t>CW</t>
        </is>
      </c>
      <c r="D317" t="inlineStr">
        <is>
          <t>09:16</t>
        </is>
      </c>
      <c r="E317" t="n">
        <v>4</v>
      </c>
      <c r="F317" t="n">
        <v>41.65</v>
      </c>
      <c r="G317" t="n">
        <v>3598.59</v>
      </c>
      <c r="H317" t="n">
        <v>0</v>
      </c>
      <c r="I317" s="7">
        <f>F317*Summary!$B$5</f>
        <v/>
      </c>
      <c r="J317" s="7">
        <f>G317*Summary!$B$5</f>
        <v/>
      </c>
      <c r="K317" s="7">
        <f>H317*Summary!$B$5</f>
        <v/>
      </c>
    </row>
    <row r="318">
      <c r="A318" s="8" t="n">
        <v>44670</v>
      </c>
      <c r="B318" t="inlineStr">
        <is>
          <t>FY22-23</t>
        </is>
      </c>
      <c r="C318" t="inlineStr"/>
      <c r="D318" t="inlineStr"/>
      <c r="E318" t="n">
        <v>0</v>
      </c>
      <c r="F318" t="n">
        <v>0</v>
      </c>
      <c r="G318" t="n">
        <v>3598.59</v>
      </c>
      <c r="H318" t="n">
        <v>0</v>
      </c>
      <c r="I318" s="7">
        <f>F318*Summary!$B$5</f>
        <v/>
      </c>
      <c r="J318" s="7">
        <f>G318*Summary!$B$5</f>
        <v/>
      </c>
      <c r="K318" s="7">
        <f>H318*Summary!$B$5</f>
        <v/>
      </c>
    </row>
    <row r="319">
      <c r="A319" s="8" t="n">
        <v>44671</v>
      </c>
      <c r="B319" t="inlineStr">
        <is>
          <t>FY22-23</t>
        </is>
      </c>
      <c r="C319" t="inlineStr">
        <is>
          <t>CW</t>
        </is>
      </c>
      <c r="D319" t="inlineStr">
        <is>
          <t>09:18</t>
        </is>
      </c>
      <c r="E319" t="n">
        <v>2</v>
      </c>
      <c r="F319" t="n">
        <v>-36.69</v>
      </c>
      <c r="G319" t="n">
        <v>3561.9</v>
      </c>
      <c r="H319" t="n">
        <v>-36.69</v>
      </c>
      <c r="I319" s="7">
        <f>F319*Summary!$B$5</f>
        <v/>
      </c>
      <c r="J319" s="7">
        <f>G319*Summary!$B$5</f>
        <v/>
      </c>
      <c r="K319" s="7">
        <f>H319*Summary!$B$5</f>
        <v/>
      </c>
    </row>
    <row r="320">
      <c r="A320" s="8" t="n">
        <v>44672</v>
      </c>
      <c r="B320" t="inlineStr">
        <is>
          <t>FY22-23</t>
        </is>
      </c>
      <c r="C320" t="inlineStr">
        <is>
          <t>CW</t>
        </is>
      </c>
      <c r="D320" t="inlineStr">
        <is>
          <t>09:18</t>
        </is>
      </c>
      <c r="E320" t="n">
        <v>1</v>
      </c>
      <c r="F320" t="n">
        <v>8.56</v>
      </c>
      <c r="G320" t="n">
        <v>3570.46</v>
      </c>
      <c r="H320" t="n">
        <v>-28.13</v>
      </c>
      <c r="I320" s="7">
        <f>F320*Summary!$B$5</f>
        <v/>
      </c>
      <c r="J320" s="7">
        <f>G320*Summary!$B$5</f>
        <v/>
      </c>
      <c r="K320" s="7">
        <f>H320*Summary!$B$5</f>
        <v/>
      </c>
    </row>
    <row r="321">
      <c r="A321" s="8" t="n">
        <v>44673</v>
      </c>
      <c r="B321" t="inlineStr">
        <is>
          <t>FY22-23</t>
        </is>
      </c>
      <c r="C321" t="inlineStr">
        <is>
          <t>CW</t>
        </is>
      </c>
      <c r="D321" t="inlineStr">
        <is>
          <t>09:17</t>
        </is>
      </c>
      <c r="E321" t="n">
        <v>6</v>
      </c>
      <c r="F321" t="n">
        <v>7.57</v>
      </c>
      <c r="G321" t="n">
        <v>3578.03</v>
      </c>
      <c r="H321" t="n">
        <v>-20.56</v>
      </c>
      <c r="I321" s="7">
        <f>F321*Summary!$B$5</f>
        <v/>
      </c>
      <c r="J321" s="7">
        <f>G321*Summary!$B$5</f>
        <v/>
      </c>
      <c r="K321" s="7">
        <f>H321*Summary!$B$5</f>
        <v/>
      </c>
    </row>
    <row r="322">
      <c r="A322" s="8" t="n">
        <v>44676</v>
      </c>
      <c r="B322" t="inlineStr">
        <is>
          <t>FY22-23</t>
        </is>
      </c>
      <c r="C322" t="inlineStr">
        <is>
          <t>CW</t>
        </is>
      </c>
      <c r="D322" t="inlineStr">
        <is>
          <t>12:24</t>
        </is>
      </c>
      <c r="E322" t="n">
        <v>4</v>
      </c>
      <c r="F322" t="n">
        <v>2.98</v>
      </c>
      <c r="G322" t="n">
        <v>3581.01</v>
      </c>
      <c r="H322" t="n">
        <v>-17.57</v>
      </c>
      <c r="I322" s="7">
        <f>F322*Summary!$B$5</f>
        <v/>
      </c>
      <c r="J322" s="7">
        <f>G322*Summary!$B$5</f>
        <v/>
      </c>
      <c r="K322" s="7">
        <f>H322*Summary!$B$5</f>
        <v/>
      </c>
    </row>
    <row r="323">
      <c r="A323" s="8" t="n">
        <v>44677</v>
      </c>
      <c r="B323" t="inlineStr">
        <is>
          <t>FY22-23</t>
        </is>
      </c>
      <c r="C323" t="inlineStr"/>
      <c r="D323" t="inlineStr"/>
      <c r="E323" t="n">
        <v>0</v>
      </c>
      <c r="F323" t="n">
        <v>0</v>
      </c>
      <c r="G323" t="n">
        <v>3581.01</v>
      </c>
      <c r="H323" t="n">
        <v>-17.57</v>
      </c>
      <c r="I323" s="7">
        <f>F323*Summary!$B$5</f>
        <v/>
      </c>
      <c r="J323" s="7">
        <f>G323*Summary!$B$5</f>
        <v/>
      </c>
      <c r="K323" s="7">
        <f>H323*Summary!$B$5</f>
        <v/>
      </c>
    </row>
    <row r="324">
      <c r="A324" s="8" t="n">
        <v>44678</v>
      </c>
      <c r="B324" t="inlineStr">
        <is>
          <t>FY22-23</t>
        </is>
      </c>
      <c r="C324" t="inlineStr">
        <is>
          <t>CW</t>
        </is>
      </c>
      <c r="D324" t="inlineStr">
        <is>
          <t>09:17</t>
        </is>
      </c>
      <c r="E324" t="n">
        <v>2</v>
      </c>
      <c r="F324" t="n">
        <v>0.06</v>
      </c>
      <c r="G324" t="n">
        <v>3581.08</v>
      </c>
      <c r="H324" t="n">
        <v>-17.51</v>
      </c>
      <c r="I324" s="7">
        <f>F324*Summary!$B$5</f>
        <v/>
      </c>
      <c r="J324" s="7">
        <f>G324*Summary!$B$5</f>
        <v/>
      </c>
      <c r="K324" s="7">
        <f>H324*Summary!$B$5</f>
        <v/>
      </c>
    </row>
    <row r="325">
      <c r="A325" s="8" t="n">
        <v>44679</v>
      </c>
      <c r="B325" t="inlineStr">
        <is>
          <t>FY22-23</t>
        </is>
      </c>
      <c r="C325" t="inlineStr"/>
      <c r="D325" t="inlineStr"/>
      <c r="E325" t="n">
        <v>0</v>
      </c>
      <c r="F325" t="n">
        <v>0</v>
      </c>
      <c r="G325" t="n">
        <v>3581.08</v>
      </c>
      <c r="H325" t="n">
        <v>-17.51</v>
      </c>
      <c r="I325" s="7">
        <f>F325*Summary!$B$5</f>
        <v/>
      </c>
      <c r="J325" s="7">
        <f>G325*Summary!$B$5</f>
        <v/>
      </c>
      <c r="K325" s="7">
        <f>H325*Summary!$B$5</f>
        <v/>
      </c>
    </row>
    <row r="326">
      <c r="A326" s="8" t="n">
        <v>44680</v>
      </c>
      <c r="B326" t="inlineStr">
        <is>
          <t>FY22-23</t>
        </is>
      </c>
      <c r="C326" t="inlineStr"/>
      <c r="D326" t="inlineStr"/>
      <c r="E326" t="n">
        <v>0</v>
      </c>
      <c r="F326" t="n">
        <v>0</v>
      </c>
      <c r="G326" t="n">
        <v>3581.08</v>
      </c>
      <c r="H326" t="n">
        <v>-17.51</v>
      </c>
      <c r="I326" s="7">
        <f>F326*Summary!$B$5</f>
        <v/>
      </c>
      <c r="J326" s="7">
        <f>G326*Summary!$B$5</f>
        <v/>
      </c>
      <c r="K326" s="7">
        <f>H326*Summary!$B$5</f>
        <v/>
      </c>
    </row>
    <row r="327">
      <c r="A327" s="8" t="n">
        <v>44683</v>
      </c>
      <c r="B327" t="inlineStr">
        <is>
          <t>FY22-23</t>
        </is>
      </c>
      <c r="C327" t="inlineStr">
        <is>
          <t>n/a</t>
        </is>
      </c>
      <c r="D327" t="inlineStr"/>
      <c r="E327" t="n">
        <v>4</v>
      </c>
      <c r="F327" t="n">
        <v>29.85</v>
      </c>
      <c r="G327" t="n">
        <v>3610.93</v>
      </c>
      <c r="H327" t="n">
        <v>0</v>
      </c>
      <c r="I327" s="7">
        <f>F327*Summary!$B$5</f>
        <v/>
      </c>
      <c r="J327" s="7">
        <f>G327*Summary!$B$5</f>
        <v/>
      </c>
      <c r="K327" s="7">
        <f>H327*Summary!$B$5</f>
        <v/>
      </c>
    </row>
    <row r="328">
      <c r="A328" s="8" t="n">
        <v>44685</v>
      </c>
      <c r="B328" t="inlineStr">
        <is>
          <t>FY22-23</t>
        </is>
      </c>
      <c r="C328" t="inlineStr">
        <is>
          <t>NW</t>
        </is>
      </c>
      <c r="D328" t="inlineStr"/>
      <c r="E328" t="n">
        <v>2</v>
      </c>
      <c r="F328" t="n">
        <v>-40.06</v>
      </c>
      <c r="G328" t="n">
        <v>3570.86</v>
      </c>
      <c r="H328" t="n">
        <v>-40.06</v>
      </c>
      <c r="I328" s="7">
        <f>F328*Summary!$B$5</f>
        <v/>
      </c>
      <c r="J328" s="7">
        <f>G328*Summary!$B$5</f>
        <v/>
      </c>
      <c r="K328" s="7">
        <f>H328*Summary!$B$5</f>
        <v/>
      </c>
    </row>
    <row r="329">
      <c r="A329" s="8" t="n">
        <v>44686</v>
      </c>
      <c r="B329" t="inlineStr">
        <is>
          <t>FY22-23</t>
        </is>
      </c>
      <c r="C329" t="inlineStr">
        <is>
          <t>CW</t>
        </is>
      </c>
      <c r="D329" t="inlineStr">
        <is>
          <t>09:18</t>
        </is>
      </c>
      <c r="E329" t="n">
        <v>1</v>
      </c>
      <c r="F329" t="n">
        <v>3.27</v>
      </c>
      <c r="G329" t="n">
        <v>3574.13</v>
      </c>
      <c r="H329" t="n">
        <v>-36.8</v>
      </c>
      <c r="I329" s="7">
        <f>F329*Summary!$B$5</f>
        <v/>
      </c>
      <c r="J329" s="7">
        <f>G329*Summary!$B$5</f>
        <v/>
      </c>
      <c r="K329" s="7">
        <f>H329*Summary!$B$5</f>
        <v/>
      </c>
    </row>
    <row r="330">
      <c r="A330" s="8" t="n">
        <v>44687</v>
      </c>
      <c r="B330" t="inlineStr">
        <is>
          <t>FY22-23</t>
        </is>
      </c>
      <c r="C330" t="inlineStr">
        <is>
          <t>CW</t>
        </is>
      </c>
      <c r="D330" t="inlineStr">
        <is>
          <t>09:18</t>
        </is>
      </c>
      <c r="E330" t="n">
        <v>6</v>
      </c>
      <c r="F330" t="n">
        <v>24.52</v>
      </c>
      <c r="G330" t="n">
        <v>3598.65</v>
      </c>
      <c r="H330" t="n">
        <v>-12.28</v>
      </c>
      <c r="I330" s="7">
        <f>F330*Summary!$B$5</f>
        <v/>
      </c>
      <c r="J330" s="7">
        <f>G330*Summary!$B$5</f>
        <v/>
      </c>
      <c r="K330" s="7">
        <f>H330*Summary!$B$5</f>
        <v/>
      </c>
    </row>
    <row r="331">
      <c r="A331" s="8" t="n">
        <v>44690</v>
      </c>
      <c r="B331" t="inlineStr">
        <is>
          <t>FY22-23</t>
        </is>
      </c>
      <c r="C331" t="inlineStr"/>
      <c r="D331" t="inlineStr"/>
      <c r="E331" t="n">
        <v>0</v>
      </c>
      <c r="F331" t="n">
        <v>0</v>
      </c>
      <c r="G331" t="n">
        <v>3598.65</v>
      </c>
      <c r="H331" t="n">
        <v>-12.28</v>
      </c>
      <c r="I331" s="7">
        <f>F331*Summary!$B$5</f>
        <v/>
      </c>
      <c r="J331" s="7">
        <f>G331*Summary!$B$5</f>
        <v/>
      </c>
      <c r="K331" s="7">
        <f>H331*Summary!$B$5</f>
        <v/>
      </c>
    </row>
    <row r="332">
      <c r="A332" s="8" t="n">
        <v>44691</v>
      </c>
      <c r="B332" t="inlineStr">
        <is>
          <t>FY22-23</t>
        </is>
      </c>
      <c r="C332" t="inlineStr">
        <is>
          <t>CW</t>
        </is>
      </c>
      <c r="D332" t="inlineStr">
        <is>
          <t>09:16</t>
        </is>
      </c>
      <c r="E332" t="n">
        <v>3</v>
      </c>
      <c r="F332" t="n">
        <v>24.67</v>
      </c>
      <c r="G332" t="n">
        <v>3623.31</v>
      </c>
      <c r="H332" t="n">
        <v>0</v>
      </c>
      <c r="I332" s="7">
        <f>F332*Summary!$B$5</f>
        <v/>
      </c>
      <c r="J332" s="7">
        <f>G332*Summary!$B$5</f>
        <v/>
      </c>
      <c r="K332" s="7">
        <f>H332*Summary!$B$5</f>
        <v/>
      </c>
    </row>
    <row r="333">
      <c r="A333" s="8" t="n">
        <v>44692</v>
      </c>
      <c r="B333" t="inlineStr">
        <is>
          <t>FY22-23</t>
        </is>
      </c>
      <c r="C333" t="inlineStr">
        <is>
          <t>CW</t>
        </is>
      </c>
      <c r="D333" t="inlineStr">
        <is>
          <t>09:16</t>
        </is>
      </c>
      <c r="E333" t="n">
        <v>2</v>
      </c>
      <c r="F333" t="n">
        <v>-42.68</v>
      </c>
      <c r="G333" t="n">
        <v>3580.64</v>
      </c>
      <c r="H333" t="n">
        <v>-42.68</v>
      </c>
      <c r="I333" s="7">
        <f>F333*Summary!$B$5</f>
        <v/>
      </c>
      <c r="J333" s="7">
        <f>G333*Summary!$B$5</f>
        <v/>
      </c>
      <c r="K333" s="7">
        <f>H333*Summary!$B$5</f>
        <v/>
      </c>
    </row>
    <row r="334">
      <c r="A334" s="8" t="n">
        <v>44693</v>
      </c>
      <c r="B334" t="inlineStr">
        <is>
          <t>FY22-23</t>
        </is>
      </c>
      <c r="C334" t="inlineStr">
        <is>
          <t>CW</t>
        </is>
      </c>
      <c r="D334" t="inlineStr">
        <is>
          <t>09:18</t>
        </is>
      </c>
      <c r="E334" t="n">
        <v>1</v>
      </c>
      <c r="F334" t="n">
        <v>85.06</v>
      </c>
      <c r="G334" t="n">
        <v>3665.7</v>
      </c>
      <c r="H334" t="n">
        <v>0</v>
      </c>
      <c r="I334" s="7">
        <f>F334*Summary!$B$5</f>
        <v/>
      </c>
      <c r="J334" s="7">
        <f>G334*Summary!$B$5</f>
        <v/>
      </c>
      <c r="K334" s="7">
        <f>H334*Summary!$B$5</f>
        <v/>
      </c>
    </row>
    <row r="335">
      <c r="A335" s="8" t="n">
        <v>44694</v>
      </c>
      <c r="B335" t="inlineStr">
        <is>
          <t>FY22-23</t>
        </is>
      </c>
      <c r="C335" t="inlineStr"/>
      <c r="D335" t="inlineStr"/>
      <c r="E335" t="n">
        <v>0</v>
      </c>
      <c r="F335" t="n">
        <v>0</v>
      </c>
      <c r="G335" t="n">
        <v>3665.7</v>
      </c>
      <c r="H335" t="n">
        <v>0</v>
      </c>
      <c r="I335" s="7">
        <f>F335*Summary!$B$5</f>
        <v/>
      </c>
      <c r="J335" s="7">
        <f>G335*Summary!$B$5</f>
        <v/>
      </c>
      <c r="K335" s="7">
        <f>H335*Summary!$B$5</f>
        <v/>
      </c>
    </row>
    <row r="336">
      <c r="A336" s="8" t="n">
        <v>44697</v>
      </c>
      <c r="B336" t="inlineStr">
        <is>
          <t>FY22-23</t>
        </is>
      </c>
      <c r="C336" t="inlineStr">
        <is>
          <t>CW</t>
        </is>
      </c>
      <c r="D336" t="inlineStr">
        <is>
          <t>09:16</t>
        </is>
      </c>
      <c r="E336" t="n">
        <v>4</v>
      </c>
      <c r="F336" t="n">
        <v>21.14</v>
      </c>
      <c r="G336" t="n">
        <v>3686.84</v>
      </c>
      <c r="H336" t="n">
        <v>0</v>
      </c>
      <c r="I336" s="7">
        <f>F336*Summary!$B$5</f>
        <v/>
      </c>
      <c r="J336" s="7">
        <f>G336*Summary!$B$5</f>
        <v/>
      </c>
      <c r="K336" s="7">
        <f>H336*Summary!$B$5</f>
        <v/>
      </c>
    </row>
    <row r="337">
      <c r="A337" s="8" t="n">
        <v>44698</v>
      </c>
      <c r="B337" t="inlineStr">
        <is>
          <t>FY22-23</t>
        </is>
      </c>
      <c r="C337" t="inlineStr">
        <is>
          <t>CW</t>
        </is>
      </c>
      <c r="D337" t="inlineStr">
        <is>
          <t>09:16</t>
        </is>
      </c>
      <c r="E337" t="n">
        <v>3</v>
      </c>
      <c r="F337" t="n">
        <v>-42.21</v>
      </c>
      <c r="G337" t="n">
        <v>3644.63</v>
      </c>
      <c r="H337" t="n">
        <v>-42.21</v>
      </c>
      <c r="I337" s="7">
        <f>F337*Summary!$B$5</f>
        <v/>
      </c>
      <c r="J337" s="7">
        <f>G337*Summary!$B$5</f>
        <v/>
      </c>
      <c r="K337" s="7">
        <f>H337*Summary!$B$5</f>
        <v/>
      </c>
    </row>
    <row r="338">
      <c r="A338" s="8" t="n">
        <v>44699</v>
      </c>
      <c r="B338" t="inlineStr">
        <is>
          <t>FY22-23</t>
        </is>
      </c>
      <c r="C338" t="inlineStr">
        <is>
          <t>CW</t>
        </is>
      </c>
      <c r="D338" t="inlineStr">
        <is>
          <t>09:16</t>
        </is>
      </c>
      <c r="E338" t="n">
        <v>2</v>
      </c>
      <c r="F338" t="n">
        <v>35.15</v>
      </c>
      <c r="G338" t="n">
        <v>3679.78</v>
      </c>
      <c r="H338" t="n">
        <v>-7.06</v>
      </c>
      <c r="I338" s="7">
        <f>F338*Summary!$B$5</f>
        <v/>
      </c>
      <c r="J338" s="7">
        <f>G338*Summary!$B$5</f>
        <v/>
      </c>
      <c r="K338" s="7">
        <f>H338*Summary!$B$5</f>
        <v/>
      </c>
    </row>
    <row r="339">
      <c r="A339" s="8" t="n">
        <v>44700</v>
      </c>
      <c r="B339" t="inlineStr">
        <is>
          <t>FY22-23</t>
        </is>
      </c>
      <c r="C339" t="inlineStr">
        <is>
          <t>CW</t>
        </is>
      </c>
      <c r="D339" t="inlineStr">
        <is>
          <t>09:16</t>
        </is>
      </c>
      <c r="E339" t="n">
        <v>1</v>
      </c>
      <c r="F339" t="n">
        <v>87.59999999999999</v>
      </c>
      <c r="G339" t="n">
        <v>3767.38</v>
      </c>
      <c r="H339" t="n">
        <v>0</v>
      </c>
      <c r="I339" s="7">
        <f>F339*Summary!$B$5</f>
        <v/>
      </c>
      <c r="J339" s="7">
        <f>G339*Summary!$B$5</f>
        <v/>
      </c>
      <c r="K339" s="7">
        <f>H339*Summary!$B$5</f>
        <v/>
      </c>
    </row>
    <row r="340">
      <c r="A340" s="8" t="n">
        <v>44701</v>
      </c>
      <c r="B340" t="inlineStr">
        <is>
          <t>FY22-23</t>
        </is>
      </c>
      <c r="C340" t="inlineStr"/>
      <c r="D340" t="inlineStr"/>
      <c r="E340" t="n">
        <v>0</v>
      </c>
      <c r="F340" t="n">
        <v>0</v>
      </c>
      <c r="G340" t="n">
        <v>3767.38</v>
      </c>
      <c r="H340" t="n">
        <v>0</v>
      </c>
      <c r="I340" s="7">
        <f>F340*Summary!$B$5</f>
        <v/>
      </c>
      <c r="J340" s="7">
        <f>G340*Summary!$B$5</f>
        <v/>
      </c>
      <c r="K340" s="7">
        <f>H340*Summary!$B$5</f>
        <v/>
      </c>
    </row>
    <row r="341">
      <c r="A341" s="8" t="n">
        <v>44704</v>
      </c>
      <c r="B341" t="inlineStr">
        <is>
          <t>FY22-23</t>
        </is>
      </c>
      <c r="C341" t="inlineStr">
        <is>
          <t>CW</t>
        </is>
      </c>
      <c r="D341" t="inlineStr">
        <is>
          <t>09:18</t>
        </is>
      </c>
      <c r="E341" t="n">
        <v>4</v>
      </c>
      <c r="F341" t="n">
        <v>13.78</v>
      </c>
      <c r="G341" t="n">
        <v>3781.16</v>
      </c>
      <c r="H341" t="n">
        <v>0</v>
      </c>
      <c r="I341" s="7">
        <f>F341*Summary!$B$5</f>
        <v/>
      </c>
      <c r="J341" s="7">
        <f>G341*Summary!$B$5</f>
        <v/>
      </c>
      <c r="K341" s="7">
        <f>H341*Summary!$B$5</f>
        <v/>
      </c>
    </row>
    <row r="342">
      <c r="A342" s="8" t="n">
        <v>44705</v>
      </c>
      <c r="B342" t="inlineStr">
        <is>
          <t>FY22-23</t>
        </is>
      </c>
      <c r="C342" t="inlineStr">
        <is>
          <t>CW</t>
        </is>
      </c>
      <c r="D342" t="inlineStr">
        <is>
          <t>09:16</t>
        </is>
      </c>
      <c r="E342" t="n">
        <v>3</v>
      </c>
      <c r="F342" t="n">
        <v>30.59</v>
      </c>
      <c r="G342" t="n">
        <v>3811.75</v>
      </c>
      <c r="H342" t="n">
        <v>0</v>
      </c>
      <c r="I342" s="7">
        <f>F342*Summary!$B$5</f>
        <v/>
      </c>
      <c r="J342" s="7">
        <f>G342*Summary!$B$5</f>
        <v/>
      </c>
      <c r="K342" s="7">
        <f>H342*Summary!$B$5</f>
        <v/>
      </c>
    </row>
    <row r="343">
      <c r="A343" s="8" t="n">
        <v>44706</v>
      </c>
      <c r="B343" t="inlineStr">
        <is>
          <t>FY22-23</t>
        </is>
      </c>
      <c r="C343" t="inlineStr">
        <is>
          <t>CW</t>
        </is>
      </c>
      <c r="D343" t="inlineStr">
        <is>
          <t>09:16</t>
        </is>
      </c>
      <c r="E343" t="n">
        <v>2</v>
      </c>
      <c r="F343" t="n">
        <v>13.03</v>
      </c>
      <c r="G343" t="n">
        <v>3824.78</v>
      </c>
      <c r="H343" t="n">
        <v>0</v>
      </c>
      <c r="I343" s="7">
        <f>F343*Summary!$B$5</f>
        <v/>
      </c>
      <c r="J343" s="7">
        <f>G343*Summary!$B$5</f>
        <v/>
      </c>
      <c r="K343" s="7">
        <f>H343*Summary!$B$5</f>
        <v/>
      </c>
    </row>
    <row r="344">
      <c r="A344" s="8" t="n">
        <v>44707</v>
      </c>
      <c r="B344" t="inlineStr">
        <is>
          <t>FY22-23</t>
        </is>
      </c>
      <c r="C344" t="inlineStr">
        <is>
          <t>CW</t>
        </is>
      </c>
      <c r="D344" t="inlineStr">
        <is>
          <t>09:17</t>
        </is>
      </c>
      <c r="E344" t="n">
        <v>1</v>
      </c>
      <c r="F344" t="n">
        <v>-51.17</v>
      </c>
      <c r="G344" t="n">
        <v>3773.61</v>
      </c>
      <c r="H344" t="n">
        <v>-51.17</v>
      </c>
      <c r="I344" s="7">
        <f>F344*Summary!$B$5</f>
        <v/>
      </c>
      <c r="J344" s="7">
        <f>G344*Summary!$B$5</f>
        <v/>
      </c>
      <c r="K344" s="7">
        <f>H344*Summary!$B$5</f>
        <v/>
      </c>
    </row>
    <row r="345">
      <c r="A345" s="8" t="n">
        <v>44708</v>
      </c>
      <c r="B345" t="inlineStr">
        <is>
          <t>FY22-23</t>
        </is>
      </c>
      <c r="C345" t="inlineStr">
        <is>
          <t>CW</t>
        </is>
      </c>
      <c r="D345" t="inlineStr">
        <is>
          <t>09:17</t>
        </is>
      </c>
      <c r="E345" t="n">
        <v>6</v>
      </c>
      <c r="F345" t="n">
        <v>38.52</v>
      </c>
      <c r="G345" t="n">
        <v>3812.13</v>
      </c>
      <c r="H345" t="n">
        <v>-12.65</v>
      </c>
      <c r="I345" s="7">
        <f>F345*Summary!$B$5</f>
        <v/>
      </c>
      <c r="J345" s="7">
        <f>G345*Summary!$B$5</f>
        <v/>
      </c>
      <c r="K345" s="7">
        <f>H345*Summary!$B$5</f>
        <v/>
      </c>
    </row>
    <row r="346">
      <c r="A346" s="8" t="n">
        <v>44711</v>
      </c>
      <c r="B346" t="inlineStr">
        <is>
          <t>FY22-23</t>
        </is>
      </c>
      <c r="C346" t="inlineStr">
        <is>
          <t>CW</t>
        </is>
      </c>
      <c r="D346" t="inlineStr">
        <is>
          <t>11:13</t>
        </is>
      </c>
      <c r="E346" t="n">
        <v>4</v>
      </c>
      <c r="F346" t="n">
        <v>37.7</v>
      </c>
      <c r="G346" t="n">
        <v>3849.83</v>
      </c>
      <c r="H346" t="n">
        <v>0</v>
      </c>
      <c r="I346" s="7">
        <f>F346*Summary!$B$5</f>
        <v/>
      </c>
      <c r="J346" s="7">
        <f>G346*Summary!$B$5</f>
        <v/>
      </c>
      <c r="K346" s="7">
        <f>H346*Summary!$B$5</f>
        <v/>
      </c>
    </row>
    <row r="347">
      <c r="A347" s="8" t="n">
        <v>44712</v>
      </c>
      <c r="B347" t="inlineStr">
        <is>
          <t>FY22-23</t>
        </is>
      </c>
      <c r="C347" t="inlineStr">
        <is>
          <t>CW</t>
        </is>
      </c>
      <c r="D347" t="inlineStr">
        <is>
          <t>09:16</t>
        </is>
      </c>
      <c r="E347" t="n">
        <v>3</v>
      </c>
      <c r="F347" t="n">
        <v>-1.52</v>
      </c>
      <c r="G347" t="n">
        <v>3848.3</v>
      </c>
      <c r="H347" t="n">
        <v>-1.52</v>
      </c>
      <c r="I347" s="7">
        <f>F347*Summary!$B$5</f>
        <v/>
      </c>
      <c r="J347" s="7">
        <f>G347*Summary!$B$5</f>
        <v/>
      </c>
      <c r="K347" s="7">
        <f>H347*Summary!$B$5</f>
        <v/>
      </c>
    </row>
    <row r="348">
      <c r="A348" s="8" t="n">
        <v>44713</v>
      </c>
      <c r="B348" t="inlineStr">
        <is>
          <t>FY22-23</t>
        </is>
      </c>
      <c r="C348" t="inlineStr">
        <is>
          <t>CW</t>
        </is>
      </c>
      <c r="D348" t="inlineStr">
        <is>
          <t>09:17</t>
        </is>
      </c>
      <c r="E348" t="n">
        <v>2</v>
      </c>
      <c r="F348" t="n">
        <v>18.9</v>
      </c>
      <c r="G348" t="n">
        <v>3867.2</v>
      </c>
      <c r="H348" t="n">
        <v>0</v>
      </c>
      <c r="I348" s="7">
        <f>F348*Summary!$B$5</f>
        <v/>
      </c>
      <c r="J348" s="7">
        <f>G348*Summary!$B$5</f>
        <v/>
      </c>
      <c r="K348" s="7">
        <f>H348*Summary!$B$5</f>
        <v/>
      </c>
    </row>
    <row r="349">
      <c r="A349" s="8" t="n">
        <v>44714</v>
      </c>
      <c r="B349" t="inlineStr">
        <is>
          <t>FY22-23</t>
        </is>
      </c>
      <c r="C349" t="inlineStr">
        <is>
          <t>CW</t>
        </is>
      </c>
      <c r="D349" t="inlineStr">
        <is>
          <t>09:16</t>
        </is>
      </c>
      <c r="E349" t="n">
        <v>1</v>
      </c>
      <c r="F349" t="n">
        <v>-46.8</v>
      </c>
      <c r="G349" t="n">
        <v>3820.4</v>
      </c>
      <c r="H349" t="n">
        <v>-46.8</v>
      </c>
      <c r="I349" s="7">
        <f>F349*Summary!$B$5</f>
        <v/>
      </c>
      <c r="J349" s="7">
        <f>G349*Summary!$B$5</f>
        <v/>
      </c>
      <c r="K349" s="7">
        <f>H349*Summary!$B$5</f>
        <v/>
      </c>
    </row>
    <row r="350">
      <c r="A350" s="8" t="n">
        <v>44715</v>
      </c>
      <c r="B350" t="inlineStr">
        <is>
          <t>FY22-23</t>
        </is>
      </c>
      <c r="C350" t="inlineStr">
        <is>
          <t>CW</t>
        </is>
      </c>
      <c r="D350" t="inlineStr">
        <is>
          <t>09:18</t>
        </is>
      </c>
      <c r="E350" t="n">
        <v>6</v>
      </c>
      <c r="F350" t="n">
        <v>19.16</v>
      </c>
      <c r="G350" t="n">
        <v>3839.57</v>
      </c>
      <c r="H350" t="n">
        <v>-27.64</v>
      </c>
      <c r="I350" s="7">
        <f>F350*Summary!$B$5</f>
        <v/>
      </c>
      <c r="J350" s="7">
        <f>G350*Summary!$B$5</f>
        <v/>
      </c>
      <c r="K350" s="7">
        <f>H350*Summary!$B$5</f>
        <v/>
      </c>
    </row>
    <row r="351">
      <c r="A351" s="8" t="n">
        <v>44718</v>
      </c>
      <c r="B351" t="inlineStr">
        <is>
          <t>FY22-23</t>
        </is>
      </c>
      <c r="C351" t="inlineStr">
        <is>
          <t>CW</t>
        </is>
      </c>
      <c r="D351" t="inlineStr">
        <is>
          <t>09:16</t>
        </is>
      </c>
      <c r="E351" t="n">
        <v>4</v>
      </c>
      <c r="F351" t="n">
        <v>7.94</v>
      </c>
      <c r="G351" t="n">
        <v>3847.5</v>
      </c>
      <c r="H351" t="n">
        <v>-19.7</v>
      </c>
      <c r="I351" s="7">
        <f>F351*Summary!$B$5</f>
        <v/>
      </c>
      <c r="J351" s="7">
        <f>G351*Summary!$B$5</f>
        <v/>
      </c>
      <c r="K351" s="7">
        <f>H351*Summary!$B$5</f>
        <v/>
      </c>
    </row>
    <row r="352">
      <c r="A352" s="8" t="n">
        <v>44719</v>
      </c>
      <c r="B352" t="inlineStr">
        <is>
          <t>FY22-23</t>
        </is>
      </c>
      <c r="C352" t="inlineStr">
        <is>
          <t>CW</t>
        </is>
      </c>
      <c r="D352" t="inlineStr">
        <is>
          <t>09:17</t>
        </is>
      </c>
      <c r="E352" t="n">
        <v>3</v>
      </c>
      <c r="F352" t="n">
        <v>29.35</v>
      </c>
      <c r="G352" t="n">
        <v>3876.85</v>
      </c>
      <c r="H352" t="n">
        <v>0</v>
      </c>
      <c r="I352" s="7">
        <f>F352*Summary!$B$5</f>
        <v/>
      </c>
      <c r="J352" s="7">
        <f>G352*Summary!$B$5</f>
        <v/>
      </c>
      <c r="K352" s="7">
        <f>H352*Summary!$B$5</f>
        <v/>
      </c>
    </row>
    <row r="353">
      <c r="A353" s="8" t="n">
        <v>44720</v>
      </c>
      <c r="B353" t="inlineStr">
        <is>
          <t>FY22-23</t>
        </is>
      </c>
      <c r="C353" t="inlineStr">
        <is>
          <t>CW</t>
        </is>
      </c>
      <c r="D353" t="inlineStr">
        <is>
          <t>09:16</t>
        </is>
      </c>
      <c r="E353" t="n">
        <v>2</v>
      </c>
      <c r="F353" t="n">
        <v>39.11</v>
      </c>
      <c r="G353" t="n">
        <v>3915.96</v>
      </c>
      <c r="H353" t="n">
        <v>0</v>
      </c>
      <c r="I353" s="7">
        <f>F353*Summary!$B$5</f>
        <v/>
      </c>
      <c r="J353" s="7">
        <f>G353*Summary!$B$5</f>
        <v/>
      </c>
      <c r="K353" s="7">
        <f>H353*Summary!$B$5</f>
        <v/>
      </c>
    </row>
    <row r="354">
      <c r="A354" s="8" t="n">
        <v>44721</v>
      </c>
      <c r="B354" t="inlineStr">
        <is>
          <t>FY22-23</t>
        </is>
      </c>
      <c r="C354" t="inlineStr">
        <is>
          <t>CW</t>
        </is>
      </c>
      <c r="D354" t="inlineStr">
        <is>
          <t>09:18</t>
        </is>
      </c>
      <c r="E354" t="n">
        <v>1</v>
      </c>
      <c r="F354" t="n">
        <v>-2.51</v>
      </c>
      <c r="G354" t="n">
        <v>3913.45</v>
      </c>
      <c r="H354" t="n">
        <v>-2.51</v>
      </c>
      <c r="I354" s="7">
        <f>F354*Summary!$B$5</f>
        <v/>
      </c>
      <c r="J354" s="7">
        <f>G354*Summary!$B$5</f>
        <v/>
      </c>
      <c r="K354" s="7">
        <f>H354*Summary!$B$5</f>
        <v/>
      </c>
    </row>
    <row r="355">
      <c r="A355" s="8" t="n">
        <v>44722</v>
      </c>
      <c r="B355" t="inlineStr">
        <is>
          <t>FY22-23</t>
        </is>
      </c>
      <c r="C355" t="inlineStr"/>
      <c r="D355" t="inlineStr"/>
      <c r="E355" t="n">
        <v>0</v>
      </c>
      <c r="F355" t="n">
        <v>0</v>
      </c>
      <c r="G355" t="n">
        <v>3913.45</v>
      </c>
      <c r="H355" t="n">
        <v>-2.51</v>
      </c>
      <c r="I355" s="7">
        <f>F355*Summary!$B$5</f>
        <v/>
      </c>
      <c r="J355" s="7">
        <f>G355*Summary!$B$5</f>
        <v/>
      </c>
      <c r="K355" s="7">
        <f>H355*Summary!$B$5</f>
        <v/>
      </c>
    </row>
    <row r="356">
      <c r="A356" s="8" t="n">
        <v>44725</v>
      </c>
      <c r="B356" t="inlineStr">
        <is>
          <t>FY22-23</t>
        </is>
      </c>
      <c r="C356" t="inlineStr">
        <is>
          <t>CW</t>
        </is>
      </c>
      <c r="D356" t="inlineStr">
        <is>
          <t>09:18</t>
        </is>
      </c>
      <c r="E356" t="n">
        <v>4</v>
      </c>
      <c r="F356" t="n">
        <v>10.14</v>
      </c>
      <c r="G356" t="n">
        <v>3923.59</v>
      </c>
      <c r="H356" t="n">
        <v>0</v>
      </c>
      <c r="I356" s="7">
        <f>F356*Summary!$B$5</f>
        <v/>
      </c>
      <c r="J356" s="7">
        <f>G356*Summary!$B$5</f>
        <v/>
      </c>
      <c r="K356" s="7">
        <f>H356*Summary!$B$5</f>
        <v/>
      </c>
    </row>
    <row r="357">
      <c r="A357" s="8" t="n">
        <v>44726</v>
      </c>
      <c r="B357" t="inlineStr">
        <is>
          <t>FY22-23</t>
        </is>
      </c>
      <c r="C357" t="inlineStr"/>
      <c r="D357" t="inlineStr"/>
      <c r="E357" t="n">
        <v>0</v>
      </c>
      <c r="F357" t="n">
        <v>0</v>
      </c>
      <c r="G357" t="n">
        <v>3923.59</v>
      </c>
      <c r="H357" t="n">
        <v>0</v>
      </c>
      <c r="I357" s="7">
        <f>F357*Summary!$B$5</f>
        <v/>
      </c>
      <c r="J357" s="7">
        <f>G357*Summary!$B$5</f>
        <v/>
      </c>
      <c r="K357" s="7">
        <f>H357*Summary!$B$5</f>
        <v/>
      </c>
    </row>
    <row r="358">
      <c r="A358" s="8" t="n">
        <v>44727</v>
      </c>
      <c r="B358" t="inlineStr">
        <is>
          <t>FY22-23</t>
        </is>
      </c>
      <c r="C358" t="inlineStr">
        <is>
          <t>CW</t>
        </is>
      </c>
      <c r="D358" t="inlineStr">
        <is>
          <t>09:16</t>
        </is>
      </c>
      <c r="E358" t="n">
        <v>2</v>
      </c>
      <c r="F358" t="n">
        <v>-35.45</v>
      </c>
      <c r="G358" t="n">
        <v>3888.14</v>
      </c>
      <c r="H358" t="n">
        <v>-35.45</v>
      </c>
      <c r="I358" s="7">
        <f>F358*Summary!$B$5</f>
        <v/>
      </c>
      <c r="J358" s="7">
        <f>G358*Summary!$B$5</f>
        <v/>
      </c>
      <c r="K358" s="7">
        <f>H358*Summary!$B$5</f>
        <v/>
      </c>
    </row>
    <row r="359">
      <c r="A359" s="8" t="n">
        <v>44728</v>
      </c>
      <c r="B359" t="inlineStr">
        <is>
          <t>FY22-23</t>
        </is>
      </c>
      <c r="C359" t="inlineStr"/>
      <c r="D359" t="inlineStr"/>
      <c r="E359" t="n">
        <v>0</v>
      </c>
      <c r="F359" t="n">
        <v>0</v>
      </c>
      <c r="G359" t="n">
        <v>3888.14</v>
      </c>
      <c r="H359" t="n">
        <v>-35.45</v>
      </c>
      <c r="I359" s="7">
        <f>F359*Summary!$B$5</f>
        <v/>
      </c>
      <c r="J359" s="7">
        <f>G359*Summary!$B$5</f>
        <v/>
      </c>
      <c r="K359" s="7">
        <f>H359*Summary!$B$5</f>
        <v/>
      </c>
    </row>
    <row r="360">
      <c r="A360" s="8" t="n">
        <v>44729</v>
      </c>
      <c r="B360" t="inlineStr">
        <is>
          <t>FY22-23</t>
        </is>
      </c>
      <c r="C360" t="inlineStr">
        <is>
          <t>CW</t>
        </is>
      </c>
      <c r="D360" t="inlineStr">
        <is>
          <t>09:16</t>
        </is>
      </c>
      <c r="E360" t="n">
        <v>6</v>
      </c>
      <c r="F360" t="n">
        <v>27.51</v>
      </c>
      <c r="G360" t="n">
        <v>3915.65</v>
      </c>
      <c r="H360" t="n">
        <v>-7.94</v>
      </c>
      <c r="I360" s="7">
        <f>F360*Summary!$B$5</f>
        <v/>
      </c>
      <c r="J360" s="7">
        <f>G360*Summary!$B$5</f>
        <v/>
      </c>
      <c r="K360" s="7">
        <f>H360*Summary!$B$5</f>
        <v/>
      </c>
    </row>
    <row r="361">
      <c r="A361" s="8" t="n">
        <v>44732</v>
      </c>
      <c r="B361" t="inlineStr">
        <is>
          <t>FY22-23</t>
        </is>
      </c>
      <c r="C361" t="inlineStr">
        <is>
          <t>CW</t>
        </is>
      </c>
      <c r="D361" t="inlineStr">
        <is>
          <t>09:17</t>
        </is>
      </c>
      <c r="E361" t="n">
        <v>4</v>
      </c>
      <c r="F361" t="n">
        <v>63.97</v>
      </c>
      <c r="G361" t="n">
        <v>3979.62</v>
      </c>
      <c r="H361" t="n">
        <v>0</v>
      </c>
      <c r="I361" s="7">
        <f>F361*Summary!$B$5</f>
        <v/>
      </c>
      <c r="J361" s="7">
        <f>G361*Summary!$B$5</f>
        <v/>
      </c>
      <c r="K361" s="7">
        <f>H361*Summary!$B$5</f>
        <v/>
      </c>
    </row>
    <row r="362">
      <c r="A362" s="8" t="n">
        <v>44733</v>
      </c>
      <c r="B362" t="inlineStr">
        <is>
          <t>FY22-23</t>
        </is>
      </c>
      <c r="C362" t="inlineStr"/>
      <c r="D362" t="inlineStr"/>
      <c r="E362" t="n">
        <v>0</v>
      </c>
      <c r="F362" t="n">
        <v>0</v>
      </c>
      <c r="G362" t="n">
        <v>3979.62</v>
      </c>
      <c r="H362" t="n">
        <v>0</v>
      </c>
      <c r="I362" s="7">
        <f>F362*Summary!$B$5</f>
        <v/>
      </c>
      <c r="J362" s="7">
        <f>G362*Summary!$B$5</f>
        <v/>
      </c>
      <c r="K362" s="7">
        <f>H362*Summary!$B$5</f>
        <v/>
      </c>
    </row>
    <row r="363">
      <c r="A363" s="8" t="n">
        <v>44734</v>
      </c>
      <c r="B363" t="inlineStr">
        <is>
          <t>FY22-23</t>
        </is>
      </c>
      <c r="C363" t="inlineStr">
        <is>
          <t>CW</t>
        </is>
      </c>
      <c r="D363" t="inlineStr">
        <is>
          <t>09:16</t>
        </is>
      </c>
      <c r="E363" t="n">
        <v>2</v>
      </c>
      <c r="F363" t="n">
        <v>-7.57</v>
      </c>
      <c r="G363" t="n">
        <v>3972.04</v>
      </c>
      <c r="H363" t="n">
        <v>-7.57</v>
      </c>
      <c r="I363" s="7">
        <f>F363*Summary!$B$5</f>
        <v/>
      </c>
      <c r="J363" s="7">
        <f>G363*Summary!$B$5</f>
        <v/>
      </c>
      <c r="K363" s="7">
        <f>H363*Summary!$B$5</f>
        <v/>
      </c>
    </row>
    <row r="364">
      <c r="A364" s="8" t="n">
        <v>44735</v>
      </c>
      <c r="B364" t="inlineStr">
        <is>
          <t>FY22-23</t>
        </is>
      </c>
      <c r="C364" t="inlineStr">
        <is>
          <t>CW</t>
        </is>
      </c>
      <c r="D364" t="inlineStr">
        <is>
          <t>09:18</t>
        </is>
      </c>
      <c r="E364" t="n">
        <v>1</v>
      </c>
      <c r="F364" t="n">
        <v>-46.69</v>
      </c>
      <c r="G364" t="n">
        <v>3925.35</v>
      </c>
      <c r="H364" t="n">
        <v>-54.27</v>
      </c>
      <c r="I364" s="7">
        <f>F364*Summary!$B$5</f>
        <v/>
      </c>
      <c r="J364" s="7">
        <f>G364*Summary!$B$5</f>
        <v/>
      </c>
      <c r="K364" s="7">
        <f>H364*Summary!$B$5</f>
        <v/>
      </c>
    </row>
    <row r="365">
      <c r="A365" s="8" t="n">
        <v>44736</v>
      </c>
      <c r="B365" t="inlineStr">
        <is>
          <t>FY22-23</t>
        </is>
      </c>
      <c r="C365" t="inlineStr">
        <is>
          <t>CW</t>
        </is>
      </c>
      <c r="D365" t="inlineStr">
        <is>
          <t>09:16</t>
        </is>
      </c>
      <c r="E365" t="n">
        <v>6</v>
      </c>
      <c r="F365" t="n">
        <v>40.94</v>
      </c>
      <c r="G365" t="n">
        <v>3966.29</v>
      </c>
      <c r="H365" t="n">
        <v>-13.33</v>
      </c>
      <c r="I365" s="7">
        <f>F365*Summary!$B$5</f>
        <v/>
      </c>
      <c r="J365" s="7">
        <f>G365*Summary!$B$5</f>
        <v/>
      </c>
      <c r="K365" s="7">
        <f>H365*Summary!$B$5</f>
        <v/>
      </c>
    </row>
    <row r="366">
      <c r="A366" s="8" t="n">
        <v>44739</v>
      </c>
      <c r="B366" t="inlineStr">
        <is>
          <t>FY22-23</t>
        </is>
      </c>
      <c r="C366" t="inlineStr">
        <is>
          <t>CW</t>
        </is>
      </c>
      <c r="D366" t="inlineStr">
        <is>
          <t>09:16</t>
        </is>
      </c>
      <c r="E366" t="n">
        <v>4</v>
      </c>
      <c r="F366" t="n">
        <v>43.02</v>
      </c>
      <c r="G366" t="n">
        <v>4009.31</v>
      </c>
      <c r="H366" t="n">
        <v>0</v>
      </c>
      <c r="I366" s="7">
        <f>F366*Summary!$B$5</f>
        <v/>
      </c>
      <c r="J366" s="7">
        <f>G366*Summary!$B$5</f>
        <v/>
      </c>
      <c r="K366" s="7">
        <f>H366*Summary!$B$5</f>
        <v/>
      </c>
    </row>
    <row r="367">
      <c r="A367" s="8" t="n">
        <v>44740</v>
      </c>
      <c r="B367" t="inlineStr">
        <is>
          <t>FY22-23</t>
        </is>
      </c>
      <c r="C367" t="inlineStr">
        <is>
          <t>CW</t>
        </is>
      </c>
      <c r="D367" t="inlineStr">
        <is>
          <t>09:16</t>
        </is>
      </c>
      <c r="E367" t="n">
        <v>3</v>
      </c>
      <c r="F367" t="n">
        <v>30.75</v>
      </c>
      <c r="G367" t="n">
        <v>4040.05</v>
      </c>
      <c r="H367" t="n">
        <v>0</v>
      </c>
      <c r="I367" s="7">
        <f>F367*Summary!$B$5</f>
        <v/>
      </c>
      <c r="J367" s="7">
        <f>G367*Summary!$B$5</f>
        <v/>
      </c>
      <c r="K367" s="7">
        <f>H367*Summary!$B$5</f>
        <v/>
      </c>
    </row>
    <row r="368">
      <c r="A368" s="8" t="n">
        <v>44741</v>
      </c>
      <c r="B368" t="inlineStr">
        <is>
          <t>FY22-23</t>
        </is>
      </c>
      <c r="C368" t="inlineStr">
        <is>
          <t>CW</t>
        </is>
      </c>
      <c r="D368" t="inlineStr">
        <is>
          <t>09:18</t>
        </is>
      </c>
      <c r="E368" t="n">
        <v>2</v>
      </c>
      <c r="F368" t="n">
        <v>-25.03</v>
      </c>
      <c r="G368" t="n">
        <v>4015.02</v>
      </c>
      <c r="H368" t="n">
        <v>-25.03</v>
      </c>
      <c r="I368" s="7">
        <f>F368*Summary!$B$5</f>
        <v/>
      </c>
      <c r="J368" s="7">
        <f>G368*Summary!$B$5</f>
        <v/>
      </c>
      <c r="K368" s="7">
        <f>H368*Summary!$B$5</f>
        <v/>
      </c>
    </row>
    <row r="369">
      <c r="A369" s="8" t="n">
        <v>44742</v>
      </c>
      <c r="B369" t="inlineStr">
        <is>
          <t>FY22-23</t>
        </is>
      </c>
      <c r="C369" t="inlineStr">
        <is>
          <t>CW</t>
        </is>
      </c>
      <c r="D369" t="inlineStr">
        <is>
          <t>09:16</t>
        </is>
      </c>
      <c r="E369" t="n">
        <v>1</v>
      </c>
      <c r="F369" t="n">
        <v>71.88</v>
      </c>
      <c r="G369" t="n">
        <v>4086.9</v>
      </c>
      <c r="H369" t="n">
        <v>0</v>
      </c>
      <c r="I369" s="7">
        <f>F369*Summary!$B$5</f>
        <v/>
      </c>
      <c r="J369" s="7">
        <f>G369*Summary!$B$5</f>
        <v/>
      </c>
      <c r="K369" s="7">
        <f>H369*Summary!$B$5</f>
        <v/>
      </c>
    </row>
    <row r="370">
      <c r="A370" s="8" t="n">
        <v>44743</v>
      </c>
      <c r="B370" t="inlineStr">
        <is>
          <t>FY22-23</t>
        </is>
      </c>
      <c r="C370" t="inlineStr">
        <is>
          <t>CW</t>
        </is>
      </c>
      <c r="D370" t="inlineStr">
        <is>
          <t>09:16</t>
        </is>
      </c>
      <c r="E370" t="n">
        <v>6</v>
      </c>
      <c r="F370" t="n">
        <v>40.45</v>
      </c>
      <c r="G370" t="n">
        <v>4127.35</v>
      </c>
      <c r="H370" t="n">
        <v>0</v>
      </c>
      <c r="I370" s="7">
        <f>F370*Summary!$B$5</f>
        <v/>
      </c>
      <c r="J370" s="7">
        <f>G370*Summary!$B$5</f>
        <v/>
      </c>
      <c r="K370" s="7">
        <f>H370*Summary!$B$5</f>
        <v/>
      </c>
    </row>
    <row r="371">
      <c r="A371" s="8" t="n">
        <v>44746</v>
      </c>
      <c r="B371" t="inlineStr">
        <is>
          <t>FY22-23</t>
        </is>
      </c>
      <c r="C371" t="inlineStr">
        <is>
          <t>CW</t>
        </is>
      </c>
      <c r="D371" t="inlineStr">
        <is>
          <t>09:16</t>
        </is>
      </c>
      <c r="E371" t="n">
        <v>4</v>
      </c>
      <c r="F371" t="n">
        <v>38.73</v>
      </c>
      <c r="G371" t="n">
        <v>4166.08</v>
      </c>
      <c r="H371" t="n">
        <v>0</v>
      </c>
      <c r="I371" s="7">
        <f>F371*Summary!$B$5</f>
        <v/>
      </c>
      <c r="J371" s="7">
        <f>G371*Summary!$B$5</f>
        <v/>
      </c>
      <c r="K371" s="7">
        <f>H371*Summary!$B$5</f>
        <v/>
      </c>
    </row>
    <row r="372">
      <c r="A372" s="8" t="n">
        <v>44747</v>
      </c>
      <c r="B372" t="inlineStr">
        <is>
          <t>FY22-23</t>
        </is>
      </c>
      <c r="C372" t="inlineStr">
        <is>
          <t>CW</t>
        </is>
      </c>
      <c r="D372" t="inlineStr">
        <is>
          <t>09:18</t>
        </is>
      </c>
      <c r="E372" t="n">
        <v>3</v>
      </c>
      <c r="F372" t="n">
        <v>-8.99</v>
      </c>
      <c r="G372" t="n">
        <v>4157.1</v>
      </c>
      <c r="H372" t="n">
        <v>-8.99</v>
      </c>
      <c r="I372" s="7">
        <f>F372*Summary!$B$5</f>
        <v/>
      </c>
      <c r="J372" s="7">
        <f>G372*Summary!$B$5</f>
        <v/>
      </c>
      <c r="K372" s="7">
        <f>H372*Summary!$B$5</f>
        <v/>
      </c>
    </row>
    <row r="373">
      <c r="A373" s="8" t="n">
        <v>44748</v>
      </c>
      <c r="B373" t="inlineStr">
        <is>
          <t>FY22-23</t>
        </is>
      </c>
      <c r="C373" t="inlineStr">
        <is>
          <t>CW</t>
        </is>
      </c>
      <c r="D373" t="inlineStr">
        <is>
          <t>09:17</t>
        </is>
      </c>
      <c r="E373" t="n">
        <v>2</v>
      </c>
      <c r="F373" t="n">
        <v>-42.4</v>
      </c>
      <c r="G373" t="n">
        <v>4114.7</v>
      </c>
      <c r="H373" t="n">
        <v>-51.38</v>
      </c>
      <c r="I373" s="7">
        <f>F373*Summary!$B$5</f>
        <v/>
      </c>
      <c r="J373" s="7">
        <f>G373*Summary!$B$5</f>
        <v/>
      </c>
      <c r="K373" s="7">
        <f>H373*Summary!$B$5</f>
        <v/>
      </c>
    </row>
    <row r="374">
      <c r="A374" s="8" t="n">
        <v>44749</v>
      </c>
      <c r="B374" t="inlineStr">
        <is>
          <t>FY22-23</t>
        </is>
      </c>
      <c r="C374" t="inlineStr">
        <is>
          <t>CW</t>
        </is>
      </c>
      <c r="D374" t="inlineStr">
        <is>
          <t>09:16</t>
        </is>
      </c>
      <c r="E374" t="n">
        <v>1</v>
      </c>
      <c r="F374" t="n">
        <v>25.39</v>
      </c>
      <c r="G374" t="n">
        <v>4140.09</v>
      </c>
      <c r="H374" t="n">
        <v>-26</v>
      </c>
      <c r="I374" s="7">
        <f>F374*Summary!$B$5</f>
        <v/>
      </c>
      <c r="J374" s="7">
        <f>G374*Summary!$B$5</f>
        <v/>
      </c>
      <c r="K374" s="7">
        <f>H374*Summary!$B$5</f>
        <v/>
      </c>
    </row>
    <row r="375">
      <c r="A375" s="8" t="n">
        <v>44750</v>
      </c>
      <c r="B375" t="inlineStr">
        <is>
          <t>FY22-23</t>
        </is>
      </c>
      <c r="C375" t="inlineStr">
        <is>
          <t>n/a</t>
        </is>
      </c>
      <c r="D375" t="inlineStr"/>
      <c r="E375" t="n">
        <v>0</v>
      </c>
      <c r="F375" t="n">
        <v>39.84</v>
      </c>
      <c r="G375" t="n">
        <v>4179.92</v>
      </c>
      <c r="H375" t="n">
        <v>0</v>
      </c>
      <c r="I375" s="7">
        <f>F375*Summary!$B$5</f>
        <v/>
      </c>
      <c r="J375" s="7">
        <f>G375*Summary!$B$5</f>
        <v/>
      </c>
      <c r="K375" s="7">
        <f>H375*Summary!$B$5</f>
        <v/>
      </c>
    </row>
    <row r="376">
      <c r="A376" s="8" t="n">
        <v>44753</v>
      </c>
      <c r="B376" t="inlineStr">
        <is>
          <t>FY22-23</t>
        </is>
      </c>
      <c r="C376" t="inlineStr">
        <is>
          <t>CW</t>
        </is>
      </c>
      <c r="D376" t="inlineStr">
        <is>
          <t>09:17</t>
        </is>
      </c>
      <c r="E376" t="n">
        <v>4</v>
      </c>
      <c r="F376" t="n">
        <v>26.73</v>
      </c>
      <c r="G376" t="n">
        <v>4206.66</v>
      </c>
      <c r="H376" t="n">
        <v>0</v>
      </c>
      <c r="I376" s="7">
        <f>F376*Summary!$B$5</f>
        <v/>
      </c>
      <c r="J376" s="7">
        <f>G376*Summary!$B$5</f>
        <v/>
      </c>
      <c r="K376" s="7">
        <f>H376*Summary!$B$5</f>
        <v/>
      </c>
    </row>
    <row r="377">
      <c r="A377" s="8" t="n">
        <v>44754</v>
      </c>
      <c r="B377" t="inlineStr">
        <is>
          <t>FY22-23</t>
        </is>
      </c>
      <c r="C377" t="inlineStr">
        <is>
          <t>CW</t>
        </is>
      </c>
      <c r="D377" t="inlineStr">
        <is>
          <t>09:17</t>
        </is>
      </c>
      <c r="E377" t="n">
        <v>3</v>
      </c>
      <c r="F377" t="n">
        <v>11.32</v>
      </c>
      <c r="G377" t="n">
        <v>4217.98</v>
      </c>
      <c r="H377" t="n">
        <v>0</v>
      </c>
      <c r="I377" s="7">
        <f>F377*Summary!$B$5</f>
        <v/>
      </c>
      <c r="J377" s="7">
        <f>G377*Summary!$B$5</f>
        <v/>
      </c>
      <c r="K377" s="7">
        <f>H377*Summary!$B$5</f>
        <v/>
      </c>
    </row>
    <row r="378">
      <c r="A378" s="8" t="n">
        <v>44755</v>
      </c>
      <c r="B378" t="inlineStr">
        <is>
          <t>FY22-23</t>
        </is>
      </c>
      <c r="C378" t="inlineStr">
        <is>
          <t>CW</t>
        </is>
      </c>
      <c r="D378" t="inlineStr">
        <is>
          <t>09:18</t>
        </is>
      </c>
      <c r="E378" t="n">
        <v>2</v>
      </c>
      <c r="F378" t="n">
        <v>-18.32</v>
      </c>
      <c r="G378" t="n">
        <v>4199.66</v>
      </c>
      <c r="H378" t="n">
        <v>-18.32</v>
      </c>
      <c r="I378" s="7">
        <f>F378*Summary!$B$5</f>
        <v/>
      </c>
      <c r="J378" s="7">
        <f>G378*Summary!$B$5</f>
        <v/>
      </c>
      <c r="K378" s="7">
        <f>H378*Summary!$B$5</f>
        <v/>
      </c>
    </row>
    <row r="379">
      <c r="A379" s="8" t="n">
        <v>44756</v>
      </c>
      <c r="B379" t="inlineStr">
        <is>
          <t>FY22-23</t>
        </is>
      </c>
      <c r="C379" t="inlineStr">
        <is>
          <t>CW</t>
        </is>
      </c>
      <c r="D379" t="inlineStr">
        <is>
          <t>09:17</t>
        </is>
      </c>
      <c r="E379" t="n">
        <v>1</v>
      </c>
      <c r="F379" t="n">
        <v>35.01</v>
      </c>
      <c r="G379" t="n">
        <v>4234.66</v>
      </c>
      <c r="H379" t="n">
        <v>0</v>
      </c>
      <c r="I379" s="7">
        <f>F379*Summary!$B$5</f>
        <v/>
      </c>
      <c r="J379" s="7">
        <f>G379*Summary!$B$5</f>
        <v/>
      </c>
      <c r="K379" s="7">
        <f>H379*Summary!$B$5</f>
        <v/>
      </c>
    </row>
    <row r="380">
      <c r="A380" s="8" t="n">
        <v>44757</v>
      </c>
      <c r="B380" t="inlineStr">
        <is>
          <t>FY22-23</t>
        </is>
      </c>
      <c r="C380" t="inlineStr"/>
      <c r="D380" t="inlineStr"/>
      <c r="E380" t="n">
        <v>0</v>
      </c>
      <c r="F380" t="n">
        <v>0</v>
      </c>
      <c r="G380" t="n">
        <v>4234.66</v>
      </c>
      <c r="H380" t="n">
        <v>0</v>
      </c>
      <c r="I380" s="7">
        <f>F380*Summary!$B$5</f>
        <v/>
      </c>
      <c r="J380" s="7">
        <f>G380*Summary!$B$5</f>
        <v/>
      </c>
      <c r="K380" s="7">
        <f>H380*Summary!$B$5</f>
        <v/>
      </c>
    </row>
    <row r="381">
      <c r="A381" s="8" t="n">
        <v>44760</v>
      </c>
      <c r="B381" t="inlineStr">
        <is>
          <t>FY22-23</t>
        </is>
      </c>
      <c r="C381" t="inlineStr"/>
      <c r="D381" t="inlineStr"/>
      <c r="E381" t="n">
        <v>0</v>
      </c>
      <c r="F381" t="n">
        <v>0</v>
      </c>
      <c r="G381" t="n">
        <v>4234.66</v>
      </c>
      <c r="H381" t="n">
        <v>0</v>
      </c>
      <c r="I381" s="7">
        <f>F381*Summary!$B$5</f>
        <v/>
      </c>
      <c r="J381" s="7">
        <f>G381*Summary!$B$5</f>
        <v/>
      </c>
      <c r="K381" s="7">
        <f>H381*Summary!$B$5</f>
        <v/>
      </c>
    </row>
    <row r="382">
      <c r="A382" s="8" t="n">
        <v>44761</v>
      </c>
      <c r="B382" t="inlineStr">
        <is>
          <t>FY22-23</t>
        </is>
      </c>
      <c r="C382" t="inlineStr"/>
      <c r="D382" t="inlineStr"/>
      <c r="E382" t="n">
        <v>0</v>
      </c>
      <c r="F382" t="n">
        <v>0</v>
      </c>
      <c r="G382" t="n">
        <v>4234.66</v>
      </c>
      <c r="H382" t="n">
        <v>0</v>
      </c>
      <c r="I382" s="7">
        <f>F382*Summary!$B$5</f>
        <v/>
      </c>
      <c r="J382" s="7">
        <f>G382*Summary!$B$5</f>
        <v/>
      </c>
      <c r="K382" s="7">
        <f>H382*Summary!$B$5</f>
        <v/>
      </c>
    </row>
    <row r="383">
      <c r="A383" s="8" t="n">
        <v>44762</v>
      </c>
      <c r="B383" t="inlineStr">
        <is>
          <t>FY22-23</t>
        </is>
      </c>
      <c r="C383" t="inlineStr">
        <is>
          <t>CW</t>
        </is>
      </c>
      <c r="D383" t="inlineStr">
        <is>
          <t>09:17</t>
        </is>
      </c>
      <c r="E383" t="n">
        <v>2</v>
      </c>
      <c r="F383" t="n">
        <v>11.04</v>
      </c>
      <c r="G383" t="n">
        <v>4245.7</v>
      </c>
      <c r="H383" t="n">
        <v>0</v>
      </c>
      <c r="I383" s="7">
        <f>F383*Summary!$B$5</f>
        <v/>
      </c>
      <c r="J383" s="7">
        <f>G383*Summary!$B$5</f>
        <v/>
      </c>
      <c r="K383" s="7">
        <f>H383*Summary!$B$5</f>
        <v/>
      </c>
    </row>
    <row r="384">
      <c r="A384" s="8" t="n">
        <v>44763</v>
      </c>
      <c r="B384" t="inlineStr">
        <is>
          <t>FY22-23</t>
        </is>
      </c>
      <c r="C384" t="inlineStr">
        <is>
          <t>CW</t>
        </is>
      </c>
      <c r="D384" t="inlineStr">
        <is>
          <t>09:18</t>
        </is>
      </c>
      <c r="E384" t="n">
        <v>1</v>
      </c>
      <c r="F384" t="n">
        <v>10.77</v>
      </c>
      <c r="G384" t="n">
        <v>4256.48</v>
      </c>
      <c r="H384" t="n">
        <v>0</v>
      </c>
      <c r="I384" s="7">
        <f>F384*Summary!$B$5</f>
        <v/>
      </c>
      <c r="J384" s="7">
        <f>G384*Summary!$B$5</f>
        <v/>
      </c>
      <c r="K384" s="7">
        <f>H384*Summary!$B$5</f>
        <v/>
      </c>
    </row>
    <row r="385">
      <c r="A385" s="8" t="n">
        <v>44764</v>
      </c>
      <c r="B385" t="inlineStr">
        <is>
          <t>FY22-23</t>
        </is>
      </c>
      <c r="C385" t="inlineStr">
        <is>
          <t>CW</t>
        </is>
      </c>
      <c r="D385" t="inlineStr">
        <is>
          <t>09:18</t>
        </is>
      </c>
      <c r="E385" t="n">
        <v>6</v>
      </c>
      <c r="F385" t="n">
        <v>-15.44</v>
      </c>
      <c r="G385" t="n">
        <v>4241.03</v>
      </c>
      <c r="H385" t="n">
        <v>-15.44</v>
      </c>
      <c r="I385" s="7">
        <f>F385*Summary!$B$5</f>
        <v/>
      </c>
      <c r="J385" s="7">
        <f>G385*Summary!$B$5</f>
        <v/>
      </c>
      <c r="K385" s="7">
        <f>H385*Summary!$B$5</f>
        <v/>
      </c>
    </row>
    <row r="386">
      <c r="A386" s="8" t="n">
        <v>44767</v>
      </c>
      <c r="B386" t="inlineStr">
        <is>
          <t>FY22-23</t>
        </is>
      </c>
      <c r="C386" t="inlineStr">
        <is>
          <t>CW</t>
        </is>
      </c>
      <c r="D386" t="inlineStr">
        <is>
          <t>09:17</t>
        </is>
      </c>
      <c r="E386" t="n">
        <v>4</v>
      </c>
      <c r="F386" t="n">
        <v>21.51</v>
      </c>
      <c r="G386" t="n">
        <v>4262.54</v>
      </c>
      <c r="H386" t="n">
        <v>0</v>
      </c>
      <c r="I386" s="7">
        <f>F386*Summary!$B$5</f>
        <v/>
      </c>
      <c r="J386" s="7">
        <f>G386*Summary!$B$5</f>
        <v/>
      </c>
      <c r="K386" s="7">
        <f>H386*Summary!$B$5</f>
        <v/>
      </c>
    </row>
    <row r="387">
      <c r="A387" s="8" t="n">
        <v>44768</v>
      </c>
      <c r="B387" t="inlineStr">
        <is>
          <t>FY22-23</t>
        </is>
      </c>
      <c r="C387" t="inlineStr">
        <is>
          <t>CW</t>
        </is>
      </c>
      <c r="D387" t="inlineStr">
        <is>
          <t>09:17</t>
        </is>
      </c>
      <c r="E387" t="n">
        <v>3</v>
      </c>
      <c r="F387" t="n">
        <v>23.79</v>
      </c>
      <c r="G387" t="n">
        <v>4286.33</v>
      </c>
      <c r="H387" t="n">
        <v>0</v>
      </c>
      <c r="I387" s="7">
        <f>F387*Summary!$B$5</f>
        <v/>
      </c>
      <c r="J387" s="7">
        <f>G387*Summary!$B$5</f>
        <v/>
      </c>
      <c r="K387" s="7">
        <f>H387*Summary!$B$5</f>
        <v/>
      </c>
    </row>
    <row r="388">
      <c r="A388" s="8" t="n">
        <v>44769</v>
      </c>
      <c r="B388" t="inlineStr">
        <is>
          <t>FY22-23</t>
        </is>
      </c>
      <c r="C388" t="inlineStr">
        <is>
          <t>CW</t>
        </is>
      </c>
      <c r="D388" t="inlineStr">
        <is>
          <t>09:17</t>
        </is>
      </c>
      <c r="E388" t="n">
        <v>2</v>
      </c>
      <c r="F388" t="n">
        <v>-37.92</v>
      </c>
      <c r="G388" t="n">
        <v>4248.4</v>
      </c>
      <c r="H388" t="n">
        <v>-37.92</v>
      </c>
      <c r="I388" s="7">
        <f>F388*Summary!$B$5</f>
        <v/>
      </c>
      <c r="J388" s="7">
        <f>G388*Summary!$B$5</f>
        <v/>
      </c>
      <c r="K388" s="7">
        <f>H388*Summary!$B$5</f>
        <v/>
      </c>
    </row>
    <row r="389">
      <c r="A389" s="8" t="n">
        <v>44770</v>
      </c>
      <c r="B389" t="inlineStr">
        <is>
          <t>FY22-23</t>
        </is>
      </c>
      <c r="C389" t="inlineStr">
        <is>
          <t>CW</t>
        </is>
      </c>
      <c r="D389" t="inlineStr">
        <is>
          <t>09:18</t>
        </is>
      </c>
      <c r="E389" t="n">
        <v>1</v>
      </c>
      <c r="F389" t="n">
        <v>47.7</v>
      </c>
      <c r="G389" t="n">
        <v>4296.11</v>
      </c>
      <c r="H389" t="n">
        <v>0</v>
      </c>
      <c r="I389" s="7">
        <f>F389*Summary!$B$5</f>
        <v/>
      </c>
      <c r="J389" s="7">
        <f>G389*Summary!$B$5</f>
        <v/>
      </c>
      <c r="K389" s="7">
        <f>H389*Summary!$B$5</f>
        <v/>
      </c>
    </row>
    <row r="390">
      <c r="A390" s="8" t="n">
        <v>44771</v>
      </c>
      <c r="B390" t="inlineStr">
        <is>
          <t>FY22-23</t>
        </is>
      </c>
      <c r="C390" t="inlineStr"/>
      <c r="D390" t="inlineStr"/>
      <c r="E390" t="n">
        <v>0</v>
      </c>
      <c r="F390" t="n">
        <v>0</v>
      </c>
      <c r="G390" t="n">
        <v>4296.11</v>
      </c>
      <c r="H390" t="n">
        <v>0</v>
      </c>
      <c r="I390" s="7">
        <f>F390*Summary!$B$5</f>
        <v/>
      </c>
      <c r="J390" s="7">
        <f>G390*Summary!$B$5</f>
        <v/>
      </c>
      <c r="K390" s="7">
        <f>H390*Summary!$B$5</f>
        <v/>
      </c>
    </row>
    <row r="391">
      <c r="A391" s="8" t="n">
        <v>44774</v>
      </c>
      <c r="B391" t="inlineStr">
        <is>
          <t>FY22-23</t>
        </is>
      </c>
      <c r="C391" t="inlineStr"/>
      <c r="D391" t="inlineStr"/>
      <c r="E391" t="n">
        <v>0</v>
      </c>
      <c r="F391" t="n">
        <v>0</v>
      </c>
      <c r="G391" t="n">
        <v>4296.11</v>
      </c>
      <c r="H391" t="n">
        <v>0</v>
      </c>
      <c r="I391" s="7">
        <f>F391*Summary!$B$5</f>
        <v/>
      </c>
      <c r="J391" s="7">
        <f>G391*Summary!$B$5</f>
        <v/>
      </c>
      <c r="K391" s="7">
        <f>H391*Summary!$B$5</f>
        <v/>
      </c>
    </row>
    <row r="392">
      <c r="A392" s="8" t="n">
        <v>44775</v>
      </c>
      <c r="B392" t="inlineStr">
        <is>
          <t>FY22-23</t>
        </is>
      </c>
      <c r="C392" t="inlineStr">
        <is>
          <t>CW</t>
        </is>
      </c>
      <c r="D392" t="inlineStr">
        <is>
          <t>09:17</t>
        </is>
      </c>
      <c r="E392" t="n">
        <v>3</v>
      </c>
      <c r="F392" t="n">
        <v>-10.93</v>
      </c>
      <c r="G392" t="n">
        <v>4285.18</v>
      </c>
      <c r="H392" t="n">
        <v>-10.93</v>
      </c>
      <c r="I392" s="7">
        <f>F392*Summary!$B$5</f>
        <v/>
      </c>
      <c r="J392" s="7">
        <f>G392*Summary!$B$5</f>
        <v/>
      </c>
      <c r="K392" s="7">
        <f>H392*Summary!$B$5</f>
        <v/>
      </c>
    </row>
    <row r="393">
      <c r="A393" s="8" t="n">
        <v>44776</v>
      </c>
      <c r="B393" t="inlineStr">
        <is>
          <t>FY22-23</t>
        </is>
      </c>
      <c r="C393" t="inlineStr">
        <is>
          <t>CW</t>
        </is>
      </c>
      <c r="D393" t="inlineStr">
        <is>
          <t>09:18</t>
        </is>
      </c>
      <c r="E393" t="n">
        <v>2</v>
      </c>
      <c r="F393" t="n">
        <v>-0.78</v>
      </c>
      <c r="G393" t="n">
        <v>4284.4</v>
      </c>
      <c r="H393" t="n">
        <v>-11.71</v>
      </c>
      <c r="I393" s="7">
        <f>F393*Summary!$B$5</f>
        <v/>
      </c>
      <c r="J393" s="7">
        <f>G393*Summary!$B$5</f>
        <v/>
      </c>
      <c r="K393" s="7">
        <f>H393*Summary!$B$5</f>
        <v/>
      </c>
    </row>
    <row r="394">
      <c r="A394" s="8" t="n">
        <v>44777</v>
      </c>
      <c r="B394" t="inlineStr">
        <is>
          <t>FY22-23</t>
        </is>
      </c>
      <c r="C394" t="inlineStr">
        <is>
          <t>CW</t>
        </is>
      </c>
      <c r="D394" t="inlineStr">
        <is>
          <t>09:18</t>
        </is>
      </c>
      <c r="E394" t="n">
        <v>1</v>
      </c>
      <c r="F394" t="n">
        <v>-46.2</v>
      </c>
      <c r="G394" t="n">
        <v>4238.2</v>
      </c>
      <c r="H394" t="n">
        <v>-57.91</v>
      </c>
      <c r="I394" s="7">
        <f>F394*Summary!$B$5</f>
        <v/>
      </c>
      <c r="J394" s="7">
        <f>G394*Summary!$B$5</f>
        <v/>
      </c>
      <c r="K394" s="7">
        <f>H394*Summary!$B$5</f>
        <v/>
      </c>
    </row>
    <row r="395">
      <c r="A395" s="8" t="n">
        <v>44778</v>
      </c>
      <c r="B395" t="inlineStr">
        <is>
          <t>FY22-23</t>
        </is>
      </c>
      <c r="C395" t="inlineStr">
        <is>
          <t>n/a</t>
        </is>
      </c>
      <c r="D395" t="inlineStr"/>
      <c r="E395" t="n">
        <v>0</v>
      </c>
      <c r="F395" t="n">
        <v>52.56</v>
      </c>
      <c r="G395" t="n">
        <v>4290.77</v>
      </c>
      <c r="H395" t="n">
        <v>-5.34</v>
      </c>
      <c r="I395" s="7">
        <f>F395*Summary!$B$5</f>
        <v/>
      </c>
      <c r="J395" s="7">
        <f>G395*Summary!$B$5</f>
        <v/>
      </c>
      <c r="K395" s="7">
        <f>H395*Summary!$B$5</f>
        <v/>
      </c>
    </row>
    <row r="396">
      <c r="A396" s="8" t="n">
        <v>44781</v>
      </c>
      <c r="B396" t="inlineStr">
        <is>
          <t>FY22-23</t>
        </is>
      </c>
      <c r="C396" t="inlineStr">
        <is>
          <t>n/a</t>
        </is>
      </c>
      <c r="D396" t="inlineStr"/>
      <c r="E396" t="n">
        <v>0</v>
      </c>
      <c r="F396" t="n">
        <v>12.6</v>
      </c>
      <c r="G396" t="n">
        <v>4303.37</v>
      </c>
      <c r="H396" t="n">
        <v>0</v>
      </c>
      <c r="I396" s="7">
        <f>F396*Summary!$B$5</f>
        <v/>
      </c>
      <c r="J396" s="7">
        <f>G396*Summary!$B$5</f>
        <v/>
      </c>
      <c r="K396" s="7">
        <f>H396*Summary!$B$5</f>
        <v/>
      </c>
    </row>
    <row r="397">
      <c r="A397" s="8" t="n">
        <v>44783</v>
      </c>
      <c r="B397" t="inlineStr">
        <is>
          <t>FY22-23</t>
        </is>
      </c>
      <c r="C397" t="inlineStr">
        <is>
          <t>CW</t>
        </is>
      </c>
      <c r="D397" t="inlineStr">
        <is>
          <t>09:18</t>
        </is>
      </c>
      <c r="E397" t="n">
        <v>2</v>
      </c>
      <c r="F397" t="n">
        <v>36.11</v>
      </c>
      <c r="G397" t="n">
        <v>4339.48</v>
      </c>
      <c r="H397" t="n">
        <v>0</v>
      </c>
      <c r="I397" s="7">
        <f>F397*Summary!$B$5</f>
        <v/>
      </c>
      <c r="J397" s="7">
        <f>G397*Summary!$B$5</f>
        <v/>
      </c>
      <c r="K397" s="7">
        <f>H397*Summary!$B$5</f>
        <v/>
      </c>
    </row>
    <row r="398">
      <c r="A398" s="8" t="n">
        <v>44784</v>
      </c>
      <c r="B398" t="inlineStr">
        <is>
          <t>FY22-23</t>
        </is>
      </c>
      <c r="C398" t="inlineStr">
        <is>
          <t>CW</t>
        </is>
      </c>
      <c r="D398" t="inlineStr">
        <is>
          <t>09:18</t>
        </is>
      </c>
      <c r="E398" t="n">
        <v>1</v>
      </c>
      <c r="F398" t="n">
        <v>31.02</v>
      </c>
      <c r="G398" t="n">
        <v>4370.5</v>
      </c>
      <c r="H398" t="n">
        <v>0</v>
      </c>
      <c r="I398" s="7">
        <f>F398*Summary!$B$5</f>
        <v/>
      </c>
      <c r="J398" s="7">
        <f>G398*Summary!$B$5</f>
        <v/>
      </c>
      <c r="K398" s="7">
        <f>H398*Summary!$B$5</f>
        <v/>
      </c>
    </row>
    <row r="399">
      <c r="A399" s="8" t="n">
        <v>44785</v>
      </c>
      <c r="B399" t="inlineStr">
        <is>
          <t>FY22-23</t>
        </is>
      </c>
      <c r="C399" t="inlineStr"/>
      <c r="D399" t="inlineStr"/>
      <c r="E399" t="n">
        <v>0</v>
      </c>
      <c r="F399" t="n">
        <v>0</v>
      </c>
      <c r="G399" t="n">
        <v>4370.5</v>
      </c>
      <c r="H399" t="n">
        <v>0</v>
      </c>
      <c r="I399" s="7">
        <f>F399*Summary!$B$5</f>
        <v/>
      </c>
      <c r="J399" s="7">
        <f>G399*Summary!$B$5</f>
        <v/>
      </c>
      <c r="K399" s="7">
        <f>H399*Summary!$B$5</f>
        <v/>
      </c>
    </row>
    <row r="400">
      <c r="A400" s="8" t="n">
        <v>44789</v>
      </c>
      <c r="B400" t="inlineStr">
        <is>
          <t>FY22-23</t>
        </is>
      </c>
      <c r="C400" t="inlineStr">
        <is>
          <t>CW</t>
        </is>
      </c>
      <c r="D400" t="inlineStr">
        <is>
          <t>09:18</t>
        </is>
      </c>
      <c r="E400" t="n">
        <v>3</v>
      </c>
      <c r="F400" t="n">
        <v>31.25</v>
      </c>
      <c r="G400" t="n">
        <v>4401.75</v>
      </c>
      <c r="H400" t="n">
        <v>0</v>
      </c>
      <c r="I400" s="7">
        <f>F400*Summary!$B$5</f>
        <v/>
      </c>
      <c r="J400" s="7">
        <f>G400*Summary!$B$5</f>
        <v/>
      </c>
      <c r="K400" s="7">
        <f>H400*Summary!$B$5</f>
        <v/>
      </c>
    </row>
    <row r="401">
      <c r="A401" s="8" t="n">
        <v>44790</v>
      </c>
      <c r="B401" t="inlineStr">
        <is>
          <t>FY22-23</t>
        </is>
      </c>
      <c r="C401" t="inlineStr">
        <is>
          <t>CW</t>
        </is>
      </c>
      <c r="D401" t="inlineStr">
        <is>
          <t>09:17</t>
        </is>
      </c>
      <c r="E401" t="n">
        <v>2</v>
      </c>
      <c r="F401" t="n">
        <v>-7.01</v>
      </c>
      <c r="G401" t="n">
        <v>4394.74</v>
      </c>
      <c r="H401" t="n">
        <v>-7.01</v>
      </c>
      <c r="I401" s="7">
        <f>F401*Summary!$B$5</f>
        <v/>
      </c>
      <c r="J401" s="7">
        <f>G401*Summary!$B$5</f>
        <v/>
      </c>
      <c r="K401" s="7">
        <f>H401*Summary!$B$5</f>
        <v/>
      </c>
    </row>
    <row r="402">
      <c r="A402" s="8" t="n">
        <v>44791</v>
      </c>
      <c r="B402" t="inlineStr">
        <is>
          <t>FY22-23</t>
        </is>
      </c>
      <c r="C402" t="inlineStr">
        <is>
          <t>CW</t>
        </is>
      </c>
      <c r="D402" t="inlineStr">
        <is>
          <t>09:16</t>
        </is>
      </c>
      <c r="E402" t="n">
        <v>1</v>
      </c>
      <c r="F402" t="n">
        <v>23.84</v>
      </c>
      <c r="G402" t="n">
        <v>4418.57</v>
      </c>
      <c r="H402" t="n">
        <v>0</v>
      </c>
      <c r="I402" s="7">
        <f>F402*Summary!$B$5</f>
        <v/>
      </c>
      <c r="J402" s="7">
        <f>G402*Summary!$B$5</f>
        <v/>
      </c>
      <c r="K402" s="7">
        <f>H402*Summary!$B$5</f>
        <v/>
      </c>
    </row>
    <row r="403">
      <c r="A403" s="8" t="n">
        <v>44792</v>
      </c>
      <c r="B403" t="inlineStr">
        <is>
          <t>FY22-23</t>
        </is>
      </c>
      <c r="C403" t="inlineStr">
        <is>
          <t>CW</t>
        </is>
      </c>
      <c r="D403" t="inlineStr">
        <is>
          <t>09:18</t>
        </is>
      </c>
      <c r="E403" t="n">
        <v>6</v>
      </c>
      <c r="F403" t="n">
        <v>-37.99</v>
      </c>
      <c r="G403" t="n">
        <v>4380.58</v>
      </c>
      <c r="H403" t="n">
        <v>-37.99</v>
      </c>
      <c r="I403" s="7">
        <f>F403*Summary!$B$5</f>
        <v/>
      </c>
      <c r="J403" s="7">
        <f>G403*Summary!$B$5</f>
        <v/>
      </c>
      <c r="K403" s="7">
        <f>H403*Summary!$B$5</f>
        <v/>
      </c>
    </row>
    <row r="404">
      <c r="A404" s="8" t="n">
        <v>44795</v>
      </c>
      <c r="B404" t="inlineStr">
        <is>
          <t>FY22-23</t>
        </is>
      </c>
      <c r="C404" t="inlineStr">
        <is>
          <t>n/a</t>
        </is>
      </c>
      <c r="D404" t="inlineStr"/>
      <c r="E404" t="n">
        <v>0</v>
      </c>
      <c r="F404" t="n">
        <v>-17.35</v>
      </c>
      <c r="G404" t="n">
        <v>4363.23</v>
      </c>
      <c r="H404" t="n">
        <v>-55.34</v>
      </c>
      <c r="I404" s="7">
        <f>F404*Summary!$B$5</f>
        <v/>
      </c>
      <c r="J404" s="7">
        <f>G404*Summary!$B$5</f>
        <v/>
      </c>
      <c r="K404" s="7">
        <f>H404*Summary!$B$5</f>
        <v/>
      </c>
    </row>
    <row r="405">
      <c r="A405" s="8" t="n">
        <v>44796</v>
      </c>
      <c r="B405" t="inlineStr">
        <is>
          <t>FY22-23</t>
        </is>
      </c>
      <c r="C405" t="inlineStr">
        <is>
          <t>n/a</t>
        </is>
      </c>
      <c r="D405" t="inlineStr"/>
      <c r="E405" t="n">
        <v>3</v>
      </c>
      <c r="F405" t="n">
        <v>-38.74</v>
      </c>
      <c r="G405" t="n">
        <v>4324.49</v>
      </c>
      <c r="H405" t="n">
        <v>-94.08</v>
      </c>
      <c r="I405" s="7">
        <f>F405*Summary!$B$5</f>
        <v/>
      </c>
      <c r="J405" s="7">
        <f>G405*Summary!$B$5</f>
        <v/>
      </c>
      <c r="K405" s="7">
        <f>H405*Summary!$B$5</f>
        <v/>
      </c>
    </row>
    <row r="406">
      <c r="A406" s="8" t="n">
        <v>44797</v>
      </c>
      <c r="B406" t="inlineStr">
        <is>
          <t>FY22-23</t>
        </is>
      </c>
      <c r="C406" t="inlineStr">
        <is>
          <t>CW</t>
        </is>
      </c>
      <c r="D406" t="inlineStr">
        <is>
          <t>09:17</t>
        </is>
      </c>
      <c r="E406" t="n">
        <v>2</v>
      </c>
      <c r="F406" t="n">
        <v>14.93</v>
      </c>
      <c r="G406" t="n">
        <v>4339.43</v>
      </c>
      <c r="H406" t="n">
        <v>-79.15000000000001</v>
      </c>
      <c r="I406" s="7">
        <f>F406*Summary!$B$5</f>
        <v/>
      </c>
      <c r="J406" s="7">
        <f>G406*Summary!$B$5</f>
        <v/>
      </c>
      <c r="K406" s="7">
        <f>H406*Summary!$B$5</f>
        <v/>
      </c>
    </row>
    <row r="407">
      <c r="A407" s="8" t="n">
        <v>44798</v>
      </c>
      <c r="B407" t="inlineStr">
        <is>
          <t>FY22-23</t>
        </is>
      </c>
      <c r="C407" t="inlineStr">
        <is>
          <t>CW</t>
        </is>
      </c>
      <c r="D407" t="inlineStr">
        <is>
          <t>09:18</t>
        </is>
      </c>
      <c r="E407" t="n">
        <v>1</v>
      </c>
      <c r="F407" t="n">
        <v>-5.97</v>
      </c>
      <c r="G407" t="n">
        <v>4333.45</v>
      </c>
      <c r="H407" t="n">
        <v>-85.12</v>
      </c>
      <c r="I407" s="7">
        <f>F407*Summary!$B$5</f>
        <v/>
      </c>
      <c r="J407" s="7">
        <f>G407*Summary!$B$5</f>
        <v/>
      </c>
      <c r="K407" s="7">
        <f>H407*Summary!$B$5</f>
        <v/>
      </c>
    </row>
    <row r="408">
      <c r="A408" s="8" t="n">
        <v>44799</v>
      </c>
      <c r="B408" t="inlineStr">
        <is>
          <t>FY22-23</t>
        </is>
      </c>
      <c r="C408" t="inlineStr"/>
      <c r="D408" t="inlineStr"/>
      <c r="E408" t="n">
        <v>0</v>
      </c>
      <c r="F408" t="n">
        <v>0</v>
      </c>
      <c r="G408" t="n">
        <v>4333.45</v>
      </c>
      <c r="H408" t="n">
        <v>-85.12</v>
      </c>
      <c r="I408" s="7">
        <f>F408*Summary!$B$5</f>
        <v/>
      </c>
      <c r="J408" s="7">
        <f>G408*Summary!$B$5</f>
        <v/>
      </c>
      <c r="K408" s="7">
        <f>H408*Summary!$B$5</f>
        <v/>
      </c>
    </row>
    <row r="409">
      <c r="A409" s="8" t="n">
        <v>44802</v>
      </c>
      <c r="B409" t="inlineStr">
        <is>
          <t>FY22-23</t>
        </is>
      </c>
      <c r="C409" t="inlineStr">
        <is>
          <t>CW</t>
        </is>
      </c>
      <c r="D409" t="inlineStr">
        <is>
          <t>09:17</t>
        </is>
      </c>
      <c r="E409" t="n">
        <v>4</v>
      </c>
      <c r="F409" t="n">
        <v>41.18</v>
      </c>
      <c r="G409" t="n">
        <v>4374.64</v>
      </c>
      <c r="H409" t="n">
        <v>-43.94</v>
      </c>
      <c r="I409" s="7">
        <f>F409*Summary!$B$5</f>
        <v/>
      </c>
      <c r="J409" s="7">
        <f>G409*Summary!$B$5</f>
        <v/>
      </c>
      <c r="K409" s="7">
        <f>H409*Summary!$B$5</f>
        <v/>
      </c>
    </row>
    <row r="410">
      <c r="A410" s="8" t="n">
        <v>44803</v>
      </c>
      <c r="B410" t="inlineStr">
        <is>
          <t>FY22-23</t>
        </is>
      </c>
      <c r="C410" t="inlineStr">
        <is>
          <t>n/a</t>
        </is>
      </c>
      <c r="D410" t="inlineStr"/>
      <c r="E410" t="n">
        <v>0</v>
      </c>
      <c r="F410" t="n">
        <v>-38.84</v>
      </c>
      <c r="G410" t="n">
        <v>4335.79</v>
      </c>
      <c r="H410" t="n">
        <v>-82.78</v>
      </c>
      <c r="I410" s="7">
        <f>F410*Summary!$B$5</f>
        <v/>
      </c>
      <c r="J410" s="7">
        <f>G410*Summary!$B$5</f>
        <v/>
      </c>
      <c r="K410" s="7">
        <f>H410*Summary!$B$5</f>
        <v/>
      </c>
    </row>
    <row r="411">
      <c r="A411" s="8" t="n">
        <v>44805</v>
      </c>
      <c r="B411" t="inlineStr">
        <is>
          <t>FY22-23</t>
        </is>
      </c>
      <c r="C411" t="inlineStr">
        <is>
          <t>CW</t>
        </is>
      </c>
      <c r="D411" t="inlineStr">
        <is>
          <t>09:16</t>
        </is>
      </c>
      <c r="E411" t="n">
        <v>1</v>
      </c>
      <c r="F411" t="n">
        <v>36.35</v>
      </c>
      <c r="G411" t="n">
        <v>4372.14</v>
      </c>
      <c r="H411" t="n">
        <v>-46.43</v>
      </c>
      <c r="I411" s="7">
        <f>F411*Summary!$B$5</f>
        <v/>
      </c>
      <c r="J411" s="7">
        <f>G411*Summary!$B$5</f>
        <v/>
      </c>
      <c r="K411" s="7">
        <f>H411*Summary!$B$5</f>
        <v/>
      </c>
    </row>
    <row r="412">
      <c r="A412" s="8" t="n">
        <v>44806</v>
      </c>
      <c r="B412" t="inlineStr">
        <is>
          <t>FY22-23</t>
        </is>
      </c>
      <c r="C412" t="inlineStr"/>
      <c r="D412" t="inlineStr"/>
      <c r="E412" t="n">
        <v>0</v>
      </c>
      <c r="F412" t="n">
        <v>0</v>
      </c>
      <c r="G412" t="n">
        <v>4372.14</v>
      </c>
      <c r="H412" t="n">
        <v>-46.43</v>
      </c>
      <c r="I412" s="7">
        <f>F412*Summary!$B$5</f>
        <v/>
      </c>
      <c r="J412" s="7">
        <f>G412*Summary!$B$5</f>
        <v/>
      </c>
      <c r="K412" s="7">
        <f>H412*Summary!$B$5</f>
        <v/>
      </c>
    </row>
    <row r="413">
      <c r="A413" s="8" t="n">
        <v>44809</v>
      </c>
      <c r="B413" t="inlineStr">
        <is>
          <t>FY22-23</t>
        </is>
      </c>
      <c r="C413" t="inlineStr">
        <is>
          <t>CW</t>
        </is>
      </c>
      <c r="D413" t="inlineStr">
        <is>
          <t>09:18</t>
        </is>
      </c>
      <c r="E413" t="n">
        <v>4</v>
      </c>
      <c r="F413" t="n">
        <v>17.33</v>
      </c>
      <c r="G413" t="n">
        <v>4389.48</v>
      </c>
      <c r="H413" t="n">
        <v>-29.1</v>
      </c>
      <c r="I413" s="7">
        <f>F413*Summary!$B$5</f>
        <v/>
      </c>
      <c r="J413" s="7">
        <f>G413*Summary!$B$5</f>
        <v/>
      </c>
      <c r="K413" s="7">
        <f>H413*Summary!$B$5</f>
        <v/>
      </c>
    </row>
    <row r="414">
      <c r="A414" s="8" t="n">
        <v>44810</v>
      </c>
      <c r="B414" t="inlineStr">
        <is>
          <t>FY22-23</t>
        </is>
      </c>
      <c r="C414" t="inlineStr">
        <is>
          <t>CW</t>
        </is>
      </c>
      <c r="D414" t="inlineStr">
        <is>
          <t>09:17</t>
        </is>
      </c>
      <c r="E414" t="n">
        <v>3</v>
      </c>
      <c r="F414" t="n">
        <v>-39.52</v>
      </c>
      <c r="G414" t="n">
        <v>4349.95</v>
      </c>
      <c r="H414" t="n">
        <v>-68.62</v>
      </c>
      <c r="I414" s="7">
        <f>F414*Summary!$B$5</f>
        <v/>
      </c>
      <c r="J414" s="7">
        <f>G414*Summary!$B$5</f>
        <v/>
      </c>
      <c r="K414" s="7">
        <f>H414*Summary!$B$5</f>
        <v/>
      </c>
    </row>
    <row r="415">
      <c r="A415" s="8" t="n">
        <v>44811</v>
      </c>
      <c r="B415" t="inlineStr">
        <is>
          <t>FY22-23</t>
        </is>
      </c>
      <c r="C415" t="inlineStr">
        <is>
          <t>CW</t>
        </is>
      </c>
      <c r="D415" t="inlineStr">
        <is>
          <t>09:17</t>
        </is>
      </c>
      <c r="E415" t="n">
        <v>2</v>
      </c>
      <c r="F415" t="n">
        <v>-0.95</v>
      </c>
      <c r="G415" t="n">
        <v>4349</v>
      </c>
      <c r="H415" t="n">
        <v>-69.56999999999999</v>
      </c>
      <c r="I415" s="7">
        <f>F415*Summary!$B$5</f>
        <v/>
      </c>
      <c r="J415" s="7">
        <f>G415*Summary!$B$5</f>
        <v/>
      </c>
      <c r="K415" s="7">
        <f>H415*Summary!$B$5</f>
        <v/>
      </c>
    </row>
    <row r="416">
      <c r="A416" s="8" t="n">
        <v>44812</v>
      </c>
      <c r="B416" t="inlineStr">
        <is>
          <t>FY22-23</t>
        </is>
      </c>
      <c r="C416" t="inlineStr">
        <is>
          <t>CW</t>
        </is>
      </c>
      <c r="D416" t="inlineStr">
        <is>
          <t>09:18</t>
        </is>
      </c>
      <c r="E416" t="n">
        <v>1</v>
      </c>
      <c r="F416" t="n">
        <v>33.7</v>
      </c>
      <c r="G416" t="n">
        <v>4382.7</v>
      </c>
      <c r="H416" t="n">
        <v>-35.87</v>
      </c>
      <c r="I416" s="7">
        <f>F416*Summary!$B$5</f>
        <v/>
      </c>
      <c r="J416" s="7">
        <f>G416*Summary!$B$5</f>
        <v/>
      </c>
      <c r="K416" s="7">
        <f>H416*Summary!$B$5</f>
        <v/>
      </c>
    </row>
    <row r="417">
      <c r="A417" s="8" t="n">
        <v>44813</v>
      </c>
      <c r="B417" t="inlineStr">
        <is>
          <t>FY22-23</t>
        </is>
      </c>
      <c r="C417" t="inlineStr"/>
      <c r="D417" t="inlineStr"/>
      <c r="E417" t="n">
        <v>0</v>
      </c>
      <c r="F417" t="n">
        <v>0</v>
      </c>
      <c r="G417" t="n">
        <v>4382.7</v>
      </c>
      <c r="H417" t="n">
        <v>-35.87</v>
      </c>
      <c r="I417" s="7">
        <f>F417*Summary!$B$5</f>
        <v/>
      </c>
      <c r="J417" s="7">
        <f>G417*Summary!$B$5</f>
        <v/>
      </c>
      <c r="K417" s="7">
        <f>H417*Summary!$B$5</f>
        <v/>
      </c>
    </row>
    <row r="418">
      <c r="A418" s="8" t="n">
        <v>44816</v>
      </c>
      <c r="B418" t="inlineStr">
        <is>
          <t>FY22-23</t>
        </is>
      </c>
      <c r="C418" t="inlineStr">
        <is>
          <t>CW</t>
        </is>
      </c>
      <c r="D418" t="inlineStr">
        <is>
          <t>09:18</t>
        </is>
      </c>
      <c r="E418" t="n">
        <v>4</v>
      </c>
      <c r="F418" t="n">
        <v>-0.01</v>
      </c>
      <c r="G418" t="n">
        <v>4382.69</v>
      </c>
      <c r="H418" t="n">
        <v>-35.89</v>
      </c>
      <c r="I418" s="7">
        <f>F418*Summary!$B$5</f>
        <v/>
      </c>
      <c r="J418" s="7">
        <f>G418*Summary!$B$5</f>
        <v/>
      </c>
      <c r="K418" s="7">
        <f>H418*Summary!$B$5</f>
        <v/>
      </c>
    </row>
    <row r="419">
      <c r="A419" s="8" t="n">
        <v>44817</v>
      </c>
      <c r="B419" t="inlineStr">
        <is>
          <t>FY22-23</t>
        </is>
      </c>
      <c r="C419" t="inlineStr">
        <is>
          <t>CW</t>
        </is>
      </c>
      <c r="D419" t="inlineStr">
        <is>
          <t>09:18</t>
        </is>
      </c>
      <c r="E419" t="n">
        <v>3</v>
      </c>
      <c r="F419" t="n">
        <v>-1.23</v>
      </c>
      <c r="G419" t="n">
        <v>4381.46</v>
      </c>
      <c r="H419" t="n">
        <v>-37.12</v>
      </c>
      <c r="I419" s="7">
        <f>F419*Summary!$B$5</f>
        <v/>
      </c>
      <c r="J419" s="7">
        <f>G419*Summary!$B$5</f>
        <v/>
      </c>
      <c r="K419" s="7">
        <f>H419*Summary!$B$5</f>
        <v/>
      </c>
    </row>
    <row r="420">
      <c r="A420" s="8" t="n">
        <v>44818</v>
      </c>
      <c r="B420" t="inlineStr">
        <is>
          <t>FY22-23</t>
        </is>
      </c>
      <c r="C420" t="inlineStr">
        <is>
          <t>CW</t>
        </is>
      </c>
      <c r="D420" t="inlineStr">
        <is>
          <t>09:18</t>
        </is>
      </c>
      <c r="E420" t="n">
        <v>2</v>
      </c>
      <c r="F420" t="n">
        <v>-18.11</v>
      </c>
      <c r="G420" t="n">
        <v>4363.35</v>
      </c>
      <c r="H420" t="n">
        <v>-55.23</v>
      </c>
      <c r="I420" s="7">
        <f>F420*Summary!$B$5</f>
        <v/>
      </c>
      <c r="J420" s="7">
        <f>G420*Summary!$B$5</f>
        <v/>
      </c>
      <c r="K420" s="7">
        <f>H420*Summary!$B$5</f>
        <v/>
      </c>
    </row>
    <row r="421">
      <c r="A421" s="8" t="n">
        <v>44819</v>
      </c>
      <c r="B421" t="inlineStr">
        <is>
          <t>FY22-23</t>
        </is>
      </c>
      <c r="C421" t="inlineStr"/>
      <c r="D421" t="inlineStr"/>
      <c r="E421" t="n">
        <v>0</v>
      </c>
      <c r="F421" t="n">
        <v>0</v>
      </c>
      <c r="G421" t="n">
        <v>4363.35</v>
      </c>
      <c r="H421" t="n">
        <v>-55.23</v>
      </c>
      <c r="I421" s="7">
        <f>F421*Summary!$B$5</f>
        <v/>
      </c>
      <c r="J421" s="7">
        <f>G421*Summary!$B$5</f>
        <v/>
      </c>
      <c r="K421" s="7">
        <f>H421*Summary!$B$5</f>
        <v/>
      </c>
    </row>
    <row r="422">
      <c r="A422" s="8" t="n">
        <v>44820</v>
      </c>
      <c r="B422" t="inlineStr">
        <is>
          <t>FY22-23</t>
        </is>
      </c>
      <c r="C422" t="inlineStr">
        <is>
          <t>CW</t>
        </is>
      </c>
      <c r="D422" t="inlineStr">
        <is>
          <t>09:17</t>
        </is>
      </c>
      <c r="E422" t="n">
        <v>6</v>
      </c>
      <c r="F422" t="n">
        <v>-37.92</v>
      </c>
      <c r="G422" t="n">
        <v>4325.43</v>
      </c>
      <c r="H422" t="n">
        <v>-93.15000000000001</v>
      </c>
      <c r="I422" s="7">
        <f>F422*Summary!$B$5</f>
        <v/>
      </c>
      <c r="J422" s="7">
        <f>G422*Summary!$B$5</f>
        <v/>
      </c>
      <c r="K422" s="7">
        <f>H422*Summary!$B$5</f>
        <v/>
      </c>
    </row>
    <row r="423">
      <c r="A423" s="8" t="n">
        <v>44823</v>
      </c>
      <c r="B423" t="inlineStr">
        <is>
          <t>FY22-23</t>
        </is>
      </c>
      <c r="C423" t="inlineStr">
        <is>
          <t>CW</t>
        </is>
      </c>
      <c r="D423" t="inlineStr">
        <is>
          <t>09:19</t>
        </is>
      </c>
      <c r="E423" t="n">
        <v>4</v>
      </c>
      <c r="F423" t="n">
        <v>8.02</v>
      </c>
      <c r="G423" t="n">
        <v>4333.44</v>
      </c>
      <c r="H423" t="n">
        <v>-85.13</v>
      </c>
      <c r="I423" s="7">
        <f>F423*Summary!$B$5</f>
        <v/>
      </c>
      <c r="J423" s="7">
        <f>G423*Summary!$B$5</f>
        <v/>
      </c>
      <c r="K423" s="7">
        <f>H423*Summary!$B$5</f>
        <v/>
      </c>
    </row>
    <row r="424">
      <c r="A424" s="8" t="n">
        <v>44824</v>
      </c>
      <c r="B424" t="inlineStr">
        <is>
          <t>FY22-23</t>
        </is>
      </c>
      <c r="C424" t="inlineStr">
        <is>
          <t>CW</t>
        </is>
      </c>
      <c r="D424" t="inlineStr">
        <is>
          <t>09:19</t>
        </is>
      </c>
      <c r="E424" t="n">
        <v>3</v>
      </c>
      <c r="F424" t="n">
        <v>-8.02</v>
      </c>
      <c r="G424" t="n">
        <v>4325.43</v>
      </c>
      <c r="H424" t="n">
        <v>-93.15000000000001</v>
      </c>
      <c r="I424" s="7">
        <f>F424*Summary!$B$5</f>
        <v/>
      </c>
      <c r="J424" s="7">
        <f>G424*Summary!$B$5</f>
        <v/>
      </c>
      <c r="K424" s="7">
        <f>H424*Summary!$B$5</f>
        <v/>
      </c>
    </row>
    <row r="425">
      <c r="A425" s="8" t="n">
        <v>44825</v>
      </c>
      <c r="B425" t="inlineStr">
        <is>
          <t>FY22-23</t>
        </is>
      </c>
      <c r="C425" t="inlineStr">
        <is>
          <t>CW</t>
        </is>
      </c>
      <c r="D425" t="inlineStr">
        <is>
          <t>09:16</t>
        </is>
      </c>
      <c r="E425" t="n">
        <v>2</v>
      </c>
      <c r="F425" t="n">
        <v>-38.17</v>
      </c>
      <c r="G425" t="n">
        <v>4287.26</v>
      </c>
      <c r="H425" t="n">
        <v>-131.31</v>
      </c>
      <c r="I425" s="7">
        <f>F425*Summary!$B$5</f>
        <v/>
      </c>
      <c r="J425" s="7">
        <f>G425*Summary!$B$5</f>
        <v/>
      </c>
      <c r="K425" s="7">
        <f>H425*Summary!$B$5</f>
        <v/>
      </c>
    </row>
    <row r="426">
      <c r="A426" s="8" t="n">
        <v>44826</v>
      </c>
      <c r="B426" t="inlineStr">
        <is>
          <t>FY22-23</t>
        </is>
      </c>
      <c r="C426" t="inlineStr">
        <is>
          <t>CW</t>
        </is>
      </c>
      <c r="D426" t="inlineStr">
        <is>
          <t>09:16</t>
        </is>
      </c>
      <c r="E426" t="n">
        <v>1</v>
      </c>
      <c r="F426" t="n">
        <v>79.5</v>
      </c>
      <c r="G426" t="n">
        <v>4366.76</v>
      </c>
      <c r="H426" t="n">
        <v>-51.82</v>
      </c>
      <c r="I426" s="7">
        <f>F426*Summary!$B$5</f>
        <v/>
      </c>
      <c r="J426" s="7">
        <f>G426*Summary!$B$5</f>
        <v/>
      </c>
      <c r="K426" s="7">
        <f>H426*Summary!$B$5</f>
        <v/>
      </c>
    </row>
    <row r="427">
      <c r="A427" s="8" t="n">
        <v>44827</v>
      </c>
      <c r="B427" t="inlineStr">
        <is>
          <t>FY22-23</t>
        </is>
      </c>
      <c r="C427" t="inlineStr"/>
      <c r="D427" t="inlineStr"/>
      <c r="E427" t="n">
        <v>0</v>
      </c>
      <c r="F427" t="n">
        <v>0</v>
      </c>
      <c r="G427" t="n">
        <v>4366.76</v>
      </c>
      <c r="H427" t="n">
        <v>-51.82</v>
      </c>
      <c r="I427" s="7">
        <f>F427*Summary!$B$5</f>
        <v/>
      </c>
      <c r="J427" s="7">
        <f>G427*Summary!$B$5</f>
        <v/>
      </c>
      <c r="K427" s="7">
        <f>H427*Summary!$B$5</f>
        <v/>
      </c>
    </row>
    <row r="428">
      <c r="A428" s="8" t="n">
        <v>44830</v>
      </c>
      <c r="B428" t="inlineStr">
        <is>
          <t>FY22-23</t>
        </is>
      </c>
      <c r="C428" t="inlineStr">
        <is>
          <t>CW</t>
        </is>
      </c>
      <c r="D428" t="inlineStr">
        <is>
          <t>09:18</t>
        </is>
      </c>
      <c r="E428" t="n">
        <v>4</v>
      </c>
      <c r="F428" t="n">
        <v>37.37</v>
      </c>
      <c r="G428" t="n">
        <v>4404.13</v>
      </c>
      <c r="H428" t="n">
        <v>-14.44</v>
      </c>
      <c r="I428" s="7">
        <f>F428*Summary!$B$5</f>
        <v/>
      </c>
      <c r="J428" s="7">
        <f>G428*Summary!$B$5</f>
        <v/>
      </c>
      <c r="K428" s="7">
        <f>H428*Summary!$B$5</f>
        <v/>
      </c>
    </row>
    <row r="429">
      <c r="A429" s="8" t="n">
        <v>44831</v>
      </c>
      <c r="B429" t="inlineStr">
        <is>
          <t>FY22-23</t>
        </is>
      </c>
      <c r="C429" t="inlineStr">
        <is>
          <t>n/a</t>
        </is>
      </c>
      <c r="D429" t="inlineStr"/>
      <c r="E429" t="n">
        <v>3</v>
      </c>
      <c r="F429" t="n">
        <v>-38.94</v>
      </c>
      <c r="G429" t="n">
        <v>4365.2</v>
      </c>
      <c r="H429" t="n">
        <v>-53.38</v>
      </c>
      <c r="I429" s="7">
        <f>F429*Summary!$B$5</f>
        <v/>
      </c>
      <c r="J429" s="7">
        <f>G429*Summary!$B$5</f>
        <v/>
      </c>
      <c r="K429" s="7">
        <f>H429*Summary!$B$5</f>
        <v/>
      </c>
    </row>
    <row r="430">
      <c r="A430" s="8" t="n">
        <v>44832</v>
      </c>
      <c r="B430" t="inlineStr">
        <is>
          <t>FY22-23</t>
        </is>
      </c>
      <c r="C430" t="inlineStr">
        <is>
          <t>CW</t>
        </is>
      </c>
      <c r="D430" t="inlineStr">
        <is>
          <t>09:16</t>
        </is>
      </c>
      <c r="E430" t="n">
        <v>2</v>
      </c>
      <c r="F430" t="n">
        <v>39.4</v>
      </c>
      <c r="G430" t="n">
        <v>4404.6</v>
      </c>
      <c r="H430" t="n">
        <v>-13.98</v>
      </c>
      <c r="I430" s="7">
        <f>F430*Summary!$B$5</f>
        <v/>
      </c>
      <c r="J430" s="7">
        <f>G430*Summary!$B$5</f>
        <v/>
      </c>
      <c r="K430" s="7">
        <f>H430*Summary!$B$5</f>
        <v/>
      </c>
    </row>
    <row r="431">
      <c r="A431" s="8" t="n">
        <v>44833</v>
      </c>
      <c r="B431" t="inlineStr">
        <is>
          <t>FY22-23</t>
        </is>
      </c>
      <c r="C431" t="inlineStr">
        <is>
          <t>CW</t>
        </is>
      </c>
      <c r="D431" t="inlineStr">
        <is>
          <t>09:18</t>
        </is>
      </c>
      <c r="E431" t="n">
        <v>1</v>
      </c>
      <c r="F431" t="n">
        <v>1.51</v>
      </c>
      <c r="G431" t="n">
        <v>4406.11</v>
      </c>
      <c r="H431" t="n">
        <v>-12.46</v>
      </c>
      <c r="I431" s="7">
        <f>F431*Summary!$B$5</f>
        <v/>
      </c>
      <c r="J431" s="7">
        <f>G431*Summary!$B$5</f>
        <v/>
      </c>
      <c r="K431" s="7">
        <f>H431*Summary!$B$5</f>
        <v/>
      </c>
    </row>
    <row r="432">
      <c r="A432" s="8" t="n">
        <v>44834</v>
      </c>
      <c r="B432" t="inlineStr">
        <is>
          <t>FY22-23</t>
        </is>
      </c>
      <c r="C432" t="inlineStr">
        <is>
          <t>CW</t>
        </is>
      </c>
      <c r="D432" t="inlineStr">
        <is>
          <t>09:16</t>
        </is>
      </c>
      <c r="E432" t="n">
        <v>6</v>
      </c>
      <c r="F432" t="n">
        <v>42.93</v>
      </c>
      <c r="G432" t="n">
        <v>4449.04</v>
      </c>
      <c r="H432" t="n">
        <v>0</v>
      </c>
      <c r="I432" s="7">
        <f>F432*Summary!$B$5</f>
        <v/>
      </c>
      <c r="J432" s="7">
        <f>G432*Summary!$B$5</f>
        <v/>
      </c>
      <c r="K432" s="7">
        <f>H432*Summary!$B$5</f>
        <v/>
      </c>
    </row>
    <row r="433">
      <c r="A433" s="8" t="n">
        <v>44837</v>
      </c>
      <c r="B433" t="inlineStr">
        <is>
          <t>FY22-23</t>
        </is>
      </c>
      <c r="C433" t="inlineStr">
        <is>
          <t>CW</t>
        </is>
      </c>
      <c r="D433" t="inlineStr">
        <is>
          <t>09:17</t>
        </is>
      </c>
      <c r="E433" t="n">
        <v>4</v>
      </c>
      <c r="F433" t="n">
        <v>19.17</v>
      </c>
      <c r="G433" t="n">
        <v>4468.21</v>
      </c>
      <c r="H433" t="n">
        <v>0</v>
      </c>
      <c r="I433" s="7">
        <f>F433*Summary!$B$5</f>
        <v/>
      </c>
      <c r="J433" s="7">
        <f>G433*Summary!$B$5</f>
        <v/>
      </c>
      <c r="K433" s="7">
        <f>H433*Summary!$B$5</f>
        <v/>
      </c>
    </row>
    <row r="434">
      <c r="A434" s="8" t="n">
        <v>44838</v>
      </c>
      <c r="B434" t="inlineStr">
        <is>
          <t>FY22-23</t>
        </is>
      </c>
      <c r="C434" t="inlineStr"/>
      <c r="D434" t="inlineStr"/>
      <c r="E434" t="n">
        <v>0</v>
      </c>
      <c r="F434" t="n">
        <v>0</v>
      </c>
      <c r="G434" t="n">
        <v>4468.21</v>
      </c>
      <c r="H434" t="n">
        <v>0</v>
      </c>
      <c r="I434" s="7">
        <f>F434*Summary!$B$5</f>
        <v/>
      </c>
      <c r="J434" s="7">
        <f>G434*Summary!$B$5</f>
        <v/>
      </c>
      <c r="K434" s="7">
        <f>H434*Summary!$B$5</f>
        <v/>
      </c>
    </row>
    <row r="435">
      <c r="A435" s="8" t="n">
        <v>44840</v>
      </c>
      <c r="B435" t="inlineStr">
        <is>
          <t>FY22-23</t>
        </is>
      </c>
      <c r="C435" t="inlineStr">
        <is>
          <t>CW</t>
        </is>
      </c>
      <c r="D435" t="inlineStr">
        <is>
          <t>09:18</t>
        </is>
      </c>
      <c r="E435" t="n">
        <v>1</v>
      </c>
      <c r="F435" t="n">
        <v>44.94</v>
      </c>
      <c r="G435" t="n">
        <v>4513.15</v>
      </c>
      <c r="H435" t="n">
        <v>0</v>
      </c>
      <c r="I435" s="7">
        <f>F435*Summary!$B$5</f>
        <v/>
      </c>
      <c r="J435" s="7">
        <f>G435*Summary!$B$5</f>
        <v/>
      </c>
      <c r="K435" s="7">
        <f>H435*Summary!$B$5</f>
        <v/>
      </c>
    </row>
    <row r="436">
      <c r="A436" s="8" t="n">
        <v>44841</v>
      </c>
      <c r="B436" t="inlineStr">
        <is>
          <t>FY22-23</t>
        </is>
      </c>
      <c r="C436" t="inlineStr">
        <is>
          <t>n/a</t>
        </is>
      </c>
      <c r="D436" t="inlineStr"/>
      <c r="E436" t="n">
        <v>0</v>
      </c>
      <c r="F436" t="n">
        <v>13.09</v>
      </c>
      <c r="G436" t="n">
        <v>4526.24</v>
      </c>
      <c r="H436" t="n">
        <v>0</v>
      </c>
      <c r="I436" s="7">
        <f>F436*Summary!$B$5</f>
        <v/>
      </c>
      <c r="J436" s="7">
        <f>G436*Summary!$B$5</f>
        <v/>
      </c>
      <c r="K436" s="7">
        <f>H436*Summary!$B$5</f>
        <v/>
      </c>
    </row>
    <row r="437">
      <c r="A437" s="8" t="n">
        <v>44844</v>
      </c>
      <c r="B437" t="inlineStr">
        <is>
          <t>FY22-23</t>
        </is>
      </c>
      <c r="C437" t="inlineStr">
        <is>
          <t>CW</t>
        </is>
      </c>
      <c r="D437" t="inlineStr">
        <is>
          <t>09:18</t>
        </is>
      </c>
      <c r="E437" t="n">
        <v>4</v>
      </c>
      <c r="F437" t="n">
        <v>-19.2</v>
      </c>
      <c r="G437" t="n">
        <v>4507.04</v>
      </c>
      <c r="H437" t="n">
        <v>-19.2</v>
      </c>
      <c r="I437" s="7">
        <f>F437*Summary!$B$5</f>
        <v/>
      </c>
      <c r="J437" s="7">
        <f>G437*Summary!$B$5</f>
        <v/>
      </c>
      <c r="K437" s="7">
        <f>H437*Summary!$B$5</f>
        <v/>
      </c>
    </row>
    <row r="438">
      <c r="A438" s="8" t="n">
        <v>44845</v>
      </c>
      <c r="B438" t="inlineStr">
        <is>
          <t>FY22-23</t>
        </is>
      </c>
      <c r="C438" t="inlineStr">
        <is>
          <t>n/a</t>
        </is>
      </c>
      <c r="D438" t="inlineStr"/>
      <c r="E438" t="n">
        <v>3</v>
      </c>
      <c r="F438" t="n">
        <v>-40.04</v>
      </c>
      <c r="G438" t="n">
        <v>4467</v>
      </c>
      <c r="H438" t="n">
        <v>-59.24</v>
      </c>
      <c r="I438" s="7">
        <f>F438*Summary!$B$5</f>
        <v/>
      </c>
      <c r="J438" s="7">
        <f>G438*Summary!$B$5</f>
        <v/>
      </c>
      <c r="K438" s="7">
        <f>H438*Summary!$B$5</f>
        <v/>
      </c>
    </row>
    <row r="439">
      <c r="A439" s="8" t="n">
        <v>44846</v>
      </c>
      <c r="B439" t="inlineStr">
        <is>
          <t>FY22-23</t>
        </is>
      </c>
      <c r="C439" t="inlineStr">
        <is>
          <t>CW</t>
        </is>
      </c>
      <c r="D439" t="inlineStr">
        <is>
          <t>09:17</t>
        </is>
      </c>
      <c r="E439" t="n">
        <v>2</v>
      </c>
      <c r="F439" t="n">
        <v>21.79</v>
      </c>
      <c r="G439" t="n">
        <v>4488.79</v>
      </c>
      <c r="H439" t="n">
        <v>-37.44</v>
      </c>
      <c r="I439" s="7">
        <f>F439*Summary!$B$5</f>
        <v/>
      </c>
      <c r="J439" s="7">
        <f>G439*Summary!$B$5</f>
        <v/>
      </c>
      <c r="K439" s="7">
        <f>H439*Summary!$B$5</f>
        <v/>
      </c>
    </row>
    <row r="440">
      <c r="A440" s="8" t="n">
        <v>44847</v>
      </c>
      <c r="B440" t="inlineStr">
        <is>
          <t>FY22-23</t>
        </is>
      </c>
      <c r="C440" t="inlineStr">
        <is>
          <t>CW</t>
        </is>
      </c>
      <c r="D440" t="inlineStr">
        <is>
          <t>09:17</t>
        </is>
      </c>
      <c r="E440" t="n">
        <v>1</v>
      </c>
      <c r="F440" t="n">
        <v>41.79</v>
      </c>
      <c r="G440" t="n">
        <v>4530.58</v>
      </c>
      <c r="H440" t="n">
        <v>0</v>
      </c>
      <c r="I440" s="7">
        <f>F440*Summary!$B$5</f>
        <v/>
      </c>
      <c r="J440" s="7">
        <f>G440*Summary!$B$5</f>
        <v/>
      </c>
      <c r="K440" s="7">
        <f>H440*Summary!$B$5</f>
        <v/>
      </c>
    </row>
    <row r="441">
      <c r="A441" s="8" t="n">
        <v>44848</v>
      </c>
      <c r="B441" t="inlineStr">
        <is>
          <t>FY22-23</t>
        </is>
      </c>
      <c r="C441" t="inlineStr"/>
      <c r="D441" t="inlineStr"/>
      <c r="E441" t="n">
        <v>0</v>
      </c>
      <c r="F441" t="n">
        <v>0</v>
      </c>
      <c r="G441" t="n">
        <v>4530.58</v>
      </c>
      <c r="H441" t="n">
        <v>0</v>
      </c>
      <c r="I441" s="7">
        <f>F441*Summary!$B$5</f>
        <v/>
      </c>
      <c r="J441" s="7">
        <f>G441*Summary!$B$5</f>
        <v/>
      </c>
      <c r="K441" s="7">
        <f>H441*Summary!$B$5</f>
        <v/>
      </c>
    </row>
    <row r="442">
      <c r="A442" s="8" t="n">
        <v>44851</v>
      </c>
      <c r="B442" t="inlineStr">
        <is>
          <t>FY22-23</t>
        </is>
      </c>
      <c r="C442" t="inlineStr"/>
      <c r="D442" t="inlineStr"/>
      <c r="E442" t="n">
        <v>0</v>
      </c>
      <c r="F442" t="n">
        <v>0</v>
      </c>
      <c r="G442" t="n">
        <v>4530.58</v>
      </c>
      <c r="H442" t="n">
        <v>0</v>
      </c>
      <c r="I442" s="7">
        <f>F442*Summary!$B$5</f>
        <v/>
      </c>
      <c r="J442" s="7">
        <f>G442*Summary!$B$5</f>
        <v/>
      </c>
      <c r="K442" s="7">
        <f>H442*Summary!$B$5</f>
        <v/>
      </c>
    </row>
    <row r="443">
      <c r="A443" s="8" t="n">
        <v>44852</v>
      </c>
      <c r="B443" t="inlineStr">
        <is>
          <t>FY22-23</t>
        </is>
      </c>
      <c r="C443" t="inlineStr">
        <is>
          <t>CW</t>
        </is>
      </c>
      <c r="D443" t="inlineStr">
        <is>
          <t>09:17</t>
        </is>
      </c>
      <c r="E443" t="n">
        <v>3</v>
      </c>
      <c r="F443" t="n">
        <v>23.62</v>
      </c>
      <c r="G443" t="n">
        <v>4554.2</v>
      </c>
      <c r="H443" t="n">
        <v>0</v>
      </c>
      <c r="I443" s="7">
        <f>F443*Summary!$B$5</f>
        <v/>
      </c>
      <c r="J443" s="7">
        <f>G443*Summary!$B$5</f>
        <v/>
      </c>
      <c r="K443" s="7">
        <f>H443*Summary!$B$5</f>
        <v/>
      </c>
    </row>
    <row r="444">
      <c r="A444" s="8" t="n">
        <v>44853</v>
      </c>
      <c r="B444" t="inlineStr">
        <is>
          <t>FY22-23</t>
        </is>
      </c>
      <c r="C444" t="inlineStr"/>
      <c r="D444" t="inlineStr"/>
      <c r="E444" t="n">
        <v>0</v>
      </c>
      <c r="F444" t="n">
        <v>0</v>
      </c>
      <c r="G444" t="n">
        <v>4554.2</v>
      </c>
      <c r="H444" t="n">
        <v>0</v>
      </c>
      <c r="I444" s="7">
        <f>F444*Summary!$B$5</f>
        <v/>
      </c>
      <c r="J444" s="7">
        <f>G444*Summary!$B$5</f>
        <v/>
      </c>
      <c r="K444" s="7">
        <f>H444*Summary!$B$5</f>
        <v/>
      </c>
    </row>
    <row r="445">
      <c r="A445" s="8" t="n">
        <v>44854</v>
      </c>
      <c r="B445" t="inlineStr">
        <is>
          <t>FY22-23</t>
        </is>
      </c>
      <c r="C445" t="inlineStr">
        <is>
          <t>CW</t>
        </is>
      </c>
      <c r="D445" t="inlineStr">
        <is>
          <t>09:16</t>
        </is>
      </c>
      <c r="E445" t="n">
        <v>1</v>
      </c>
      <c r="F445" t="n">
        <v>36.17</v>
      </c>
      <c r="G445" t="n">
        <v>4590.37</v>
      </c>
      <c r="H445" t="n">
        <v>0</v>
      </c>
      <c r="I445" s="7">
        <f>F445*Summary!$B$5</f>
        <v/>
      </c>
      <c r="J445" s="7">
        <f>G445*Summary!$B$5</f>
        <v/>
      </c>
      <c r="K445" s="7">
        <f>H445*Summary!$B$5</f>
        <v/>
      </c>
    </row>
    <row r="446">
      <c r="A446" s="8" t="n">
        <v>44855</v>
      </c>
      <c r="B446" t="inlineStr">
        <is>
          <t>FY22-23</t>
        </is>
      </c>
      <c r="C446" t="inlineStr"/>
      <c r="D446" t="inlineStr"/>
      <c r="E446" t="n">
        <v>0</v>
      </c>
      <c r="F446" t="n">
        <v>0</v>
      </c>
      <c r="G446" t="n">
        <v>4590.37</v>
      </c>
      <c r="H446" t="n">
        <v>0</v>
      </c>
      <c r="I446" s="7">
        <f>F446*Summary!$B$5</f>
        <v/>
      </c>
      <c r="J446" s="7">
        <f>G446*Summary!$B$5</f>
        <v/>
      </c>
      <c r="K446" s="7">
        <f>H446*Summary!$B$5</f>
        <v/>
      </c>
    </row>
    <row r="447">
      <c r="A447" s="8" t="n">
        <v>44859</v>
      </c>
      <c r="B447" t="inlineStr">
        <is>
          <t>FY22-23</t>
        </is>
      </c>
      <c r="C447" t="inlineStr">
        <is>
          <t>n/a</t>
        </is>
      </c>
      <c r="D447" t="inlineStr"/>
      <c r="E447" t="n">
        <v>0</v>
      </c>
      <c r="F447" t="n">
        <v>57.32</v>
      </c>
      <c r="G447" t="n">
        <v>4647.69</v>
      </c>
      <c r="H447" t="n">
        <v>0</v>
      </c>
      <c r="I447" s="7">
        <f>F447*Summary!$B$5</f>
        <v/>
      </c>
      <c r="J447" s="7">
        <f>G447*Summary!$B$5</f>
        <v/>
      </c>
      <c r="K447" s="7">
        <f>H447*Summary!$B$5</f>
        <v/>
      </c>
    </row>
    <row r="448">
      <c r="A448" s="8" t="n">
        <v>44861</v>
      </c>
      <c r="B448" t="inlineStr">
        <is>
          <t>FY22-23</t>
        </is>
      </c>
      <c r="C448" t="inlineStr">
        <is>
          <t>CW</t>
        </is>
      </c>
      <c r="D448" t="inlineStr">
        <is>
          <t>09:16</t>
        </is>
      </c>
      <c r="E448" t="n">
        <v>1</v>
      </c>
      <c r="F448" t="n">
        <v>52.81</v>
      </c>
      <c r="G448" t="n">
        <v>4700.5</v>
      </c>
      <c r="H448" t="n">
        <v>0</v>
      </c>
      <c r="I448" s="7">
        <f>F448*Summary!$B$5</f>
        <v/>
      </c>
      <c r="J448" s="7">
        <f>G448*Summary!$B$5</f>
        <v/>
      </c>
      <c r="K448" s="7">
        <f>H448*Summary!$B$5</f>
        <v/>
      </c>
    </row>
    <row r="449">
      <c r="A449" s="8" t="n">
        <v>44862</v>
      </c>
      <c r="B449" t="inlineStr">
        <is>
          <t>FY22-23</t>
        </is>
      </c>
      <c r="C449" t="inlineStr">
        <is>
          <t>n/a</t>
        </is>
      </c>
      <c r="D449" t="inlineStr"/>
      <c r="E449" t="n">
        <v>0</v>
      </c>
      <c r="F449" t="n">
        <v>23.76</v>
      </c>
      <c r="G449" t="n">
        <v>4724.26</v>
      </c>
      <c r="H449" t="n">
        <v>0</v>
      </c>
      <c r="I449" s="7">
        <f>F449*Summary!$B$5</f>
        <v/>
      </c>
      <c r="J449" s="7">
        <f>G449*Summary!$B$5</f>
        <v/>
      </c>
      <c r="K449" s="7">
        <f>H449*Summary!$B$5</f>
        <v/>
      </c>
    </row>
    <row r="450">
      <c r="A450" s="8" t="n">
        <v>44865</v>
      </c>
      <c r="B450" t="inlineStr">
        <is>
          <t>FY22-23</t>
        </is>
      </c>
      <c r="C450" t="inlineStr"/>
      <c r="D450" t="inlineStr"/>
      <c r="E450" t="n">
        <v>0</v>
      </c>
      <c r="F450" t="n">
        <v>0</v>
      </c>
      <c r="G450" t="n">
        <v>4724.26</v>
      </c>
      <c r="H450" t="n">
        <v>0</v>
      </c>
      <c r="I450" s="7">
        <f>F450*Summary!$B$5</f>
        <v/>
      </c>
      <c r="J450" s="7">
        <f>G450*Summary!$B$5</f>
        <v/>
      </c>
      <c r="K450" s="7">
        <f>H450*Summary!$B$5</f>
        <v/>
      </c>
    </row>
    <row r="451">
      <c r="A451" s="8" t="n">
        <v>44866</v>
      </c>
      <c r="B451" t="inlineStr">
        <is>
          <t>FY22-23</t>
        </is>
      </c>
      <c r="C451" t="inlineStr">
        <is>
          <t>CW</t>
        </is>
      </c>
      <c r="D451" t="inlineStr">
        <is>
          <t>12:36</t>
        </is>
      </c>
      <c r="E451" t="n">
        <v>3</v>
      </c>
      <c r="F451" t="n">
        <v>-2.05</v>
      </c>
      <c r="G451" t="n">
        <v>4722.21</v>
      </c>
      <c r="H451" t="n">
        <v>-2.05</v>
      </c>
      <c r="I451" s="7">
        <f>F451*Summary!$B$5</f>
        <v/>
      </c>
      <c r="J451" s="7">
        <f>G451*Summary!$B$5</f>
        <v/>
      </c>
      <c r="K451" s="7">
        <f>H451*Summary!$B$5</f>
        <v/>
      </c>
    </row>
    <row r="452">
      <c r="A452" s="8" t="n">
        <v>44867</v>
      </c>
      <c r="B452" t="inlineStr">
        <is>
          <t>FY22-23</t>
        </is>
      </c>
      <c r="C452" t="inlineStr">
        <is>
          <t>CW</t>
        </is>
      </c>
      <c r="D452" t="inlineStr">
        <is>
          <t>09:17</t>
        </is>
      </c>
      <c r="E452" t="n">
        <v>2</v>
      </c>
      <c r="F452" t="n">
        <v>-7.85</v>
      </c>
      <c r="G452" t="n">
        <v>4714.36</v>
      </c>
      <c r="H452" t="n">
        <v>-9.9</v>
      </c>
      <c r="I452" s="7">
        <f>F452*Summary!$B$5</f>
        <v/>
      </c>
      <c r="J452" s="7">
        <f>G452*Summary!$B$5</f>
        <v/>
      </c>
      <c r="K452" s="7">
        <f>H452*Summary!$B$5</f>
        <v/>
      </c>
    </row>
    <row r="453">
      <c r="A453" s="8" t="n">
        <v>44868</v>
      </c>
      <c r="B453" t="inlineStr">
        <is>
          <t>FY22-23</t>
        </is>
      </c>
      <c r="C453" t="inlineStr">
        <is>
          <t>CW</t>
        </is>
      </c>
      <c r="D453" t="inlineStr">
        <is>
          <t>09:17</t>
        </is>
      </c>
      <c r="E453" t="n">
        <v>1</v>
      </c>
      <c r="F453" t="n">
        <v>41.76</v>
      </c>
      <c r="G453" t="n">
        <v>4756.13</v>
      </c>
      <c r="H453" t="n">
        <v>0</v>
      </c>
      <c r="I453" s="7">
        <f>F453*Summary!$B$5</f>
        <v/>
      </c>
      <c r="J453" s="7">
        <f>G453*Summary!$B$5</f>
        <v/>
      </c>
      <c r="K453" s="7">
        <f>H453*Summary!$B$5</f>
        <v/>
      </c>
    </row>
    <row r="454">
      <c r="A454" s="8" t="n">
        <v>44869</v>
      </c>
      <c r="B454" t="inlineStr">
        <is>
          <t>FY22-23</t>
        </is>
      </c>
      <c r="C454" t="inlineStr">
        <is>
          <t>n/a</t>
        </is>
      </c>
      <c r="D454" t="inlineStr"/>
      <c r="E454" t="n">
        <v>0</v>
      </c>
      <c r="F454" t="n">
        <v>0.95</v>
      </c>
      <c r="G454" t="n">
        <v>4757.08</v>
      </c>
      <c r="H454" t="n">
        <v>0</v>
      </c>
      <c r="I454" s="7">
        <f>F454*Summary!$B$5</f>
        <v/>
      </c>
      <c r="J454" s="7">
        <f>G454*Summary!$B$5</f>
        <v/>
      </c>
      <c r="K454" s="7">
        <f>H454*Summary!$B$5</f>
        <v/>
      </c>
    </row>
    <row r="455">
      <c r="A455" s="8" t="n">
        <v>44872</v>
      </c>
      <c r="B455" t="inlineStr">
        <is>
          <t>FY22-23</t>
        </is>
      </c>
      <c r="C455" t="inlineStr"/>
      <c r="D455" t="inlineStr"/>
      <c r="E455" t="n">
        <v>0</v>
      </c>
      <c r="F455" t="n">
        <v>0</v>
      </c>
      <c r="G455" t="n">
        <v>4757.08</v>
      </c>
      <c r="H455" t="n">
        <v>0</v>
      </c>
      <c r="I455" s="7">
        <f>F455*Summary!$B$5</f>
        <v/>
      </c>
      <c r="J455" s="7">
        <f>G455*Summary!$B$5</f>
        <v/>
      </c>
      <c r="K455" s="7">
        <f>H455*Summary!$B$5</f>
        <v/>
      </c>
    </row>
    <row r="456">
      <c r="A456" s="8" t="n">
        <v>44874</v>
      </c>
      <c r="B456" t="inlineStr">
        <is>
          <t>FY22-23</t>
        </is>
      </c>
      <c r="C456" t="inlineStr">
        <is>
          <t>NW</t>
        </is>
      </c>
      <c r="D456" t="inlineStr"/>
      <c r="E456" t="n">
        <v>0</v>
      </c>
      <c r="F456" t="n">
        <v>-10.57</v>
      </c>
      <c r="G456" t="n">
        <v>4746.5</v>
      </c>
      <c r="H456" t="n">
        <v>-10.57</v>
      </c>
      <c r="I456" s="7">
        <f>F456*Summary!$B$5</f>
        <v/>
      </c>
      <c r="J456" s="7">
        <f>G456*Summary!$B$5</f>
        <v/>
      </c>
      <c r="K456" s="7">
        <f>H456*Summary!$B$5</f>
        <v/>
      </c>
    </row>
    <row r="457">
      <c r="A457" s="8" t="n">
        <v>44875</v>
      </c>
      <c r="B457" t="inlineStr">
        <is>
          <t>FY22-23</t>
        </is>
      </c>
      <c r="C457" t="inlineStr">
        <is>
          <t>NW</t>
        </is>
      </c>
      <c r="D457" t="inlineStr"/>
      <c r="E457" t="n">
        <v>1</v>
      </c>
      <c r="F457" t="n">
        <v>25.19</v>
      </c>
      <c r="G457" t="n">
        <v>4771.69</v>
      </c>
      <c r="H457" t="n">
        <v>0</v>
      </c>
      <c r="I457" s="7">
        <f>F457*Summary!$B$5</f>
        <v/>
      </c>
      <c r="J457" s="7">
        <f>G457*Summary!$B$5</f>
        <v/>
      </c>
      <c r="K457" s="7">
        <f>H457*Summary!$B$5</f>
        <v/>
      </c>
    </row>
    <row r="458">
      <c r="A458" s="8" t="n">
        <v>44876</v>
      </c>
      <c r="B458" t="inlineStr">
        <is>
          <t>FY22-23</t>
        </is>
      </c>
      <c r="C458" t="inlineStr"/>
      <c r="D458" t="inlineStr"/>
      <c r="E458" t="n">
        <v>0</v>
      </c>
      <c r="F458" t="n">
        <v>0</v>
      </c>
      <c r="G458" t="n">
        <v>4771.69</v>
      </c>
      <c r="H458" t="n">
        <v>0</v>
      </c>
      <c r="I458" s="7">
        <f>F458*Summary!$B$5</f>
        <v/>
      </c>
      <c r="J458" s="7">
        <f>G458*Summary!$B$5</f>
        <v/>
      </c>
      <c r="K458" s="7">
        <f>H458*Summary!$B$5</f>
        <v/>
      </c>
    </row>
    <row r="459">
      <c r="A459" s="8" t="n">
        <v>44879</v>
      </c>
      <c r="B459" t="inlineStr">
        <is>
          <t>FY22-23</t>
        </is>
      </c>
      <c r="C459" t="inlineStr"/>
      <c r="D459" t="inlineStr"/>
      <c r="E459" t="n">
        <v>0</v>
      </c>
      <c r="F459" t="n">
        <v>0</v>
      </c>
      <c r="G459" t="n">
        <v>4771.69</v>
      </c>
      <c r="H459" t="n">
        <v>0</v>
      </c>
      <c r="I459" s="7">
        <f>F459*Summary!$B$5</f>
        <v/>
      </c>
      <c r="J459" s="7">
        <f>G459*Summary!$B$5</f>
        <v/>
      </c>
      <c r="K459" s="7">
        <f>H459*Summary!$B$5</f>
        <v/>
      </c>
    </row>
    <row r="460">
      <c r="A460" s="8" t="n">
        <v>44880</v>
      </c>
      <c r="B460" t="inlineStr">
        <is>
          <t>FY22-23</t>
        </is>
      </c>
      <c r="C460" t="inlineStr">
        <is>
          <t>CW</t>
        </is>
      </c>
      <c r="D460" t="inlineStr">
        <is>
          <t>09:18</t>
        </is>
      </c>
      <c r="E460" t="n">
        <v>3</v>
      </c>
      <c r="F460" t="n">
        <v>-3.65</v>
      </c>
      <c r="G460" t="n">
        <v>4768.04</v>
      </c>
      <c r="H460" t="n">
        <v>-3.65</v>
      </c>
      <c r="I460" s="7">
        <f>F460*Summary!$B$5</f>
        <v/>
      </c>
      <c r="J460" s="7">
        <f>G460*Summary!$B$5</f>
        <v/>
      </c>
      <c r="K460" s="7">
        <f>H460*Summary!$B$5</f>
        <v/>
      </c>
    </row>
    <row r="461">
      <c r="A461" s="8" t="n">
        <v>44881</v>
      </c>
      <c r="B461" t="inlineStr">
        <is>
          <t>FY22-23</t>
        </is>
      </c>
      <c r="C461" t="inlineStr">
        <is>
          <t>CW</t>
        </is>
      </c>
      <c r="D461" t="inlineStr">
        <is>
          <t>09:18</t>
        </is>
      </c>
      <c r="E461" t="n">
        <v>2</v>
      </c>
      <c r="F461" t="n">
        <v>-2.25</v>
      </c>
      <c r="G461" t="n">
        <v>4765.79</v>
      </c>
      <c r="H461" t="n">
        <v>-5.9</v>
      </c>
      <c r="I461" s="7">
        <f>F461*Summary!$B$5</f>
        <v/>
      </c>
      <c r="J461" s="7">
        <f>G461*Summary!$B$5</f>
        <v/>
      </c>
      <c r="K461" s="7">
        <f>H461*Summary!$B$5</f>
        <v/>
      </c>
    </row>
    <row r="462">
      <c r="A462" s="8" t="n">
        <v>44882</v>
      </c>
      <c r="B462" t="inlineStr">
        <is>
          <t>FY22-23</t>
        </is>
      </c>
      <c r="C462" t="inlineStr"/>
      <c r="D462" t="inlineStr"/>
      <c r="E462" t="n">
        <v>0</v>
      </c>
      <c r="F462" t="n">
        <v>0</v>
      </c>
      <c r="G462" t="n">
        <v>4765.79</v>
      </c>
      <c r="H462" t="n">
        <v>-5.9</v>
      </c>
      <c r="I462" s="7">
        <f>F462*Summary!$B$5</f>
        <v/>
      </c>
      <c r="J462" s="7">
        <f>G462*Summary!$B$5</f>
        <v/>
      </c>
      <c r="K462" s="7">
        <f>H462*Summary!$B$5</f>
        <v/>
      </c>
    </row>
    <row r="463">
      <c r="A463" s="8" t="n">
        <v>44883</v>
      </c>
      <c r="B463" t="inlineStr">
        <is>
          <t>FY22-23</t>
        </is>
      </c>
      <c r="C463" t="inlineStr"/>
      <c r="D463" t="inlineStr"/>
      <c r="E463" t="n">
        <v>0</v>
      </c>
      <c r="F463" t="n">
        <v>0</v>
      </c>
      <c r="G463" t="n">
        <v>4765.79</v>
      </c>
      <c r="H463" t="n">
        <v>-5.9</v>
      </c>
      <c r="I463" s="7">
        <f>F463*Summary!$B$5</f>
        <v/>
      </c>
      <c r="J463" s="7">
        <f>G463*Summary!$B$5</f>
        <v/>
      </c>
      <c r="K463" s="7">
        <f>H463*Summary!$B$5</f>
        <v/>
      </c>
    </row>
    <row r="464">
      <c r="A464" s="8" t="n">
        <v>44886</v>
      </c>
      <c r="B464" t="inlineStr">
        <is>
          <t>FY22-23</t>
        </is>
      </c>
      <c r="C464" t="inlineStr">
        <is>
          <t>n/a</t>
        </is>
      </c>
      <c r="D464" t="inlineStr"/>
      <c r="E464" t="n">
        <v>0</v>
      </c>
      <c r="F464" t="n">
        <v>13.63</v>
      </c>
      <c r="G464" t="n">
        <v>4779.42</v>
      </c>
      <c r="H464" t="n">
        <v>0</v>
      </c>
      <c r="I464" s="7">
        <f>F464*Summary!$B$5</f>
        <v/>
      </c>
      <c r="J464" s="7">
        <f>G464*Summary!$B$5</f>
        <v/>
      </c>
      <c r="K464" s="7">
        <f>H464*Summary!$B$5</f>
        <v/>
      </c>
    </row>
    <row r="465">
      <c r="A465" s="8" t="n">
        <v>44887</v>
      </c>
      <c r="B465" t="inlineStr">
        <is>
          <t>FY22-23</t>
        </is>
      </c>
      <c r="C465" t="inlineStr">
        <is>
          <t>CW</t>
        </is>
      </c>
      <c r="D465" t="inlineStr">
        <is>
          <t>09:18</t>
        </is>
      </c>
      <c r="E465" t="n">
        <v>3</v>
      </c>
      <c r="F465" t="n">
        <v>24.07</v>
      </c>
      <c r="G465" t="n">
        <v>4803.49</v>
      </c>
      <c r="H465" t="n">
        <v>0</v>
      </c>
      <c r="I465" s="7">
        <f>F465*Summary!$B$5</f>
        <v/>
      </c>
      <c r="J465" s="7">
        <f>G465*Summary!$B$5</f>
        <v/>
      </c>
      <c r="K465" s="7">
        <f>H465*Summary!$B$5</f>
        <v/>
      </c>
    </row>
    <row r="466">
      <c r="A466" s="8" t="n">
        <v>44888</v>
      </c>
      <c r="B466" t="inlineStr">
        <is>
          <t>FY22-23</t>
        </is>
      </c>
      <c r="C466" t="inlineStr">
        <is>
          <t>CW</t>
        </is>
      </c>
      <c r="D466" t="inlineStr">
        <is>
          <t>09:18</t>
        </is>
      </c>
      <c r="E466" t="n">
        <v>2</v>
      </c>
      <c r="F466" t="n">
        <v>11.39</v>
      </c>
      <c r="G466" t="n">
        <v>4814.88</v>
      </c>
      <c r="H466" t="n">
        <v>0</v>
      </c>
      <c r="I466" s="7">
        <f>F466*Summary!$B$5</f>
        <v/>
      </c>
      <c r="J466" s="7">
        <f>G466*Summary!$B$5</f>
        <v/>
      </c>
      <c r="K466" s="7">
        <f>H466*Summary!$B$5</f>
        <v/>
      </c>
    </row>
    <row r="467">
      <c r="A467" s="8" t="n">
        <v>44889</v>
      </c>
      <c r="B467" t="inlineStr">
        <is>
          <t>FY22-23</t>
        </is>
      </c>
      <c r="C467" t="inlineStr"/>
      <c r="D467" t="inlineStr"/>
      <c r="E467" t="n">
        <v>0</v>
      </c>
      <c r="F467" t="n">
        <v>0</v>
      </c>
      <c r="G467" t="n">
        <v>4814.88</v>
      </c>
      <c r="H467" t="n">
        <v>0</v>
      </c>
      <c r="I467" s="7">
        <f>F467*Summary!$B$5</f>
        <v/>
      </c>
      <c r="J467" s="7">
        <f>G467*Summary!$B$5</f>
        <v/>
      </c>
      <c r="K467" s="7">
        <f>H467*Summary!$B$5</f>
        <v/>
      </c>
    </row>
    <row r="468">
      <c r="A468" s="8" t="n">
        <v>44890</v>
      </c>
      <c r="B468" t="inlineStr">
        <is>
          <t>FY22-23</t>
        </is>
      </c>
      <c r="C468" t="inlineStr">
        <is>
          <t>CW</t>
        </is>
      </c>
      <c r="D468" t="inlineStr">
        <is>
          <t>09:17</t>
        </is>
      </c>
      <c r="E468" t="n">
        <v>6</v>
      </c>
      <c r="F468" t="n">
        <v>16.81</v>
      </c>
      <c r="G468" t="n">
        <v>4831.68</v>
      </c>
      <c r="H468" t="n">
        <v>0</v>
      </c>
      <c r="I468" s="7">
        <f>F468*Summary!$B$5</f>
        <v/>
      </c>
      <c r="J468" s="7">
        <f>G468*Summary!$B$5</f>
        <v/>
      </c>
      <c r="K468" s="7">
        <f>H468*Summary!$B$5</f>
        <v/>
      </c>
    </row>
    <row r="469">
      <c r="A469" s="8" t="n">
        <v>44893</v>
      </c>
      <c r="B469" t="inlineStr">
        <is>
          <t>FY22-23</t>
        </is>
      </c>
      <c r="C469" t="inlineStr">
        <is>
          <t>CW</t>
        </is>
      </c>
      <c r="D469" t="inlineStr">
        <is>
          <t>09:18</t>
        </is>
      </c>
      <c r="E469" t="n">
        <v>4</v>
      </c>
      <c r="F469" t="n">
        <v>2.83</v>
      </c>
      <c r="G469" t="n">
        <v>4834.51</v>
      </c>
      <c r="H469" t="n">
        <v>0</v>
      </c>
      <c r="I469" s="7">
        <f>F469*Summary!$B$5</f>
        <v/>
      </c>
      <c r="J469" s="7">
        <f>G469*Summary!$B$5</f>
        <v/>
      </c>
      <c r="K469" s="7">
        <f>H469*Summary!$B$5</f>
        <v/>
      </c>
    </row>
    <row r="470">
      <c r="A470" s="8" t="n">
        <v>44894</v>
      </c>
      <c r="B470" t="inlineStr">
        <is>
          <t>FY22-23</t>
        </is>
      </c>
      <c r="C470" t="inlineStr">
        <is>
          <t>CW</t>
        </is>
      </c>
      <c r="D470" t="inlineStr">
        <is>
          <t>09:18</t>
        </is>
      </c>
      <c r="E470" t="n">
        <v>3</v>
      </c>
      <c r="F470" t="n">
        <v>27.39</v>
      </c>
      <c r="G470" t="n">
        <v>4861.9</v>
      </c>
      <c r="H470" t="n">
        <v>0</v>
      </c>
      <c r="I470" s="7">
        <f>F470*Summary!$B$5</f>
        <v/>
      </c>
      <c r="J470" s="7">
        <f>G470*Summary!$B$5</f>
        <v/>
      </c>
      <c r="K470" s="7">
        <f>H470*Summary!$B$5</f>
        <v/>
      </c>
    </row>
    <row r="471">
      <c r="A471" s="8" t="n">
        <v>44895</v>
      </c>
      <c r="B471" t="inlineStr">
        <is>
          <t>FY22-23</t>
        </is>
      </c>
      <c r="C471" t="inlineStr">
        <is>
          <t>CW</t>
        </is>
      </c>
      <c r="D471" t="inlineStr">
        <is>
          <t>09:17</t>
        </is>
      </c>
      <c r="E471" t="n">
        <v>2</v>
      </c>
      <c r="F471" t="n">
        <v>-18.23</v>
      </c>
      <c r="G471" t="n">
        <v>4843.67</v>
      </c>
      <c r="H471" t="n">
        <v>-18.23</v>
      </c>
      <c r="I471" s="7">
        <f>F471*Summary!$B$5</f>
        <v/>
      </c>
      <c r="J471" s="7">
        <f>G471*Summary!$B$5</f>
        <v/>
      </c>
      <c r="K471" s="7">
        <f>H471*Summary!$B$5</f>
        <v/>
      </c>
    </row>
    <row r="472">
      <c r="A472" s="8" t="n">
        <v>44896</v>
      </c>
      <c r="B472" t="inlineStr">
        <is>
          <t>FY22-23</t>
        </is>
      </c>
      <c r="C472" t="inlineStr">
        <is>
          <t>CW</t>
        </is>
      </c>
      <c r="D472" t="inlineStr">
        <is>
          <t>09:18</t>
        </is>
      </c>
      <c r="E472" t="n">
        <v>1</v>
      </c>
      <c r="F472" t="n">
        <v>-15.71</v>
      </c>
      <c r="G472" t="n">
        <v>4827.96</v>
      </c>
      <c r="H472" t="n">
        <v>-33.95</v>
      </c>
      <c r="I472" s="7">
        <f>F472*Summary!$B$5</f>
        <v/>
      </c>
      <c r="J472" s="7">
        <f>G472*Summary!$B$5</f>
        <v/>
      </c>
      <c r="K472" s="7">
        <f>H472*Summary!$B$5</f>
        <v/>
      </c>
    </row>
    <row r="473">
      <c r="A473" s="8" t="n">
        <v>44897</v>
      </c>
      <c r="B473" t="inlineStr">
        <is>
          <t>FY22-23</t>
        </is>
      </c>
      <c r="C473" t="inlineStr">
        <is>
          <t>CW</t>
        </is>
      </c>
      <c r="D473" t="inlineStr">
        <is>
          <t>09:18</t>
        </is>
      </c>
      <c r="E473" t="n">
        <v>6</v>
      </c>
      <c r="F473" t="n">
        <v>17.13</v>
      </c>
      <c r="G473" t="n">
        <v>4845.08</v>
      </c>
      <c r="H473" t="n">
        <v>-16.82</v>
      </c>
      <c r="I473" s="7">
        <f>F473*Summary!$B$5</f>
        <v/>
      </c>
      <c r="J473" s="7">
        <f>G473*Summary!$B$5</f>
        <v/>
      </c>
      <c r="K473" s="7">
        <f>H473*Summary!$B$5</f>
        <v/>
      </c>
    </row>
    <row r="474">
      <c r="A474" s="8" t="n">
        <v>44900</v>
      </c>
      <c r="B474" t="inlineStr">
        <is>
          <t>FY22-23</t>
        </is>
      </c>
      <c r="C474" t="inlineStr">
        <is>
          <t>CW</t>
        </is>
      </c>
      <c r="D474" t="inlineStr">
        <is>
          <t>09:18</t>
        </is>
      </c>
      <c r="E474" t="n">
        <v>4</v>
      </c>
      <c r="F474" t="n">
        <v>-16.41</v>
      </c>
      <c r="G474" t="n">
        <v>4828.67</v>
      </c>
      <c r="H474" t="n">
        <v>-33.23</v>
      </c>
      <c r="I474" s="7">
        <f>F474*Summary!$B$5</f>
        <v/>
      </c>
      <c r="J474" s="7">
        <f>G474*Summary!$B$5</f>
        <v/>
      </c>
      <c r="K474" s="7">
        <f>H474*Summary!$B$5</f>
        <v/>
      </c>
    </row>
    <row r="475">
      <c r="A475" s="8" t="n">
        <v>44901</v>
      </c>
      <c r="B475" t="inlineStr">
        <is>
          <t>FY22-23</t>
        </is>
      </c>
      <c r="C475" t="inlineStr">
        <is>
          <t>CW</t>
        </is>
      </c>
      <c r="D475" t="inlineStr">
        <is>
          <t>09:18</t>
        </is>
      </c>
      <c r="E475" t="n">
        <v>3</v>
      </c>
      <c r="F475" t="n">
        <v>17.15</v>
      </c>
      <c r="G475" t="n">
        <v>4845.82</v>
      </c>
      <c r="H475" t="n">
        <v>-16.08</v>
      </c>
      <c r="I475" s="7">
        <f>F475*Summary!$B$5</f>
        <v/>
      </c>
      <c r="J475" s="7">
        <f>G475*Summary!$B$5</f>
        <v/>
      </c>
      <c r="K475" s="7">
        <f>H475*Summary!$B$5</f>
        <v/>
      </c>
    </row>
    <row r="476">
      <c r="A476" s="8" t="n">
        <v>44902</v>
      </c>
      <c r="B476" t="inlineStr">
        <is>
          <t>FY22-23</t>
        </is>
      </c>
      <c r="C476" t="inlineStr">
        <is>
          <t>CW</t>
        </is>
      </c>
      <c r="D476" t="inlineStr">
        <is>
          <t>09:18</t>
        </is>
      </c>
      <c r="E476" t="n">
        <v>2</v>
      </c>
      <c r="F476" t="n">
        <v>26.95</v>
      </c>
      <c r="G476" t="n">
        <v>4872.77</v>
      </c>
      <c r="H476" t="n">
        <v>0</v>
      </c>
      <c r="I476" s="7">
        <f>F476*Summary!$B$5</f>
        <v/>
      </c>
      <c r="J476" s="7">
        <f>G476*Summary!$B$5</f>
        <v/>
      </c>
      <c r="K476" s="7">
        <f>H476*Summary!$B$5</f>
        <v/>
      </c>
    </row>
    <row r="477">
      <c r="A477" s="8" t="n">
        <v>44903</v>
      </c>
      <c r="B477" t="inlineStr">
        <is>
          <t>FY22-23</t>
        </is>
      </c>
      <c r="C477" t="inlineStr"/>
      <c r="D477" t="inlineStr"/>
      <c r="E477" t="n">
        <v>0</v>
      </c>
      <c r="F477" t="n">
        <v>0</v>
      </c>
      <c r="G477" t="n">
        <v>4872.77</v>
      </c>
      <c r="H477" t="n">
        <v>0</v>
      </c>
      <c r="I477" s="7">
        <f>F477*Summary!$B$5</f>
        <v/>
      </c>
      <c r="J477" s="7">
        <f>G477*Summary!$B$5</f>
        <v/>
      </c>
      <c r="K477" s="7">
        <f>H477*Summary!$B$5</f>
        <v/>
      </c>
    </row>
    <row r="478">
      <c r="A478" s="8" t="n">
        <v>44904</v>
      </c>
      <c r="B478" t="inlineStr">
        <is>
          <t>FY22-23</t>
        </is>
      </c>
      <c r="C478" t="inlineStr"/>
      <c r="D478" t="inlineStr"/>
      <c r="E478" t="n">
        <v>0</v>
      </c>
      <c r="F478" t="n">
        <v>0</v>
      </c>
      <c r="G478" t="n">
        <v>4872.77</v>
      </c>
      <c r="H478" t="n">
        <v>0</v>
      </c>
      <c r="I478" s="7">
        <f>F478*Summary!$B$5</f>
        <v/>
      </c>
      <c r="J478" s="7">
        <f>G478*Summary!$B$5</f>
        <v/>
      </c>
      <c r="K478" s="7">
        <f>H478*Summary!$B$5</f>
        <v/>
      </c>
    </row>
    <row r="479">
      <c r="A479" s="8" t="n">
        <v>44907</v>
      </c>
      <c r="B479" t="inlineStr">
        <is>
          <t>FY22-23</t>
        </is>
      </c>
      <c r="C479" t="inlineStr">
        <is>
          <t>CW</t>
        </is>
      </c>
      <c r="D479" t="inlineStr">
        <is>
          <t>09:18</t>
        </is>
      </c>
      <c r="E479" t="n">
        <v>4</v>
      </c>
      <c r="F479" t="n">
        <v>-7.03</v>
      </c>
      <c r="G479" t="n">
        <v>4865.74</v>
      </c>
      <c r="H479" t="n">
        <v>-7.03</v>
      </c>
      <c r="I479" s="7">
        <f>F479*Summary!$B$5</f>
        <v/>
      </c>
      <c r="J479" s="7">
        <f>G479*Summary!$B$5</f>
        <v/>
      </c>
      <c r="K479" s="7">
        <f>H479*Summary!$B$5</f>
        <v/>
      </c>
    </row>
    <row r="480">
      <c r="A480" s="8" t="n">
        <v>44908</v>
      </c>
      <c r="B480" t="inlineStr">
        <is>
          <t>FY22-23</t>
        </is>
      </c>
      <c r="C480" t="inlineStr"/>
      <c r="D480" t="inlineStr"/>
      <c r="E480" t="n">
        <v>0</v>
      </c>
      <c r="F480" t="n">
        <v>0</v>
      </c>
      <c r="G480" t="n">
        <v>4865.74</v>
      </c>
      <c r="H480" t="n">
        <v>-7.03</v>
      </c>
      <c r="I480" s="7">
        <f>F480*Summary!$B$5</f>
        <v/>
      </c>
      <c r="J480" s="7">
        <f>G480*Summary!$B$5</f>
        <v/>
      </c>
      <c r="K480" s="7">
        <f>H480*Summary!$B$5</f>
        <v/>
      </c>
    </row>
    <row r="481">
      <c r="A481" s="8" t="n">
        <v>44909</v>
      </c>
      <c r="B481" t="inlineStr">
        <is>
          <t>FY22-23</t>
        </is>
      </c>
      <c r="C481" t="inlineStr">
        <is>
          <t>CW</t>
        </is>
      </c>
      <c r="D481" t="inlineStr">
        <is>
          <t>09:18</t>
        </is>
      </c>
      <c r="E481" t="n">
        <v>2</v>
      </c>
      <c r="F481" t="n">
        <v>6.45</v>
      </c>
      <c r="G481" t="n">
        <v>4872.19</v>
      </c>
      <c r="H481" t="n">
        <v>-0.58</v>
      </c>
      <c r="I481" s="7">
        <f>F481*Summary!$B$5</f>
        <v/>
      </c>
      <c r="J481" s="7">
        <f>G481*Summary!$B$5</f>
        <v/>
      </c>
      <c r="K481" s="7">
        <f>H481*Summary!$B$5</f>
        <v/>
      </c>
    </row>
    <row r="482">
      <c r="A482" s="8" t="n">
        <v>44910</v>
      </c>
      <c r="B482" t="inlineStr">
        <is>
          <t>FY22-23</t>
        </is>
      </c>
      <c r="C482" t="inlineStr">
        <is>
          <t>NW</t>
        </is>
      </c>
      <c r="D482" t="inlineStr"/>
      <c r="E482" t="n">
        <v>0</v>
      </c>
      <c r="F482" t="n">
        <v>-27.54</v>
      </c>
      <c r="G482" t="n">
        <v>4844.66</v>
      </c>
      <c r="H482" t="n">
        <v>-28.12</v>
      </c>
      <c r="I482" s="7">
        <f>F482*Summary!$B$5</f>
        <v/>
      </c>
      <c r="J482" s="7">
        <f>G482*Summary!$B$5</f>
        <v/>
      </c>
      <c r="K482" s="7">
        <f>H482*Summary!$B$5</f>
        <v/>
      </c>
    </row>
    <row r="483">
      <c r="A483" s="8" t="n">
        <v>44911</v>
      </c>
      <c r="B483" t="inlineStr">
        <is>
          <t>FY22-23</t>
        </is>
      </c>
      <c r="C483" t="inlineStr">
        <is>
          <t>CW</t>
        </is>
      </c>
      <c r="D483" t="inlineStr">
        <is>
          <t>09:18</t>
        </is>
      </c>
      <c r="E483" t="n">
        <v>6</v>
      </c>
      <c r="F483" t="n">
        <v>-26.77</v>
      </c>
      <c r="G483" t="n">
        <v>4817.88</v>
      </c>
      <c r="H483" t="n">
        <v>-54.89</v>
      </c>
      <c r="I483" s="7">
        <f>F483*Summary!$B$5</f>
        <v/>
      </c>
      <c r="J483" s="7">
        <f>G483*Summary!$B$5</f>
        <v/>
      </c>
      <c r="K483" s="7">
        <f>H483*Summary!$B$5</f>
        <v/>
      </c>
    </row>
    <row r="484">
      <c r="A484" s="8" t="n">
        <v>44914</v>
      </c>
      <c r="B484" t="inlineStr">
        <is>
          <t>FY22-23</t>
        </is>
      </c>
      <c r="C484" t="inlineStr"/>
      <c r="D484" t="inlineStr"/>
      <c r="E484" t="n">
        <v>0</v>
      </c>
      <c r="F484" t="n">
        <v>0</v>
      </c>
      <c r="G484" t="n">
        <v>4817.88</v>
      </c>
      <c r="H484" t="n">
        <v>-54.89</v>
      </c>
      <c r="I484" s="7">
        <f>F484*Summary!$B$5</f>
        <v/>
      </c>
      <c r="J484" s="7">
        <f>G484*Summary!$B$5</f>
        <v/>
      </c>
      <c r="K484" s="7">
        <f>H484*Summary!$B$5</f>
        <v/>
      </c>
    </row>
    <row r="485">
      <c r="A485" s="8" t="n">
        <v>44915</v>
      </c>
      <c r="B485" t="inlineStr">
        <is>
          <t>FY22-23</t>
        </is>
      </c>
      <c r="C485" t="inlineStr"/>
      <c r="D485" t="inlineStr"/>
      <c r="E485" t="n">
        <v>0</v>
      </c>
      <c r="F485" t="n">
        <v>0</v>
      </c>
      <c r="G485" t="n">
        <v>4817.88</v>
      </c>
      <c r="H485" t="n">
        <v>-54.89</v>
      </c>
      <c r="I485" s="7">
        <f>F485*Summary!$B$5</f>
        <v/>
      </c>
      <c r="J485" s="7">
        <f>G485*Summary!$B$5</f>
        <v/>
      </c>
      <c r="K485" s="7">
        <f>H485*Summary!$B$5</f>
        <v/>
      </c>
    </row>
    <row r="486">
      <c r="A486" s="8" t="n">
        <v>44916</v>
      </c>
      <c r="B486" t="inlineStr">
        <is>
          <t>FY22-23</t>
        </is>
      </c>
      <c r="C486" t="inlineStr">
        <is>
          <t>CW</t>
        </is>
      </c>
      <c r="D486" t="inlineStr">
        <is>
          <t>12:48</t>
        </is>
      </c>
      <c r="E486" t="n">
        <v>2</v>
      </c>
      <c r="F486" t="n">
        <v>-35.89</v>
      </c>
      <c r="G486" t="n">
        <v>4781.99</v>
      </c>
      <c r="H486" t="n">
        <v>-90.78</v>
      </c>
      <c r="I486" s="7">
        <f>F486*Summary!$B$5</f>
        <v/>
      </c>
      <c r="J486" s="7">
        <f>G486*Summary!$B$5</f>
        <v/>
      </c>
      <c r="K486" s="7">
        <f>H486*Summary!$B$5</f>
        <v/>
      </c>
    </row>
    <row r="487">
      <c r="A487" s="8" t="n">
        <v>44917</v>
      </c>
      <c r="B487" t="inlineStr">
        <is>
          <t>FY22-23</t>
        </is>
      </c>
      <c r="C487" t="inlineStr">
        <is>
          <t>CW</t>
        </is>
      </c>
      <c r="D487" t="inlineStr">
        <is>
          <t>09:18</t>
        </is>
      </c>
      <c r="E487" t="n">
        <v>1</v>
      </c>
      <c r="F487" t="n">
        <v>-45.82</v>
      </c>
      <c r="G487" t="n">
        <v>4736.17</v>
      </c>
      <c r="H487" t="n">
        <v>-136.6</v>
      </c>
      <c r="I487" s="7">
        <f>F487*Summary!$B$5</f>
        <v/>
      </c>
      <c r="J487" s="7">
        <f>G487*Summary!$B$5</f>
        <v/>
      </c>
      <c r="K487" s="7">
        <f>H487*Summary!$B$5</f>
        <v/>
      </c>
    </row>
    <row r="488">
      <c r="A488" s="8" t="n">
        <v>44918</v>
      </c>
      <c r="B488" t="inlineStr">
        <is>
          <t>FY22-23</t>
        </is>
      </c>
      <c r="C488" t="inlineStr">
        <is>
          <t>CW</t>
        </is>
      </c>
      <c r="D488" t="inlineStr">
        <is>
          <t>09:17</t>
        </is>
      </c>
      <c r="E488" t="n">
        <v>6</v>
      </c>
      <c r="F488" t="n">
        <v>30.36</v>
      </c>
      <c r="G488" t="n">
        <v>4766.53</v>
      </c>
      <c r="H488" t="n">
        <v>-106.24</v>
      </c>
      <c r="I488" s="7">
        <f>F488*Summary!$B$5</f>
        <v/>
      </c>
      <c r="J488" s="7">
        <f>G488*Summary!$B$5</f>
        <v/>
      </c>
      <c r="K488" s="7">
        <f>H488*Summary!$B$5</f>
        <v/>
      </c>
    </row>
    <row r="489">
      <c r="A489" s="8" t="n">
        <v>44921</v>
      </c>
      <c r="B489" t="inlineStr">
        <is>
          <t>FY22-23</t>
        </is>
      </c>
      <c r="C489" t="inlineStr">
        <is>
          <t>CW</t>
        </is>
      </c>
      <c r="D489" t="inlineStr">
        <is>
          <t>09:18</t>
        </is>
      </c>
      <c r="E489" t="n">
        <v>4</v>
      </c>
      <c r="F489" t="n">
        <v>11.57</v>
      </c>
      <c r="G489" t="n">
        <v>4778.1</v>
      </c>
      <c r="H489" t="n">
        <v>-94.67</v>
      </c>
      <c r="I489" s="7">
        <f>F489*Summary!$B$5</f>
        <v/>
      </c>
      <c r="J489" s="7">
        <f>G489*Summary!$B$5</f>
        <v/>
      </c>
      <c r="K489" s="7">
        <f>H489*Summary!$B$5</f>
        <v/>
      </c>
    </row>
    <row r="490">
      <c r="A490" s="8" t="n">
        <v>44922</v>
      </c>
      <c r="B490" t="inlineStr">
        <is>
          <t>FY22-23</t>
        </is>
      </c>
      <c r="C490" t="inlineStr"/>
      <c r="D490" t="inlineStr"/>
      <c r="E490" t="n">
        <v>0</v>
      </c>
      <c r="F490" t="n">
        <v>0</v>
      </c>
      <c r="G490" t="n">
        <v>4778.1</v>
      </c>
      <c r="H490" t="n">
        <v>-94.67</v>
      </c>
      <c r="I490" s="7">
        <f>F490*Summary!$B$5</f>
        <v/>
      </c>
      <c r="J490" s="7">
        <f>G490*Summary!$B$5</f>
        <v/>
      </c>
      <c r="K490" s="7">
        <f>H490*Summary!$B$5</f>
        <v/>
      </c>
    </row>
    <row r="491">
      <c r="A491" s="8" t="n">
        <v>44923</v>
      </c>
      <c r="B491" t="inlineStr">
        <is>
          <t>FY22-23</t>
        </is>
      </c>
      <c r="C491" t="inlineStr">
        <is>
          <t>CW</t>
        </is>
      </c>
      <c r="D491" t="inlineStr">
        <is>
          <t>09:16</t>
        </is>
      </c>
      <c r="E491" t="n">
        <v>2</v>
      </c>
      <c r="F491" t="n">
        <v>26.15</v>
      </c>
      <c r="G491" t="n">
        <v>4804.26</v>
      </c>
      <c r="H491" t="n">
        <v>-68.52</v>
      </c>
      <c r="I491" s="7">
        <f>F491*Summary!$B$5</f>
        <v/>
      </c>
      <c r="J491" s="7">
        <f>G491*Summary!$B$5</f>
        <v/>
      </c>
      <c r="K491" s="7">
        <f>H491*Summary!$B$5</f>
        <v/>
      </c>
    </row>
    <row r="492">
      <c r="A492" s="8" t="n">
        <v>44924</v>
      </c>
      <c r="B492" t="inlineStr">
        <is>
          <t>FY22-23</t>
        </is>
      </c>
      <c r="C492" t="inlineStr">
        <is>
          <t>CW</t>
        </is>
      </c>
      <c r="D492" t="inlineStr">
        <is>
          <t>09:16</t>
        </is>
      </c>
      <c r="E492" t="n">
        <v>1</v>
      </c>
      <c r="F492" t="n">
        <v>0.62</v>
      </c>
      <c r="G492" t="n">
        <v>4804.87</v>
      </c>
      <c r="H492" t="n">
        <v>-67.90000000000001</v>
      </c>
      <c r="I492" s="7">
        <f>F492*Summary!$B$5</f>
        <v/>
      </c>
      <c r="J492" s="7">
        <f>G492*Summary!$B$5</f>
        <v/>
      </c>
      <c r="K492" s="7">
        <f>H492*Summary!$B$5</f>
        <v/>
      </c>
    </row>
    <row r="493">
      <c r="A493" s="8" t="n">
        <v>44925</v>
      </c>
      <c r="B493" t="inlineStr">
        <is>
          <t>FY22-23</t>
        </is>
      </c>
      <c r="C493" t="inlineStr">
        <is>
          <t>n/a</t>
        </is>
      </c>
      <c r="D493" t="inlineStr"/>
      <c r="E493" t="n">
        <v>0</v>
      </c>
      <c r="F493" t="n">
        <v>-11.11</v>
      </c>
      <c r="G493" t="n">
        <v>4793.76</v>
      </c>
      <c r="H493" t="n">
        <v>-79.01000000000001</v>
      </c>
      <c r="I493" s="7">
        <f>F493*Summary!$B$5</f>
        <v/>
      </c>
      <c r="J493" s="7">
        <f>G493*Summary!$B$5</f>
        <v/>
      </c>
      <c r="K493" s="7">
        <f>H493*Summary!$B$5</f>
        <v/>
      </c>
    </row>
    <row r="494">
      <c r="A494" s="8" t="n">
        <v>44928</v>
      </c>
      <c r="B494" t="inlineStr">
        <is>
          <t>FY22-23</t>
        </is>
      </c>
      <c r="C494" t="inlineStr">
        <is>
          <t>CW</t>
        </is>
      </c>
      <c r="D494" t="inlineStr">
        <is>
          <t>09:18</t>
        </is>
      </c>
      <c r="E494" t="n">
        <v>4</v>
      </c>
      <c r="F494" t="n">
        <v>23.35</v>
      </c>
      <c r="G494" t="n">
        <v>4817.11</v>
      </c>
      <c r="H494" t="n">
        <v>-55.66</v>
      </c>
      <c r="I494" s="7">
        <f>F494*Summary!$B$5</f>
        <v/>
      </c>
      <c r="J494" s="7">
        <f>G494*Summary!$B$5</f>
        <v/>
      </c>
      <c r="K494" s="7">
        <f>H494*Summary!$B$5</f>
        <v/>
      </c>
    </row>
    <row r="495">
      <c r="A495" s="8" t="n">
        <v>44929</v>
      </c>
      <c r="B495" t="inlineStr">
        <is>
          <t>FY22-23</t>
        </is>
      </c>
      <c r="C495" t="inlineStr">
        <is>
          <t>CW</t>
        </is>
      </c>
      <c r="D495" t="inlineStr">
        <is>
          <t>09:17</t>
        </is>
      </c>
      <c r="E495" t="n">
        <v>3</v>
      </c>
      <c r="F495" t="n">
        <v>34.8</v>
      </c>
      <c r="G495" t="n">
        <v>4851.92</v>
      </c>
      <c r="H495" t="n">
        <v>-20.86</v>
      </c>
      <c r="I495" s="7">
        <f>F495*Summary!$B$5</f>
        <v/>
      </c>
      <c r="J495" s="7">
        <f>G495*Summary!$B$5</f>
        <v/>
      </c>
      <c r="K495" s="7">
        <f>H495*Summary!$B$5</f>
        <v/>
      </c>
    </row>
    <row r="496">
      <c r="A496" s="8" t="n">
        <v>44930</v>
      </c>
      <c r="B496" t="inlineStr">
        <is>
          <t>FY22-23</t>
        </is>
      </c>
      <c r="C496" t="inlineStr">
        <is>
          <t>CW</t>
        </is>
      </c>
      <c r="D496" t="inlineStr">
        <is>
          <t>09:17</t>
        </is>
      </c>
      <c r="E496" t="n">
        <v>2</v>
      </c>
      <c r="F496" t="n">
        <v>-40.84</v>
      </c>
      <c r="G496" t="n">
        <v>4811.08</v>
      </c>
      <c r="H496" t="n">
        <v>-61.7</v>
      </c>
      <c r="I496" s="7">
        <f>F496*Summary!$B$5</f>
        <v/>
      </c>
      <c r="J496" s="7">
        <f>G496*Summary!$B$5</f>
        <v/>
      </c>
      <c r="K496" s="7">
        <f>H496*Summary!$B$5</f>
        <v/>
      </c>
    </row>
    <row r="497">
      <c r="A497" s="8" t="n">
        <v>44931</v>
      </c>
      <c r="B497" t="inlineStr">
        <is>
          <t>FY22-23</t>
        </is>
      </c>
      <c r="C497" t="inlineStr">
        <is>
          <t>CW</t>
        </is>
      </c>
      <c r="D497" t="inlineStr">
        <is>
          <t>09:17</t>
        </is>
      </c>
      <c r="E497" t="n">
        <v>1</v>
      </c>
      <c r="F497" t="n">
        <v>-15.42</v>
      </c>
      <c r="G497" t="n">
        <v>4795.66</v>
      </c>
      <c r="H497" t="n">
        <v>-77.12</v>
      </c>
      <c r="I497" s="7">
        <f>F497*Summary!$B$5</f>
        <v/>
      </c>
      <c r="J497" s="7">
        <f>G497*Summary!$B$5</f>
        <v/>
      </c>
      <c r="K497" s="7">
        <f>H497*Summary!$B$5</f>
        <v/>
      </c>
    </row>
    <row r="498">
      <c r="A498" s="8" t="n">
        <v>44932</v>
      </c>
      <c r="B498" t="inlineStr">
        <is>
          <t>FY22-23</t>
        </is>
      </c>
      <c r="C498" t="inlineStr">
        <is>
          <t>CW</t>
        </is>
      </c>
      <c r="D498" t="inlineStr">
        <is>
          <t>09:18</t>
        </is>
      </c>
      <c r="E498" t="n">
        <v>6</v>
      </c>
      <c r="F498" t="n">
        <v>12.42</v>
      </c>
      <c r="G498" t="n">
        <v>4808.08</v>
      </c>
      <c r="H498" t="n">
        <v>-64.7</v>
      </c>
      <c r="I498" s="7">
        <f>F498*Summary!$B$5</f>
        <v/>
      </c>
      <c r="J498" s="7">
        <f>G498*Summary!$B$5</f>
        <v/>
      </c>
      <c r="K498" s="7">
        <f>H498*Summary!$B$5</f>
        <v/>
      </c>
    </row>
    <row r="499">
      <c r="A499" s="8" t="n">
        <v>44935</v>
      </c>
      <c r="B499" t="inlineStr">
        <is>
          <t>FY22-23</t>
        </is>
      </c>
      <c r="C499" t="inlineStr"/>
      <c r="D499" t="inlineStr"/>
      <c r="E499" t="n">
        <v>0</v>
      </c>
      <c r="F499" t="n">
        <v>0</v>
      </c>
      <c r="G499" t="n">
        <v>4808.08</v>
      </c>
      <c r="H499" t="n">
        <v>-64.7</v>
      </c>
      <c r="I499" s="7">
        <f>F499*Summary!$B$5</f>
        <v/>
      </c>
      <c r="J499" s="7">
        <f>G499*Summary!$B$5</f>
        <v/>
      </c>
      <c r="K499" s="7">
        <f>H499*Summary!$B$5</f>
        <v/>
      </c>
    </row>
    <row r="500">
      <c r="A500" s="8" t="n">
        <v>44936</v>
      </c>
      <c r="B500" t="inlineStr">
        <is>
          <t>FY22-23</t>
        </is>
      </c>
      <c r="C500" t="inlineStr">
        <is>
          <t>n/a</t>
        </is>
      </c>
      <c r="D500" t="inlineStr"/>
      <c r="E500" t="n">
        <v>0</v>
      </c>
      <c r="F500" t="n">
        <v>-39.06</v>
      </c>
      <c r="G500" t="n">
        <v>4769.02</v>
      </c>
      <c r="H500" t="n">
        <v>-103.75</v>
      </c>
      <c r="I500" s="7">
        <f>F500*Summary!$B$5</f>
        <v/>
      </c>
      <c r="J500" s="7">
        <f>G500*Summary!$B$5</f>
        <v/>
      </c>
      <c r="K500" s="7">
        <f>H500*Summary!$B$5</f>
        <v/>
      </c>
    </row>
    <row r="501">
      <c r="A501" s="8" t="n">
        <v>44937</v>
      </c>
      <c r="B501" t="inlineStr">
        <is>
          <t>FY22-23</t>
        </is>
      </c>
      <c r="C501" t="inlineStr">
        <is>
          <t>CW</t>
        </is>
      </c>
      <c r="D501" t="inlineStr">
        <is>
          <t>09:18</t>
        </is>
      </c>
      <c r="E501" t="n">
        <v>2</v>
      </c>
      <c r="F501" t="n">
        <v>-32.37</v>
      </c>
      <c r="G501" t="n">
        <v>4736.65</v>
      </c>
      <c r="H501" t="n">
        <v>-136.12</v>
      </c>
      <c r="I501" s="7">
        <f>F501*Summary!$B$5</f>
        <v/>
      </c>
      <c r="J501" s="7">
        <f>G501*Summary!$B$5</f>
        <v/>
      </c>
      <c r="K501" s="7">
        <f>H501*Summary!$B$5</f>
        <v/>
      </c>
    </row>
    <row r="502">
      <c r="A502" s="8" t="n">
        <v>44938</v>
      </c>
      <c r="B502" t="inlineStr">
        <is>
          <t>FY22-23</t>
        </is>
      </c>
      <c r="C502" t="inlineStr">
        <is>
          <t>CW</t>
        </is>
      </c>
      <c r="D502" t="inlineStr">
        <is>
          <t>09:17</t>
        </is>
      </c>
      <c r="E502" t="n">
        <v>1</v>
      </c>
      <c r="F502" t="n">
        <v>22.17</v>
      </c>
      <c r="G502" t="n">
        <v>4758.82</v>
      </c>
      <c r="H502" t="n">
        <v>-113.95</v>
      </c>
      <c r="I502" s="7">
        <f>F502*Summary!$B$5</f>
        <v/>
      </c>
      <c r="J502" s="7">
        <f>G502*Summary!$B$5</f>
        <v/>
      </c>
      <c r="K502" s="7">
        <f>H502*Summary!$B$5</f>
        <v/>
      </c>
    </row>
    <row r="503">
      <c r="A503" s="8" t="n">
        <v>44939</v>
      </c>
      <c r="B503" t="inlineStr">
        <is>
          <t>FY22-23</t>
        </is>
      </c>
      <c r="C503" t="inlineStr">
        <is>
          <t>CW</t>
        </is>
      </c>
      <c r="D503" t="inlineStr">
        <is>
          <t>09:16</t>
        </is>
      </c>
      <c r="E503" t="n">
        <v>6</v>
      </c>
      <c r="F503" t="n">
        <v>35.19</v>
      </c>
      <c r="G503" t="n">
        <v>4794.01</v>
      </c>
      <c r="H503" t="n">
        <v>-78.76000000000001</v>
      </c>
      <c r="I503" s="7">
        <f>F503*Summary!$B$5</f>
        <v/>
      </c>
      <c r="J503" s="7">
        <f>G503*Summary!$B$5</f>
        <v/>
      </c>
      <c r="K503" s="7">
        <f>H503*Summary!$B$5</f>
        <v/>
      </c>
    </row>
    <row r="504">
      <c r="A504" s="8" t="n">
        <v>44942</v>
      </c>
      <c r="B504" t="inlineStr">
        <is>
          <t>FY22-23</t>
        </is>
      </c>
      <c r="C504" t="inlineStr"/>
      <c r="D504" t="inlineStr"/>
      <c r="E504" t="n">
        <v>0</v>
      </c>
      <c r="F504" t="n">
        <v>0</v>
      </c>
      <c r="G504" t="n">
        <v>4794.01</v>
      </c>
      <c r="H504" t="n">
        <v>-78.76000000000001</v>
      </c>
      <c r="I504" s="7">
        <f>F504*Summary!$B$5</f>
        <v/>
      </c>
      <c r="J504" s="7">
        <f>G504*Summary!$B$5</f>
        <v/>
      </c>
      <c r="K504" s="7">
        <f>H504*Summary!$B$5</f>
        <v/>
      </c>
    </row>
    <row r="505">
      <c r="A505" s="8" t="n">
        <v>44943</v>
      </c>
      <c r="B505" t="inlineStr">
        <is>
          <t>FY22-23</t>
        </is>
      </c>
      <c r="C505" t="inlineStr">
        <is>
          <t>CW</t>
        </is>
      </c>
      <c r="D505" t="inlineStr">
        <is>
          <t>09:16</t>
        </is>
      </c>
      <c r="E505" t="n">
        <v>3</v>
      </c>
      <c r="F505" t="n">
        <v>12.9</v>
      </c>
      <c r="G505" t="n">
        <v>4806.91</v>
      </c>
      <c r="H505" t="n">
        <v>-65.86</v>
      </c>
      <c r="I505" s="7">
        <f>F505*Summary!$B$5</f>
        <v/>
      </c>
      <c r="J505" s="7">
        <f>G505*Summary!$B$5</f>
        <v/>
      </c>
      <c r="K505" s="7">
        <f>H505*Summary!$B$5</f>
        <v/>
      </c>
    </row>
    <row r="506">
      <c r="A506" s="8" t="n">
        <v>44944</v>
      </c>
      <c r="B506" t="inlineStr">
        <is>
          <t>FY22-23</t>
        </is>
      </c>
      <c r="C506" t="inlineStr">
        <is>
          <t>CW</t>
        </is>
      </c>
      <c r="D506" t="inlineStr">
        <is>
          <t>09:17</t>
        </is>
      </c>
      <c r="E506" t="n">
        <v>2</v>
      </c>
      <c r="F506" t="n">
        <v>27.77</v>
      </c>
      <c r="G506" t="n">
        <v>4834.68</v>
      </c>
      <c r="H506" t="n">
        <v>-38.1</v>
      </c>
      <c r="I506" s="7">
        <f>F506*Summary!$B$5</f>
        <v/>
      </c>
      <c r="J506" s="7">
        <f>G506*Summary!$B$5</f>
        <v/>
      </c>
      <c r="K506" s="7">
        <f>H506*Summary!$B$5</f>
        <v/>
      </c>
    </row>
    <row r="507">
      <c r="A507" s="8" t="n">
        <v>44945</v>
      </c>
      <c r="B507" t="inlineStr">
        <is>
          <t>FY22-23</t>
        </is>
      </c>
      <c r="C507" t="inlineStr">
        <is>
          <t>CW</t>
        </is>
      </c>
      <c r="D507" t="inlineStr">
        <is>
          <t>09:16</t>
        </is>
      </c>
      <c r="E507" t="n">
        <v>1</v>
      </c>
      <c r="F507" t="n">
        <v>10.85</v>
      </c>
      <c r="G507" t="n">
        <v>4845.53</v>
      </c>
      <c r="H507" t="n">
        <v>-27.24</v>
      </c>
      <c r="I507" s="7">
        <f>F507*Summary!$B$5</f>
        <v/>
      </c>
      <c r="J507" s="7">
        <f>G507*Summary!$B$5</f>
        <v/>
      </c>
      <c r="K507" s="7">
        <f>H507*Summary!$B$5</f>
        <v/>
      </c>
    </row>
    <row r="508">
      <c r="A508" s="8" t="n">
        <v>44946</v>
      </c>
      <c r="B508" t="inlineStr">
        <is>
          <t>FY22-23</t>
        </is>
      </c>
      <c r="C508" t="inlineStr">
        <is>
          <t>CW</t>
        </is>
      </c>
      <c r="D508" t="inlineStr">
        <is>
          <t>09:17</t>
        </is>
      </c>
      <c r="E508" t="n">
        <v>5</v>
      </c>
      <c r="F508" t="n">
        <v>25.59</v>
      </c>
      <c r="G508" t="n">
        <v>4871.12</v>
      </c>
      <c r="H508" t="n">
        <v>-1.65</v>
      </c>
      <c r="I508" s="7">
        <f>F508*Summary!$B$5</f>
        <v/>
      </c>
      <c r="J508" s="7">
        <f>G508*Summary!$B$5</f>
        <v/>
      </c>
      <c r="K508" s="7">
        <f>H508*Summary!$B$5</f>
        <v/>
      </c>
    </row>
    <row r="509">
      <c r="A509" s="8" t="n">
        <v>44949</v>
      </c>
      <c r="B509" t="inlineStr">
        <is>
          <t>FY22-23</t>
        </is>
      </c>
      <c r="C509" t="inlineStr">
        <is>
          <t>CW</t>
        </is>
      </c>
      <c r="D509" t="inlineStr">
        <is>
          <t>09:18</t>
        </is>
      </c>
      <c r="E509" t="n">
        <v>3</v>
      </c>
      <c r="F509" t="n">
        <v>27.84</v>
      </c>
      <c r="G509" t="n">
        <v>4898.96</v>
      </c>
      <c r="H509" t="n">
        <v>0</v>
      </c>
      <c r="I509" s="7">
        <f>F509*Summary!$B$5</f>
        <v/>
      </c>
      <c r="J509" s="7">
        <f>G509*Summary!$B$5</f>
        <v/>
      </c>
      <c r="K509" s="7">
        <f>H509*Summary!$B$5</f>
        <v/>
      </c>
    </row>
    <row r="510">
      <c r="A510" s="8" t="n">
        <v>44950</v>
      </c>
      <c r="B510" t="inlineStr">
        <is>
          <t>FY22-23</t>
        </is>
      </c>
      <c r="C510" t="inlineStr"/>
      <c r="D510" t="inlineStr"/>
      <c r="E510" t="n">
        <v>0</v>
      </c>
      <c r="F510" t="n">
        <v>0</v>
      </c>
      <c r="G510" t="n">
        <v>4898.96</v>
      </c>
      <c r="H510" t="n">
        <v>0</v>
      </c>
      <c r="I510" s="7">
        <f>F510*Summary!$B$5</f>
        <v/>
      </c>
      <c r="J510" s="7">
        <f>G510*Summary!$B$5</f>
        <v/>
      </c>
      <c r="K510" s="7">
        <f>H510*Summary!$B$5</f>
        <v/>
      </c>
    </row>
    <row r="511">
      <c r="A511" s="8" t="n">
        <v>44951</v>
      </c>
      <c r="B511" t="inlineStr">
        <is>
          <t>FY22-23</t>
        </is>
      </c>
      <c r="C511" t="inlineStr">
        <is>
          <t>CW</t>
        </is>
      </c>
      <c r="D511" t="inlineStr">
        <is>
          <t>09:18</t>
        </is>
      </c>
      <c r="E511" t="n">
        <v>1</v>
      </c>
      <c r="F511" t="n">
        <v>-39.81</v>
      </c>
      <c r="G511" t="n">
        <v>4859.15</v>
      </c>
      <c r="H511" t="n">
        <v>-39.81</v>
      </c>
      <c r="I511" s="7">
        <f>F511*Summary!$B$5</f>
        <v/>
      </c>
      <c r="J511" s="7">
        <f>G511*Summary!$B$5</f>
        <v/>
      </c>
      <c r="K511" s="7">
        <f>H511*Summary!$B$5</f>
        <v/>
      </c>
    </row>
    <row r="512">
      <c r="A512" s="8" t="n">
        <v>44953</v>
      </c>
      <c r="B512" t="inlineStr">
        <is>
          <t>FY22-23</t>
        </is>
      </c>
      <c r="C512" t="inlineStr">
        <is>
          <t>CW</t>
        </is>
      </c>
      <c r="D512" t="inlineStr">
        <is>
          <t>09:18</t>
        </is>
      </c>
      <c r="E512" t="n">
        <v>6</v>
      </c>
      <c r="F512" t="n">
        <v>-13.25</v>
      </c>
      <c r="G512" t="n">
        <v>4845.9</v>
      </c>
      <c r="H512" t="n">
        <v>-53.06</v>
      </c>
      <c r="I512" s="7">
        <f>F512*Summary!$B$5</f>
        <v/>
      </c>
      <c r="J512" s="7">
        <f>G512*Summary!$B$5</f>
        <v/>
      </c>
      <c r="K512" s="7">
        <f>H512*Summary!$B$5</f>
        <v/>
      </c>
    </row>
    <row r="513">
      <c r="A513" s="8" t="n">
        <v>44956</v>
      </c>
      <c r="B513" t="inlineStr">
        <is>
          <t>FY22-23</t>
        </is>
      </c>
      <c r="C513" t="inlineStr">
        <is>
          <t>CW</t>
        </is>
      </c>
      <c r="D513" t="inlineStr">
        <is>
          <t>09:16</t>
        </is>
      </c>
      <c r="E513" t="n">
        <v>4</v>
      </c>
      <c r="F513" t="n">
        <v>-39.56</v>
      </c>
      <c r="G513" t="n">
        <v>4806.35</v>
      </c>
      <c r="H513" t="n">
        <v>-92.62</v>
      </c>
      <c r="I513" s="7">
        <f>F513*Summary!$B$5</f>
        <v/>
      </c>
      <c r="J513" s="7">
        <f>G513*Summary!$B$5</f>
        <v/>
      </c>
      <c r="K513" s="7">
        <f>H513*Summary!$B$5</f>
        <v/>
      </c>
    </row>
    <row r="514">
      <c r="A514" s="8" t="n">
        <v>44957</v>
      </c>
      <c r="B514" t="inlineStr">
        <is>
          <t>FY22-23</t>
        </is>
      </c>
      <c r="C514" t="inlineStr">
        <is>
          <t>CW</t>
        </is>
      </c>
      <c r="D514" t="inlineStr">
        <is>
          <t>09:16</t>
        </is>
      </c>
      <c r="E514" t="n">
        <v>3</v>
      </c>
      <c r="F514" t="n">
        <v>16.98</v>
      </c>
      <c r="G514" t="n">
        <v>4823.32</v>
      </c>
      <c r="H514" t="n">
        <v>-75.64</v>
      </c>
      <c r="I514" s="7">
        <f>F514*Summary!$B$5</f>
        <v/>
      </c>
      <c r="J514" s="7">
        <f>G514*Summary!$B$5</f>
        <v/>
      </c>
      <c r="K514" s="7">
        <f>H514*Summary!$B$5</f>
        <v/>
      </c>
    </row>
    <row r="515">
      <c r="A515" s="8" t="n">
        <v>44958</v>
      </c>
      <c r="B515" t="inlineStr">
        <is>
          <t>FY22-23</t>
        </is>
      </c>
      <c r="C515" t="inlineStr">
        <is>
          <t>CW</t>
        </is>
      </c>
      <c r="D515" t="inlineStr">
        <is>
          <t>09:18</t>
        </is>
      </c>
      <c r="E515" t="n">
        <v>2</v>
      </c>
      <c r="F515" t="n">
        <v>23.68</v>
      </c>
      <c r="G515" t="n">
        <v>4847</v>
      </c>
      <c r="H515" t="n">
        <v>-51.96</v>
      </c>
      <c r="I515" s="7">
        <f>F515*Summary!$B$5</f>
        <v/>
      </c>
      <c r="J515" s="7">
        <f>G515*Summary!$B$5</f>
        <v/>
      </c>
      <c r="K515" s="7">
        <f>H515*Summary!$B$5</f>
        <v/>
      </c>
    </row>
    <row r="516">
      <c r="A516" s="8" t="n">
        <v>44959</v>
      </c>
      <c r="B516" t="inlineStr">
        <is>
          <t>FY22-23</t>
        </is>
      </c>
      <c r="C516" t="inlineStr">
        <is>
          <t>CW</t>
        </is>
      </c>
      <c r="D516" t="inlineStr">
        <is>
          <t>09:16</t>
        </is>
      </c>
      <c r="E516" t="n">
        <v>1</v>
      </c>
      <c r="F516" t="n">
        <v>37.35</v>
      </c>
      <c r="G516" t="n">
        <v>4884.35</v>
      </c>
      <c r="H516" t="n">
        <v>-14.61</v>
      </c>
      <c r="I516" s="7">
        <f>F516*Summary!$B$5</f>
        <v/>
      </c>
      <c r="J516" s="7">
        <f>G516*Summary!$B$5</f>
        <v/>
      </c>
      <c r="K516" s="7">
        <f>H516*Summary!$B$5</f>
        <v/>
      </c>
    </row>
    <row r="517">
      <c r="A517" s="8" t="n">
        <v>44960</v>
      </c>
      <c r="B517" t="inlineStr">
        <is>
          <t>FY22-23</t>
        </is>
      </c>
      <c r="C517" t="inlineStr"/>
      <c r="D517" t="inlineStr"/>
      <c r="E517" t="n">
        <v>0</v>
      </c>
      <c r="F517" t="n">
        <v>0</v>
      </c>
      <c r="G517" t="n">
        <v>4884.35</v>
      </c>
      <c r="H517" t="n">
        <v>-14.61</v>
      </c>
      <c r="I517" s="7">
        <f>F517*Summary!$B$5</f>
        <v/>
      </c>
      <c r="J517" s="7">
        <f>G517*Summary!$B$5</f>
        <v/>
      </c>
      <c r="K517" s="7">
        <f>H517*Summary!$B$5</f>
        <v/>
      </c>
    </row>
    <row r="518">
      <c r="A518" s="8" t="n">
        <v>44963</v>
      </c>
      <c r="B518" t="inlineStr">
        <is>
          <t>FY22-23</t>
        </is>
      </c>
      <c r="C518" t="inlineStr">
        <is>
          <t>n/a</t>
        </is>
      </c>
      <c r="D518" t="inlineStr"/>
      <c r="E518" t="n">
        <v>0</v>
      </c>
      <c r="F518" t="n">
        <v>10.86</v>
      </c>
      <c r="G518" t="n">
        <v>4895.21</v>
      </c>
      <c r="H518" t="n">
        <v>-3.75</v>
      </c>
      <c r="I518" s="7">
        <f>F518*Summary!$B$5</f>
        <v/>
      </c>
      <c r="J518" s="7">
        <f>G518*Summary!$B$5</f>
        <v/>
      </c>
      <c r="K518" s="7">
        <f>H518*Summary!$B$5</f>
        <v/>
      </c>
    </row>
    <row r="519">
      <c r="A519" s="8" t="n">
        <v>44964</v>
      </c>
      <c r="B519" t="inlineStr">
        <is>
          <t>FY22-23</t>
        </is>
      </c>
      <c r="C519" t="inlineStr">
        <is>
          <t>CW</t>
        </is>
      </c>
      <c r="D519" t="inlineStr">
        <is>
          <t>09:18</t>
        </is>
      </c>
      <c r="E519" t="n">
        <v>3</v>
      </c>
      <c r="F519" t="n">
        <v>5.62</v>
      </c>
      <c r="G519" t="n">
        <v>4900.82</v>
      </c>
      <c r="H519" t="n">
        <v>0</v>
      </c>
      <c r="I519" s="7">
        <f>F519*Summary!$B$5</f>
        <v/>
      </c>
      <c r="J519" s="7">
        <f>G519*Summary!$B$5</f>
        <v/>
      </c>
      <c r="K519" s="7">
        <f>H519*Summary!$B$5</f>
        <v/>
      </c>
    </row>
    <row r="520">
      <c r="A520" s="8" t="n">
        <v>44965</v>
      </c>
      <c r="B520" t="inlineStr">
        <is>
          <t>FY22-23</t>
        </is>
      </c>
      <c r="C520" t="inlineStr">
        <is>
          <t>CW</t>
        </is>
      </c>
      <c r="D520" t="inlineStr">
        <is>
          <t>09:17</t>
        </is>
      </c>
      <c r="E520" t="n">
        <v>2</v>
      </c>
      <c r="F520" t="n">
        <v>24.27</v>
      </c>
      <c r="G520" t="n">
        <v>4925.09</v>
      </c>
      <c r="H520" t="n">
        <v>0</v>
      </c>
      <c r="I520" s="7">
        <f>F520*Summary!$B$5</f>
        <v/>
      </c>
      <c r="J520" s="7">
        <f>G520*Summary!$B$5</f>
        <v/>
      </c>
      <c r="K520" s="7">
        <f>H520*Summary!$B$5</f>
        <v/>
      </c>
    </row>
    <row r="521">
      <c r="A521" s="8" t="n">
        <v>44966</v>
      </c>
      <c r="B521" t="inlineStr">
        <is>
          <t>FY22-23</t>
        </is>
      </c>
      <c r="C521" t="inlineStr">
        <is>
          <t>CW</t>
        </is>
      </c>
      <c r="D521" t="inlineStr">
        <is>
          <t>09:16</t>
        </is>
      </c>
      <c r="E521" t="n">
        <v>1</v>
      </c>
      <c r="F521" t="n">
        <v>58.62</v>
      </c>
      <c r="G521" t="n">
        <v>4983.71</v>
      </c>
      <c r="H521" t="n">
        <v>0</v>
      </c>
      <c r="I521" s="7">
        <f>F521*Summary!$B$5</f>
        <v/>
      </c>
      <c r="J521" s="7">
        <f>G521*Summary!$B$5</f>
        <v/>
      </c>
      <c r="K521" s="7">
        <f>H521*Summary!$B$5</f>
        <v/>
      </c>
    </row>
    <row r="522">
      <c r="A522" s="8" t="n">
        <v>44967</v>
      </c>
      <c r="B522" t="inlineStr">
        <is>
          <t>FY22-23</t>
        </is>
      </c>
      <c r="C522" t="inlineStr">
        <is>
          <t>CW</t>
        </is>
      </c>
      <c r="D522" t="inlineStr">
        <is>
          <t>09:18</t>
        </is>
      </c>
      <c r="E522" t="n">
        <v>6</v>
      </c>
      <c r="F522" t="n">
        <v>18.39</v>
      </c>
      <c r="G522" t="n">
        <v>5002.1</v>
      </c>
      <c r="H522" t="n">
        <v>0</v>
      </c>
      <c r="I522" s="7">
        <f>F522*Summary!$B$5</f>
        <v/>
      </c>
      <c r="J522" s="7">
        <f>G522*Summary!$B$5</f>
        <v/>
      </c>
      <c r="K522" s="7">
        <f>H522*Summary!$B$5</f>
        <v/>
      </c>
    </row>
    <row r="523">
      <c r="A523" s="8" t="n">
        <v>44970</v>
      </c>
      <c r="B523" t="inlineStr">
        <is>
          <t>FY22-23</t>
        </is>
      </c>
      <c r="C523" t="inlineStr">
        <is>
          <t>CW</t>
        </is>
      </c>
      <c r="D523" t="inlineStr">
        <is>
          <t>09:18</t>
        </is>
      </c>
      <c r="E523" t="n">
        <v>4</v>
      </c>
      <c r="F523" t="n">
        <v>-38.8</v>
      </c>
      <c r="G523" t="n">
        <v>4963.3</v>
      </c>
      <c r="H523" t="n">
        <v>-38.8</v>
      </c>
      <c r="I523" s="7">
        <f>F523*Summary!$B$5</f>
        <v/>
      </c>
      <c r="J523" s="7">
        <f>G523*Summary!$B$5</f>
        <v/>
      </c>
      <c r="K523" s="7">
        <f>H523*Summary!$B$5</f>
        <v/>
      </c>
    </row>
    <row r="524">
      <c r="A524" s="8" t="n">
        <v>44971</v>
      </c>
      <c r="B524" t="inlineStr">
        <is>
          <t>FY22-23</t>
        </is>
      </c>
      <c r="C524" t="inlineStr">
        <is>
          <t>CW</t>
        </is>
      </c>
      <c r="D524" t="inlineStr">
        <is>
          <t>09:18</t>
        </is>
      </c>
      <c r="E524" t="n">
        <v>3</v>
      </c>
      <c r="F524" t="n">
        <v>-3.6</v>
      </c>
      <c r="G524" t="n">
        <v>4959.7</v>
      </c>
      <c r="H524" t="n">
        <v>-42.41</v>
      </c>
      <c r="I524" s="7">
        <f>F524*Summary!$B$5</f>
        <v/>
      </c>
      <c r="J524" s="7">
        <f>G524*Summary!$B$5</f>
        <v/>
      </c>
      <c r="K524" s="7">
        <f>H524*Summary!$B$5</f>
        <v/>
      </c>
    </row>
    <row r="525">
      <c r="A525" s="8" t="n">
        <v>44972</v>
      </c>
      <c r="B525" t="inlineStr">
        <is>
          <t>FY22-23</t>
        </is>
      </c>
      <c r="C525" t="inlineStr">
        <is>
          <t>CW</t>
        </is>
      </c>
      <c r="D525" t="inlineStr">
        <is>
          <t>09:17</t>
        </is>
      </c>
      <c r="E525" t="n">
        <v>2</v>
      </c>
      <c r="F525" t="n">
        <v>21.1</v>
      </c>
      <c r="G525" t="n">
        <v>4980.8</v>
      </c>
      <c r="H525" t="n">
        <v>-21.31</v>
      </c>
      <c r="I525" s="7">
        <f>F525*Summary!$B$5</f>
        <v/>
      </c>
      <c r="J525" s="7">
        <f>G525*Summary!$B$5</f>
        <v/>
      </c>
      <c r="K525" s="7">
        <f>H525*Summary!$B$5</f>
        <v/>
      </c>
    </row>
    <row r="526">
      <c r="A526" s="8" t="n">
        <v>44973</v>
      </c>
      <c r="B526" t="inlineStr">
        <is>
          <t>FY22-23</t>
        </is>
      </c>
      <c r="C526" t="inlineStr">
        <is>
          <t>CW</t>
        </is>
      </c>
      <c r="D526" t="inlineStr">
        <is>
          <t>09:18</t>
        </is>
      </c>
      <c r="E526" t="n">
        <v>1</v>
      </c>
      <c r="F526" t="n">
        <v>35.87</v>
      </c>
      <c r="G526" t="n">
        <v>5016.67</v>
      </c>
      <c r="H526" t="n">
        <v>0</v>
      </c>
      <c r="I526" s="7">
        <f>F526*Summary!$B$5</f>
        <v/>
      </c>
      <c r="J526" s="7">
        <f>G526*Summary!$B$5</f>
        <v/>
      </c>
      <c r="K526" s="7">
        <f>H526*Summary!$B$5</f>
        <v/>
      </c>
    </row>
    <row r="527">
      <c r="A527" s="8" t="n">
        <v>44974</v>
      </c>
      <c r="B527" t="inlineStr">
        <is>
          <t>FY22-23</t>
        </is>
      </c>
      <c r="C527" t="inlineStr"/>
      <c r="D527" t="inlineStr"/>
      <c r="E527" t="n">
        <v>0</v>
      </c>
      <c r="F527" t="n">
        <v>0</v>
      </c>
      <c r="G527" t="n">
        <v>5016.67</v>
      </c>
      <c r="H527" t="n">
        <v>0</v>
      </c>
      <c r="I527" s="7">
        <f>F527*Summary!$B$5</f>
        <v/>
      </c>
      <c r="J527" s="7">
        <f>G527*Summary!$B$5</f>
        <v/>
      </c>
      <c r="K527" s="7">
        <f>H527*Summary!$B$5</f>
        <v/>
      </c>
    </row>
    <row r="528">
      <c r="A528" s="8" t="n">
        <v>44977</v>
      </c>
      <c r="B528" t="inlineStr">
        <is>
          <t>FY22-23</t>
        </is>
      </c>
      <c r="C528" t="inlineStr">
        <is>
          <t>n/a</t>
        </is>
      </c>
      <c r="D528" t="inlineStr"/>
      <c r="E528" t="n">
        <v>0</v>
      </c>
      <c r="F528" t="n">
        <v>-12.47</v>
      </c>
      <c r="G528" t="n">
        <v>5004.2</v>
      </c>
      <c r="H528" t="n">
        <v>-12.47</v>
      </c>
      <c r="I528" s="7">
        <f>F528*Summary!$B$5</f>
        <v/>
      </c>
      <c r="J528" s="7">
        <f>G528*Summary!$B$5</f>
        <v/>
      </c>
      <c r="K528" s="7">
        <f>H528*Summary!$B$5</f>
        <v/>
      </c>
    </row>
    <row r="529">
      <c r="A529" s="8" t="n">
        <v>44978</v>
      </c>
      <c r="B529" t="inlineStr">
        <is>
          <t>FY22-23</t>
        </is>
      </c>
      <c r="C529" t="inlineStr">
        <is>
          <t>CW</t>
        </is>
      </c>
      <c r="D529" t="inlineStr">
        <is>
          <t>09:18</t>
        </is>
      </c>
      <c r="E529" t="n">
        <v>3</v>
      </c>
      <c r="F529" t="n">
        <v>7.71</v>
      </c>
      <c r="G529" t="n">
        <v>5011.91</v>
      </c>
      <c r="H529" t="n">
        <v>-4.76</v>
      </c>
      <c r="I529" s="7">
        <f>F529*Summary!$B$5</f>
        <v/>
      </c>
      <c r="J529" s="7">
        <f>G529*Summary!$B$5</f>
        <v/>
      </c>
      <c r="K529" s="7">
        <f>H529*Summary!$B$5</f>
        <v/>
      </c>
    </row>
    <row r="530">
      <c r="A530" s="8" t="n">
        <v>44979</v>
      </c>
      <c r="B530" t="inlineStr">
        <is>
          <t>FY22-23</t>
        </is>
      </c>
      <c r="C530" t="inlineStr">
        <is>
          <t>CW</t>
        </is>
      </c>
      <c r="D530" t="inlineStr">
        <is>
          <t>09:17</t>
        </is>
      </c>
      <c r="E530" t="n">
        <v>2</v>
      </c>
      <c r="F530" t="n">
        <v>-37.48</v>
      </c>
      <c r="G530" t="n">
        <v>4974.44</v>
      </c>
      <c r="H530" t="n">
        <v>-42.23</v>
      </c>
      <c r="I530" s="7">
        <f>F530*Summary!$B$5</f>
        <v/>
      </c>
      <c r="J530" s="7">
        <f>G530*Summary!$B$5</f>
        <v/>
      </c>
      <c r="K530" s="7">
        <f>H530*Summary!$B$5</f>
        <v/>
      </c>
    </row>
    <row r="531">
      <c r="A531" s="8" t="n">
        <v>44980</v>
      </c>
      <c r="B531" t="inlineStr">
        <is>
          <t>FY22-23</t>
        </is>
      </c>
      <c r="C531" t="inlineStr">
        <is>
          <t>CW</t>
        </is>
      </c>
      <c r="D531" t="inlineStr">
        <is>
          <t>09:17</t>
        </is>
      </c>
      <c r="E531" t="n">
        <v>1</v>
      </c>
      <c r="F531" t="n">
        <v>-0.85</v>
      </c>
      <c r="G531" t="n">
        <v>4973.59</v>
      </c>
      <c r="H531" t="n">
        <v>-43.08</v>
      </c>
      <c r="I531" s="7">
        <f>F531*Summary!$B$5</f>
        <v/>
      </c>
      <c r="J531" s="7">
        <f>G531*Summary!$B$5</f>
        <v/>
      </c>
      <c r="K531" s="7">
        <f>H531*Summary!$B$5</f>
        <v/>
      </c>
    </row>
    <row r="532">
      <c r="A532" s="8" t="n">
        <v>44981</v>
      </c>
      <c r="B532" t="inlineStr">
        <is>
          <t>FY22-23</t>
        </is>
      </c>
      <c r="C532" t="inlineStr">
        <is>
          <t>n/a</t>
        </is>
      </c>
      <c r="D532" t="inlineStr"/>
      <c r="E532" t="n">
        <v>0</v>
      </c>
      <c r="F532" t="n">
        <v>19.43</v>
      </c>
      <c r="G532" t="n">
        <v>4993.02</v>
      </c>
      <c r="H532" t="n">
        <v>-23.65</v>
      </c>
      <c r="I532" s="7">
        <f>F532*Summary!$B$5</f>
        <v/>
      </c>
      <c r="J532" s="7">
        <f>G532*Summary!$B$5</f>
        <v/>
      </c>
      <c r="K532" s="7">
        <f>H532*Summary!$B$5</f>
        <v/>
      </c>
    </row>
    <row r="533">
      <c r="A533" s="8" t="n">
        <v>44984</v>
      </c>
      <c r="B533" t="inlineStr">
        <is>
          <t>FY22-23</t>
        </is>
      </c>
      <c r="C533" t="inlineStr">
        <is>
          <t>CW</t>
        </is>
      </c>
      <c r="D533" t="inlineStr">
        <is>
          <t>09:18</t>
        </is>
      </c>
      <c r="E533" t="n">
        <v>4</v>
      </c>
      <c r="F533" t="n">
        <v>-2.94</v>
      </c>
      <c r="G533" t="n">
        <v>4990.08</v>
      </c>
      <c r="H533" t="n">
        <v>-26.59</v>
      </c>
      <c r="I533" s="7">
        <f>F533*Summary!$B$5</f>
        <v/>
      </c>
      <c r="J533" s="7">
        <f>G533*Summary!$B$5</f>
        <v/>
      </c>
      <c r="K533" s="7">
        <f>H533*Summary!$B$5</f>
        <v/>
      </c>
    </row>
    <row r="534">
      <c r="A534" s="8" t="n">
        <v>44985</v>
      </c>
      <c r="B534" t="inlineStr">
        <is>
          <t>FY22-23</t>
        </is>
      </c>
      <c r="C534" t="inlineStr">
        <is>
          <t>CW</t>
        </is>
      </c>
      <c r="D534" t="inlineStr">
        <is>
          <t>09:16</t>
        </is>
      </c>
      <c r="E534" t="n">
        <v>3</v>
      </c>
      <c r="F534" t="n">
        <v>14.07</v>
      </c>
      <c r="G534" t="n">
        <v>5004.15</v>
      </c>
      <c r="H534" t="n">
        <v>-12.52</v>
      </c>
      <c r="I534" s="7">
        <f>F534*Summary!$B$5</f>
        <v/>
      </c>
      <c r="J534" s="7">
        <f>G534*Summary!$B$5</f>
        <v/>
      </c>
      <c r="K534" s="7">
        <f>H534*Summary!$B$5</f>
        <v/>
      </c>
    </row>
    <row r="535">
      <c r="A535" s="8" t="n">
        <v>44986</v>
      </c>
      <c r="B535" t="inlineStr">
        <is>
          <t>FY22-23</t>
        </is>
      </c>
      <c r="C535" t="inlineStr">
        <is>
          <t>CW</t>
        </is>
      </c>
      <c r="D535" t="inlineStr">
        <is>
          <t>09:17</t>
        </is>
      </c>
      <c r="E535" t="n">
        <v>2</v>
      </c>
      <c r="F535" t="n">
        <v>37.19</v>
      </c>
      <c r="G535" t="n">
        <v>5041.34</v>
      </c>
      <c r="H535" t="n">
        <v>0</v>
      </c>
      <c r="I535" s="7">
        <f>F535*Summary!$B$5</f>
        <v/>
      </c>
      <c r="J535" s="7">
        <f>G535*Summary!$B$5</f>
        <v/>
      </c>
      <c r="K535" s="7">
        <f>H535*Summary!$B$5</f>
        <v/>
      </c>
    </row>
    <row r="536">
      <c r="A536" s="8" t="n">
        <v>44987</v>
      </c>
      <c r="B536" t="inlineStr">
        <is>
          <t>FY22-23</t>
        </is>
      </c>
      <c r="C536" t="inlineStr">
        <is>
          <t>CW</t>
        </is>
      </c>
      <c r="D536" t="inlineStr">
        <is>
          <t>09:18</t>
        </is>
      </c>
      <c r="E536" t="n">
        <v>1</v>
      </c>
      <c r="F536" t="n">
        <v>6.17</v>
      </c>
      <c r="G536" t="n">
        <v>5047.51</v>
      </c>
      <c r="H536" t="n">
        <v>0</v>
      </c>
      <c r="I536" s="7">
        <f>F536*Summary!$B$5</f>
        <v/>
      </c>
      <c r="J536" s="7">
        <f>G536*Summary!$B$5</f>
        <v/>
      </c>
      <c r="K536" s="7">
        <f>H536*Summary!$B$5</f>
        <v/>
      </c>
    </row>
    <row r="537">
      <c r="A537" s="8" t="n">
        <v>44988</v>
      </c>
      <c r="B537" t="inlineStr">
        <is>
          <t>FY22-23</t>
        </is>
      </c>
      <c r="C537" t="inlineStr"/>
      <c r="D537" t="inlineStr"/>
      <c r="E537" t="n">
        <v>0</v>
      </c>
      <c r="F537" t="n">
        <v>0</v>
      </c>
      <c r="G537" t="n">
        <v>5047.51</v>
      </c>
      <c r="H537" t="n">
        <v>0</v>
      </c>
      <c r="I537" s="7">
        <f>F537*Summary!$B$5</f>
        <v/>
      </c>
      <c r="J537" s="7">
        <f>G537*Summary!$B$5</f>
        <v/>
      </c>
      <c r="K537" s="7">
        <f>H537*Summary!$B$5</f>
        <v/>
      </c>
    </row>
    <row r="538">
      <c r="A538" s="8" t="n">
        <v>44991</v>
      </c>
      <c r="B538" t="inlineStr">
        <is>
          <t>FY22-23</t>
        </is>
      </c>
      <c r="C538" t="inlineStr"/>
      <c r="D538" t="inlineStr"/>
      <c r="E538" t="n">
        <v>0</v>
      </c>
      <c r="F538" t="n">
        <v>0</v>
      </c>
      <c r="G538" t="n">
        <v>5047.51</v>
      </c>
      <c r="H538" t="n">
        <v>0</v>
      </c>
      <c r="I538" s="7">
        <f>F538*Summary!$B$5</f>
        <v/>
      </c>
      <c r="J538" s="7">
        <f>G538*Summary!$B$5</f>
        <v/>
      </c>
      <c r="K538" s="7">
        <f>H538*Summary!$B$5</f>
        <v/>
      </c>
    </row>
    <row r="539">
      <c r="A539" s="8" t="n">
        <v>44993</v>
      </c>
      <c r="B539" t="inlineStr">
        <is>
          <t>FY22-23</t>
        </is>
      </c>
      <c r="C539" t="inlineStr">
        <is>
          <t>CW</t>
        </is>
      </c>
      <c r="D539" t="inlineStr">
        <is>
          <t>09:18</t>
        </is>
      </c>
      <c r="E539" t="n">
        <v>2</v>
      </c>
      <c r="F539" t="n">
        <v>13.33</v>
      </c>
      <c r="G539" t="n">
        <v>5060.84</v>
      </c>
      <c r="H539" t="n">
        <v>0</v>
      </c>
      <c r="I539" s="7">
        <f>F539*Summary!$B$5</f>
        <v/>
      </c>
      <c r="J539" s="7">
        <f>G539*Summary!$B$5</f>
        <v/>
      </c>
      <c r="K539" s="7">
        <f>H539*Summary!$B$5</f>
        <v/>
      </c>
    </row>
    <row r="540">
      <c r="A540" s="8" t="n">
        <v>44994</v>
      </c>
      <c r="B540" t="inlineStr">
        <is>
          <t>FY22-23</t>
        </is>
      </c>
      <c r="C540" t="inlineStr">
        <is>
          <t>NW</t>
        </is>
      </c>
      <c r="D540" t="inlineStr"/>
      <c r="E540" t="n">
        <v>1</v>
      </c>
      <c r="F540" t="n">
        <v>-6.52</v>
      </c>
      <c r="G540" t="n">
        <v>5054.32</v>
      </c>
      <c r="H540" t="n">
        <v>-6.52</v>
      </c>
      <c r="I540" s="7">
        <f>F540*Summary!$B$5</f>
        <v/>
      </c>
      <c r="J540" s="7">
        <f>G540*Summary!$B$5</f>
        <v/>
      </c>
      <c r="K540" s="7">
        <f>H540*Summary!$B$5</f>
        <v/>
      </c>
    </row>
    <row r="541">
      <c r="A541" s="8" t="n">
        <v>44995</v>
      </c>
      <c r="B541" t="inlineStr">
        <is>
          <t>FY22-23</t>
        </is>
      </c>
      <c r="C541" t="inlineStr">
        <is>
          <t>CW</t>
        </is>
      </c>
      <c r="D541" t="inlineStr">
        <is>
          <t>09:16</t>
        </is>
      </c>
      <c r="E541" t="n">
        <v>6</v>
      </c>
      <c r="F541" t="n">
        <v>27.21</v>
      </c>
      <c r="G541" t="n">
        <v>5081.53</v>
      </c>
      <c r="H541" t="n">
        <v>0</v>
      </c>
      <c r="I541" s="7">
        <f>F541*Summary!$B$5</f>
        <v/>
      </c>
      <c r="J541" s="7">
        <f>G541*Summary!$B$5</f>
        <v/>
      </c>
      <c r="K541" s="7">
        <f>H541*Summary!$B$5</f>
        <v/>
      </c>
    </row>
    <row r="542">
      <c r="A542" s="8" t="n">
        <v>44998</v>
      </c>
      <c r="B542" t="inlineStr">
        <is>
          <t>FY22-23</t>
        </is>
      </c>
      <c r="C542" t="inlineStr">
        <is>
          <t>n/a</t>
        </is>
      </c>
      <c r="D542" t="inlineStr"/>
      <c r="E542" t="n">
        <v>0</v>
      </c>
      <c r="F542" t="n">
        <v>-42.61</v>
      </c>
      <c r="G542" t="n">
        <v>5038.93</v>
      </c>
      <c r="H542" t="n">
        <v>-42.61</v>
      </c>
      <c r="I542" s="7">
        <f>F542*Summary!$B$5</f>
        <v/>
      </c>
      <c r="J542" s="7">
        <f>G542*Summary!$B$5</f>
        <v/>
      </c>
      <c r="K542" s="7">
        <f>H542*Summary!$B$5</f>
        <v/>
      </c>
    </row>
    <row r="543">
      <c r="A543" s="8" t="n">
        <v>44999</v>
      </c>
      <c r="B543" t="inlineStr">
        <is>
          <t>FY22-23</t>
        </is>
      </c>
      <c r="C543" t="inlineStr"/>
      <c r="D543" t="inlineStr"/>
      <c r="E543" t="n">
        <v>0</v>
      </c>
      <c r="F543" t="n">
        <v>0</v>
      </c>
      <c r="G543" t="n">
        <v>5038.93</v>
      </c>
      <c r="H543" t="n">
        <v>-42.61</v>
      </c>
      <c r="I543" s="7">
        <f>F543*Summary!$B$5</f>
        <v/>
      </c>
      <c r="J543" s="7">
        <f>G543*Summary!$B$5</f>
        <v/>
      </c>
      <c r="K543" s="7">
        <f>H543*Summary!$B$5</f>
        <v/>
      </c>
    </row>
    <row r="544">
      <c r="A544" s="8" t="n">
        <v>45000</v>
      </c>
      <c r="B544" t="inlineStr">
        <is>
          <t>FY22-23</t>
        </is>
      </c>
      <c r="C544" t="inlineStr"/>
      <c r="D544" t="inlineStr"/>
      <c r="E544" t="n">
        <v>0</v>
      </c>
      <c r="F544" t="n">
        <v>0</v>
      </c>
      <c r="G544" t="n">
        <v>5038.93</v>
      </c>
      <c r="H544" t="n">
        <v>-42.61</v>
      </c>
      <c r="I544" s="7">
        <f>F544*Summary!$B$5</f>
        <v/>
      </c>
      <c r="J544" s="7">
        <f>G544*Summary!$B$5</f>
        <v/>
      </c>
      <c r="K544" s="7">
        <f>H544*Summary!$B$5</f>
        <v/>
      </c>
    </row>
    <row r="545">
      <c r="A545" s="8" t="n">
        <v>45001</v>
      </c>
      <c r="B545" t="inlineStr">
        <is>
          <t>FY22-23</t>
        </is>
      </c>
      <c r="C545" t="inlineStr">
        <is>
          <t>CW</t>
        </is>
      </c>
      <c r="D545" t="inlineStr">
        <is>
          <t>09:18</t>
        </is>
      </c>
      <c r="E545" t="n">
        <v>1</v>
      </c>
      <c r="F545" t="n">
        <v>-50.64</v>
      </c>
      <c r="G545" t="n">
        <v>4988.29</v>
      </c>
      <c r="H545" t="n">
        <v>-93.25</v>
      </c>
      <c r="I545" s="7">
        <f>F545*Summary!$B$5</f>
        <v/>
      </c>
      <c r="J545" s="7">
        <f>G545*Summary!$B$5</f>
        <v/>
      </c>
      <c r="K545" s="7">
        <f>H545*Summary!$B$5</f>
        <v/>
      </c>
    </row>
    <row r="546">
      <c r="A546" s="8" t="n">
        <v>45002</v>
      </c>
      <c r="B546" t="inlineStr">
        <is>
          <t>FY22-23</t>
        </is>
      </c>
      <c r="C546" t="inlineStr"/>
      <c r="D546" t="inlineStr"/>
      <c r="E546" t="n">
        <v>0</v>
      </c>
      <c r="F546" t="n">
        <v>0</v>
      </c>
      <c r="G546" t="n">
        <v>4988.29</v>
      </c>
      <c r="H546" t="n">
        <v>-93.25</v>
      </c>
      <c r="I546" s="7">
        <f>F546*Summary!$B$5</f>
        <v/>
      </c>
      <c r="J546" s="7">
        <f>G546*Summary!$B$5</f>
        <v/>
      </c>
      <c r="K546" s="7">
        <f>H546*Summary!$B$5</f>
        <v/>
      </c>
    </row>
    <row r="547">
      <c r="A547" s="8" t="n">
        <v>45005</v>
      </c>
      <c r="B547" t="inlineStr">
        <is>
          <t>FY22-23</t>
        </is>
      </c>
      <c r="C547" t="inlineStr"/>
      <c r="D547" t="inlineStr"/>
      <c r="E547" t="n">
        <v>0</v>
      </c>
      <c r="F547" t="n">
        <v>0</v>
      </c>
      <c r="G547" t="n">
        <v>4988.29</v>
      </c>
      <c r="H547" t="n">
        <v>-93.25</v>
      </c>
      <c r="I547" s="7">
        <f>F547*Summary!$B$5</f>
        <v/>
      </c>
      <c r="J547" s="7">
        <f>G547*Summary!$B$5</f>
        <v/>
      </c>
      <c r="K547" s="7">
        <f>H547*Summary!$B$5</f>
        <v/>
      </c>
    </row>
    <row r="548">
      <c r="A548" s="8" t="n">
        <v>45006</v>
      </c>
      <c r="B548" t="inlineStr">
        <is>
          <t>FY22-23</t>
        </is>
      </c>
      <c r="C548" t="inlineStr"/>
      <c r="D548" t="inlineStr"/>
      <c r="E548" t="n">
        <v>0</v>
      </c>
      <c r="F548" t="n">
        <v>0</v>
      </c>
      <c r="G548" t="n">
        <v>4988.29</v>
      </c>
      <c r="H548" t="n">
        <v>-93.25</v>
      </c>
      <c r="I548" s="7">
        <f>F548*Summary!$B$5</f>
        <v/>
      </c>
      <c r="J548" s="7">
        <f>G548*Summary!$B$5</f>
        <v/>
      </c>
      <c r="K548" s="7">
        <f>H548*Summary!$B$5</f>
        <v/>
      </c>
    </row>
    <row r="549">
      <c r="A549" s="8" t="n">
        <v>45007</v>
      </c>
      <c r="B549" t="inlineStr">
        <is>
          <t>FY22-23</t>
        </is>
      </c>
      <c r="C549" t="inlineStr">
        <is>
          <t>CW</t>
        </is>
      </c>
      <c r="D549" t="inlineStr">
        <is>
          <t>10:39</t>
        </is>
      </c>
      <c r="E549" t="n">
        <v>2</v>
      </c>
      <c r="F549" t="n">
        <v>1.8</v>
      </c>
      <c r="G549" t="n">
        <v>4990.09</v>
      </c>
      <c r="H549" t="n">
        <v>-91.44</v>
      </c>
      <c r="I549" s="7">
        <f>F549*Summary!$B$5</f>
        <v/>
      </c>
      <c r="J549" s="7">
        <f>G549*Summary!$B$5</f>
        <v/>
      </c>
      <c r="K549" s="7">
        <f>H549*Summary!$B$5</f>
        <v/>
      </c>
    </row>
    <row r="550">
      <c r="A550" s="8" t="n">
        <v>45008</v>
      </c>
      <c r="B550" t="inlineStr">
        <is>
          <t>FY22-23</t>
        </is>
      </c>
      <c r="C550" t="inlineStr">
        <is>
          <t>CW</t>
        </is>
      </c>
      <c r="D550" t="inlineStr">
        <is>
          <t>09:17</t>
        </is>
      </c>
      <c r="E550" t="n">
        <v>1</v>
      </c>
      <c r="F550" t="n">
        <v>10.66</v>
      </c>
      <c r="G550" t="n">
        <v>5000.76</v>
      </c>
      <c r="H550" t="n">
        <v>-80.78</v>
      </c>
      <c r="I550" s="7">
        <f>F550*Summary!$B$5</f>
        <v/>
      </c>
      <c r="J550" s="7">
        <f>G550*Summary!$B$5</f>
        <v/>
      </c>
      <c r="K550" s="7">
        <f>H550*Summary!$B$5</f>
        <v/>
      </c>
    </row>
    <row r="551">
      <c r="A551" s="8" t="n">
        <v>45009</v>
      </c>
      <c r="B551" t="inlineStr">
        <is>
          <t>FY22-23</t>
        </is>
      </c>
      <c r="C551" t="inlineStr">
        <is>
          <t>n/a</t>
        </is>
      </c>
      <c r="D551" t="inlineStr"/>
      <c r="E551" t="n">
        <v>0</v>
      </c>
      <c r="F551" t="n">
        <v>-17.02</v>
      </c>
      <c r="G551" t="n">
        <v>4983.74</v>
      </c>
      <c r="H551" t="n">
        <v>-97.8</v>
      </c>
      <c r="I551" s="7">
        <f>F551*Summary!$B$5</f>
        <v/>
      </c>
      <c r="J551" s="7">
        <f>G551*Summary!$B$5</f>
        <v/>
      </c>
      <c r="K551" s="7">
        <f>H551*Summary!$B$5</f>
        <v/>
      </c>
    </row>
    <row r="552">
      <c r="A552" s="8" t="n">
        <v>45012</v>
      </c>
      <c r="B552" t="inlineStr">
        <is>
          <t>FY22-23</t>
        </is>
      </c>
      <c r="C552" t="inlineStr">
        <is>
          <t>CW</t>
        </is>
      </c>
      <c r="D552" t="inlineStr">
        <is>
          <t>09:17</t>
        </is>
      </c>
      <c r="E552" t="n">
        <v>3</v>
      </c>
      <c r="F552" t="n">
        <v>10.51</v>
      </c>
      <c r="G552" t="n">
        <v>4994.25</v>
      </c>
      <c r="H552" t="n">
        <v>-87.29000000000001</v>
      </c>
      <c r="I552" s="7">
        <f>F552*Summary!$B$5</f>
        <v/>
      </c>
      <c r="J552" s="7">
        <f>G552*Summary!$B$5</f>
        <v/>
      </c>
      <c r="K552" s="7">
        <f>H552*Summary!$B$5</f>
        <v/>
      </c>
    </row>
    <row r="553">
      <c r="A553" s="8" t="n">
        <v>45013</v>
      </c>
      <c r="B553" t="inlineStr">
        <is>
          <t>FY22-23</t>
        </is>
      </c>
      <c r="C553" t="inlineStr">
        <is>
          <t>NW</t>
        </is>
      </c>
      <c r="D553" t="inlineStr"/>
      <c r="E553" t="n">
        <v>2</v>
      </c>
      <c r="F553" t="n">
        <v>5.74</v>
      </c>
      <c r="G553" t="n">
        <v>4999.99</v>
      </c>
      <c r="H553" t="n">
        <v>-81.55</v>
      </c>
      <c r="I553" s="7">
        <f>F553*Summary!$B$5</f>
        <v/>
      </c>
      <c r="J553" s="7">
        <f>G553*Summary!$B$5</f>
        <v/>
      </c>
      <c r="K553" s="7">
        <f>H553*Summary!$B$5</f>
        <v/>
      </c>
    </row>
    <row r="554">
      <c r="A554" s="8" t="n">
        <v>45014</v>
      </c>
      <c r="B554" t="inlineStr">
        <is>
          <t>FY22-23</t>
        </is>
      </c>
      <c r="C554" t="inlineStr">
        <is>
          <t>CW</t>
        </is>
      </c>
      <c r="D554" t="inlineStr">
        <is>
          <t>09:16</t>
        </is>
      </c>
      <c r="E554" t="n">
        <v>1</v>
      </c>
      <c r="F554" t="n">
        <v>20.21</v>
      </c>
      <c r="G554" t="n">
        <v>5020.2</v>
      </c>
      <c r="H554" t="n">
        <v>-61.33</v>
      </c>
      <c r="I554" s="7">
        <f>F554*Summary!$B$5</f>
        <v/>
      </c>
      <c r="J554" s="7">
        <f>G554*Summary!$B$5</f>
        <v/>
      </c>
      <c r="K554" s="7">
        <f>H554*Summary!$B$5</f>
        <v/>
      </c>
    </row>
    <row r="555">
      <c r="A555" s="8" t="n">
        <v>45016</v>
      </c>
      <c r="B555" t="inlineStr">
        <is>
          <t>FY22-23</t>
        </is>
      </c>
      <c r="C555" t="inlineStr"/>
      <c r="D555" t="inlineStr"/>
      <c r="E555" t="n">
        <v>0</v>
      </c>
      <c r="F555" t="n">
        <v>0</v>
      </c>
      <c r="G555" t="n">
        <v>5020.2</v>
      </c>
      <c r="H555" t="n">
        <v>-61.33</v>
      </c>
      <c r="I555" s="7">
        <f>F555*Summary!$B$5</f>
        <v/>
      </c>
      <c r="J555" s="7">
        <f>G555*Summary!$B$5</f>
        <v/>
      </c>
      <c r="K555" s="7">
        <f>H555*Summary!$B$5</f>
        <v/>
      </c>
    </row>
    <row r="556">
      <c r="A556" s="8" t="n">
        <v>45019</v>
      </c>
      <c r="B556" t="inlineStr">
        <is>
          <t>FY23-24</t>
        </is>
      </c>
      <c r="C556" t="inlineStr">
        <is>
          <t>n/a</t>
        </is>
      </c>
      <c r="D556" t="inlineStr"/>
      <c r="E556" t="n">
        <v>0</v>
      </c>
      <c r="F556" t="n">
        <v>38.66</v>
      </c>
      <c r="G556" t="n">
        <v>5058.86</v>
      </c>
      <c r="H556" t="n">
        <v>-22.67</v>
      </c>
      <c r="I556" s="7">
        <f>F556*Summary!$B$5</f>
        <v/>
      </c>
      <c r="J556" s="7">
        <f>G556*Summary!$B$5</f>
        <v/>
      </c>
      <c r="K556" s="7">
        <f>H556*Summary!$B$5</f>
        <v/>
      </c>
    </row>
    <row r="557">
      <c r="A557" s="8" t="n">
        <v>45021</v>
      </c>
      <c r="B557" t="inlineStr">
        <is>
          <t>FY23-24</t>
        </is>
      </c>
      <c r="C557" t="inlineStr">
        <is>
          <t>NW</t>
        </is>
      </c>
      <c r="D557" t="inlineStr"/>
      <c r="E557" t="n">
        <v>2</v>
      </c>
      <c r="F557" t="n">
        <v>5.13</v>
      </c>
      <c r="G557" t="n">
        <v>5063.99</v>
      </c>
      <c r="H557" t="n">
        <v>-17.54</v>
      </c>
      <c r="I557" s="7">
        <f>F557*Summary!$B$5</f>
        <v/>
      </c>
      <c r="J557" s="7">
        <f>G557*Summary!$B$5</f>
        <v/>
      </c>
      <c r="K557" s="7">
        <f>H557*Summary!$B$5</f>
        <v/>
      </c>
    </row>
    <row r="558">
      <c r="A558" s="8" t="n">
        <v>45022</v>
      </c>
      <c r="B558" t="inlineStr">
        <is>
          <t>FY23-24</t>
        </is>
      </c>
      <c r="C558" t="inlineStr">
        <is>
          <t>CW</t>
        </is>
      </c>
      <c r="D558" t="inlineStr">
        <is>
          <t>09:16</t>
        </is>
      </c>
      <c r="E558" t="n">
        <v>1</v>
      </c>
      <c r="F558" t="n">
        <v>2.55</v>
      </c>
      <c r="G558" t="n">
        <v>5066.55</v>
      </c>
      <c r="H558" t="n">
        <v>-14.98</v>
      </c>
      <c r="I558" s="7">
        <f>F558*Summary!$B$5</f>
        <v/>
      </c>
      <c r="J558" s="7">
        <f>G558*Summary!$B$5</f>
        <v/>
      </c>
      <c r="K558" s="7">
        <f>H558*Summary!$B$5</f>
        <v/>
      </c>
    </row>
    <row r="559">
      <c r="A559" s="8" t="n">
        <v>45026</v>
      </c>
      <c r="B559" t="inlineStr">
        <is>
          <t>FY23-24</t>
        </is>
      </c>
      <c r="C559" t="inlineStr"/>
      <c r="D559" t="inlineStr"/>
      <c r="E559" t="n">
        <v>0</v>
      </c>
      <c r="F559" t="n">
        <v>0</v>
      </c>
      <c r="G559" t="n">
        <v>5066.55</v>
      </c>
      <c r="H559" t="n">
        <v>-14.98</v>
      </c>
      <c r="I559" s="7">
        <f>F559*Summary!$B$5</f>
        <v/>
      </c>
      <c r="J559" s="7">
        <f>G559*Summary!$B$5</f>
        <v/>
      </c>
      <c r="K559" s="7">
        <f>H559*Summary!$B$5</f>
        <v/>
      </c>
    </row>
    <row r="560">
      <c r="A560" s="8" t="n">
        <v>45027</v>
      </c>
      <c r="B560" t="inlineStr">
        <is>
          <t>FY23-24</t>
        </is>
      </c>
      <c r="C560" t="inlineStr"/>
      <c r="D560" t="inlineStr"/>
      <c r="E560" t="n">
        <v>0</v>
      </c>
      <c r="F560" t="n">
        <v>0</v>
      </c>
      <c r="G560" t="n">
        <v>5066.55</v>
      </c>
      <c r="H560" t="n">
        <v>-14.98</v>
      </c>
      <c r="I560" s="7">
        <f>F560*Summary!$B$5</f>
        <v/>
      </c>
      <c r="J560" s="7">
        <f>G560*Summary!$B$5</f>
        <v/>
      </c>
      <c r="K560" s="7">
        <f>H560*Summary!$B$5</f>
        <v/>
      </c>
    </row>
    <row r="561">
      <c r="A561" s="8" t="n">
        <v>45028</v>
      </c>
      <c r="B561" t="inlineStr">
        <is>
          <t>FY23-24</t>
        </is>
      </c>
      <c r="C561" t="inlineStr">
        <is>
          <t>CW</t>
        </is>
      </c>
      <c r="D561" t="inlineStr">
        <is>
          <t>09:18</t>
        </is>
      </c>
      <c r="E561" t="n">
        <v>2</v>
      </c>
      <c r="F561" t="n">
        <v>-26.26</v>
      </c>
      <c r="G561" t="n">
        <v>5040.29</v>
      </c>
      <c r="H561" t="n">
        <v>-41.25</v>
      </c>
      <c r="I561" s="7">
        <f>F561*Summary!$B$5</f>
        <v/>
      </c>
      <c r="J561" s="7">
        <f>G561*Summary!$B$5</f>
        <v/>
      </c>
      <c r="K561" s="7">
        <f>H561*Summary!$B$5</f>
        <v/>
      </c>
    </row>
    <row r="562">
      <c r="A562" s="8" t="n">
        <v>45029</v>
      </c>
      <c r="B562" t="inlineStr">
        <is>
          <t>FY23-24</t>
        </is>
      </c>
      <c r="C562" t="inlineStr">
        <is>
          <t>CW</t>
        </is>
      </c>
      <c r="D562" t="inlineStr">
        <is>
          <t>09:18</t>
        </is>
      </c>
      <c r="E562" t="n">
        <v>1</v>
      </c>
      <c r="F562" t="n">
        <v>-0.89</v>
      </c>
      <c r="G562" t="n">
        <v>5039.4</v>
      </c>
      <c r="H562" t="n">
        <v>-42.13</v>
      </c>
      <c r="I562" s="7">
        <f>F562*Summary!$B$5</f>
        <v/>
      </c>
      <c r="J562" s="7">
        <f>G562*Summary!$B$5</f>
        <v/>
      </c>
      <c r="K562" s="7">
        <f>H562*Summary!$B$5</f>
        <v/>
      </c>
    </row>
    <row r="563">
      <c r="A563" s="8" t="n">
        <v>45033</v>
      </c>
      <c r="B563" t="inlineStr">
        <is>
          <t>FY23-24</t>
        </is>
      </c>
      <c r="C563" t="inlineStr">
        <is>
          <t>CW</t>
        </is>
      </c>
      <c r="D563" t="inlineStr">
        <is>
          <t>09:17</t>
        </is>
      </c>
      <c r="E563" t="n">
        <v>4</v>
      </c>
      <c r="F563" t="n">
        <v>31.34</v>
      </c>
      <c r="G563" t="n">
        <v>5070.74</v>
      </c>
      <c r="H563" t="n">
        <v>-10.8</v>
      </c>
      <c r="I563" s="7">
        <f>F563*Summary!$B$5</f>
        <v/>
      </c>
      <c r="J563" s="7">
        <f>G563*Summary!$B$5</f>
        <v/>
      </c>
      <c r="K563" s="7">
        <f>H563*Summary!$B$5</f>
        <v/>
      </c>
    </row>
    <row r="564">
      <c r="A564" s="8" t="n">
        <v>45034</v>
      </c>
      <c r="B564" t="inlineStr">
        <is>
          <t>FY23-24</t>
        </is>
      </c>
      <c r="C564" t="inlineStr"/>
      <c r="D564" t="inlineStr"/>
      <c r="E564" t="n">
        <v>0</v>
      </c>
      <c r="F564" t="n">
        <v>0</v>
      </c>
      <c r="G564" t="n">
        <v>5070.74</v>
      </c>
      <c r="H564" t="n">
        <v>-10.8</v>
      </c>
      <c r="I564" s="7">
        <f>F564*Summary!$B$5</f>
        <v/>
      </c>
      <c r="J564" s="7">
        <f>G564*Summary!$B$5</f>
        <v/>
      </c>
      <c r="K564" s="7">
        <f>H564*Summary!$B$5</f>
        <v/>
      </c>
    </row>
    <row r="565">
      <c r="A565" s="8" t="n">
        <v>45035</v>
      </c>
      <c r="B565" t="inlineStr">
        <is>
          <t>FY23-24</t>
        </is>
      </c>
      <c r="C565" t="inlineStr">
        <is>
          <t>CW</t>
        </is>
      </c>
      <c r="D565" t="inlineStr">
        <is>
          <t>09:18</t>
        </is>
      </c>
      <c r="E565" t="n">
        <v>2</v>
      </c>
      <c r="F565" t="n">
        <v>25.57</v>
      </c>
      <c r="G565" t="n">
        <v>5096.31</v>
      </c>
      <c r="H565" t="n">
        <v>0</v>
      </c>
      <c r="I565" s="7">
        <f>F565*Summary!$B$5</f>
        <v/>
      </c>
      <c r="J565" s="7">
        <f>G565*Summary!$B$5</f>
        <v/>
      </c>
      <c r="K565" s="7">
        <f>H565*Summary!$B$5</f>
        <v/>
      </c>
    </row>
    <row r="566">
      <c r="A566" s="8" t="n">
        <v>45036</v>
      </c>
      <c r="B566" t="inlineStr">
        <is>
          <t>FY23-24</t>
        </is>
      </c>
      <c r="C566" t="inlineStr"/>
      <c r="D566" t="inlineStr"/>
      <c r="E566" t="n">
        <v>0</v>
      </c>
      <c r="F566" t="n">
        <v>0</v>
      </c>
      <c r="G566" t="n">
        <v>5096.31</v>
      </c>
      <c r="H566" t="n">
        <v>0</v>
      </c>
      <c r="I566" s="7">
        <f>F566*Summary!$B$5</f>
        <v/>
      </c>
      <c r="J566" s="7">
        <f>G566*Summary!$B$5</f>
        <v/>
      </c>
      <c r="K566" s="7">
        <f>H566*Summary!$B$5</f>
        <v/>
      </c>
    </row>
    <row r="567">
      <c r="A567" s="8" t="n">
        <v>45037</v>
      </c>
      <c r="B567" t="inlineStr">
        <is>
          <t>FY23-24</t>
        </is>
      </c>
      <c r="C567" t="inlineStr"/>
      <c r="D567" t="inlineStr"/>
      <c r="E567" t="n">
        <v>0</v>
      </c>
      <c r="F567" t="n">
        <v>0</v>
      </c>
      <c r="G567" t="n">
        <v>5096.31</v>
      </c>
      <c r="H567" t="n">
        <v>0</v>
      </c>
      <c r="I567" s="7">
        <f>F567*Summary!$B$5</f>
        <v/>
      </c>
      <c r="J567" s="7">
        <f>G567*Summary!$B$5</f>
        <v/>
      </c>
      <c r="K567" s="7">
        <f>H567*Summary!$B$5</f>
        <v/>
      </c>
    </row>
    <row r="568">
      <c r="A568" s="8" t="n">
        <v>45040</v>
      </c>
      <c r="B568" t="inlineStr">
        <is>
          <t>FY23-24</t>
        </is>
      </c>
      <c r="C568" t="inlineStr"/>
      <c r="D568" t="inlineStr"/>
      <c r="E568" t="n">
        <v>0</v>
      </c>
      <c r="F568" t="n">
        <v>0</v>
      </c>
      <c r="G568" t="n">
        <v>5096.31</v>
      </c>
      <c r="H568" t="n">
        <v>0</v>
      </c>
      <c r="I568" s="7">
        <f>F568*Summary!$B$5</f>
        <v/>
      </c>
      <c r="J568" s="7">
        <f>G568*Summary!$B$5</f>
        <v/>
      </c>
      <c r="K568" s="7">
        <f>H568*Summary!$B$5</f>
        <v/>
      </c>
    </row>
    <row r="569">
      <c r="A569" s="8" t="n">
        <v>45041</v>
      </c>
      <c r="B569" t="inlineStr">
        <is>
          <t>FY23-24</t>
        </is>
      </c>
      <c r="C569" t="inlineStr"/>
      <c r="D569" t="inlineStr"/>
      <c r="E569" t="n">
        <v>0</v>
      </c>
      <c r="F569" t="n">
        <v>0</v>
      </c>
      <c r="G569" t="n">
        <v>5096.31</v>
      </c>
      <c r="H569" t="n">
        <v>0</v>
      </c>
      <c r="I569" s="7">
        <f>F569*Summary!$B$5</f>
        <v/>
      </c>
      <c r="J569" s="7">
        <f>G569*Summary!$B$5</f>
        <v/>
      </c>
      <c r="K569" s="7">
        <f>H569*Summary!$B$5</f>
        <v/>
      </c>
    </row>
    <row r="570">
      <c r="A570" s="8" t="n">
        <v>45042</v>
      </c>
      <c r="B570" t="inlineStr">
        <is>
          <t>FY23-24</t>
        </is>
      </c>
      <c r="C570" t="inlineStr">
        <is>
          <t>CW</t>
        </is>
      </c>
      <c r="D570" t="inlineStr">
        <is>
          <t>09:18</t>
        </is>
      </c>
      <c r="E570" t="n">
        <v>2</v>
      </c>
      <c r="F570" t="n">
        <v>-8.130000000000001</v>
      </c>
      <c r="G570" t="n">
        <v>5088.19</v>
      </c>
      <c r="H570" t="n">
        <v>-8.130000000000001</v>
      </c>
      <c r="I570" s="7">
        <f>F570*Summary!$B$5</f>
        <v/>
      </c>
      <c r="J570" s="7">
        <f>G570*Summary!$B$5</f>
        <v/>
      </c>
      <c r="K570" s="7">
        <f>H570*Summary!$B$5</f>
        <v/>
      </c>
    </row>
    <row r="571">
      <c r="A571" s="8" t="n">
        <v>45043</v>
      </c>
      <c r="B571" t="inlineStr">
        <is>
          <t>FY23-24</t>
        </is>
      </c>
      <c r="C571" t="inlineStr">
        <is>
          <t>CW</t>
        </is>
      </c>
      <c r="D571" t="inlineStr">
        <is>
          <t>09:18</t>
        </is>
      </c>
      <c r="E571" t="n">
        <v>1</v>
      </c>
      <c r="F571" t="n">
        <v>10.47</v>
      </c>
      <c r="G571" t="n">
        <v>5098.65</v>
      </c>
      <c r="H571" t="n">
        <v>0</v>
      </c>
      <c r="I571" s="7">
        <f>F571*Summary!$B$5</f>
        <v/>
      </c>
      <c r="J571" s="7">
        <f>G571*Summary!$B$5</f>
        <v/>
      </c>
      <c r="K571" s="7">
        <f>H571*Summary!$B$5</f>
        <v/>
      </c>
    </row>
    <row r="572">
      <c r="A572" s="8" t="n">
        <v>45044</v>
      </c>
      <c r="B572" t="inlineStr">
        <is>
          <t>FY23-24</t>
        </is>
      </c>
      <c r="C572" t="inlineStr">
        <is>
          <t>CW</t>
        </is>
      </c>
      <c r="D572" t="inlineStr">
        <is>
          <t>09:17</t>
        </is>
      </c>
      <c r="E572" t="n">
        <v>6</v>
      </c>
      <c r="F572" t="n">
        <v>21.85</v>
      </c>
      <c r="G572" t="n">
        <v>5120.51</v>
      </c>
      <c r="H572" t="n">
        <v>0</v>
      </c>
      <c r="I572" s="7">
        <f>F572*Summary!$B$5</f>
        <v/>
      </c>
      <c r="J572" s="7">
        <f>G572*Summary!$B$5</f>
        <v/>
      </c>
      <c r="K572" s="7">
        <f>H572*Summary!$B$5</f>
        <v/>
      </c>
    </row>
    <row r="573">
      <c r="A573" s="8" t="n">
        <v>45048</v>
      </c>
      <c r="B573" t="inlineStr">
        <is>
          <t>FY23-24</t>
        </is>
      </c>
      <c r="C573" t="inlineStr"/>
      <c r="D573" t="inlineStr"/>
      <c r="E573" t="n">
        <v>0</v>
      </c>
      <c r="F573" t="n">
        <v>0</v>
      </c>
      <c r="G573" t="n">
        <v>5120.51</v>
      </c>
      <c r="H573" t="n">
        <v>0</v>
      </c>
      <c r="I573" s="7">
        <f>F573*Summary!$B$5</f>
        <v/>
      </c>
      <c r="J573" s="7">
        <f>G573*Summary!$B$5</f>
        <v/>
      </c>
      <c r="K573" s="7">
        <f>H573*Summary!$B$5</f>
        <v/>
      </c>
    </row>
    <row r="574">
      <c r="A574" s="8" t="n">
        <v>45049</v>
      </c>
      <c r="B574" t="inlineStr">
        <is>
          <t>FY23-24</t>
        </is>
      </c>
      <c r="C574" t="inlineStr"/>
      <c r="D574" t="inlineStr"/>
      <c r="E574" t="n">
        <v>0</v>
      </c>
      <c r="F574" t="n">
        <v>0</v>
      </c>
      <c r="G574" t="n">
        <v>5120.51</v>
      </c>
      <c r="H574" t="n">
        <v>0</v>
      </c>
      <c r="I574" s="7">
        <f>F574*Summary!$B$5</f>
        <v/>
      </c>
      <c r="J574" s="7">
        <f>G574*Summary!$B$5</f>
        <v/>
      </c>
      <c r="K574" s="7">
        <f>H574*Summary!$B$5</f>
        <v/>
      </c>
    </row>
    <row r="575">
      <c r="A575" s="8" t="n">
        <v>45050</v>
      </c>
      <c r="B575" t="inlineStr">
        <is>
          <t>FY23-24</t>
        </is>
      </c>
      <c r="C575" t="inlineStr">
        <is>
          <t>NW</t>
        </is>
      </c>
      <c r="D575" t="inlineStr"/>
      <c r="E575" t="n">
        <v>0</v>
      </c>
      <c r="F575" t="n">
        <v>0.87</v>
      </c>
      <c r="G575" t="n">
        <v>5121.38</v>
      </c>
      <c r="H575" t="n">
        <v>0</v>
      </c>
      <c r="I575" s="7">
        <f>F575*Summary!$B$5</f>
        <v/>
      </c>
      <c r="J575" s="7">
        <f>G575*Summary!$B$5</f>
        <v/>
      </c>
      <c r="K575" s="7">
        <f>H575*Summary!$B$5</f>
        <v/>
      </c>
    </row>
    <row r="576">
      <c r="A576" s="8" t="n">
        <v>45051</v>
      </c>
      <c r="B576" t="inlineStr">
        <is>
          <t>FY23-24</t>
        </is>
      </c>
      <c r="C576" t="inlineStr"/>
      <c r="D576" t="inlineStr"/>
      <c r="E576" t="n">
        <v>0</v>
      </c>
      <c r="F576" t="n">
        <v>0</v>
      </c>
      <c r="G576" t="n">
        <v>5121.38</v>
      </c>
      <c r="H576" t="n">
        <v>0</v>
      </c>
      <c r="I576" s="7">
        <f>F576*Summary!$B$5</f>
        <v/>
      </c>
      <c r="J576" s="7">
        <f>G576*Summary!$B$5</f>
        <v/>
      </c>
      <c r="K576" s="7">
        <f>H576*Summary!$B$5</f>
        <v/>
      </c>
    </row>
    <row r="577">
      <c r="A577" s="8" t="n">
        <v>45054</v>
      </c>
      <c r="B577" t="inlineStr">
        <is>
          <t>FY23-24</t>
        </is>
      </c>
      <c r="C577" t="inlineStr"/>
      <c r="D577" t="inlineStr"/>
      <c r="E577" t="n">
        <v>0</v>
      </c>
      <c r="F577" t="n">
        <v>0</v>
      </c>
      <c r="G577" t="n">
        <v>5121.38</v>
      </c>
      <c r="H577" t="n">
        <v>0</v>
      </c>
      <c r="I577" s="7">
        <f>F577*Summary!$B$5</f>
        <v/>
      </c>
      <c r="J577" s="7">
        <f>G577*Summary!$B$5</f>
        <v/>
      </c>
      <c r="K577" s="7">
        <f>H577*Summary!$B$5</f>
        <v/>
      </c>
    </row>
    <row r="578">
      <c r="A578" s="8" t="n">
        <v>45055</v>
      </c>
      <c r="B578" t="inlineStr">
        <is>
          <t>FY23-24</t>
        </is>
      </c>
      <c r="C578" t="inlineStr">
        <is>
          <t>CW</t>
        </is>
      </c>
      <c r="D578" t="inlineStr">
        <is>
          <t>09:18</t>
        </is>
      </c>
      <c r="E578" t="n">
        <v>3</v>
      </c>
      <c r="F578" t="n">
        <v>2.11</v>
      </c>
      <c r="G578" t="n">
        <v>5123.49</v>
      </c>
      <c r="H578" t="n">
        <v>0</v>
      </c>
      <c r="I578" s="7">
        <f>F578*Summary!$B$5</f>
        <v/>
      </c>
      <c r="J578" s="7">
        <f>G578*Summary!$B$5</f>
        <v/>
      </c>
      <c r="K578" s="7">
        <f>H578*Summary!$B$5</f>
        <v/>
      </c>
    </row>
    <row r="579">
      <c r="A579" s="8" t="n">
        <v>45056</v>
      </c>
      <c r="B579" t="inlineStr">
        <is>
          <t>FY23-24</t>
        </is>
      </c>
      <c r="C579" t="inlineStr">
        <is>
          <t>CW</t>
        </is>
      </c>
      <c r="D579" t="inlineStr">
        <is>
          <t>09:18</t>
        </is>
      </c>
      <c r="E579" t="n">
        <v>2</v>
      </c>
      <c r="F579" t="n">
        <v>-14.9</v>
      </c>
      <c r="G579" t="n">
        <v>5108.59</v>
      </c>
      <c r="H579" t="n">
        <v>-14.9</v>
      </c>
      <c r="I579" s="7">
        <f>F579*Summary!$B$5</f>
        <v/>
      </c>
      <c r="J579" s="7">
        <f>G579*Summary!$B$5</f>
        <v/>
      </c>
      <c r="K579" s="7">
        <f>H579*Summary!$B$5</f>
        <v/>
      </c>
    </row>
    <row r="580">
      <c r="A580" s="8" t="n">
        <v>45057</v>
      </c>
      <c r="B580" t="inlineStr">
        <is>
          <t>FY23-24</t>
        </is>
      </c>
      <c r="C580" t="inlineStr">
        <is>
          <t>NW</t>
        </is>
      </c>
      <c r="D580" t="inlineStr"/>
      <c r="E580" t="n">
        <v>0</v>
      </c>
      <c r="F580" t="n">
        <v>6.45</v>
      </c>
      <c r="G580" t="n">
        <v>5115.04</v>
      </c>
      <c r="H580" t="n">
        <v>-8.449999999999999</v>
      </c>
      <c r="I580" s="7">
        <f>F580*Summary!$B$5</f>
        <v/>
      </c>
      <c r="J580" s="7">
        <f>G580*Summary!$B$5</f>
        <v/>
      </c>
      <c r="K580" s="7">
        <f>H580*Summary!$B$5</f>
        <v/>
      </c>
    </row>
    <row r="581">
      <c r="A581" s="8" t="n">
        <v>45058</v>
      </c>
      <c r="B581" t="inlineStr">
        <is>
          <t>FY23-24</t>
        </is>
      </c>
      <c r="C581" t="inlineStr"/>
      <c r="D581" t="inlineStr"/>
      <c r="E581" t="n">
        <v>0</v>
      </c>
      <c r="F581" t="n">
        <v>0</v>
      </c>
      <c r="G581" t="n">
        <v>5115.04</v>
      </c>
      <c r="H581" t="n">
        <v>-8.449999999999999</v>
      </c>
      <c r="I581" s="7">
        <f>F581*Summary!$B$5</f>
        <v/>
      </c>
      <c r="J581" s="7">
        <f>G581*Summary!$B$5</f>
        <v/>
      </c>
      <c r="K581" s="7">
        <f>H581*Summary!$B$5</f>
        <v/>
      </c>
    </row>
    <row r="582">
      <c r="A582" s="8" t="n">
        <v>45061</v>
      </c>
      <c r="B582" t="inlineStr">
        <is>
          <t>FY23-24</t>
        </is>
      </c>
      <c r="C582" t="inlineStr">
        <is>
          <t>CW</t>
        </is>
      </c>
      <c r="D582" t="inlineStr">
        <is>
          <t>09:18</t>
        </is>
      </c>
      <c r="E582" t="n">
        <v>4</v>
      </c>
      <c r="F582" t="n">
        <v>3.02</v>
      </c>
      <c r="G582" t="n">
        <v>5118.06</v>
      </c>
      <c r="H582" t="n">
        <v>-5.43</v>
      </c>
      <c r="I582" s="7">
        <f>F582*Summary!$B$5</f>
        <v/>
      </c>
      <c r="J582" s="7">
        <f>G582*Summary!$B$5</f>
        <v/>
      </c>
      <c r="K582" s="7">
        <f>H582*Summary!$B$5</f>
        <v/>
      </c>
    </row>
    <row r="583">
      <c r="A583" s="8" t="n">
        <v>45062</v>
      </c>
      <c r="B583" t="inlineStr">
        <is>
          <t>FY23-24</t>
        </is>
      </c>
      <c r="C583" t="inlineStr">
        <is>
          <t>CW</t>
        </is>
      </c>
      <c r="D583" t="inlineStr">
        <is>
          <t>09:18</t>
        </is>
      </c>
      <c r="E583" t="n">
        <v>3</v>
      </c>
      <c r="F583" t="n">
        <v>1.77</v>
      </c>
      <c r="G583" t="n">
        <v>5119.83</v>
      </c>
      <c r="H583" t="n">
        <v>-3.66</v>
      </c>
      <c r="I583" s="7">
        <f>F583*Summary!$B$5</f>
        <v/>
      </c>
      <c r="J583" s="7">
        <f>G583*Summary!$B$5</f>
        <v/>
      </c>
      <c r="K583" s="7">
        <f>H583*Summary!$B$5</f>
        <v/>
      </c>
    </row>
    <row r="584">
      <c r="A584" s="8" t="n">
        <v>45063</v>
      </c>
      <c r="B584" t="inlineStr">
        <is>
          <t>FY23-24</t>
        </is>
      </c>
      <c r="C584" t="inlineStr">
        <is>
          <t>CW</t>
        </is>
      </c>
      <c r="D584" t="inlineStr">
        <is>
          <t>09:18</t>
        </is>
      </c>
      <c r="E584" t="n">
        <v>2</v>
      </c>
      <c r="F584" t="n">
        <v>13.09</v>
      </c>
      <c r="G584" t="n">
        <v>5132.92</v>
      </c>
      <c r="H584" t="n">
        <v>0</v>
      </c>
      <c r="I584" s="7">
        <f>F584*Summary!$B$5</f>
        <v/>
      </c>
      <c r="J584" s="7">
        <f>G584*Summary!$B$5</f>
        <v/>
      </c>
      <c r="K584" s="7">
        <f>H584*Summary!$B$5</f>
        <v/>
      </c>
    </row>
    <row r="585">
      <c r="A585" s="8" t="n">
        <v>45064</v>
      </c>
      <c r="B585" t="inlineStr">
        <is>
          <t>FY23-24</t>
        </is>
      </c>
      <c r="C585" t="inlineStr">
        <is>
          <t>CW</t>
        </is>
      </c>
      <c r="D585" t="inlineStr">
        <is>
          <t>09:18</t>
        </is>
      </c>
      <c r="E585" t="n">
        <v>1</v>
      </c>
      <c r="F585" t="n">
        <v>-40.13</v>
      </c>
      <c r="G585" t="n">
        <v>5092.79</v>
      </c>
      <c r="H585" t="n">
        <v>-40.13</v>
      </c>
      <c r="I585" s="7">
        <f>F585*Summary!$B$5</f>
        <v/>
      </c>
      <c r="J585" s="7">
        <f>G585*Summary!$B$5</f>
        <v/>
      </c>
      <c r="K585" s="7">
        <f>H585*Summary!$B$5</f>
        <v/>
      </c>
    </row>
    <row r="586">
      <c r="A586" s="8" t="n">
        <v>45065</v>
      </c>
      <c r="B586" t="inlineStr">
        <is>
          <t>FY23-24</t>
        </is>
      </c>
      <c r="C586" t="inlineStr"/>
      <c r="D586" t="inlineStr"/>
      <c r="E586" t="n">
        <v>0</v>
      </c>
      <c r="F586" t="n">
        <v>0</v>
      </c>
      <c r="G586" t="n">
        <v>5092.79</v>
      </c>
      <c r="H586" t="n">
        <v>-40.13</v>
      </c>
      <c r="I586" s="7">
        <f>F586*Summary!$B$5</f>
        <v/>
      </c>
      <c r="J586" s="7">
        <f>G586*Summary!$B$5</f>
        <v/>
      </c>
      <c r="K586" s="7">
        <f>H586*Summary!$B$5</f>
        <v/>
      </c>
    </row>
    <row r="587">
      <c r="A587" s="8" t="n">
        <v>45068</v>
      </c>
      <c r="B587" t="inlineStr">
        <is>
          <t>FY23-24</t>
        </is>
      </c>
      <c r="C587" t="inlineStr"/>
      <c r="D587" t="inlineStr"/>
      <c r="E587" t="n">
        <v>0</v>
      </c>
      <c r="F587" t="n">
        <v>0</v>
      </c>
      <c r="G587" t="n">
        <v>5092.79</v>
      </c>
      <c r="H587" t="n">
        <v>-40.13</v>
      </c>
      <c r="I587" s="7">
        <f>F587*Summary!$B$5</f>
        <v/>
      </c>
      <c r="J587" s="7">
        <f>G587*Summary!$B$5</f>
        <v/>
      </c>
      <c r="K587" s="7">
        <f>H587*Summary!$B$5</f>
        <v/>
      </c>
    </row>
    <row r="588">
      <c r="A588" s="8" t="n">
        <v>45069</v>
      </c>
      <c r="B588" t="inlineStr">
        <is>
          <t>FY23-24</t>
        </is>
      </c>
      <c r="C588" t="inlineStr">
        <is>
          <t>CW</t>
        </is>
      </c>
      <c r="D588" t="inlineStr">
        <is>
          <t>09:18</t>
        </is>
      </c>
      <c r="E588" t="n">
        <v>3</v>
      </c>
      <c r="F588" t="n">
        <v>15.42</v>
      </c>
      <c r="G588" t="n">
        <v>5108.21</v>
      </c>
      <c r="H588" t="n">
        <v>-24.71</v>
      </c>
      <c r="I588" s="7">
        <f>F588*Summary!$B$5</f>
        <v/>
      </c>
      <c r="J588" s="7">
        <f>G588*Summary!$B$5</f>
        <v/>
      </c>
      <c r="K588" s="7">
        <f>H588*Summary!$B$5</f>
        <v/>
      </c>
    </row>
    <row r="589">
      <c r="A589" s="8" t="n">
        <v>45070</v>
      </c>
      <c r="B589" t="inlineStr">
        <is>
          <t>FY23-24</t>
        </is>
      </c>
      <c r="C589" t="inlineStr">
        <is>
          <t>CW</t>
        </is>
      </c>
      <c r="D589" t="inlineStr">
        <is>
          <t>09:18</t>
        </is>
      </c>
      <c r="E589" t="n">
        <v>2</v>
      </c>
      <c r="F589" t="n">
        <v>-13.59</v>
      </c>
      <c r="G589" t="n">
        <v>5094.61</v>
      </c>
      <c r="H589" t="n">
        <v>-38.31</v>
      </c>
      <c r="I589" s="7">
        <f>F589*Summary!$B$5</f>
        <v/>
      </c>
      <c r="J589" s="7">
        <f>G589*Summary!$B$5</f>
        <v/>
      </c>
      <c r="K589" s="7">
        <f>H589*Summary!$B$5</f>
        <v/>
      </c>
    </row>
    <row r="590">
      <c r="A590" s="8" t="n">
        <v>45071</v>
      </c>
      <c r="B590" t="inlineStr">
        <is>
          <t>FY23-24</t>
        </is>
      </c>
      <c r="C590" t="inlineStr">
        <is>
          <t>NW</t>
        </is>
      </c>
      <c r="D590" t="inlineStr"/>
      <c r="E590" t="n">
        <v>1</v>
      </c>
      <c r="F590" t="n">
        <v>15.16</v>
      </c>
      <c r="G590" t="n">
        <v>5109.77</v>
      </c>
      <c r="H590" t="n">
        <v>-23.15</v>
      </c>
      <c r="I590" s="7">
        <f>F590*Summary!$B$5</f>
        <v/>
      </c>
      <c r="J590" s="7">
        <f>G590*Summary!$B$5</f>
        <v/>
      </c>
      <c r="K590" s="7">
        <f>H590*Summary!$B$5</f>
        <v/>
      </c>
    </row>
    <row r="591">
      <c r="A591" s="8" t="n">
        <v>45072</v>
      </c>
      <c r="B591" t="inlineStr">
        <is>
          <t>FY23-24</t>
        </is>
      </c>
      <c r="C591" t="inlineStr">
        <is>
          <t>CW</t>
        </is>
      </c>
      <c r="D591" t="inlineStr">
        <is>
          <t>09:18</t>
        </is>
      </c>
      <c r="E591" t="n">
        <v>6</v>
      </c>
      <c r="F591" t="n">
        <v>-14.26</v>
      </c>
      <c r="G591" t="n">
        <v>5095.51</v>
      </c>
      <c r="H591" t="n">
        <v>-37.41</v>
      </c>
      <c r="I591" s="7">
        <f>F591*Summary!$B$5</f>
        <v/>
      </c>
      <c r="J591" s="7">
        <f>G591*Summary!$B$5</f>
        <v/>
      </c>
      <c r="K591" s="7">
        <f>H591*Summary!$B$5</f>
        <v/>
      </c>
    </row>
    <row r="592">
      <c r="A592" s="8" t="n">
        <v>45075</v>
      </c>
      <c r="B592" t="inlineStr">
        <is>
          <t>FY23-24</t>
        </is>
      </c>
      <c r="C592" t="inlineStr">
        <is>
          <t>CW</t>
        </is>
      </c>
      <c r="D592" t="inlineStr">
        <is>
          <t>09:18</t>
        </is>
      </c>
      <c r="E592" t="n">
        <v>4</v>
      </c>
      <c r="F592" t="n">
        <v>18.6</v>
      </c>
      <c r="G592" t="n">
        <v>5114.11</v>
      </c>
      <c r="H592" t="n">
        <v>-18.81</v>
      </c>
      <c r="I592" s="7">
        <f>F592*Summary!$B$5</f>
        <v/>
      </c>
      <c r="J592" s="7">
        <f>G592*Summary!$B$5</f>
        <v/>
      </c>
      <c r="K592" s="7">
        <f>H592*Summary!$B$5</f>
        <v/>
      </c>
    </row>
    <row r="593">
      <c r="A593" s="8" t="n">
        <v>45076</v>
      </c>
      <c r="B593" t="inlineStr">
        <is>
          <t>FY23-24</t>
        </is>
      </c>
      <c r="C593" t="inlineStr"/>
      <c r="D593" t="inlineStr"/>
      <c r="E593" t="n">
        <v>0</v>
      </c>
      <c r="F593" t="n">
        <v>0</v>
      </c>
      <c r="G593" t="n">
        <v>5114.11</v>
      </c>
      <c r="H593" t="n">
        <v>-18.81</v>
      </c>
      <c r="I593" s="7">
        <f>F593*Summary!$B$5</f>
        <v/>
      </c>
      <c r="J593" s="7">
        <f>G593*Summary!$B$5</f>
        <v/>
      </c>
      <c r="K593" s="7">
        <f>H593*Summary!$B$5</f>
        <v/>
      </c>
    </row>
    <row r="594">
      <c r="A594" s="8" t="n">
        <v>45077</v>
      </c>
      <c r="B594" t="inlineStr">
        <is>
          <t>FY23-24</t>
        </is>
      </c>
      <c r="C594" t="inlineStr">
        <is>
          <t>CW</t>
        </is>
      </c>
      <c r="D594" t="inlineStr">
        <is>
          <t>09:18</t>
        </is>
      </c>
      <c r="E594" t="n">
        <v>2</v>
      </c>
      <c r="F594" t="n">
        <v>-2.8</v>
      </c>
      <c r="G594" t="n">
        <v>5111.31</v>
      </c>
      <c r="H594" t="n">
        <v>-21.61</v>
      </c>
      <c r="I594" s="7">
        <f>F594*Summary!$B$5</f>
        <v/>
      </c>
      <c r="J594" s="7">
        <f>G594*Summary!$B$5</f>
        <v/>
      </c>
      <c r="K594" s="7">
        <f>H594*Summary!$B$5</f>
        <v/>
      </c>
    </row>
    <row r="595">
      <c r="A595" s="8" t="n">
        <v>45078</v>
      </c>
      <c r="B595" t="inlineStr">
        <is>
          <t>FY23-24</t>
        </is>
      </c>
      <c r="C595" t="inlineStr">
        <is>
          <t>NW</t>
        </is>
      </c>
      <c r="D595" t="inlineStr"/>
      <c r="E595" t="n">
        <v>0</v>
      </c>
      <c r="F595" t="n">
        <v>6.48</v>
      </c>
      <c r="G595" t="n">
        <v>5117.79</v>
      </c>
      <c r="H595" t="n">
        <v>-15.13</v>
      </c>
      <c r="I595" s="7">
        <f>F595*Summary!$B$5</f>
        <v/>
      </c>
      <c r="J595" s="7">
        <f>G595*Summary!$B$5</f>
        <v/>
      </c>
      <c r="K595" s="7">
        <f>H595*Summary!$B$5</f>
        <v/>
      </c>
    </row>
    <row r="596">
      <c r="A596" s="8" t="n">
        <v>45079</v>
      </c>
      <c r="B596" t="inlineStr">
        <is>
          <t>FY23-24</t>
        </is>
      </c>
      <c r="C596" t="inlineStr"/>
      <c r="D596" t="inlineStr"/>
      <c r="E596" t="n">
        <v>0</v>
      </c>
      <c r="F596" t="n">
        <v>0</v>
      </c>
      <c r="G596" t="n">
        <v>5117.79</v>
      </c>
      <c r="H596" t="n">
        <v>-15.13</v>
      </c>
      <c r="I596" s="7">
        <f>F596*Summary!$B$5</f>
        <v/>
      </c>
      <c r="J596" s="7">
        <f>G596*Summary!$B$5</f>
        <v/>
      </c>
      <c r="K596" s="7">
        <f>H596*Summary!$B$5</f>
        <v/>
      </c>
    </row>
    <row r="597">
      <c r="A597" s="8" t="n">
        <v>45082</v>
      </c>
      <c r="B597" t="inlineStr">
        <is>
          <t>FY23-24</t>
        </is>
      </c>
      <c r="C597" t="inlineStr"/>
      <c r="D597" t="inlineStr"/>
      <c r="E597" t="n">
        <v>0</v>
      </c>
      <c r="F597" t="n">
        <v>0</v>
      </c>
      <c r="G597" t="n">
        <v>5117.79</v>
      </c>
      <c r="H597" t="n">
        <v>-15.13</v>
      </c>
      <c r="I597" s="7">
        <f>F597*Summary!$B$5</f>
        <v/>
      </c>
      <c r="J597" s="7">
        <f>G597*Summary!$B$5</f>
        <v/>
      </c>
      <c r="K597" s="7">
        <f>H597*Summary!$B$5</f>
        <v/>
      </c>
    </row>
    <row r="598">
      <c r="A598" s="8" t="n">
        <v>45083</v>
      </c>
      <c r="B598" t="inlineStr">
        <is>
          <t>FY23-24</t>
        </is>
      </c>
      <c r="C598" t="inlineStr">
        <is>
          <t>CW</t>
        </is>
      </c>
      <c r="D598" t="inlineStr">
        <is>
          <t>09:18</t>
        </is>
      </c>
      <c r="E598" t="n">
        <v>3</v>
      </c>
      <c r="F598" t="n">
        <v>22.63</v>
      </c>
      <c r="G598" t="n">
        <v>5140.42</v>
      </c>
      <c r="H598" t="n">
        <v>0</v>
      </c>
      <c r="I598" s="7">
        <f>F598*Summary!$B$5</f>
        <v/>
      </c>
      <c r="J598" s="7">
        <f>G598*Summary!$B$5</f>
        <v/>
      </c>
      <c r="K598" s="7">
        <f>H598*Summary!$B$5</f>
        <v/>
      </c>
    </row>
    <row r="599">
      <c r="A599" s="8" t="n">
        <v>45084</v>
      </c>
      <c r="B599" t="inlineStr">
        <is>
          <t>FY23-24</t>
        </is>
      </c>
      <c r="C599" t="inlineStr">
        <is>
          <t>CW</t>
        </is>
      </c>
      <c r="D599" t="inlineStr">
        <is>
          <t>09:18</t>
        </is>
      </c>
      <c r="E599" t="n">
        <v>2</v>
      </c>
      <c r="F599" t="n">
        <v>-2.6</v>
      </c>
      <c r="G599" t="n">
        <v>5137.83</v>
      </c>
      <c r="H599" t="n">
        <v>-2.6</v>
      </c>
      <c r="I599" s="7">
        <f>F599*Summary!$B$5</f>
        <v/>
      </c>
      <c r="J599" s="7">
        <f>G599*Summary!$B$5</f>
        <v/>
      </c>
      <c r="K599" s="7">
        <f>H599*Summary!$B$5</f>
        <v/>
      </c>
    </row>
    <row r="600">
      <c r="A600" s="8" t="n">
        <v>45085</v>
      </c>
      <c r="B600" t="inlineStr">
        <is>
          <t>FY23-24</t>
        </is>
      </c>
      <c r="C600" t="inlineStr"/>
      <c r="D600" t="inlineStr"/>
      <c r="E600" t="n">
        <v>0</v>
      </c>
      <c r="F600" t="n">
        <v>0</v>
      </c>
      <c r="G600" t="n">
        <v>5137.83</v>
      </c>
      <c r="H600" t="n">
        <v>-2.6</v>
      </c>
      <c r="I600" s="7">
        <f>F600*Summary!$B$5</f>
        <v/>
      </c>
      <c r="J600" s="7">
        <f>G600*Summary!$B$5</f>
        <v/>
      </c>
      <c r="K600" s="7">
        <f>H600*Summary!$B$5</f>
        <v/>
      </c>
    </row>
    <row r="601">
      <c r="A601" s="8" t="n">
        <v>45086</v>
      </c>
      <c r="B601" t="inlineStr">
        <is>
          <t>FY23-24</t>
        </is>
      </c>
      <c r="C601" t="inlineStr"/>
      <c r="D601" t="inlineStr"/>
      <c r="E601" t="n">
        <v>0</v>
      </c>
      <c r="F601" t="n">
        <v>0</v>
      </c>
      <c r="G601" t="n">
        <v>5137.83</v>
      </c>
      <c r="H601" t="n">
        <v>-2.6</v>
      </c>
      <c r="I601" s="7">
        <f>F601*Summary!$B$5</f>
        <v/>
      </c>
      <c r="J601" s="7">
        <f>G601*Summary!$B$5</f>
        <v/>
      </c>
      <c r="K601" s="7">
        <f>H601*Summary!$B$5</f>
        <v/>
      </c>
    </row>
    <row r="602">
      <c r="A602" s="8" t="n">
        <v>45089</v>
      </c>
      <c r="B602" t="inlineStr">
        <is>
          <t>FY23-24</t>
        </is>
      </c>
      <c r="C602" t="inlineStr">
        <is>
          <t>CW</t>
        </is>
      </c>
      <c r="D602" t="inlineStr">
        <is>
          <t>09:18</t>
        </is>
      </c>
      <c r="E602" t="n">
        <v>4</v>
      </c>
      <c r="F602" t="n">
        <v>9.56</v>
      </c>
      <c r="G602" t="n">
        <v>5147.39</v>
      </c>
      <c r="H602" t="n">
        <v>0</v>
      </c>
      <c r="I602" s="7">
        <f>F602*Summary!$B$5</f>
        <v/>
      </c>
      <c r="J602" s="7">
        <f>G602*Summary!$B$5</f>
        <v/>
      </c>
      <c r="K602" s="7">
        <f>H602*Summary!$B$5</f>
        <v/>
      </c>
    </row>
    <row r="603">
      <c r="A603" s="8" t="n">
        <v>45090</v>
      </c>
      <c r="B603" t="inlineStr">
        <is>
          <t>FY23-24</t>
        </is>
      </c>
      <c r="C603" t="inlineStr">
        <is>
          <t>CW</t>
        </is>
      </c>
      <c r="D603" t="inlineStr">
        <is>
          <t>09:18</t>
        </is>
      </c>
      <c r="E603" t="n">
        <v>3</v>
      </c>
      <c r="F603" t="n">
        <v>13.33</v>
      </c>
      <c r="G603" t="n">
        <v>5160.72</v>
      </c>
      <c r="H603" t="n">
        <v>0</v>
      </c>
      <c r="I603" s="7">
        <f>F603*Summary!$B$5</f>
        <v/>
      </c>
      <c r="J603" s="7">
        <f>G603*Summary!$B$5</f>
        <v/>
      </c>
      <c r="K603" s="7">
        <f>H603*Summary!$B$5</f>
        <v/>
      </c>
    </row>
    <row r="604">
      <c r="A604" s="8" t="n">
        <v>45091</v>
      </c>
      <c r="B604" t="inlineStr">
        <is>
          <t>FY23-24</t>
        </is>
      </c>
      <c r="C604" t="inlineStr">
        <is>
          <t>CW</t>
        </is>
      </c>
      <c r="D604" t="inlineStr">
        <is>
          <t>09:18</t>
        </is>
      </c>
      <c r="E604" t="n">
        <v>2</v>
      </c>
      <c r="F604" t="n">
        <v>2.53</v>
      </c>
      <c r="G604" t="n">
        <v>5163.25</v>
      </c>
      <c r="H604" t="n">
        <v>0</v>
      </c>
      <c r="I604" s="7">
        <f>F604*Summary!$B$5</f>
        <v/>
      </c>
      <c r="J604" s="7">
        <f>G604*Summary!$B$5</f>
        <v/>
      </c>
      <c r="K604" s="7">
        <f>H604*Summary!$B$5</f>
        <v/>
      </c>
    </row>
    <row r="605">
      <c r="A605" s="8" t="n">
        <v>45092</v>
      </c>
      <c r="B605" t="inlineStr">
        <is>
          <t>FY23-24</t>
        </is>
      </c>
      <c r="C605" t="inlineStr"/>
      <c r="D605" t="inlineStr"/>
      <c r="E605" t="n">
        <v>0</v>
      </c>
      <c r="F605" t="n">
        <v>0</v>
      </c>
      <c r="G605" t="n">
        <v>5163.25</v>
      </c>
      <c r="H605" t="n">
        <v>0</v>
      </c>
      <c r="I605" s="7">
        <f>F605*Summary!$B$5</f>
        <v/>
      </c>
      <c r="J605" s="7">
        <f>G605*Summary!$B$5</f>
        <v/>
      </c>
      <c r="K605" s="7">
        <f>H605*Summary!$B$5</f>
        <v/>
      </c>
    </row>
    <row r="606">
      <c r="A606" s="8" t="n">
        <v>45093</v>
      </c>
      <c r="B606" t="inlineStr">
        <is>
          <t>FY23-24</t>
        </is>
      </c>
      <c r="C606" t="inlineStr"/>
      <c r="D606" t="inlineStr"/>
      <c r="E606" t="n">
        <v>0</v>
      </c>
      <c r="F606" t="n">
        <v>0</v>
      </c>
      <c r="G606" t="n">
        <v>5163.25</v>
      </c>
      <c r="H606" t="n">
        <v>0</v>
      </c>
      <c r="I606" s="7">
        <f>F606*Summary!$B$5</f>
        <v/>
      </c>
      <c r="J606" s="7">
        <f>G606*Summary!$B$5</f>
        <v/>
      </c>
      <c r="K606" s="7">
        <f>H606*Summary!$B$5</f>
        <v/>
      </c>
    </row>
    <row r="607">
      <c r="A607" s="8" t="n">
        <v>45096</v>
      </c>
      <c r="B607" t="inlineStr">
        <is>
          <t>FY23-24</t>
        </is>
      </c>
      <c r="C607" t="inlineStr"/>
      <c r="D607" t="inlineStr"/>
      <c r="E607" t="n">
        <v>0</v>
      </c>
      <c r="F607" t="n">
        <v>0</v>
      </c>
      <c r="G607" t="n">
        <v>5163.25</v>
      </c>
      <c r="H607" t="n">
        <v>0</v>
      </c>
      <c r="I607" s="7">
        <f>F607*Summary!$B$5</f>
        <v/>
      </c>
      <c r="J607" s="7">
        <f>G607*Summary!$B$5</f>
        <v/>
      </c>
      <c r="K607" s="7">
        <f>H607*Summary!$B$5</f>
        <v/>
      </c>
    </row>
    <row r="608">
      <c r="A608" s="8" t="n">
        <v>45097</v>
      </c>
      <c r="B608" t="inlineStr">
        <is>
          <t>FY23-24</t>
        </is>
      </c>
      <c r="C608" t="inlineStr">
        <is>
          <t>CW</t>
        </is>
      </c>
      <c r="D608" t="inlineStr">
        <is>
          <t>09:18</t>
        </is>
      </c>
      <c r="E608" t="n">
        <v>3</v>
      </c>
      <c r="F608" t="n">
        <v>-13.07</v>
      </c>
      <c r="G608" t="n">
        <v>5150.18</v>
      </c>
      <c r="H608" t="n">
        <v>-13.07</v>
      </c>
      <c r="I608" s="7">
        <f>F608*Summary!$B$5</f>
        <v/>
      </c>
      <c r="J608" s="7">
        <f>G608*Summary!$B$5</f>
        <v/>
      </c>
      <c r="K608" s="7">
        <f>H608*Summary!$B$5</f>
        <v/>
      </c>
    </row>
    <row r="609">
      <c r="A609" s="8" t="n">
        <v>45098</v>
      </c>
      <c r="B609" t="inlineStr">
        <is>
          <t>FY23-24</t>
        </is>
      </c>
      <c r="C609" t="inlineStr">
        <is>
          <t>CW</t>
        </is>
      </c>
      <c r="D609" t="inlineStr">
        <is>
          <t>09:18</t>
        </is>
      </c>
      <c r="E609" t="n">
        <v>2</v>
      </c>
      <c r="F609" t="n">
        <v>6.11</v>
      </c>
      <c r="G609" t="n">
        <v>5156.29</v>
      </c>
      <c r="H609" t="n">
        <v>-6.96</v>
      </c>
      <c r="I609" s="7">
        <f>F609*Summary!$B$5</f>
        <v/>
      </c>
      <c r="J609" s="7">
        <f>G609*Summary!$B$5</f>
        <v/>
      </c>
      <c r="K609" s="7">
        <f>H609*Summary!$B$5</f>
        <v/>
      </c>
    </row>
    <row r="610">
      <c r="A610" s="8" t="n">
        <v>45099</v>
      </c>
      <c r="B610" t="inlineStr">
        <is>
          <t>FY23-24</t>
        </is>
      </c>
      <c r="C610" t="inlineStr"/>
      <c r="D610" t="inlineStr"/>
      <c r="E610" t="n">
        <v>0</v>
      </c>
      <c r="F610" t="n">
        <v>0</v>
      </c>
      <c r="G610" t="n">
        <v>5156.29</v>
      </c>
      <c r="H610" t="n">
        <v>-6.96</v>
      </c>
      <c r="I610" s="7">
        <f>F610*Summary!$B$5</f>
        <v/>
      </c>
      <c r="J610" s="7">
        <f>G610*Summary!$B$5</f>
        <v/>
      </c>
      <c r="K610" s="7">
        <f>H610*Summary!$B$5</f>
        <v/>
      </c>
    </row>
    <row r="611">
      <c r="A611" s="8" t="n">
        <v>45100</v>
      </c>
      <c r="B611" t="inlineStr">
        <is>
          <t>FY23-24</t>
        </is>
      </c>
      <c r="C611" t="inlineStr"/>
      <c r="D611" t="inlineStr"/>
      <c r="E611" t="n">
        <v>0</v>
      </c>
      <c r="F611" t="n">
        <v>0</v>
      </c>
      <c r="G611" t="n">
        <v>5156.29</v>
      </c>
      <c r="H611" t="n">
        <v>-6.96</v>
      </c>
      <c r="I611" s="7">
        <f>F611*Summary!$B$5</f>
        <v/>
      </c>
      <c r="J611" s="7">
        <f>G611*Summary!$B$5</f>
        <v/>
      </c>
      <c r="K611" s="7">
        <f>H611*Summary!$B$5</f>
        <v/>
      </c>
    </row>
    <row r="612">
      <c r="A612" s="8" t="n">
        <v>45103</v>
      </c>
      <c r="B612" t="inlineStr">
        <is>
          <t>FY23-24</t>
        </is>
      </c>
      <c r="C612" t="inlineStr"/>
      <c r="D612" t="inlineStr"/>
      <c r="E612" t="n">
        <v>0</v>
      </c>
      <c r="F612" t="n">
        <v>0</v>
      </c>
      <c r="G612" t="n">
        <v>5156.29</v>
      </c>
      <c r="H612" t="n">
        <v>-6.96</v>
      </c>
      <c r="I612" s="7">
        <f>F612*Summary!$B$5</f>
        <v/>
      </c>
      <c r="J612" s="7">
        <f>G612*Summary!$B$5</f>
        <v/>
      </c>
      <c r="K612" s="7">
        <f>H612*Summary!$B$5</f>
        <v/>
      </c>
    </row>
    <row r="613">
      <c r="A613" s="8" t="n">
        <v>45104</v>
      </c>
      <c r="B613" t="inlineStr">
        <is>
          <t>FY23-24</t>
        </is>
      </c>
      <c r="C613" t="inlineStr">
        <is>
          <t>CW</t>
        </is>
      </c>
      <c r="D613" t="inlineStr">
        <is>
          <t>09:18</t>
        </is>
      </c>
      <c r="E613" t="n">
        <v>3</v>
      </c>
      <c r="F613" t="n">
        <v>34.43</v>
      </c>
      <c r="G613" t="n">
        <v>5190.72</v>
      </c>
      <c r="H613" t="n">
        <v>0</v>
      </c>
      <c r="I613" s="7">
        <f>F613*Summary!$B$5</f>
        <v/>
      </c>
      <c r="J613" s="7">
        <f>G613*Summary!$B$5</f>
        <v/>
      </c>
      <c r="K613" s="7">
        <f>H613*Summary!$B$5</f>
        <v/>
      </c>
    </row>
    <row r="614">
      <c r="A614" s="8" t="n">
        <v>45107</v>
      </c>
      <c r="B614" t="inlineStr">
        <is>
          <t>FY23-24</t>
        </is>
      </c>
      <c r="C614" t="inlineStr">
        <is>
          <t>CW</t>
        </is>
      </c>
      <c r="D614" t="inlineStr">
        <is>
          <t>09:17</t>
        </is>
      </c>
      <c r="E614" t="n">
        <v>6</v>
      </c>
      <c r="F614" t="n">
        <v>6.76</v>
      </c>
      <c r="G614" t="n">
        <v>5197.48</v>
      </c>
      <c r="H614" t="n">
        <v>0</v>
      </c>
      <c r="I614" s="7">
        <f>F614*Summary!$B$5</f>
        <v/>
      </c>
      <c r="J614" s="7">
        <f>G614*Summary!$B$5</f>
        <v/>
      </c>
      <c r="K614" s="7">
        <f>H614*Summary!$B$5</f>
        <v/>
      </c>
    </row>
    <row r="615">
      <c r="A615" s="8" t="n">
        <v>45110</v>
      </c>
      <c r="B615" t="inlineStr">
        <is>
          <t>FY23-24</t>
        </is>
      </c>
      <c r="C615" t="inlineStr"/>
      <c r="D615" t="inlineStr"/>
      <c r="E615" t="n">
        <v>0</v>
      </c>
      <c r="F615" t="n">
        <v>0</v>
      </c>
      <c r="G615" t="n">
        <v>5197.48</v>
      </c>
      <c r="H615" t="n">
        <v>0</v>
      </c>
      <c r="I615" s="7">
        <f>F615*Summary!$B$5</f>
        <v/>
      </c>
      <c r="J615" s="7">
        <f>G615*Summary!$B$5</f>
        <v/>
      </c>
      <c r="K615" s="7">
        <f>H615*Summary!$B$5</f>
        <v/>
      </c>
    </row>
    <row r="616">
      <c r="A616" s="8" t="n">
        <v>45111</v>
      </c>
      <c r="B616" t="inlineStr">
        <is>
          <t>FY23-24</t>
        </is>
      </c>
      <c r="C616" t="inlineStr">
        <is>
          <t>CW</t>
        </is>
      </c>
      <c r="D616" t="inlineStr">
        <is>
          <t>09:18</t>
        </is>
      </c>
      <c r="E616" t="n">
        <v>3</v>
      </c>
      <c r="F616" t="n">
        <v>11.77</v>
      </c>
      <c r="G616" t="n">
        <v>5209.25</v>
      </c>
      <c r="H616" t="n">
        <v>0</v>
      </c>
      <c r="I616" s="7">
        <f>F616*Summary!$B$5</f>
        <v/>
      </c>
      <c r="J616" s="7">
        <f>G616*Summary!$B$5</f>
        <v/>
      </c>
      <c r="K616" s="7">
        <f>H616*Summary!$B$5</f>
        <v/>
      </c>
    </row>
    <row r="617">
      <c r="A617" s="8" t="n">
        <v>45112</v>
      </c>
      <c r="B617" t="inlineStr">
        <is>
          <t>FY23-24</t>
        </is>
      </c>
      <c r="C617" t="inlineStr">
        <is>
          <t>CW</t>
        </is>
      </c>
      <c r="D617" t="inlineStr">
        <is>
          <t>09:17</t>
        </is>
      </c>
      <c r="E617" t="n">
        <v>2</v>
      </c>
      <c r="F617" t="n">
        <v>29.86</v>
      </c>
      <c r="G617" t="n">
        <v>5239.11</v>
      </c>
      <c r="H617" t="n">
        <v>0</v>
      </c>
      <c r="I617" s="7">
        <f>F617*Summary!$B$5</f>
        <v/>
      </c>
      <c r="J617" s="7">
        <f>G617*Summary!$B$5</f>
        <v/>
      </c>
      <c r="K617" s="7">
        <f>H617*Summary!$B$5</f>
        <v/>
      </c>
    </row>
    <row r="618">
      <c r="A618" s="8" t="n">
        <v>45113</v>
      </c>
      <c r="B618" t="inlineStr">
        <is>
          <t>FY23-24</t>
        </is>
      </c>
      <c r="C618" t="inlineStr">
        <is>
          <t>CW</t>
        </is>
      </c>
      <c r="D618" t="inlineStr">
        <is>
          <t>09:17</t>
        </is>
      </c>
      <c r="E618" t="n">
        <v>1</v>
      </c>
      <c r="F618" t="n">
        <v>37.01</v>
      </c>
      <c r="G618" t="n">
        <v>5276.12</v>
      </c>
      <c r="H618" t="n">
        <v>0</v>
      </c>
      <c r="I618" s="7">
        <f>F618*Summary!$B$5</f>
        <v/>
      </c>
      <c r="J618" s="7">
        <f>G618*Summary!$B$5</f>
        <v/>
      </c>
      <c r="K618" s="7">
        <f>H618*Summary!$B$5</f>
        <v/>
      </c>
    </row>
    <row r="619">
      <c r="A619" s="8" t="n">
        <v>45114</v>
      </c>
      <c r="B619" t="inlineStr">
        <is>
          <t>FY23-24</t>
        </is>
      </c>
      <c r="C619" t="inlineStr">
        <is>
          <t>CW</t>
        </is>
      </c>
      <c r="D619" t="inlineStr">
        <is>
          <t>09:17</t>
        </is>
      </c>
      <c r="E619" t="n">
        <v>6</v>
      </c>
      <c r="F619" t="n">
        <v>14</v>
      </c>
      <c r="G619" t="n">
        <v>5290.12</v>
      </c>
      <c r="H619" t="n">
        <v>0</v>
      </c>
      <c r="I619" s="7">
        <f>F619*Summary!$B$5</f>
        <v/>
      </c>
      <c r="J619" s="7">
        <f>G619*Summary!$B$5</f>
        <v/>
      </c>
      <c r="K619" s="7">
        <f>H619*Summary!$B$5</f>
        <v/>
      </c>
    </row>
    <row r="620">
      <c r="A620" s="8" t="n">
        <v>45117</v>
      </c>
      <c r="B620" t="inlineStr">
        <is>
          <t>FY23-24</t>
        </is>
      </c>
      <c r="C620" t="inlineStr"/>
      <c r="D620" t="inlineStr"/>
      <c r="E620" t="n">
        <v>0</v>
      </c>
      <c r="F620" t="n">
        <v>0</v>
      </c>
      <c r="G620" t="n">
        <v>5290.12</v>
      </c>
      <c r="H620" t="n">
        <v>0</v>
      </c>
      <c r="I620" s="7">
        <f>F620*Summary!$B$5</f>
        <v/>
      </c>
      <c r="J620" s="7">
        <f>G620*Summary!$B$5</f>
        <v/>
      </c>
      <c r="K620" s="7">
        <f>H620*Summary!$B$5</f>
        <v/>
      </c>
    </row>
    <row r="621">
      <c r="A621" s="8" t="n">
        <v>45118</v>
      </c>
      <c r="B621" t="inlineStr">
        <is>
          <t>FY23-24</t>
        </is>
      </c>
      <c r="C621" t="inlineStr"/>
      <c r="D621" t="inlineStr"/>
      <c r="E621" t="n">
        <v>0</v>
      </c>
      <c r="F621" t="n">
        <v>0</v>
      </c>
      <c r="G621" t="n">
        <v>5290.12</v>
      </c>
      <c r="H621" t="n">
        <v>0</v>
      </c>
      <c r="I621" s="7">
        <f>F621*Summary!$B$5</f>
        <v/>
      </c>
      <c r="J621" s="7">
        <f>G621*Summary!$B$5</f>
        <v/>
      </c>
      <c r="K621" s="7">
        <f>H621*Summary!$B$5</f>
        <v/>
      </c>
    </row>
    <row r="622">
      <c r="A622" s="8" t="n">
        <v>45119</v>
      </c>
      <c r="B622" t="inlineStr">
        <is>
          <t>FY23-24</t>
        </is>
      </c>
      <c r="C622" t="inlineStr">
        <is>
          <t>CW</t>
        </is>
      </c>
      <c r="D622" t="inlineStr">
        <is>
          <t>09:18</t>
        </is>
      </c>
      <c r="E622" t="n">
        <v>2</v>
      </c>
      <c r="F622" t="n">
        <v>0.12</v>
      </c>
      <c r="G622" t="n">
        <v>5290.24</v>
      </c>
      <c r="H622" t="n">
        <v>0</v>
      </c>
      <c r="I622" s="7">
        <f>F622*Summary!$B$5</f>
        <v/>
      </c>
      <c r="J622" s="7">
        <f>G622*Summary!$B$5</f>
        <v/>
      </c>
      <c r="K622" s="7">
        <f>H622*Summary!$B$5</f>
        <v/>
      </c>
    </row>
    <row r="623">
      <c r="A623" s="8" t="n">
        <v>45120</v>
      </c>
      <c r="B623" t="inlineStr">
        <is>
          <t>FY23-24</t>
        </is>
      </c>
      <c r="C623" t="inlineStr"/>
      <c r="D623" t="inlineStr"/>
      <c r="E623" t="n">
        <v>0</v>
      </c>
      <c r="F623" t="n">
        <v>0</v>
      </c>
      <c r="G623" t="n">
        <v>5290.24</v>
      </c>
      <c r="H623" t="n">
        <v>0</v>
      </c>
      <c r="I623" s="7">
        <f>F623*Summary!$B$5</f>
        <v/>
      </c>
      <c r="J623" s="7">
        <f>G623*Summary!$B$5</f>
        <v/>
      </c>
      <c r="K623" s="7">
        <f>H623*Summary!$B$5</f>
        <v/>
      </c>
    </row>
    <row r="624">
      <c r="A624" s="8" t="n">
        <v>45121</v>
      </c>
      <c r="B624" t="inlineStr">
        <is>
          <t>FY23-24</t>
        </is>
      </c>
      <c r="C624" t="inlineStr"/>
      <c r="D624" t="inlineStr"/>
      <c r="E624" t="n">
        <v>0</v>
      </c>
      <c r="F624" t="n">
        <v>0</v>
      </c>
      <c r="G624" t="n">
        <v>5290.24</v>
      </c>
      <c r="H624" t="n">
        <v>0</v>
      </c>
      <c r="I624" s="7">
        <f>F624*Summary!$B$5</f>
        <v/>
      </c>
      <c r="J624" s="7">
        <f>G624*Summary!$B$5</f>
        <v/>
      </c>
      <c r="K624" s="7">
        <f>H624*Summary!$B$5</f>
        <v/>
      </c>
    </row>
    <row r="625">
      <c r="A625" s="8" t="n">
        <v>45124</v>
      </c>
      <c r="B625" t="inlineStr">
        <is>
          <t>FY23-24</t>
        </is>
      </c>
      <c r="C625" t="inlineStr"/>
      <c r="D625" t="inlineStr"/>
      <c r="E625" t="n">
        <v>0</v>
      </c>
      <c r="F625" t="n">
        <v>0</v>
      </c>
      <c r="G625" t="n">
        <v>5290.24</v>
      </c>
      <c r="H625" t="n">
        <v>0</v>
      </c>
      <c r="I625" s="7">
        <f>F625*Summary!$B$5</f>
        <v/>
      </c>
      <c r="J625" s="7">
        <f>G625*Summary!$B$5</f>
        <v/>
      </c>
      <c r="K625" s="7">
        <f>H625*Summary!$B$5</f>
        <v/>
      </c>
    </row>
    <row r="626">
      <c r="A626" s="8" t="n">
        <v>45125</v>
      </c>
      <c r="B626" t="inlineStr">
        <is>
          <t>FY23-24</t>
        </is>
      </c>
      <c r="C626" t="inlineStr">
        <is>
          <t>CW</t>
        </is>
      </c>
      <c r="D626" t="inlineStr">
        <is>
          <t>09:17</t>
        </is>
      </c>
      <c r="E626" t="n">
        <v>3</v>
      </c>
      <c r="F626" t="n">
        <v>25.1</v>
      </c>
      <c r="G626" t="n">
        <v>5315.35</v>
      </c>
      <c r="H626" t="n">
        <v>0</v>
      </c>
      <c r="I626" s="7">
        <f>F626*Summary!$B$5</f>
        <v/>
      </c>
      <c r="J626" s="7">
        <f>G626*Summary!$B$5</f>
        <v/>
      </c>
      <c r="K626" s="7">
        <f>H626*Summary!$B$5</f>
        <v/>
      </c>
    </row>
    <row r="627">
      <c r="A627" s="8" t="n">
        <v>45126</v>
      </c>
      <c r="B627" t="inlineStr">
        <is>
          <t>FY23-24</t>
        </is>
      </c>
      <c r="C627" t="inlineStr">
        <is>
          <t>CW</t>
        </is>
      </c>
      <c r="D627" t="inlineStr">
        <is>
          <t>09:18</t>
        </is>
      </c>
      <c r="E627" t="n">
        <v>2</v>
      </c>
      <c r="F627" t="n">
        <v>25.33</v>
      </c>
      <c r="G627" t="n">
        <v>5340.68</v>
      </c>
      <c r="H627" t="n">
        <v>0</v>
      </c>
      <c r="I627" s="7">
        <f>F627*Summary!$B$5</f>
        <v/>
      </c>
      <c r="J627" s="7">
        <f>G627*Summary!$B$5</f>
        <v/>
      </c>
      <c r="K627" s="7">
        <f>H627*Summary!$B$5</f>
        <v/>
      </c>
    </row>
    <row r="628">
      <c r="A628" s="8" t="n">
        <v>45127</v>
      </c>
      <c r="B628" t="inlineStr">
        <is>
          <t>FY23-24</t>
        </is>
      </c>
      <c r="C628" t="inlineStr">
        <is>
          <t>CW</t>
        </is>
      </c>
      <c r="D628" t="inlineStr">
        <is>
          <t>09:16</t>
        </is>
      </c>
      <c r="E628" t="n">
        <v>1</v>
      </c>
      <c r="F628" t="n">
        <v>5.77</v>
      </c>
      <c r="G628" t="n">
        <v>5346.45</v>
      </c>
      <c r="H628" t="n">
        <v>0</v>
      </c>
      <c r="I628" s="7">
        <f>F628*Summary!$B$5</f>
        <v/>
      </c>
      <c r="J628" s="7">
        <f>G628*Summary!$B$5</f>
        <v/>
      </c>
      <c r="K628" s="7">
        <f>H628*Summary!$B$5</f>
        <v/>
      </c>
    </row>
    <row r="629">
      <c r="A629" s="8" t="n">
        <v>45128</v>
      </c>
      <c r="B629" t="inlineStr">
        <is>
          <t>FY23-24</t>
        </is>
      </c>
      <c r="C629" t="inlineStr">
        <is>
          <t>n/a</t>
        </is>
      </c>
      <c r="D629" t="inlineStr"/>
      <c r="E629" t="n">
        <v>0</v>
      </c>
      <c r="F629" t="n">
        <v>18.03</v>
      </c>
      <c r="G629" t="n">
        <v>5364.47</v>
      </c>
      <c r="H629" t="n">
        <v>0</v>
      </c>
      <c r="I629" s="7">
        <f>F629*Summary!$B$5</f>
        <v/>
      </c>
      <c r="J629" s="7">
        <f>G629*Summary!$B$5</f>
        <v/>
      </c>
      <c r="K629" s="7">
        <f>H629*Summary!$B$5</f>
        <v/>
      </c>
    </row>
    <row r="630">
      <c r="A630" s="8" t="n">
        <v>45131</v>
      </c>
      <c r="B630" t="inlineStr">
        <is>
          <t>FY23-24</t>
        </is>
      </c>
      <c r="C630" t="inlineStr"/>
      <c r="D630" t="inlineStr"/>
      <c r="E630" t="n">
        <v>0</v>
      </c>
      <c r="F630" t="n">
        <v>0</v>
      </c>
      <c r="G630" t="n">
        <v>5364.47</v>
      </c>
      <c r="H630" t="n">
        <v>0</v>
      </c>
      <c r="I630" s="7">
        <f>F630*Summary!$B$5</f>
        <v/>
      </c>
      <c r="J630" s="7">
        <f>G630*Summary!$B$5</f>
        <v/>
      </c>
      <c r="K630" s="7">
        <f>H630*Summary!$B$5</f>
        <v/>
      </c>
    </row>
    <row r="631">
      <c r="A631" s="8" t="n">
        <v>45132</v>
      </c>
      <c r="B631" t="inlineStr">
        <is>
          <t>FY23-24</t>
        </is>
      </c>
      <c r="C631" t="inlineStr">
        <is>
          <t>CW</t>
        </is>
      </c>
      <c r="D631" t="inlineStr">
        <is>
          <t>09:18</t>
        </is>
      </c>
      <c r="E631" t="n">
        <v>3</v>
      </c>
      <c r="F631" t="n">
        <v>22.45</v>
      </c>
      <c r="G631" t="n">
        <v>5386.93</v>
      </c>
      <c r="H631" t="n">
        <v>0</v>
      </c>
      <c r="I631" s="7">
        <f>F631*Summary!$B$5</f>
        <v/>
      </c>
      <c r="J631" s="7">
        <f>G631*Summary!$B$5</f>
        <v/>
      </c>
      <c r="K631" s="7">
        <f>H631*Summary!$B$5</f>
        <v/>
      </c>
    </row>
    <row r="632">
      <c r="A632" s="8" t="n">
        <v>45133</v>
      </c>
      <c r="B632" t="inlineStr">
        <is>
          <t>FY23-24</t>
        </is>
      </c>
      <c r="C632" t="inlineStr">
        <is>
          <t>CW</t>
        </is>
      </c>
      <c r="D632" t="inlineStr">
        <is>
          <t>09:18</t>
        </is>
      </c>
      <c r="E632" t="n">
        <v>2</v>
      </c>
      <c r="F632" t="n">
        <v>-0.97</v>
      </c>
      <c r="G632" t="n">
        <v>5385.95</v>
      </c>
      <c r="H632" t="n">
        <v>-0.97</v>
      </c>
      <c r="I632" s="7">
        <f>F632*Summary!$B$5</f>
        <v/>
      </c>
      <c r="J632" s="7">
        <f>G632*Summary!$B$5</f>
        <v/>
      </c>
      <c r="K632" s="7">
        <f>H632*Summary!$B$5</f>
        <v/>
      </c>
    </row>
    <row r="633">
      <c r="A633" s="8" t="n">
        <v>45134</v>
      </c>
      <c r="B633" t="inlineStr">
        <is>
          <t>FY23-24</t>
        </is>
      </c>
      <c r="C633" t="inlineStr"/>
      <c r="D633" t="inlineStr"/>
      <c r="E633" t="n">
        <v>0</v>
      </c>
      <c r="F633" t="n">
        <v>0</v>
      </c>
      <c r="G633" t="n">
        <v>5385.95</v>
      </c>
      <c r="H633" t="n">
        <v>-0.97</v>
      </c>
      <c r="I633" s="7">
        <f>F633*Summary!$B$5</f>
        <v/>
      </c>
      <c r="J633" s="7">
        <f>G633*Summary!$B$5</f>
        <v/>
      </c>
      <c r="K633" s="7">
        <f>H633*Summary!$B$5</f>
        <v/>
      </c>
    </row>
    <row r="634">
      <c r="A634" s="8" t="n">
        <v>45135</v>
      </c>
      <c r="B634" t="inlineStr">
        <is>
          <t>FY23-24</t>
        </is>
      </c>
      <c r="C634" t="inlineStr">
        <is>
          <t>CW</t>
        </is>
      </c>
      <c r="D634" t="inlineStr">
        <is>
          <t>09:18</t>
        </is>
      </c>
      <c r="E634" t="n">
        <v>6</v>
      </c>
      <c r="F634" t="n">
        <v>16.57</v>
      </c>
      <c r="G634" t="n">
        <v>5402.52</v>
      </c>
      <c r="H634" t="n">
        <v>0</v>
      </c>
      <c r="I634" s="7">
        <f>F634*Summary!$B$5</f>
        <v/>
      </c>
      <c r="J634" s="7">
        <f>G634*Summary!$B$5</f>
        <v/>
      </c>
      <c r="K634" s="7">
        <f>H634*Summary!$B$5</f>
        <v/>
      </c>
    </row>
    <row r="635">
      <c r="A635" s="8" t="n">
        <v>45138</v>
      </c>
      <c r="B635" t="inlineStr">
        <is>
          <t>FY23-24</t>
        </is>
      </c>
      <c r="C635" t="inlineStr">
        <is>
          <t>CW</t>
        </is>
      </c>
      <c r="D635" t="inlineStr">
        <is>
          <t>09:18</t>
        </is>
      </c>
      <c r="E635" t="n">
        <v>4</v>
      </c>
      <c r="F635" t="n">
        <v>25.69</v>
      </c>
      <c r="G635" t="n">
        <v>5428.21</v>
      </c>
      <c r="H635" t="n">
        <v>0</v>
      </c>
      <c r="I635" s="7">
        <f>F635*Summary!$B$5</f>
        <v/>
      </c>
      <c r="J635" s="7">
        <f>G635*Summary!$B$5</f>
        <v/>
      </c>
      <c r="K635" s="7">
        <f>H635*Summary!$B$5</f>
        <v/>
      </c>
    </row>
    <row r="636">
      <c r="A636" s="8" t="n">
        <v>45139</v>
      </c>
      <c r="B636" t="inlineStr">
        <is>
          <t>FY23-24</t>
        </is>
      </c>
      <c r="C636" t="inlineStr">
        <is>
          <t>CW</t>
        </is>
      </c>
      <c r="D636" t="inlineStr">
        <is>
          <t>09:18</t>
        </is>
      </c>
      <c r="E636" t="n">
        <v>3</v>
      </c>
      <c r="F636" t="n">
        <v>19.89</v>
      </c>
      <c r="G636" t="n">
        <v>5448.1</v>
      </c>
      <c r="H636" t="n">
        <v>0</v>
      </c>
      <c r="I636" s="7">
        <f>F636*Summary!$B$5</f>
        <v/>
      </c>
      <c r="J636" s="7">
        <f>G636*Summary!$B$5</f>
        <v/>
      </c>
      <c r="K636" s="7">
        <f>H636*Summary!$B$5</f>
        <v/>
      </c>
    </row>
    <row r="637">
      <c r="A637" s="8" t="n">
        <v>45140</v>
      </c>
      <c r="B637" t="inlineStr">
        <is>
          <t>FY23-24</t>
        </is>
      </c>
      <c r="C637" t="inlineStr">
        <is>
          <t>CW</t>
        </is>
      </c>
      <c r="D637" t="inlineStr">
        <is>
          <t>09:18</t>
        </is>
      </c>
      <c r="E637" t="n">
        <v>2</v>
      </c>
      <c r="F637" t="n">
        <v>-41.3</v>
      </c>
      <c r="G637" t="n">
        <v>5406.79</v>
      </c>
      <c r="H637" t="n">
        <v>-41.3</v>
      </c>
      <c r="I637" s="7">
        <f>F637*Summary!$B$5</f>
        <v/>
      </c>
      <c r="J637" s="7">
        <f>G637*Summary!$B$5</f>
        <v/>
      </c>
      <c r="K637" s="7">
        <f>H637*Summary!$B$5</f>
        <v/>
      </c>
    </row>
    <row r="638">
      <c r="A638" s="8" t="n">
        <v>45141</v>
      </c>
      <c r="B638" t="inlineStr">
        <is>
          <t>FY23-24</t>
        </is>
      </c>
      <c r="C638" t="inlineStr">
        <is>
          <t>NW</t>
        </is>
      </c>
      <c r="D638" t="inlineStr"/>
      <c r="E638" t="n">
        <v>1</v>
      </c>
      <c r="F638" t="n">
        <v>5.31</v>
      </c>
      <c r="G638" t="n">
        <v>5412.11</v>
      </c>
      <c r="H638" t="n">
        <v>-35.99</v>
      </c>
      <c r="I638" s="7">
        <f>F638*Summary!$B$5</f>
        <v/>
      </c>
      <c r="J638" s="7">
        <f>G638*Summary!$B$5</f>
        <v/>
      </c>
      <c r="K638" s="7">
        <f>H638*Summary!$B$5</f>
        <v/>
      </c>
    </row>
    <row r="639">
      <c r="A639" s="8" t="n">
        <v>45142</v>
      </c>
      <c r="B639" t="inlineStr">
        <is>
          <t>FY23-24</t>
        </is>
      </c>
      <c r="C639" t="inlineStr"/>
      <c r="D639" t="inlineStr"/>
      <c r="E639" t="n">
        <v>0</v>
      </c>
      <c r="F639" t="n">
        <v>0</v>
      </c>
      <c r="G639" t="n">
        <v>5412.11</v>
      </c>
      <c r="H639" t="n">
        <v>-35.99</v>
      </c>
      <c r="I639" s="7">
        <f>F639*Summary!$B$5</f>
        <v/>
      </c>
      <c r="J639" s="7">
        <f>G639*Summary!$B$5</f>
        <v/>
      </c>
      <c r="K639" s="7">
        <f>H639*Summary!$B$5</f>
        <v/>
      </c>
    </row>
    <row r="640">
      <c r="A640" s="8" t="n">
        <v>45145</v>
      </c>
      <c r="B640" t="inlineStr">
        <is>
          <t>FY23-24</t>
        </is>
      </c>
      <c r="C640" t="inlineStr"/>
      <c r="D640" t="inlineStr"/>
      <c r="E640" t="n">
        <v>0</v>
      </c>
      <c r="F640" t="n">
        <v>0</v>
      </c>
      <c r="G640" t="n">
        <v>5412.11</v>
      </c>
      <c r="H640" t="n">
        <v>-35.99</v>
      </c>
      <c r="I640" s="7">
        <f>F640*Summary!$B$5</f>
        <v/>
      </c>
      <c r="J640" s="7">
        <f>G640*Summary!$B$5</f>
        <v/>
      </c>
      <c r="K640" s="7">
        <f>H640*Summary!$B$5</f>
        <v/>
      </c>
    </row>
    <row r="641">
      <c r="A641" s="8" t="n">
        <v>45146</v>
      </c>
      <c r="B641" t="inlineStr">
        <is>
          <t>FY23-24</t>
        </is>
      </c>
      <c r="C641" t="inlineStr">
        <is>
          <t>CW</t>
        </is>
      </c>
      <c r="D641" t="inlineStr">
        <is>
          <t>09:18</t>
        </is>
      </c>
      <c r="E641" t="n">
        <v>3</v>
      </c>
      <c r="F641" t="n">
        <v>10.39</v>
      </c>
      <c r="G641" t="n">
        <v>5422.5</v>
      </c>
      <c r="H641" t="n">
        <v>-25.6</v>
      </c>
      <c r="I641" s="7">
        <f>F641*Summary!$B$5</f>
        <v/>
      </c>
      <c r="J641" s="7">
        <f>G641*Summary!$B$5</f>
        <v/>
      </c>
      <c r="K641" s="7">
        <f>H641*Summary!$B$5</f>
        <v/>
      </c>
    </row>
    <row r="642">
      <c r="A642" s="8" t="n">
        <v>45147</v>
      </c>
      <c r="B642" t="inlineStr">
        <is>
          <t>FY23-24</t>
        </is>
      </c>
      <c r="C642" t="inlineStr">
        <is>
          <t>CW</t>
        </is>
      </c>
      <c r="D642" t="inlineStr">
        <is>
          <t>09:18</t>
        </is>
      </c>
      <c r="E642" t="n">
        <v>2</v>
      </c>
      <c r="F642" t="n">
        <v>-9.23</v>
      </c>
      <c r="G642" t="n">
        <v>5413.27</v>
      </c>
      <c r="H642" t="n">
        <v>-34.83</v>
      </c>
      <c r="I642" s="7">
        <f>F642*Summary!$B$5</f>
        <v/>
      </c>
      <c r="J642" s="7">
        <f>G642*Summary!$B$5</f>
        <v/>
      </c>
      <c r="K642" s="7">
        <f>H642*Summary!$B$5</f>
        <v/>
      </c>
    </row>
    <row r="643">
      <c r="A643" s="8" t="n">
        <v>45148</v>
      </c>
      <c r="B643" t="inlineStr">
        <is>
          <t>FY23-24</t>
        </is>
      </c>
      <c r="C643" t="inlineStr">
        <is>
          <t>CW</t>
        </is>
      </c>
      <c r="D643" t="inlineStr">
        <is>
          <t>09:16</t>
        </is>
      </c>
      <c r="E643" t="n">
        <v>1</v>
      </c>
      <c r="F643" t="n">
        <v>-5.38</v>
      </c>
      <c r="G643" t="n">
        <v>5407.89</v>
      </c>
      <c r="H643" t="n">
        <v>-40.2</v>
      </c>
      <c r="I643" s="7">
        <f>F643*Summary!$B$5</f>
        <v/>
      </c>
      <c r="J643" s="7">
        <f>G643*Summary!$B$5</f>
        <v/>
      </c>
      <c r="K643" s="7">
        <f>H643*Summary!$B$5</f>
        <v/>
      </c>
    </row>
    <row r="644">
      <c r="A644" s="8" t="n">
        <v>45149</v>
      </c>
      <c r="B644" t="inlineStr">
        <is>
          <t>FY23-24</t>
        </is>
      </c>
      <c r="C644" t="inlineStr"/>
      <c r="D644" t="inlineStr"/>
      <c r="E644" t="n">
        <v>0</v>
      </c>
      <c r="F644" t="n">
        <v>0</v>
      </c>
      <c r="G644" t="n">
        <v>5407.89</v>
      </c>
      <c r="H644" t="n">
        <v>-40.2</v>
      </c>
      <c r="I644" s="7">
        <f>F644*Summary!$B$5</f>
        <v/>
      </c>
      <c r="J644" s="7">
        <f>G644*Summary!$B$5</f>
        <v/>
      </c>
      <c r="K644" s="7">
        <f>H644*Summary!$B$5</f>
        <v/>
      </c>
    </row>
    <row r="645">
      <c r="A645" s="8" t="n">
        <v>45152</v>
      </c>
      <c r="B645" t="inlineStr">
        <is>
          <t>FY23-24</t>
        </is>
      </c>
      <c r="C645" t="inlineStr"/>
      <c r="D645" t="inlineStr"/>
      <c r="E645" t="n">
        <v>0</v>
      </c>
      <c r="F645" t="n">
        <v>0</v>
      </c>
      <c r="G645" t="n">
        <v>5407.89</v>
      </c>
      <c r="H645" t="n">
        <v>-40.2</v>
      </c>
      <c r="I645" s="7">
        <f>F645*Summary!$B$5</f>
        <v/>
      </c>
      <c r="J645" s="7">
        <f>G645*Summary!$B$5</f>
        <v/>
      </c>
      <c r="K645" s="7">
        <f>H645*Summary!$B$5</f>
        <v/>
      </c>
    </row>
    <row r="646">
      <c r="A646" s="8" t="n">
        <v>45154</v>
      </c>
      <c r="B646" t="inlineStr">
        <is>
          <t>FY23-24</t>
        </is>
      </c>
      <c r="C646" t="inlineStr"/>
      <c r="D646" t="inlineStr"/>
      <c r="E646" t="n">
        <v>0</v>
      </c>
      <c r="F646" t="n">
        <v>0</v>
      </c>
      <c r="G646" t="n">
        <v>5407.89</v>
      </c>
      <c r="H646" t="n">
        <v>-40.2</v>
      </c>
      <c r="I646" s="7">
        <f>F646*Summary!$B$5</f>
        <v/>
      </c>
      <c r="J646" s="7">
        <f>G646*Summary!$B$5</f>
        <v/>
      </c>
      <c r="K646" s="7">
        <f>H646*Summary!$B$5</f>
        <v/>
      </c>
    </row>
    <row r="647">
      <c r="A647" s="8" t="n">
        <v>45155</v>
      </c>
      <c r="B647" t="inlineStr">
        <is>
          <t>FY23-24</t>
        </is>
      </c>
      <c r="C647" t="inlineStr">
        <is>
          <t>NW</t>
        </is>
      </c>
      <c r="D647" t="inlineStr"/>
      <c r="E647" t="n">
        <v>1</v>
      </c>
      <c r="F647" t="n">
        <v>17.77</v>
      </c>
      <c r="G647" t="n">
        <v>5425.66</v>
      </c>
      <c r="H647" t="n">
        <v>-22.44</v>
      </c>
      <c r="I647" s="7">
        <f>F647*Summary!$B$5</f>
        <v/>
      </c>
      <c r="J647" s="7">
        <f>G647*Summary!$B$5</f>
        <v/>
      </c>
      <c r="K647" s="7">
        <f>H647*Summary!$B$5</f>
        <v/>
      </c>
    </row>
    <row r="648">
      <c r="A648" s="8" t="n">
        <v>45156</v>
      </c>
      <c r="B648" t="inlineStr">
        <is>
          <t>FY23-24</t>
        </is>
      </c>
      <c r="C648" t="inlineStr"/>
      <c r="D648" t="inlineStr"/>
      <c r="E648" t="n">
        <v>0</v>
      </c>
      <c r="F648" t="n">
        <v>0</v>
      </c>
      <c r="G648" t="n">
        <v>5425.66</v>
      </c>
      <c r="H648" t="n">
        <v>-22.44</v>
      </c>
      <c r="I648" s="7">
        <f>F648*Summary!$B$5</f>
        <v/>
      </c>
      <c r="J648" s="7">
        <f>G648*Summary!$B$5</f>
        <v/>
      </c>
      <c r="K648" s="7">
        <f>H648*Summary!$B$5</f>
        <v/>
      </c>
    </row>
    <row r="649">
      <c r="A649" s="8" t="n">
        <v>45159</v>
      </c>
      <c r="B649" t="inlineStr">
        <is>
          <t>FY23-24</t>
        </is>
      </c>
      <c r="C649" t="inlineStr"/>
      <c r="D649" t="inlineStr"/>
      <c r="E649" t="n">
        <v>0</v>
      </c>
      <c r="F649" t="n">
        <v>0</v>
      </c>
      <c r="G649" t="n">
        <v>5425.66</v>
      </c>
      <c r="H649" t="n">
        <v>-22.44</v>
      </c>
      <c r="I649" s="7">
        <f>F649*Summary!$B$5</f>
        <v/>
      </c>
      <c r="J649" s="7">
        <f>G649*Summary!$B$5</f>
        <v/>
      </c>
      <c r="K649" s="7">
        <f>H649*Summary!$B$5</f>
        <v/>
      </c>
    </row>
    <row r="650">
      <c r="A650" s="8" t="n">
        <v>45160</v>
      </c>
      <c r="B650" t="inlineStr">
        <is>
          <t>FY23-24</t>
        </is>
      </c>
      <c r="C650" t="inlineStr">
        <is>
          <t>CW</t>
        </is>
      </c>
      <c r="D650" t="inlineStr">
        <is>
          <t>09:18</t>
        </is>
      </c>
      <c r="E650" t="n">
        <v>3</v>
      </c>
      <c r="F650" t="n">
        <v>8.300000000000001</v>
      </c>
      <c r="G650" t="n">
        <v>5433.96</v>
      </c>
      <c r="H650" t="n">
        <v>-14.14</v>
      </c>
      <c r="I650" s="7">
        <f>F650*Summary!$B$5</f>
        <v/>
      </c>
      <c r="J650" s="7">
        <f>G650*Summary!$B$5</f>
        <v/>
      </c>
      <c r="K650" s="7">
        <f>H650*Summary!$B$5</f>
        <v/>
      </c>
    </row>
    <row r="651">
      <c r="A651" s="8" t="n">
        <v>45161</v>
      </c>
      <c r="B651" t="inlineStr">
        <is>
          <t>FY23-24</t>
        </is>
      </c>
      <c r="C651" t="inlineStr">
        <is>
          <t>CW</t>
        </is>
      </c>
      <c r="D651" t="inlineStr">
        <is>
          <t>09:18</t>
        </is>
      </c>
      <c r="E651" t="n">
        <v>2</v>
      </c>
      <c r="F651" t="n">
        <v>9.35</v>
      </c>
      <c r="G651" t="n">
        <v>5443.31</v>
      </c>
      <c r="H651" t="n">
        <v>-4.79</v>
      </c>
      <c r="I651" s="7">
        <f>F651*Summary!$B$5</f>
        <v/>
      </c>
      <c r="J651" s="7">
        <f>G651*Summary!$B$5</f>
        <v/>
      </c>
      <c r="K651" s="7">
        <f>H651*Summary!$B$5</f>
        <v/>
      </c>
    </row>
    <row r="652">
      <c r="A652" s="8" t="n">
        <v>45162</v>
      </c>
      <c r="B652" t="inlineStr">
        <is>
          <t>FY23-24</t>
        </is>
      </c>
      <c r="C652" t="inlineStr"/>
      <c r="D652" t="inlineStr"/>
      <c r="E652" t="n">
        <v>0</v>
      </c>
      <c r="F652" t="n">
        <v>0</v>
      </c>
      <c r="G652" t="n">
        <v>5443.31</v>
      </c>
      <c r="H652" t="n">
        <v>-4.79</v>
      </c>
      <c r="I652" s="7">
        <f>F652*Summary!$B$5</f>
        <v/>
      </c>
      <c r="J652" s="7">
        <f>G652*Summary!$B$5</f>
        <v/>
      </c>
      <c r="K652" s="7">
        <f>H652*Summary!$B$5</f>
        <v/>
      </c>
    </row>
    <row r="653">
      <c r="A653" s="8" t="n">
        <v>45163</v>
      </c>
      <c r="B653" t="inlineStr">
        <is>
          <t>FY23-24</t>
        </is>
      </c>
      <c r="C653" t="inlineStr"/>
      <c r="D653" t="inlineStr"/>
      <c r="E653" t="n">
        <v>0</v>
      </c>
      <c r="F653" t="n">
        <v>0</v>
      </c>
      <c r="G653" t="n">
        <v>5443.31</v>
      </c>
      <c r="H653" t="n">
        <v>-4.79</v>
      </c>
      <c r="I653" s="7">
        <f>F653*Summary!$B$5</f>
        <v/>
      </c>
      <c r="J653" s="7">
        <f>G653*Summary!$B$5</f>
        <v/>
      </c>
      <c r="K653" s="7">
        <f>H653*Summary!$B$5</f>
        <v/>
      </c>
    </row>
    <row r="654">
      <c r="A654" s="8" t="n">
        <v>45166</v>
      </c>
      <c r="B654" t="inlineStr">
        <is>
          <t>FY23-24</t>
        </is>
      </c>
      <c r="C654" t="inlineStr"/>
      <c r="D654" t="inlineStr"/>
      <c r="E654" t="n">
        <v>0</v>
      </c>
      <c r="F654" t="n">
        <v>0</v>
      </c>
      <c r="G654" t="n">
        <v>5443.31</v>
      </c>
      <c r="H654" t="n">
        <v>-4.79</v>
      </c>
      <c r="I654" s="7">
        <f>F654*Summary!$B$5</f>
        <v/>
      </c>
      <c r="J654" s="7">
        <f>G654*Summary!$B$5</f>
        <v/>
      </c>
      <c r="K654" s="7">
        <f>H654*Summary!$B$5</f>
        <v/>
      </c>
    </row>
    <row r="655">
      <c r="A655" s="8" t="n">
        <v>45167</v>
      </c>
      <c r="B655" t="inlineStr">
        <is>
          <t>FY23-24</t>
        </is>
      </c>
      <c r="C655" t="inlineStr"/>
      <c r="D655" t="inlineStr"/>
      <c r="E655" t="n">
        <v>0</v>
      </c>
      <c r="F655" t="n">
        <v>0</v>
      </c>
      <c r="G655" t="n">
        <v>5443.31</v>
      </c>
      <c r="H655" t="n">
        <v>-4.79</v>
      </c>
      <c r="I655" s="7">
        <f>F655*Summary!$B$5</f>
        <v/>
      </c>
      <c r="J655" s="7">
        <f>G655*Summary!$B$5</f>
        <v/>
      </c>
      <c r="K655" s="7">
        <f>H655*Summary!$B$5</f>
        <v/>
      </c>
    </row>
    <row r="656">
      <c r="A656" s="8" t="n">
        <v>45168</v>
      </c>
      <c r="B656" t="inlineStr">
        <is>
          <t>FY23-24</t>
        </is>
      </c>
      <c r="C656" t="inlineStr">
        <is>
          <t>CW</t>
        </is>
      </c>
      <c r="D656" t="inlineStr">
        <is>
          <t>09:18</t>
        </is>
      </c>
      <c r="E656" t="n">
        <v>2</v>
      </c>
      <c r="F656" t="n">
        <v>-8.869999999999999</v>
      </c>
      <c r="G656" t="n">
        <v>5434.44</v>
      </c>
      <c r="H656" t="n">
        <v>-13.66</v>
      </c>
      <c r="I656" s="7">
        <f>F656*Summary!$B$5</f>
        <v/>
      </c>
      <c r="J656" s="7">
        <f>G656*Summary!$B$5</f>
        <v/>
      </c>
      <c r="K656" s="7">
        <f>H656*Summary!$B$5</f>
        <v/>
      </c>
    </row>
    <row r="657">
      <c r="A657" s="8" t="n">
        <v>45169</v>
      </c>
      <c r="B657" t="inlineStr">
        <is>
          <t>FY23-24</t>
        </is>
      </c>
      <c r="C657" t="inlineStr">
        <is>
          <t>CW</t>
        </is>
      </c>
      <c r="D657" t="inlineStr">
        <is>
          <t>09:18</t>
        </is>
      </c>
      <c r="E657" t="n">
        <v>1</v>
      </c>
      <c r="F657" t="n">
        <v>-6.6</v>
      </c>
      <c r="G657" t="n">
        <v>5427.83</v>
      </c>
      <c r="H657" t="n">
        <v>-20.26</v>
      </c>
      <c r="I657" s="7">
        <f>F657*Summary!$B$5</f>
        <v/>
      </c>
      <c r="J657" s="7">
        <f>G657*Summary!$B$5</f>
        <v/>
      </c>
      <c r="K657" s="7">
        <f>H657*Summary!$B$5</f>
        <v/>
      </c>
    </row>
    <row r="658">
      <c r="A658" s="8" t="n">
        <v>45170</v>
      </c>
      <c r="B658" t="inlineStr">
        <is>
          <t>FY23-24</t>
        </is>
      </c>
      <c r="C658" t="inlineStr"/>
      <c r="D658" t="inlineStr"/>
      <c r="E658" t="n">
        <v>0</v>
      </c>
      <c r="F658" t="n">
        <v>0</v>
      </c>
      <c r="G658" t="n">
        <v>5427.83</v>
      </c>
      <c r="H658" t="n">
        <v>-20.26</v>
      </c>
      <c r="I658" s="7">
        <f>F658*Summary!$B$5</f>
        <v/>
      </c>
      <c r="J658" s="7">
        <f>G658*Summary!$B$5</f>
        <v/>
      </c>
      <c r="K658" s="7">
        <f>H658*Summary!$B$5</f>
        <v/>
      </c>
    </row>
    <row r="659">
      <c r="A659" s="8" t="n">
        <v>45173</v>
      </c>
      <c r="B659" t="inlineStr">
        <is>
          <t>FY23-24</t>
        </is>
      </c>
      <c r="C659" t="inlineStr"/>
      <c r="D659" t="inlineStr"/>
      <c r="E659" t="n">
        <v>0</v>
      </c>
      <c r="F659" t="n">
        <v>0</v>
      </c>
      <c r="G659" t="n">
        <v>5427.83</v>
      </c>
      <c r="H659" t="n">
        <v>-20.26</v>
      </c>
      <c r="I659" s="7">
        <f>F659*Summary!$B$5</f>
        <v/>
      </c>
      <c r="J659" s="7">
        <f>G659*Summary!$B$5</f>
        <v/>
      </c>
      <c r="K659" s="7">
        <f>H659*Summary!$B$5</f>
        <v/>
      </c>
    </row>
    <row r="660">
      <c r="A660" s="8" t="n">
        <v>45174</v>
      </c>
      <c r="B660" t="inlineStr">
        <is>
          <t>FY23-24</t>
        </is>
      </c>
      <c r="C660" t="inlineStr"/>
      <c r="D660" t="inlineStr"/>
      <c r="E660" t="n">
        <v>0</v>
      </c>
      <c r="F660" t="n">
        <v>0</v>
      </c>
      <c r="G660" t="n">
        <v>5427.83</v>
      </c>
      <c r="H660" t="n">
        <v>-20.26</v>
      </c>
      <c r="I660" s="7">
        <f>F660*Summary!$B$5</f>
        <v/>
      </c>
      <c r="J660" s="7">
        <f>G660*Summary!$B$5</f>
        <v/>
      </c>
      <c r="K660" s="7">
        <f>H660*Summary!$B$5</f>
        <v/>
      </c>
    </row>
    <row r="661">
      <c r="A661" s="8" t="n">
        <v>45175</v>
      </c>
      <c r="B661" t="inlineStr">
        <is>
          <t>FY23-24</t>
        </is>
      </c>
      <c r="C661" t="inlineStr">
        <is>
          <t>CW</t>
        </is>
      </c>
      <c r="D661" t="inlineStr">
        <is>
          <t>09:18</t>
        </is>
      </c>
      <c r="E661" t="n">
        <v>2</v>
      </c>
      <c r="F661" t="n">
        <v>-3.69</v>
      </c>
      <c r="G661" t="n">
        <v>5424.14</v>
      </c>
      <c r="H661" t="n">
        <v>-23.96</v>
      </c>
      <c r="I661" s="7">
        <f>F661*Summary!$B$5</f>
        <v/>
      </c>
      <c r="J661" s="7">
        <f>G661*Summary!$B$5</f>
        <v/>
      </c>
      <c r="K661" s="7">
        <f>H661*Summary!$B$5</f>
        <v/>
      </c>
    </row>
    <row r="662">
      <c r="A662" s="8" t="n">
        <v>45176</v>
      </c>
      <c r="B662" t="inlineStr">
        <is>
          <t>FY23-24</t>
        </is>
      </c>
      <c r="C662" t="inlineStr"/>
      <c r="D662" t="inlineStr"/>
      <c r="E662" t="n">
        <v>0</v>
      </c>
      <c r="F662" t="n">
        <v>0</v>
      </c>
      <c r="G662" t="n">
        <v>5424.14</v>
      </c>
      <c r="H662" t="n">
        <v>-23.96</v>
      </c>
      <c r="I662" s="7">
        <f>F662*Summary!$B$5</f>
        <v/>
      </c>
      <c r="J662" s="7">
        <f>G662*Summary!$B$5</f>
        <v/>
      </c>
      <c r="K662" s="7">
        <f>H662*Summary!$B$5</f>
        <v/>
      </c>
    </row>
    <row r="663">
      <c r="A663" s="8" t="n">
        <v>45177</v>
      </c>
      <c r="B663" t="inlineStr">
        <is>
          <t>FY23-24</t>
        </is>
      </c>
      <c r="C663" t="inlineStr"/>
      <c r="D663" t="inlineStr"/>
      <c r="E663" t="n">
        <v>0</v>
      </c>
      <c r="F663" t="n">
        <v>0</v>
      </c>
      <c r="G663" t="n">
        <v>5424.14</v>
      </c>
      <c r="H663" t="n">
        <v>-23.96</v>
      </c>
      <c r="I663" s="7">
        <f>F663*Summary!$B$5</f>
        <v/>
      </c>
      <c r="J663" s="7">
        <f>G663*Summary!$B$5</f>
        <v/>
      </c>
      <c r="K663" s="7">
        <f>H663*Summary!$B$5</f>
        <v/>
      </c>
    </row>
    <row r="664">
      <c r="A664" s="8" t="n">
        <v>45180</v>
      </c>
      <c r="B664" t="inlineStr">
        <is>
          <t>FY23-24</t>
        </is>
      </c>
      <c r="C664" t="inlineStr">
        <is>
          <t>CW</t>
        </is>
      </c>
      <c r="D664" t="inlineStr">
        <is>
          <t>09:19</t>
        </is>
      </c>
      <c r="E664" t="n">
        <v>4</v>
      </c>
      <c r="F664" t="n">
        <v>-2.98</v>
      </c>
      <c r="G664" t="n">
        <v>5421.16</v>
      </c>
      <c r="H664" t="n">
        <v>-26.94</v>
      </c>
      <c r="I664" s="7">
        <f>F664*Summary!$B$5</f>
        <v/>
      </c>
      <c r="J664" s="7">
        <f>G664*Summary!$B$5</f>
        <v/>
      </c>
      <c r="K664" s="7">
        <f>H664*Summary!$B$5</f>
        <v/>
      </c>
    </row>
    <row r="665">
      <c r="A665" s="8" t="n">
        <v>45181</v>
      </c>
      <c r="B665" t="inlineStr">
        <is>
          <t>FY23-24</t>
        </is>
      </c>
      <c r="C665" t="inlineStr">
        <is>
          <t>CW</t>
        </is>
      </c>
      <c r="D665" t="inlineStr">
        <is>
          <t>09:18</t>
        </is>
      </c>
      <c r="E665" t="n">
        <v>3</v>
      </c>
      <c r="F665" t="n">
        <v>-37</v>
      </c>
      <c r="G665" t="n">
        <v>5384.16</v>
      </c>
      <c r="H665" t="n">
        <v>-63.94</v>
      </c>
      <c r="I665" s="7">
        <f>F665*Summary!$B$5</f>
        <v/>
      </c>
      <c r="J665" s="7">
        <f>G665*Summary!$B$5</f>
        <v/>
      </c>
      <c r="K665" s="7">
        <f>H665*Summary!$B$5</f>
        <v/>
      </c>
    </row>
    <row r="666">
      <c r="A666" s="8" t="n">
        <v>45182</v>
      </c>
      <c r="B666" t="inlineStr">
        <is>
          <t>FY23-24</t>
        </is>
      </c>
      <c r="C666" t="inlineStr">
        <is>
          <t>CW</t>
        </is>
      </c>
      <c r="D666" t="inlineStr">
        <is>
          <t>09:18</t>
        </is>
      </c>
      <c r="E666" t="n">
        <v>2</v>
      </c>
      <c r="F666" t="n">
        <v>8.92</v>
      </c>
      <c r="G666" t="n">
        <v>5393.07</v>
      </c>
      <c r="H666" t="n">
        <v>-55.02</v>
      </c>
      <c r="I666" s="7">
        <f>F666*Summary!$B$5</f>
        <v/>
      </c>
      <c r="J666" s="7">
        <f>G666*Summary!$B$5</f>
        <v/>
      </c>
      <c r="K666" s="7">
        <f>H666*Summary!$B$5</f>
        <v/>
      </c>
    </row>
    <row r="667">
      <c r="A667" s="8" t="n">
        <v>45183</v>
      </c>
      <c r="B667" t="inlineStr">
        <is>
          <t>FY23-24</t>
        </is>
      </c>
      <c r="C667" t="inlineStr">
        <is>
          <t>NW</t>
        </is>
      </c>
      <c r="D667" t="inlineStr"/>
      <c r="E667" t="n">
        <v>0</v>
      </c>
      <c r="F667" t="n">
        <v>21.72</v>
      </c>
      <c r="G667" t="n">
        <v>5414.79</v>
      </c>
      <c r="H667" t="n">
        <v>-33.31</v>
      </c>
      <c r="I667" s="7">
        <f>F667*Summary!$B$5</f>
        <v/>
      </c>
      <c r="J667" s="7">
        <f>G667*Summary!$B$5</f>
        <v/>
      </c>
      <c r="K667" s="7">
        <f>H667*Summary!$B$5</f>
        <v/>
      </c>
    </row>
    <row r="668">
      <c r="A668" s="8" t="n">
        <v>45184</v>
      </c>
      <c r="B668" t="inlineStr">
        <is>
          <t>FY23-24</t>
        </is>
      </c>
      <c r="C668" t="inlineStr"/>
      <c r="D668" t="inlineStr"/>
      <c r="E668" t="n">
        <v>0</v>
      </c>
      <c r="F668" t="n">
        <v>0</v>
      </c>
      <c r="G668" t="n">
        <v>5414.79</v>
      </c>
      <c r="H668" t="n">
        <v>-33.31</v>
      </c>
      <c r="I668" s="7">
        <f>F668*Summary!$B$5</f>
        <v/>
      </c>
      <c r="J668" s="7">
        <f>G668*Summary!$B$5</f>
        <v/>
      </c>
      <c r="K668" s="7">
        <f>H668*Summary!$B$5</f>
        <v/>
      </c>
    </row>
    <row r="669">
      <c r="A669" s="8" t="n">
        <v>45187</v>
      </c>
      <c r="B669" t="inlineStr">
        <is>
          <t>FY23-24</t>
        </is>
      </c>
      <c r="C669" t="inlineStr">
        <is>
          <t>CW</t>
        </is>
      </c>
      <c r="D669" t="inlineStr">
        <is>
          <t>09:18</t>
        </is>
      </c>
      <c r="E669" t="n">
        <v>4</v>
      </c>
      <c r="F669" t="n">
        <v>19.12</v>
      </c>
      <c r="G669" t="n">
        <v>5433.91</v>
      </c>
      <c r="H669" t="n">
        <v>-14.19</v>
      </c>
      <c r="I669" s="7">
        <f>F669*Summary!$B$5</f>
        <v/>
      </c>
      <c r="J669" s="7">
        <f>G669*Summary!$B$5</f>
        <v/>
      </c>
      <c r="K669" s="7">
        <f>H669*Summary!$B$5</f>
        <v/>
      </c>
    </row>
    <row r="670">
      <c r="A670" s="8" t="n">
        <v>45189</v>
      </c>
      <c r="B670" t="inlineStr">
        <is>
          <t>FY23-24</t>
        </is>
      </c>
      <c r="C670" t="inlineStr">
        <is>
          <t>CW</t>
        </is>
      </c>
      <c r="D670" t="inlineStr">
        <is>
          <t>09:18</t>
        </is>
      </c>
      <c r="E670" t="n">
        <v>2</v>
      </c>
      <c r="F670" t="n">
        <v>10.57</v>
      </c>
      <c r="G670" t="n">
        <v>5444.48</v>
      </c>
      <c r="H670" t="n">
        <v>-3.62</v>
      </c>
      <c r="I670" s="7">
        <f>F670*Summary!$B$5</f>
        <v/>
      </c>
      <c r="J670" s="7">
        <f>G670*Summary!$B$5</f>
        <v/>
      </c>
      <c r="K670" s="7">
        <f>H670*Summary!$B$5</f>
        <v/>
      </c>
    </row>
    <row r="671">
      <c r="A671" s="8" t="n">
        <v>45190</v>
      </c>
      <c r="B671" t="inlineStr">
        <is>
          <t>FY23-24</t>
        </is>
      </c>
      <c r="C671" t="inlineStr"/>
      <c r="D671" t="inlineStr"/>
      <c r="E671" t="n">
        <v>0</v>
      </c>
      <c r="F671" t="n">
        <v>0</v>
      </c>
      <c r="G671" t="n">
        <v>5444.48</v>
      </c>
      <c r="H671" t="n">
        <v>-3.62</v>
      </c>
      <c r="I671" s="7">
        <f>F671*Summary!$B$5</f>
        <v/>
      </c>
      <c r="J671" s="7">
        <f>G671*Summary!$B$5</f>
        <v/>
      </c>
      <c r="K671" s="7">
        <f>H671*Summary!$B$5</f>
        <v/>
      </c>
    </row>
    <row r="672">
      <c r="A672" s="8" t="n">
        <v>45191</v>
      </c>
      <c r="B672" t="inlineStr">
        <is>
          <t>FY23-24</t>
        </is>
      </c>
      <c r="C672" t="inlineStr"/>
      <c r="D672" t="inlineStr"/>
      <c r="E672" t="n">
        <v>0</v>
      </c>
      <c r="F672" t="n">
        <v>0</v>
      </c>
      <c r="G672" t="n">
        <v>5444.48</v>
      </c>
      <c r="H672" t="n">
        <v>-3.62</v>
      </c>
      <c r="I672" s="7">
        <f>F672*Summary!$B$5</f>
        <v/>
      </c>
      <c r="J672" s="7">
        <f>G672*Summary!$B$5</f>
        <v/>
      </c>
      <c r="K672" s="7">
        <f>H672*Summary!$B$5</f>
        <v/>
      </c>
    </row>
    <row r="673">
      <c r="A673" s="8" t="n">
        <v>45194</v>
      </c>
      <c r="B673" t="inlineStr">
        <is>
          <t>FY23-24</t>
        </is>
      </c>
      <c r="C673" t="inlineStr">
        <is>
          <t>CW</t>
        </is>
      </c>
      <c r="D673" t="inlineStr">
        <is>
          <t>09:18</t>
        </is>
      </c>
      <c r="E673" t="n">
        <v>4</v>
      </c>
      <c r="F673" t="n">
        <v>-2.61</v>
      </c>
      <c r="G673" t="n">
        <v>5441.87</v>
      </c>
      <c r="H673" t="n">
        <v>-6.23</v>
      </c>
      <c r="I673" s="7">
        <f>F673*Summary!$B$5</f>
        <v/>
      </c>
      <c r="J673" s="7">
        <f>G673*Summary!$B$5</f>
        <v/>
      </c>
      <c r="K673" s="7">
        <f>H673*Summary!$B$5</f>
        <v/>
      </c>
    </row>
    <row r="674">
      <c r="A674" s="8" t="n">
        <v>45195</v>
      </c>
      <c r="B674" t="inlineStr">
        <is>
          <t>FY23-24</t>
        </is>
      </c>
      <c r="C674" t="inlineStr">
        <is>
          <t>CW</t>
        </is>
      </c>
      <c r="D674" t="inlineStr">
        <is>
          <t>09:18</t>
        </is>
      </c>
      <c r="E674" t="n">
        <v>3</v>
      </c>
      <c r="F674" t="n">
        <v>24.28</v>
      </c>
      <c r="G674" t="n">
        <v>5466.15</v>
      </c>
      <c r="H674" t="n">
        <v>0</v>
      </c>
      <c r="I674" s="7">
        <f>F674*Summary!$B$5</f>
        <v/>
      </c>
      <c r="J674" s="7">
        <f>G674*Summary!$B$5</f>
        <v/>
      </c>
      <c r="K674" s="7">
        <f>H674*Summary!$B$5</f>
        <v/>
      </c>
    </row>
    <row r="675">
      <c r="A675" s="8" t="n">
        <v>45196</v>
      </c>
      <c r="B675" t="inlineStr">
        <is>
          <t>FY23-24</t>
        </is>
      </c>
      <c r="C675" t="inlineStr">
        <is>
          <t>CW</t>
        </is>
      </c>
      <c r="D675" t="inlineStr">
        <is>
          <t>09:18</t>
        </is>
      </c>
      <c r="E675" t="n">
        <v>2</v>
      </c>
      <c r="F675" t="n">
        <v>-4.38</v>
      </c>
      <c r="G675" t="n">
        <v>5461.77</v>
      </c>
      <c r="H675" t="n">
        <v>-4.38</v>
      </c>
      <c r="I675" s="7">
        <f>F675*Summary!$B$5</f>
        <v/>
      </c>
      <c r="J675" s="7">
        <f>G675*Summary!$B$5</f>
        <v/>
      </c>
      <c r="K675" s="7">
        <f>H675*Summary!$B$5</f>
        <v/>
      </c>
    </row>
    <row r="676">
      <c r="A676" s="8" t="n">
        <v>45197</v>
      </c>
      <c r="B676" t="inlineStr">
        <is>
          <t>FY23-24</t>
        </is>
      </c>
      <c r="C676" t="inlineStr">
        <is>
          <t>CW</t>
        </is>
      </c>
      <c r="D676" t="inlineStr">
        <is>
          <t>09:18</t>
        </is>
      </c>
      <c r="E676" t="n">
        <v>1</v>
      </c>
      <c r="F676" t="n">
        <v>-42.86</v>
      </c>
      <c r="G676" t="n">
        <v>5418.91</v>
      </c>
      <c r="H676" t="n">
        <v>-47.24</v>
      </c>
      <c r="I676" s="7">
        <f>F676*Summary!$B$5</f>
        <v/>
      </c>
      <c r="J676" s="7">
        <f>G676*Summary!$B$5</f>
        <v/>
      </c>
      <c r="K676" s="7">
        <f>H676*Summary!$B$5</f>
        <v/>
      </c>
    </row>
    <row r="677">
      <c r="A677" s="8" t="n">
        <v>45198</v>
      </c>
      <c r="B677" t="inlineStr">
        <is>
          <t>FY23-24</t>
        </is>
      </c>
      <c r="C677" t="inlineStr">
        <is>
          <t>n/a</t>
        </is>
      </c>
      <c r="D677" t="inlineStr"/>
      <c r="E677" t="n">
        <v>0</v>
      </c>
      <c r="F677" t="n">
        <v>33.57</v>
      </c>
      <c r="G677" t="n">
        <v>5452.47</v>
      </c>
      <c r="H677" t="n">
        <v>-13.67</v>
      </c>
      <c r="I677" s="7">
        <f>F677*Summary!$B$5</f>
        <v/>
      </c>
      <c r="J677" s="7">
        <f>G677*Summary!$B$5</f>
        <v/>
      </c>
      <c r="K677" s="7">
        <f>H677*Summary!$B$5</f>
        <v/>
      </c>
    </row>
    <row r="678">
      <c r="A678" s="8" t="n">
        <v>45202</v>
      </c>
      <c r="B678" t="inlineStr">
        <is>
          <t>FY23-24</t>
        </is>
      </c>
      <c r="C678" t="inlineStr">
        <is>
          <t>n/a</t>
        </is>
      </c>
      <c r="D678" t="inlineStr"/>
      <c r="E678" t="n">
        <v>0</v>
      </c>
      <c r="F678" t="n">
        <v>31.51</v>
      </c>
      <c r="G678" t="n">
        <v>5483.98</v>
      </c>
      <c r="H678" t="n">
        <v>0</v>
      </c>
      <c r="I678" s="7">
        <f>F678*Summary!$B$5</f>
        <v/>
      </c>
      <c r="J678" s="7">
        <f>G678*Summary!$B$5</f>
        <v/>
      </c>
      <c r="K678" s="7">
        <f>H678*Summary!$B$5</f>
        <v/>
      </c>
    </row>
    <row r="679">
      <c r="A679" s="8" t="n">
        <v>45203</v>
      </c>
      <c r="B679" t="inlineStr">
        <is>
          <t>FY23-24</t>
        </is>
      </c>
      <c r="C679" t="inlineStr">
        <is>
          <t>CW</t>
        </is>
      </c>
      <c r="D679" t="inlineStr">
        <is>
          <t>09:18</t>
        </is>
      </c>
      <c r="E679" t="n">
        <v>2</v>
      </c>
      <c r="F679" t="n">
        <v>3.89</v>
      </c>
      <c r="G679" t="n">
        <v>5487.87</v>
      </c>
      <c r="H679" t="n">
        <v>0</v>
      </c>
      <c r="I679" s="7">
        <f>F679*Summary!$B$5</f>
        <v/>
      </c>
      <c r="J679" s="7">
        <f>G679*Summary!$B$5</f>
        <v/>
      </c>
      <c r="K679" s="7">
        <f>H679*Summary!$B$5</f>
        <v/>
      </c>
    </row>
    <row r="680">
      <c r="A680" s="8" t="n">
        <v>45204</v>
      </c>
      <c r="B680" t="inlineStr">
        <is>
          <t>FY23-24</t>
        </is>
      </c>
      <c r="C680" t="inlineStr">
        <is>
          <t>CW</t>
        </is>
      </c>
      <c r="D680" t="inlineStr">
        <is>
          <t>09:18</t>
        </is>
      </c>
      <c r="E680" t="n">
        <v>1</v>
      </c>
      <c r="F680" t="n">
        <v>1.43</v>
      </c>
      <c r="G680" t="n">
        <v>5489.3</v>
      </c>
      <c r="H680" t="n">
        <v>0</v>
      </c>
      <c r="I680" s="7">
        <f>F680*Summary!$B$5</f>
        <v/>
      </c>
      <c r="J680" s="7">
        <f>G680*Summary!$B$5</f>
        <v/>
      </c>
      <c r="K680" s="7">
        <f>H680*Summary!$B$5</f>
        <v/>
      </c>
    </row>
    <row r="681">
      <c r="A681" s="8" t="n">
        <v>45205</v>
      </c>
      <c r="B681" t="inlineStr">
        <is>
          <t>FY23-24</t>
        </is>
      </c>
      <c r="C681" t="inlineStr"/>
      <c r="D681" t="inlineStr"/>
      <c r="E681" t="n">
        <v>0</v>
      </c>
      <c r="F681" t="n">
        <v>0</v>
      </c>
      <c r="G681" t="n">
        <v>5489.3</v>
      </c>
      <c r="H681" t="n">
        <v>0</v>
      </c>
      <c r="I681" s="7">
        <f>F681*Summary!$B$5</f>
        <v/>
      </c>
      <c r="J681" s="7">
        <f>G681*Summary!$B$5</f>
        <v/>
      </c>
      <c r="K681" s="7">
        <f>H681*Summary!$B$5</f>
        <v/>
      </c>
    </row>
    <row r="682">
      <c r="A682" s="8" t="n">
        <v>45208</v>
      </c>
      <c r="B682" t="inlineStr">
        <is>
          <t>FY23-24</t>
        </is>
      </c>
      <c r="C682" t="inlineStr"/>
      <c r="D682" t="inlineStr"/>
      <c r="E682" t="n">
        <v>0</v>
      </c>
      <c r="F682" t="n">
        <v>0</v>
      </c>
      <c r="G682" t="n">
        <v>5489.3</v>
      </c>
      <c r="H682" t="n">
        <v>0</v>
      </c>
      <c r="I682" s="7">
        <f>F682*Summary!$B$5</f>
        <v/>
      </c>
      <c r="J682" s="7">
        <f>G682*Summary!$B$5</f>
        <v/>
      </c>
      <c r="K682" s="7">
        <f>H682*Summary!$B$5</f>
        <v/>
      </c>
    </row>
    <row r="683">
      <c r="A683" s="8" t="n">
        <v>45209</v>
      </c>
      <c r="B683" t="inlineStr">
        <is>
          <t>FY23-24</t>
        </is>
      </c>
      <c r="C683" t="inlineStr"/>
      <c r="D683" t="inlineStr"/>
      <c r="E683" t="n">
        <v>0</v>
      </c>
      <c r="F683" t="n">
        <v>0</v>
      </c>
      <c r="G683" t="n">
        <v>5489.3</v>
      </c>
      <c r="H683" t="n">
        <v>0</v>
      </c>
      <c r="I683" s="7">
        <f>F683*Summary!$B$5</f>
        <v/>
      </c>
      <c r="J683" s="7">
        <f>G683*Summary!$B$5</f>
        <v/>
      </c>
      <c r="K683" s="7">
        <f>H683*Summary!$B$5</f>
        <v/>
      </c>
    </row>
    <row r="684">
      <c r="A684" s="8" t="n">
        <v>45210</v>
      </c>
      <c r="B684" t="inlineStr">
        <is>
          <t>FY23-24</t>
        </is>
      </c>
      <c r="C684" t="inlineStr">
        <is>
          <t>CW</t>
        </is>
      </c>
      <c r="D684" t="inlineStr">
        <is>
          <t>09:18</t>
        </is>
      </c>
      <c r="E684" t="n">
        <v>2</v>
      </c>
      <c r="F684" t="n">
        <v>-3.65</v>
      </c>
      <c r="G684" t="n">
        <v>5485.65</v>
      </c>
      <c r="H684" t="n">
        <v>-3.65</v>
      </c>
      <c r="I684" s="7">
        <f>F684*Summary!$B$5</f>
        <v/>
      </c>
      <c r="J684" s="7">
        <f>G684*Summary!$B$5</f>
        <v/>
      </c>
      <c r="K684" s="7">
        <f>H684*Summary!$B$5</f>
        <v/>
      </c>
    </row>
    <row r="685">
      <c r="A685" s="8" t="n">
        <v>45211</v>
      </c>
      <c r="B685" t="inlineStr">
        <is>
          <t>FY23-24</t>
        </is>
      </c>
      <c r="C685" t="inlineStr">
        <is>
          <t>CW</t>
        </is>
      </c>
      <c r="D685" t="inlineStr">
        <is>
          <t>09:18</t>
        </is>
      </c>
      <c r="E685" t="n">
        <v>1</v>
      </c>
      <c r="F685" t="n">
        <v>6.7</v>
      </c>
      <c r="G685" t="n">
        <v>5492.35</v>
      </c>
      <c r="H685" t="n">
        <v>0</v>
      </c>
      <c r="I685" s="7">
        <f>F685*Summary!$B$5</f>
        <v/>
      </c>
      <c r="J685" s="7">
        <f>G685*Summary!$B$5</f>
        <v/>
      </c>
      <c r="K685" s="7">
        <f>H685*Summary!$B$5</f>
        <v/>
      </c>
    </row>
    <row r="686">
      <c r="A686" s="8" t="n">
        <v>45212</v>
      </c>
      <c r="B686" t="inlineStr">
        <is>
          <t>FY23-24</t>
        </is>
      </c>
      <c r="C686" t="inlineStr"/>
      <c r="D686" t="inlineStr"/>
      <c r="E686" t="n">
        <v>0</v>
      </c>
      <c r="F686" t="n">
        <v>0</v>
      </c>
      <c r="G686" t="n">
        <v>5492.35</v>
      </c>
      <c r="H686" t="n">
        <v>0</v>
      </c>
      <c r="I686" s="7">
        <f>F686*Summary!$B$5</f>
        <v/>
      </c>
      <c r="J686" s="7">
        <f>G686*Summary!$B$5</f>
        <v/>
      </c>
      <c r="K686" s="7">
        <f>H686*Summary!$B$5</f>
        <v/>
      </c>
    </row>
    <row r="687">
      <c r="A687" s="8" t="n">
        <v>45215</v>
      </c>
      <c r="B687" t="inlineStr">
        <is>
          <t>FY23-24</t>
        </is>
      </c>
      <c r="C687" t="inlineStr"/>
      <c r="D687" t="inlineStr"/>
      <c r="E687" t="n">
        <v>0</v>
      </c>
      <c r="F687" t="n">
        <v>0</v>
      </c>
      <c r="G687" t="n">
        <v>5492.35</v>
      </c>
      <c r="H687" t="n">
        <v>0</v>
      </c>
      <c r="I687" s="7">
        <f>F687*Summary!$B$5</f>
        <v/>
      </c>
      <c r="J687" s="7">
        <f>G687*Summary!$B$5</f>
        <v/>
      </c>
      <c r="K687" s="7">
        <f>H687*Summary!$B$5</f>
        <v/>
      </c>
    </row>
    <row r="688">
      <c r="A688" s="8" t="n">
        <v>45216</v>
      </c>
      <c r="B688" t="inlineStr">
        <is>
          <t>FY23-24</t>
        </is>
      </c>
      <c r="C688" t="inlineStr"/>
      <c r="D688" t="inlineStr"/>
      <c r="E688" t="n">
        <v>0</v>
      </c>
      <c r="F688" t="n">
        <v>0</v>
      </c>
      <c r="G688" t="n">
        <v>5492.35</v>
      </c>
      <c r="H688" t="n">
        <v>0</v>
      </c>
      <c r="I688" s="7">
        <f>F688*Summary!$B$5</f>
        <v/>
      </c>
      <c r="J688" s="7">
        <f>G688*Summary!$B$5</f>
        <v/>
      </c>
      <c r="K688" s="7">
        <f>H688*Summary!$B$5</f>
        <v/>
      </c>
    </row>
    <row r="689">
      <c r="A689" s="8" t="n">
        <v>45217</v>
      </c>
      <c r="B689" t="inlineStr">
        <is>
          <t>FY23-24</t>
        </is>
      </c>
      <c r="C689" t="inlineStr"/>
      <c r="D689" t="inlineStr"/>
      <c r="E689" t="n">
        <v>0</v>
      </c>
      <c r="F689" t="n">
        <v>0</v>
      </c>
      <c r="G689" t="n">
        <v>5492.35</v>
      </c>
      <c r="H689" t="n">
        <v>0</v>
      </c>
      <c r="I689" s="7">
        <f>F689*Summary!$B$5</f>
        <v/>
      </c>
      <c r="J689" s="7">
        <f>G689*Summary!$B$5</f>
        <v/>
      </c>
      <c r="K689" s="7">
        <f>H689*Summary!$B$5</f>
        <v/>
      </c>
    </row>
    <row r="690">
      <c r="A690" s="8" t="n">
        <v>45218</v>
      </c>
      <c r="B690" t="inlineStr">
        <is>
          <t>FY23-24</t>
        </is>
      </c>
      <c r="C690" t="inlineStr"/>
      <c r="D690" t="inlineStr"/>
      <c r="E690" t="n">
        <v>0</v>
      </c>
      <c r="F690" t="n">
        <v>0</v>
      </c>
      <c r="G690" t="n">
        <v>5492.35</v>
      </c>
      <c r="H690" t="n">
        <v>0</v>
      </c>
      <c r="I690" s="7">
        <f>F690*Summary!$B$5</f>
        <v/>
      </c>
      <c r="J690" s="7">
        <f>G690*Summary!$B$5</f>
        <v/>
      </c>
      <c r="K690" s="7">
        <f>H690*Summary!$B$5</f>
        <v/>
      </c>
    </row>
    <row r="691">
      <c r="A691" s="8" t="n">
        <v>45219</v>
      </c>
      <c r="B691" t="inlineStr">
        <is>
          <t>FY23-24</t>
        </is>
      </c>
      <c r="C691" t="inlineStr"/>
      <c r="D691" t="inlineStr"/>
      <c r="E691" t="n">
        <v>0</v>
      </c>
      <c r="F691" t="n">
        <v>0</v>
      </c>
      <c r="G691" t="n">
        <v>5492.35</v>
      </c>
      <c r="H691" t="n">
        <v>0</v>
      </c>
      <c r="I691" s="7">
        <f>F691*Summary!$B$5</f>
        <v/>
      </c>
      <c r="J691" s="7">
        <f>G691*Summary!$B$5</f>
        <v/>
      </c>
      <c r="K691" s="7">
        <f>H691*Summary!$B$5</f>
        <v/>
      </c>
    </row>
    <row r="692">
      <c r="A692" s="8" t="n">
        <v>45222</v>
      </c>
      <c r="B692" t="inlineStr">
        <is>
          <t>FY23-24</t>
        </is>
      </c>
      <c r="C692" t="inlineStr"/>
      <c r="D692" t="inlineStr"/>
      <c r="E692" t="n">
        <v>0</v>
      </c>
      <c r="F692" t="n">
        <v>0</v>
      </c>
      <c r="G692" t="n">
        <v>5492.35</v>
      </c>
      <c r="H692" t="n">
        <v>0</v>
      </c>
      <c r="I692" s="7">
        <f>F692*Summary!$B$5</f>
        <v/>
      </c>
      <c r="J692" s="7">
        <f>G692*Summary!$B$5</f>
        <v/>
      </c>
      <c r="K692" s="7">
        <f>H692*Summary!$B$5</f>
        <v/>
      </c>
    </row>
    <row r="693">
      <c r="A693" s="8" t="n">
        <v>45224</v>
      </c>
      <c r="B693" t="inlineStr">
        <is>
          <t>FY23-24</t>
        </is>
      </c>
      <c r="C693" t="inlineStr">
        <is>
          <t>CW</t>
        </is>
      </c>
      <c r="D693" t="inlineStr">
        <is>
          <t>12:58</t>
        </is>
      </c>
      <c r="E693" t="n">
        <v>2</v>
      </c>
      <c r="F693" t="n">
        <v>19.1</v>
      </c>
      <c r="G693" t="n">
        <v>5511.45</v>
      </c>
      <c r="H693" t="n">
        <v>0</v>
      </c>
      <c r="I693" s="7">
        <f>F693*Summary!$B$5</f>
        <v/>
      </c>
      <c r="J693" s="7">
        <f>G693*Summary!$B$5</f>
        <v/>
      </c>
      <c r="K693" s="7">
        <f>H693*Summary!$B$5</f>
        <v/>
      </c>
    </row>
    <row r="694">
      <c r="A694" s="8" t="n">
        <v>45225</v>
      </c>
      <c r="B694" t="inlineStr">
        <is>
          <t>FY23-24</t>
        </is>
      </c>
      <c r="C694" t="inlineStr">
        <is>
          <t>CW</t>
        </is>
      </c>
      <c r="D694" t="inlineStr">
        <is>
          <t>09:18</t>
        </is>
      </c>
      <c r="E694" t="n">
        <v>1</v>
      </c>
      <c r="F694" t="n">
        <v>6.77</v>
      </c>
      <c r="G694" t="n">
        <v>5518.22</v>
      </c>
      <c r="H694" t="n">
        <v>0</v>
      </c>
      <c r="I694" s="7">
        <f>F694*Summary!$B$5</f>
        <v/>
      </c>
      <c r="J694" s="7">
        <f>G694*Summary!$B$5</f>
        <v/>
      </c>
      <c r="K694" s="7">
        <f>H694*Summary!$B$5</f>
        <v/>
      </c>
    </row>
    <row r="695">
      <c r="A695" s="8" t="n">
        <v>45226</v>
      </c>
      <c r="B695" t="inlineStr">
        <is>
          <t>FY23-24</t>
        </is>
      </c>
      <c r="C695" t="inlineStr"/>
      <c r="D695" t="inlineStr"/>
      <c r="E695" t="n">
        <v>0</v>
      </c>
      <c r="F695" t="n">
        <v>0</v>
      </c>
      <c r="G695" t="n">
        <v>5518.22</v>
      </c>
      <c r="H695" t="n">
        <v>0</v>
      </c>
      <c r="I695" s="7">
        <f>F695*Summary!$B$5</f>
        <v/>
      </c>
      <c r="J695" s="7">
        <f>G695*Summary!$B$5</f>
        <v/>
      </c>
      <c r="K695" s="7">
        <f>H695*Summary!$B$5</f>
        <v/>
      </c>
    </row>
    <row r="696">
      <c r="A696" s="8" t="n">
        <v>45229</v>
      </c>
      <c r="B696" t="inlineStr">
        <is>
          <t>FY23-24</t>
        </is>
      </c>
      <c r="C696" t="inlineStr">
        <is>
          <t>n/a</t>
        </is>
      </c>
      <c r="D696" t="inlineStr"/>
      <c r="E696" t="n">
        <v>0</v>
      </c>
      <c r="F696" t="n">
        <v>-2.35</v>
      </c>
      <c r="G696" t="n">
        <v>5515.88</v>
      </c>
      <c r="H696" t="n">
        <v>-2.35</v>
      </c>
      <c r="I696" s="7">
        <f>F696*Summary!$B$5</f>
        <v/>
      </c>
      <c r="J696" s="7">
        <f>G696*Summary!$B$5</f>
        <v/>
      </c>
      <c r="K696" s="7">
        <f>H696*Summary!$B$5</f>
        <v/>
      </c>
    </row>
    <row r="697">
      <c r="A697" s="8" t="n">
        <v>45230</v>
      </c>
      <c r="B697" t="inlineStr">
        <is>
          <t>FY23-24</t>
        </is>
      </c>
      <c r="C697" t="inlineStr">
        <is>
          <t>CW</t>
        </is>
      </c>
      <c r="D697" t="inlineStr">
        <is>
          <t>09:18</t>
        </is>
      </c>
      <c r="E697" t="n">
        <v>3</v>
      </c>
      <c r="F697" t="n">
        <v>-8.199999999999999</v>
      </c>
      <c r="G697" t="n">
        <v>5507.68</v>
      </c>
      <c r="H697" t="n">
        <v>-10.54</v>
      </c>
      <c r="I697" s="7">
        <f>F697*Summary!$B$5</f>
        <v/>
      </c>
      <c r="J697" s="7">
        <f>G697*Summary!$B$5</f>
        <v/>
      </c>
      <c r="K697" s="7">
        <f>H697*Summary!$B$5</f>
        <v/>
      </c>
    </row>
    <row r="698">
      <c r="A698" s="8" t="n">
        <v>45231</v>
      </c>
      <c r="B698" t="inlineStr">
        <is>
          <t>FY23-24</t>
        </is>
      </c>
      <c r="C698" t="inlineStr">
        <is>
          <t>NW</t>
        </is>
      </c>
      <c r="D698" t="inlineStr"/>
      <c r="E698" t="n">
        <v>2</v>
      </c>
      <c r="F698" t="n">
        <v>12</v>
      </c>
      <c r="G698" t="n">
        <v>5519.68</v>
      </c>
      <c r="H698" t="n">
        <v>0</v>
      </c>
      <c r="I698" s="7">
        <f>F698*Summary!$B$5</f>
        <v/>
      </c>
      <c r="J698" s="7">
        <f>G698*Summary!$B$5</f>
        <v/>
      </c>
      <c r="K698" s="7">
        <f>H698*Summary!$B$5</f>
        <v/>
      </c>
    </row>
    <row r="699">
      <c r="A699" s="8" t="n">
        <v>45232</v>
      </c>
      <c r="B699" t="inlineStr">
        <is>
          <t>FY23-24</t>
        </is>
      </c>
      <c r="C699" t="inlineStr"/>
      <c r="D699" t="inlineStr"/>
      <c r="E699" t="n">
        <v>0</v>
      </c>
      <c r="F699" t="n">
        <v>0</v>
      </c>
      <c r="G699" t="n">
        <v>5519.68</v>
      </c>
      <c r="H699" t="n">
        <v>0</v>
      </c>
      <c r="I699" s="7">
        <f>F699*Summary!$B$5</f>
        <v/>
      </c>
      <c r="J699" s="7">
        <f>G699*Summary!$B$5</f>
        <v/>
      </c>
      <c r="K699" s="7">
        <f>H699*Summary!$B$5</f>
        <v/>
      </c>
    </row>
    <row r="700">
      <c r="A700" s="8" t="n">
        <v>45233</v>
      </c>
      <c r="B700" t="inlineStr">
        <is>
          <t>FY23-24</t>
        </is>
      </c>
      <c r="C700" t="inlineStr"/>
      <c r="D700" t="inlineStr"/>
      <c r="E700" t="n">
        <v>0</v>
      </c>
      <c r="F700" t="n">
        <v>0</v>
      </c>
      <c r="G700" t="n">
        <v>5519.68</v>
      </c>
      <c r="H700" t="n">
        <v>0</v>
      </c>
      <c r="I700" s="7">
        <f>F700*Summary!$B$5</f>
        <v/>
      </c>
      <c r="J700" s="7">
        <f>G700*Summary!$B$5</f>
        <v/>
      </c>
      <c r="K700" s="7">
        <f>H700*Summary!$B$5</f>
        <v/>
      </c>
    </row>
    <row r="701">
      <c r="A701" s="8" t="n">
        <v>45236</v>
      </c>
      <c r="B701" t="inlineStr">
        <is>
          <t>FY23-24</t>
        </is>
      </c>
      <c r="C701" t="inlineStr"/>
      <c r="D701" t="inlineStr"/>
      <c r="E701" t="n">
        <v>0</v>
      </c>
      <c r="F701" t="n">
        <v>0</v>
      </c>
      <c r="G701" t="n">
        <v>5519.68</v>
      </c>
      <c r="H701" t="n">
        <v>0</v>
      </c>
      <c r="I701" s="7">
        <f>F701*Summary!$B$5</f>
        <v/>
      </c>
      <c r="J701" s="7">
        <f>G701*Summary!$B$5</f>
        <v/>
      </c>
      <c r="K701" s="7">
        <f>H701*Summary!$B$5</f>
        <v/>
      </c>
    </row>
    <row r="702">
      <c r="A702" s="8" t="n">
        <v>45237</v>
      </c>
      <c r="B702" t="inlineStr">
        <is>
          <t>FY23-24</t>
        </is>
      </c>
      <c r="C702" t="inlineStr"/>
      <c r="D702" t="inlineStr"/>
      <c r="E702" t="n">
        <v>0</v>
      </c>
      <c r="F702" t="n">
        <v>0</v>
      </c>
      <c r="G702" t="n">
        <v>5519.68</v>
      </c>
      <c r="H702" t="n">
        <v>0</v>
      </c>
      <c r="I702" s="7">
        <f>F702*Summary!$B$5</f>
        <v/>
      </c>
      <c r="J702" s="7">
        <f>G702*Summary!$B$5</f>
        <v/>
      </c>
      <c r="K702" s="7">
        <f>H702*Summary!$B$5</f>
        <v/>
      </c>
    </row>
    <row r="703">
      <c r="A703" s="8" t="n">
        <v>45238</v>
      </c>
      <c r="B703" t="inlineStr">
        <is>
          <t>FY23-24</t>
        </is>
      </c>
      <c r="C703" t="inlineStr">
        <is>
          <t>CW</t>
        </is>
      </c>
      <c r="D703" t="inlineStr">
        <is>
          <t>09:18</t>
        </is>
      </c>
      <c r="E703" t="n">
        <v>2</v>
      </c>
      <c r="F703" t="n">
        <v>20.5</v>
      </c>
      <c r="G703" t="n">
        <v>5540.18</v>
      </c>
      <c r="H703" t="n">
        <v>0</v>
      </c>
      <c r="I703" s="7">
        <f>F703*Summary!$B$5</f>
        <v/>
      </c>
      <c r="J703" s="7">
        <f>G703*Summary!$B$5</f>
        <v/>
      </c>
      <c r="K703" s="7">
        <f>H703*Summary!$B$5</f>
        <v/>
      </c>
    </row>
    <row r="704">
      <c r="A704" s="8" t="n">
        <v>45239</v>
      </c>
      <c r="B704" t="inlineStr">
        <is>
          <t>FY23-24</t>
        </is>
      </c>
      <c r="C704" t="inlineStr">
        <is>
          <t>CW</t>
        </is>
      </c>
      <c r="D704" t="inlineStr">
        <is>
          <t>09:18</t>
        </is>
      </c>
      <c r="E704" t="n">
        <v>1</v>
      </c>
      <c r="F704" t="n">
        <v>9.720000000000001</v>
      </c>
      <c r="G704" t="n">
        <v>5549.9</v>
      </c>
      <c r="H704" t="n">
        <v>0</v>
      </c>
      <c r="I704" s="7">
        <f>F704*Summary!$B$5</f>
        <v/>
      </c>
      <c r="J704" s="7">
        <f>G704*Summary!$B$5</f>
        <v/>
      </c>
      <c r="K704" s="7">
        <f>H704*Summary!$B$5</f>
        <v/>
      </c>
    </row>
    <row r="705">
      <c r="A705" s="8" t="n">
        <v>45240</v>
      </c>
      <c r="B705" t="inlineStr">
        <is>
          <t>FY23-24</t>
        </is>
      </c>
      <c r="C705" t="inlineStr"/>
      <c r="D705" t="inlineStr"/>
      <c r="E705" t="n">
        <v>0</v>
      </c>
      <c r="F705" t="n">
        <v>0</v>
      </c>
      <c r="G705" t="n">
        <v>5549.9</v>
      </c>
      <c r="H705" t="n">
        <v>0</v>
      </c>
      <c r="I705" s="7">
        <f>F705*Summary!$B$5</f>
        <v/>
      </c>
      <c r="J705" s="7">
        <f>G705*Summary!$B$5</f>
        <v/>
      </c>
      <c r="K705" s="7">
        <f>H705*Summary!$B$5</f>
        <v/>
      </c>
    </row>
    <row r="706">
      <c r="A706" s="8" t="n">
        <v>45243</v>
      </c>
      <c r="B706" t="inlineStr">
        <is>
          <t>FY23-24</t>
        </is>
      </c>
      <c r="C706" t="inlineStr">
        <is>
          <t>CW</t>
        </is>
      </c>
      <c r="D706" t="inlineStr">
        <is>
          <t>09:18</t>
        </is>
      </c>
      <c r="E706" t="n">
        <v>4</v>
      </c>
      <c r="F706" t="n">
        <v>7.88</v>
      </c>
      <c r="G706" t="n">
        <v>5557.78</v>
      </c>
      <c r="H706" t="n">
        <v>0</v>
      </c>
      <c r="I706" s="7">
        <f>F706*Summary!$B$5</f>
        <v/>
      </c>
      <c r="J706" s="7">
        <f>G706*Summary!$B$5</f>
        <v/>
      </c>
      <c r="K706" s="7">
        <f>H706*Summary!$B$5</f>
        <v/>
      </c>
    </row>
    <row r="707">
      <c r="A707" s="8" t="n">
        <v>45245</v>
      </c>
      <c r="B707" t="inlineStr">
        <is>
          <t>FY23-24</t>
        </is>
      </c>
      <c r="C707" t="inlineStr">
        <is>
          <t>CW</t>
        </is>
      </c>
      <c r="D707" t="inlineStr">
        <is>
          <t>09:18</t>
        </is>
      </c>
      <c r="E707" t="n">
        <v>2</v>
      </c>
      <c r="F707" t="n">
        <v>5.82</v>
      </c>
      <c r="G707" t="n">
        <v>5563.6</v>
      </c>
      <c r="H707" t="n">
        <v>0</v>
      </c>
      <c r="I707" s="7">
        <f>F707*Summary!$B$5</f>
        <v/>
      </c>
      <c r="J707" s="7">
        <f>G707*Summary!$B$5</f>
        <v/>
      </c>
      <c r="K707" s="7">
        <f>H707*Summary!$B$5</f>
        <v/>
      </c>
    </row>
    <row r="708">
      <c r="A708" s="8" t="n">
        <v>45246</v>
      </c>
      <c r="B708" t="inlineStr">
        <is>
          <t>FY23-24</t>
        </is>
      </c>
      <c r="C708" t="inlineStr">
        <is>
          <t>NW</t>
        </is>
      </c>
      <c r="D708" t="inlineStr"/>
      <c r="E708" t="n">
        <v>0</v>
      </c>
      <c r="F708" t="n">
        <v>-22.12</v>
      </c>
      <c r="G708" t="n">
        <v>5541.48</v>
      </c>
      <c r="H708" t="n">
        <v>-22.12</v>
      </c>
      <c r="I708" s="7">
        <f>F708*Summary!$B$5</f>
        <v/>
      </c>
      <c r="J708" s="7">
        <f>G708*Summary!$B$5</f>
        <v/>
      </c>
      <c r="K708" s="7">
        <f>H708*Summary!$B$5</f>
        <v/>
      </c>
    </row>
    <row r="709">
      <c r="A709" s="8" t="n">
        <v>45247</v>
      </c>
      <c r="B709" t="inlineStr">
        <is>
          <t>FY23-24</t>
        </is>
      </c>
      <c r="C709" t="inlineStr"/>
      <c r="D709" t="inlineStr"/>
      <c r="E709" t="n">
        <v>0</v>
      </c>
      <c r="F709" t="n">
        <v>0</v>
      </c>
      <c r="G709" t="n">
        <v>5541.48</v>
      </c>
      <c r="H709" t="n">
        <v>-22.12</v>
      </c>
      <c r="I709" s="7">
        <f>F709*Summary!$B$5</f>
        <v/>
      </c>
      <c r="J709" s="7">
        <f>G709*Summary!$B$5</f>
        <v/>
      </c>
      <c r="K709" s="7">
        <f>H709*Summary!$B$5</f>
        <v/>
      </c>
    </row>
    <row r="710">
      <c r="A710" s="8" t="n">
        <v>45250</v>
      </c>
      <c r="B710" t="inlineStr">
        <is>
          <t>FY23-24</t>
        </is>
      </c>
      <c r="C710" t="inlineStr">
        <is>
          <t>CW</t>
        </is>
      </c>
      <c r="D710" t="inlineStr">
        <is>
          <t>09:18</t>
        </is>
      </c>
      <c r="E710" t="n">
        <v>4</v>
      </c>
      <c r="F710" t="n">
        <v>11.21</v>
      </c>
      <c r="G710" t="n">
        <v>5552.69</v>
      </c>
      <c r="H710" t="n">
        <v>-10.91</v>
      </c>
      <c r="I710" s="7">
        <f>F710*Summary!$B$5</f>
        <v/>
      </c>
      <c r="J710" s="7">
        <f>G710*Summary!$B$5</f>
        <v/>
      </c>
      <c r="K710" s="7">
        <f>H710*Summary!$B$5</f>
        <v/>
      </c>
    </row>
    <row r="711">
      <c r="A711" s="8" t="n">
        <v>45251</v>
      </c>
      <c r="B711" t="inlineStr">
        <is>
          <t>FY23-24</t>
        </is>
      </c>
      <c r="C711" t="inlineStr">
        <is>
          <t>CW</t>
        </is>
      </c>
      <c r="D711" t="inlineStr">
        <is>
          <t>09:18</t>
        </is>
      </c>
      <c r="E711" t="n">
        <v>3</v>
      </c>
      <c r="F711" t="n">
        <v>10.83</v>
      </c>
      <c r="G711" t="n">
        <v>5563.52</v>
      </c>
      <c r="H711" t="n">
        <v>-0.08</v>
      </c>
      <c r="I711" s="7">
        <f>F711*Summary!$B$5</f>
        <v/>
      </c>
      <c r="J711" s="7">
        <f>G711*Summary!$B$5</f>
        <v/>
      </c>
      <c r="K711" s="7">
        <f>H711*Summary!$B$5</f>
        <v/>
      </c>
    </row>
    <row r="712">
      <c r="A712" s="8" t="n">
        <v>45252</v>
      </c>
      <c r="B712" t="inlineStr">
        <is>
          <t>FY23-24</t>
        </is>
      </c>
      <c r="C712" t="inlineStr">
        <is>
          <t>CW</t>
        </is>
      </c>
      <c r="D712" t="inlineStr">
        <is>
          <t>09:18</t>
        </is>
      </c>
      <c r="E712" t="n">
        <v>2</v>
      </c>
      <c r="F712" t="n">
        <v>0.44</v>
      </c>
      <c r="G712" t="n">
        <v>5563.96</v>
      </c>
      <c r="H712" t="n">
        <v>0</v>
      </c>
      <c r="I712" s="7">
        <f>F712*Summary!$B$5</f>
        <v/>
      </c>
      <c r="J712" s="7">
        <f>G712*Summary!$B$5</f>
        <v/>
      </c>
      <c r="K712" s="7">
        <f>H712*Summary!$B$5</f>
        <v/>
      </c>
    </row>
    <row r="713">
      <c r="A713" s="8" t="n">
        <v>45253</v>
      </c>
      <c r="B713" t="inlineStr">
        <is>
          <t>FY23-24</t>
        </is>
      </c>
      <c r="C713" t="inlineStr">
        <is>
          <t>CW</t>
        </is>
      </c>
      <c r="D713" t="inlineStr">
        <is>
          <t>09:22</t>
        </is>
      </c>
      <c r="E713" t="n">
        <v>1</v>
      </c>
      <c r="F713" t="n">
        <v>-3.49</v>
      </c>
      <c r="G713" t="n">
        <v>5560.47</v>
      </c>
      <c r="H713" t="n">
        <v>-3.49</v>
      </c>
      <c r="I713" s="7">
        <f>F713*Summary!$B$5</f>
        <v/>
      </c>
      <c r="J713" s="7">
        <f>G713*Summary!$B$5</f>
        <v/>
      </c>
      <c r="K713" s="7">
        <f>H713*Summary!$B$5</f>
        <v/>
      </c>
    </row>
    <row r="714">
      <c r="A714" s="8" t="n">
        <v>45254</v>
      </c>
      <c r="B714" t="inlineStr">
        <is>
          <t>FY23-24</t>
        </is>
      </c>
      <c r="C714" t="inlineStr"/>
      <c r="D714" t="inlineStr"/>
      <c r="E714" t="n">
        <v>0</v>
      </c>
      <c r="F714" t="n">
        <v>0</v>
      </c>
      <c r="G714" t="n">
        <v>5560.47</v>
      </c>
      <c r="H714" t="n">
        <v>-3.49</v>
      </c>
      <c r="I714" s="7">
        <f>F714*Summary!$B$5</f>
        <v/>
      </c>
      <c r="J714" s="7">
        <f>G714*Summary!$B$5</f>
        <v/>
      </c>
      <c r="K714" s="7">
        <f>H714*Summary!$B$5</f>
        <v/>
      </c>
    </row>
    <row r="715">
      <c r="A715" s="8" t="n">
        <v>45258</v>
      </c>
      <c r="B715" t="inlineStr">
        <is>
          <t>FY23-24</t>
        </is>
      </c>
      <c r="C715" t="inlineStr">
        <is>
          <t>CW</t>
        </is>
      </c>
      <c r="D715" t="inlineStr">
        <is>
          <t>09:18</t>
        </is>
      </c>
      <c r="E715" t="n">
        <v>3</v>
      </c>
      <c r="F715" t="n">
        <v>1.69</v>
      </c>
      <c r="G715" t="n">
        <v>5562.16</v>
      </c>
      <c r="H715" t="n">
        <v>-1.8</v>
      </c>
      <c r="I715" s="7">
        <f>F715*Summary!$B$5</f>
        <v/>
      </c>
      <c r="J715" s="7">
        <f>G715*Summary!$B$5</f>
        <v/>
      </c>
      <c r="K715" s="7">
        <f>H715*Summary!$B$5</f>
        <v/>
      </c>
    </row>
    <row r="716">
      <c r="A716" s="8" t="n">
        <v>45259</v>
      </c>
      <c r="B716" t="inlineStr">
        <is>
          <t>FY23-24</t>
        </is>
      </c>
      <c r="C716" t="inlineStr">
        <is>
          <t>CW</t>
        </is>
      </c>
      <c r="D716" t="inlineStr">
        <is>
          <t>09:18</t>
        </is>
      </c>
      <c r="E716" t="n">
        <v>2</v>
      </c>
      <c r="F716" t="n">
        <v>-14.46</v>
      </c>
      <c r="G716" t="n">
        <v>5547.69</v>
      </c>
      <c r="H716" t="n">
        <v>-16.26</v>
      </c>
      <c r="I716" s="7">
        <f>F716*Summary!$B$5</f>
        <v/>
      </c>
      <c r="J716" s="7">
        <f>G716*Summary!$B$5</f>
        <v/>
      </c>
      <c r="K716" s="7">
        <f>H716*Summary!$B$5</f>
        <v/>
      </c>
    </row>
    <row r="717">
      <c r="A717" s="8" t="n">
        <v>45260</v>
      </c>
      <c r="B717" t="inlineStr">
        <is>
          <t>FY23-24</t>
        </is>
      </c>
      <c r="C717" t="inlineStr">
        <is>
          <t>CW</t>
        </is>
      </c>
      <c r="D717" t="inlineStr">
        <is>
          <t>09:18</t>
        </is>
      </c>
      <c r="E717" t="n">
        <v>1</v>
      </c>
      <c r="F717" t="n">
        <v>-34.4</v>
      </c>
      <c r="G717" t="n">
        <v>5513.29</v>
      </c>
      <c r="H717" t="n">
        <v>-50.66</v>
      </c>
      <c r="I717" s="7">
        <f>F717*Summary!$B$5</f>
        <v/>
      </c>
      <c r="J717" s="7">
        <f>G717*Summary!$B$5</f>
        <v/>
      </c>
      <c r="K717" s="7">
        <f>H717*Summary!$B$5</f>
        <v/>
      </c>
    </row>
    <row r="718">
      <c r="A718" s="8" t="n">
        <v>45261</v>
      </c>
      <c r="B718" t="inlineStr">
        <is>
          <t>FY23-24</t>
        </is>
      </c>
      <c r="C718" t="inlineStr"/>
      <c r="D718" t="inlineStr"/>
      <c r="E718" t="n">
        <v>0</v>
      </c>
      <c r="F718" t="n">
        <v>0</v>
      </c>
      <c r="G718" t="n">
        <v>5513.29</v>
      </c>
      <c r="H718" t="n">
        <v>-50.66</v>
      </c>
      <c r="I718" s="7">
        <f>F718*Summary!$B$5</f>
        <v/>
      </c>
      <c r="J718" s="7">
        <f>G718*Summary!$B$5</f>
        <v/>
      </c>
      <c r="K718" s="7">
        <f>H718*Summary!$B$5</f>
        <v/>
      </c>
    </row>
    <row r="719">
      <c r="A719" s="8" t="n">
        <v>45264</v>
      </c>
      <c r="B719" t="inlineStr">
        <is>
          <t>FY23-24</t>
        </is>
      </c>
      <c r="C719" t="inlineStr"/>
      <c r="D719" t="inlineStr"/>
      <c r="E719" t="n">
        <v>0</v>
      </c>
      <c r="F719" t="n">
        <v>0</v>
      </c>
      <c r="G719" t="n">
        <v>5513.29</v>
      </c>
      <c r="H719" t="n">
        <v>-50.66</v>
      </c>
      <c r="I719" s="7">
        <f>F719*Summary!$B$5</f>
        <v/>
      </c>
      <c r="J719" s="7">
        <f>G719*Summary!$B$5</f>
        <v/>
      </c>
      <c r="K719" s="7">
        <f>H719*Summary!$B$5</f>
        <v/>
      </c>
    </row>
    <row r="720">
      <c r="A720" s="8" t="n">
        <v>45265</v>
      </c>
      <c r="B720" t="inlineStr">
        <is>
          <t>FY23-24</t>
        </is>
      </c>
      <c r="C720" t="inlineStr">
        <is>
          <t>n/a</t>
        </is>
      </c>
      <c r="D720" t="inlineStr"/>
      <c r="E720" t="n">
        <v>0</v>
      </c>
      <c r="F720" t="n">
        <v>-39.61</v>
      </c>
      <c r="G720" t="n">
        <v>5473.68</v>
      </c>
      <c r="H720" t="n">
        <v>-90.28</v>
      </c>
      <c r="I720" s="7">
        <f>F720*Summary!$B$5</f>
        <v/>
      </c>
      <c r="J720" s="7">
        <f>G720*Summary!$B$5</f>
        <v/>
      </c>
      <c r="K720" s="7">
        <f>H720*Summary!$B$5</f>
        <v/>
      </c>
    </row>
    <row r="721">
      <c r="A721" s="8" t="n">
        <v>45266</v>
      </c>
      <c r="B721" t="inlineStr">
        <is>
          <t>FY23-24</t>
        </is>
      </c>
      <c r="C721" t="inlineStr">
        <is>
          <t>NW</t>
        </is>
      </c>
      <c r="D721" t="inlineStr"/>
      <c r="E721" t="n">
        <v>2</v>
      </c>
      <c r="F721" t="n">
        <v>9.32</v>
      </c>
      <c r="G721" t="n">
        <v>5483</v>
      </c>
      <c r="H721" t="n">
        <v>-80.95</v>
      </c>
      <c r="I721" s="7">
        <f>F721*Summary!$B$5</f>
        <v/>
      </c>
      <c r="J721" s="7">
        <f>G721*Summary!$B$5</f>
        <v/>
      </c>
      <c r="K721" s="7">
        <f>H721*Summary!$B$5</f>
        <v/>
      </c>
    </row>
    <row r="722">
      <c r="A722" s="8" t="n">
        <v>45267</v>
      </c>
      <c r="B722" t="inlineStr">
        <is>
          <t>FY23-24</t>
        </is>
      </c>
      <c r="C722" t="inlineStr">
        <is>
          <t>NW</t>
        </is>
      </c>
      <c r="D722" t="inlineStr"/>
      <c r="E722" t="n">
        <v>1</v>
      </c>
      <c r="F722" t="n">
        <v>32.3</v>
      </c>
      <c r="G722" t="n">
        <v>5515.3</v>
      </c>
      <c r="H722" t="n">
        <v>-48.66</v>
      </c>
      <c r="I722" s="7">
        <f>F722*Summary!$B$5</f>
        <v/>
      </c>
      <c r="J722" s="7">
        <f>G722*Summary!$B$5</f>
        <v/>
      </c>
      <c r="K722" s="7">
        <f>H722*Summary!$B$5</f>
        <v/>
      </c>
    </row>
    <row r="723">
      <c r="A723" s="8" t="n">
        <v>45268</v>
      </c>
      <c r="B723" t="inlineStr">
        <is>
          <t>FY23-24</t>
        </is>
      </c>
      <c r="C723" t="inlineStr">
        <is>
          <t>n/a</t>
        </is>
      </c>
      <c r="D723" t="inlineStr"/>
      <c r="E723" t="n">
        <v>0</v>
      </c>
      <c r="F723" t="n">
        <v>4.77</v>
      </c>
      <c r="G723" t="n">
        <v>5520.07</v>
      </c>
      <c r="H723" t="n">
        <v>-43.89</v>
      </c>
      <c r="I723" s="7">
        <f>F723*Summary!$B$5</f>
        <v/>
      </c>
      <c r="J723" s="7">
        <f>G723*Summary!$B$5</f>
        <v/>
      </c>
      <c r="K723" s="7">
        <f>H723*Summary!$B$5</f>
        <v/>
      </c>
    </row>
    <row r="724">
      <c r="A724" s="8" t="n">
        <v>45271</v>
      </c>
      <c r="B724" t="inlineStr">
        <is>
          <t>FY23-24</t>
        </is>
      </c>
      <c r="C724" t="inlineStr">
        <is>
          <t>CW</t>
        </is>
      </c>
      <c r="D724" t="inlineStr">
        <is>
          <t>09:18</t>
        </is>
      </c>
      <c r="E724" t="n">
        <v>4</v>
      </c>
      <c r="F724" t="n">
        <v>7.01</v>
      </c>
      <c r="G724" t="n">
        <v>5527.08</v>
      </c>
      <c r="H724" t="n">
        <v>-36.88</v>
      </c>
      <c r="I724" s="7">
        <f>F724*Summary!$B$5</f>
        <v/>
      </c>
      <c r="J724" s="7">
        <f>G724*Summary!$B$5</f>
        <v/>
      </c>
      <c r="K724" s="7">
        <f>H724*Summary!$B$5</f>
        <v/>
      </c>
    </row>
    <row r="725">
      <c r="A725" s="8" t="n">
        <v>45272</v>
      </c>
      <c r="B725" t="inlineStr">
        <is>
          <t>FY23-24</t>
        </is>
      </c>
      <c r="C725" t="inlineStr">
        <is>
          <t>CW</t>
        </is>
      </c>
      <c r="D725" t="inlineStr">
        <is>
          <t>09:18</t>
        </is>
      </c>
      <c r="E725" t="n">
        <v>3</v>
      </c>
      <c r="F725" t="n">
        <v>-5.57</v>
      </c>
      <c r="G725" t="n">
        <v>5521.51</v>
      </c>
      <c r="H725" t="n">
        <v>-42.45</v>
      </c>
      <c r="I725" s="7">
        <f>F725*Summary!$B$5</f>
        <v/>
      </c>
      <c r="J725" s="7">
        <f>G725*Summary!$B$5</f>
        <v/>
      </c>
      <c r="K725" s="7">
        <f>H725*Summary!$B$5</f>
        <v/>
      </c>
    </row>
    <row r="726">
      <c r="A726" s="8" t="n">
        <v>45273</v>
      </c>
      <c r="B726" t="inlineStr">
        <is>
          <t>FY23-24</t>
        </is>
      </c>
      <c r="C726" t="inlineStr">
        <is>
          <t>NW</t>
        </is>
      </c>
      <c r="D726" t="inlineStr"/>
      <c r="E726" t="n">
        <v>2</v>
      </c>
      <c r="F726" t="n">
        <v>34.61</v>
      </c>
      <c r="G726" t="n">
        <v>5556.12</v>
      </c>
      <c r="H726" t="n">
        <v>-7.83</v>
      </c>
      <c r="I726" s="7">
        <f>F726*Summary!$B$5</f>
        <v/>
      </c>
      <c r="J726" s="7">
        <f>G726*Summary!$B$5</f>
        <v/>
      </c>
      <c r="K726" s="7">
        <f>H726*Summary!$B$5</f>
        <v/>
      </c>
    </row>
    <row r="727">
      <c r="A727" s="8" t="n">
        <v>45274</v>
      </c>
      <c r="B727" t="inlineStr">
        <is>
          <t>FY23-24</t>
        </is>
      </c>
      <c r="C727" t="inlineStr"/>
      <c r="D727" t="inlineStr"/>
      <c r="E727" t="n">
        <v>0</v>
      </c>
      <c r="F727" t="n">
        <v>0</v>
      </c>
      <c r="G727" t="n">
        <v>5556.12</v>
      </c>
      <c r="H727" t="n">
        <v>-7.83</v>
      </c>
      <c r="I727" s="7">
        <f>F727*Summary!$B$5</f>
        <v/>
      </c>
      <c r="J727" s="7">
        <f>G727*Summary!$B$5</f>
        <v/>
      </c>
      <c r="K727" s="7">
        <f>H727*Summary!$B$5</f>
        <v/>
      </c>
    </row>
    <row r="728">
      <c r="A728" s="8" t="n">
        <v>45275</v>
      </c>
      <c r="B728" t="inlineStr">
        <is>
          <t>FY23-24</t>
        </is>
      </c>
      <c r="C728" t="inlineStr"/>
      <c r="D728" t="inlineStr"/>
      <c r="E728" t="n">
        <v>0</v>
      </c>
      <c r="F728" t="n">
        <v>0</v>
      </c>
      <c r="G728" t="n">
        <v>5556.12</v>
      </c>
      <c r="H728" t="n">
        <v>-7.83</v>
      </c>
      <c r="I728" s="7">
        <f>F728*Summary!$B$5</f>
        <v/>
      </c>
      <c r="J728" s="7">
        <f>G728*Summary!$B$5</f>
        <v/>
      </c>
      <c r="K728" s="7">
        <f>H728*Summary!$B$5</f>
        <v/>
      </c>
    </row>
    <row r="729">
      <c r="A729" s="8" t="n">
        <v>45278</v>
      </c>
      <c r="B729" t="inlineStr">
        <is>
          <t>FY23-24</t>
        </is>
      </c>
      <c r="C729" t="inlineStr">
        <is>
          <t>CW</t>
        </is>
      </c>
      <c r="D729" t="inlineStr">
        <is>
          <t>09:18</t>
        </is>
      </c>
      <c r="E729" t="n">
        <v>4</v>
      </c>
      <c r="F729" t="n">
        <v>24.09</v>
      </c>
      <c r="G729" t="n">
        <v>5580.21</v>
      </c>
      <c r="H729" t="n">
        <v>0</v>
      </c>
      <c r="I729" s="7">
        <f>F729*Summary!$B$5</f>
        <v/>
      </c>
      <c r="J729" s="7">
        <f>G729*Summary!$B$5</f>
        <v/>
      </c>
      <c r="K729" s="7">
        <f>H729*Summary!$B$5</f>
        <v/>
      </c>
    </row>
    <row r="730">
      <c r="A730" s="8" t="n">
        <v>45279</v>
      </c>
      <c r="B730" t="inlineStr">
        <is>
          <t>FY23-24</t>
        </is>
      </c>
      <c r="C730" t="inlineStr"/>
      <c r="D730" t="inlineStr"/>
      <c r="E730" t="n">
        <v>0</v>
      </c>
      <c r="F730" t="n">
        <v>0</v>
      </c>
      <c r="G730" t="n">
        <v>5580.21</v>
      </c>
      <c r="H730" t="n">
        <v>0</v>
      </c>
      <c r="I730" s="7">
        <f>F730*Summary!$B$5</f>
        <v/>
      </c>
      <c r="J730" s="7">
        <f>G730*Summary!$B$5</f>
        <v/>
      </c>
      <c r="K730" s="7">
        <f>H730*Summary!$B$5</f>
        <v/>
      </c>
    </row>
    <row r="731">
      <c r="A731" s="8" t="n">
        <v>45280</v>
      </c>
      <c r="B731" t="inlineStr">
        <is>
          <t>FY23-24</t>
        </is>
      </c>
      <c r="C731" t="inlineStr"/>
      <c r="D731" t="inlineStr"/>
      <c r="E731" t="n">
        <v>0</v>
      </c>
      <c r="F731" t="n">
        <v>0</v>
      </c>
      <c r="G731" t="n">
        <v>5580.21</v>
      </c>
      <c r="H731" t="n">
        <v>0</v>
      </c>
      <c r="I731" s="7">
        <f>F731*Summary!$B$5</f>
        <v/>
      </c>
      <c r="J731" s="7">
        <f>G731*Summary!$B$5</f>
        <v/>
      </c>
      <c r="K731" s="7">
        <f>H731*Summary!$B$5</f>
        <v/>
      </c>
    </row>
    <row r="732">
      <c r="A732" s="8" t="n">
        <v>45281</v>
      </c>
      <c r="B732" t="inlineStr">
        <is>
          <t>FY23-24</t>
        </is>
      </c>
      <c r="C732" t="inlineStr"/>
      <c r="D732" t="inlineStr"/>
      <c r="E732" t="n">
        <v>0</v>
      </c>
      <c r="F732" t="n">
        <v>0</v>
      </c>
      <c r="G732" t="n">
        <v>5580.21</v>
      </c>
      <c r="H732" t="n">
        <v>0</v>
      </c>
      <c r="I732" s="7">
        <f>F732*Summary!$B$5</f>
        <v/>
      </c>
      <c r="J732" s="7">
        <f>G732*Summary!$B$5</f>
        <v/>
      </c>
      <c r="K732" s="7">
        <f>H732*Summary!$B$5</f>
        <v/>
      </c>
    </row>
    <row r="733">
      <c r="A733" s="8" t="n">
        <v>45282</v>
      </c>
      <c r="B733" t="inlineStr">
        <is>
          <t>FY23-24</t>
        </is>
      </c>
      <c r="C733" t="inlineStr"/>
      <c r="D733" t="inlineStr"/>
      <c r="E733" t="n">
        <v>0</v>
      </c>
      <c r="F733" t="n">
        <v>0</v>
      </c>
      <c r="G733" t="n">
        <v>5580.21</v>
      </c>
      <c r="H733" t="n">
        <v>0</v>
      </c>
      <c r="I733" s="7">
        <f>F733*Summary!$B$5</f>
        <v/>
      </c>
      <c r="J733" s="7">
        <f>G733*Summary!$B$5</f>
        <v/>
      </c>
      <c r="K733" s="7">
        <f>H733*Summary!$B$5</f>
        <v/>
      </c>
    </row>
    <row r="734">
      <c r="A734" s="8" t="n">
        <v>45286</v>
      </c>
      <c r="B734" t="inlineStr">
        <is>
          <t>FY23-24</t>
        </is>
      </c>
      <c r="C734" t="inlineStr">
        <is>
          <t>n/a</t>
        </is>
      </c>
      <c r="D734" t="inlineStr"/>
      <c r="E734" t="n">
        <v>0</v>
      </c>
      <c r="F734" t="n">
        <v>14.18</v>
      </c>
      <c r="G734" t="n">
        <v>5594.4</v>
      </c>
      <c r="H734" t="n">
        <v>0</v>
      </c>
      <c r="I734" s="7">
        <f>F734*Summary!$B$5</f>
        <v/>
      </c>
      <c r="J734" s="7">
        <f>G734*Summary!$B$5</f>
        <v/>
      </c>
      <c r="K734" s="7">
        <f>H734*Summary!$B$5</f>
        <v/>
      </c>
    </row>
    <row r="735">
      <c r="A735" s="8" t="n">
        <v>45287</v>
      </c>
      <c r="B735" t="inlineStr">
        <is>
          <t>FY23-24</t>
        </is>
      </c>
      <c r="C735" t="inlineStr">
        <is>
          <t>NW</t>
        </is>
      </c>
      <c r="D735" t="inlineStr"/>
      <c r="E735" t="n">
        <v>0</v>
      </c>
      <c r="F735" t="n">
        <v>-13.21</v>
      </c>
      <c r="G735" t="n">
        <v>5581.19</v>
      </c>
      <c r="H735" t="n">
        <v>-13.21</v>
      </c>
      <c r="I735" s="7">
        <f>F735*Summary!$B$5</f>
        <v/>
      </c>
      <c r="J735" s="7">
        <f>G735*Summary!$B$5</f>
        <v/>
      </c>
      <c r="K735" s="7">
        <f>H735*Summary!$B$5</f>
        <v/>
      </c>
    </row>
    <row r="736">
      <c r="A736" s="8" t="n">
        <v>45288</v>
      </c>
      <c r="B736" t="inlineStr">
        <is>
          <t>FY23-24</t>
        </is>
      </c>
      <c r="C736" t="inlineStr">
        <is>
          <t>CW</t>
        </is>
      </c>
      <c r="D736" t="inlineStr">
        <is>
          <t>09:16</t>
        </is>
      </c>
      <c r="E736" t="n">
        <v>1</v>
      </c>
      <c r="F736" t="n">
        <v>52.93</v>
      </c>
      <c r="G736" t="n">
        <v>5634.12</v>
      </c>
      <c r="H736" t="n">
        <v>0</v>
      </c>
      <c r="I736" s="7">
        <f>F736*Summary!$B$5</f>
        <v/>
      </c>
      <c r="J736" s="7">
        <f>G736*Summary!$B$5</f>
        <v/>
      </c>
      <c r="K736" s="7">
        <f>H736*Summary!$B$5</f>
        <v/>
      </c>
    </row>
    <row r="737">
      <c r="A737" s="8" t="n">
        <v>45289</v>
      </c>
      <c r="B737" t="inlineStr">
        <is>
          <t>FY23-24</t>
        </is>
      </c>
      <c r="C737" t="inlineStr">
        <is>
          <t>CW</t>
        </is>
      </c>
      <c r="D737" t="inlineStr">
        <is>
          <t>09:18</t>
        </is>
      </c>
      <c r="E737" t="n">
        <v>6</v>
      </c>
      <c r="F737" t="n">
        <v>24.09</v>
      </c>
      <c r="G737" t="n">
        <v>5658.21</v>
      </c>
      <c r="H737" t="n">
        <v>0</v>
      </c>
      <c r="I737" s="7">
        <f>F737*Summary!$B$5</f>
        <v/>
      </c>
      <c r="J737" s="7">
        <f>G737*Summary!$B$5</f>
        <v/>
      </c>
      <c r="K737" s="7">
        <f>H737*Summary!$B$5</f>
        <v/>
      </c>
    </row>
    <row r="738">
      <c r="A738" s="8" t="n">
        <v>45292</v>
      </c>
      <c r="B738" t="inlineStr">
        <is>
          <t>FY23-24</t>
        </is>
      </c>
      <c r="C738" t="inlineStr">
        <is>
          <t>n/a</t>
        </is>
      </c>
      <c r="D738" t="inlineStr"/>
      <c r="E738" t="n">
        <v>0</v>
      </c>
      <c r="F738" t="n">
        <v>12.31</v>
      </c>
      <c r="G738" t="n">
        <v>5670.52</v>
      </c>
      <c r="H738" t="n">
        <v>0</v>
      </c>
      <c r="I738" s="7">
        <f>F738*Summary!$B$5</f>
        <v/>
      </c>
      <c r="J738" s="7">
        <f>G738*Summary!$B$5</f>
        <v/>
      </c>
      <c r="K738" s="7">
        <f>H738*Summary!$B$5</f>
        <v/>
      </c>
    </row>
    <row r="739">
      <c r="A739" s="8" t="n">
        <v>45293</v>
      </c>
      <c r="B739" t="inlineStr">
        <is>
          <t>FY23-24</t>
        </is>
      </c>
      <c r="C739" t="inlineStr">
        <is>
          <t>n/a</t>
        </is>
      </c>
      <c r="D739" t="inlineStr"/>
      <c r="E739" t="n">
        <v>0</v>
      </c>
      <c r="F739" t="n">
        <v>6.35</v>
      </c>
      <c r="G739" t="n">
        <v>5676.87</v>
      </c>
      <c r="H739" t="n">
        <v>0</v>
      </c>
      <c r="I739" s="7">
        <f>F739*Summary!$B$5</f>
        <v/>
      </c>
      <c r="J739" s="7">
        <f>G739*Summary!$B$5</f>
        <v/>
      </c>
      <c r="K739" s="7">
        <f>H739*Summary!$B$5</f>
        <v/>
      </c>
    </row>
    <row r="740">
      <c r="A740" s="8" t="n">
        <v>45294</v>
      </c>
      <c r="B740" t="inlineStr">
        <is>
          <t>FY23-24</t>
        </is>
      </c>
      <c r="C740" t="inlineStr">
        <is>
          <t>NW</t>
        </is>
      </c>
      <c r="D740" t="inlineStr"/>
      <c r="E740" t="n">
        <v>2</v>
      </c>
      <c r="F740" t="n">
        <v>37.37</v>
      </c>
      <c r="G740" t="n">
        <v>5714.25</v>
      </c>
      <c r="H740" t="n">
        <v>0</v>
      </c>
      <c r="I740" s="7">
        <f>F740*Summary!$B$5</f>
        <v/>
      </c>
      <c r="J740" s="7">
        <f>G740*Summary!$B$5</f>
        <v/>
      </c>
      <c r="K740" s="7">
        <f>H740*Summary!$B$5</f>
        <v/>
      </c>
    </row>
    <row r="741">
      <c r="A741" s="8" t="n">
        <v>45295</v>
      </c>
      <c r="B741" t="inlineStr">
        <is>
          <t>FY23-24</t>
        </is>
      </c>
      <c r="C741" t="inlineStr">
        <is>
          <t>CW</t>
        </is>
      </c>
      <c r="D741" t="inlineStr">
        <is>
          <t>09:18</t>
        </is>
      </c>
      <c r="E741" t="n">
        <v>1</v>
      </c>
      <c r="F741" t="n">
        <v>39.77</v>
      </c>
      <c r="G741" t="n">
        <v>5754.02</v>
      </c>
      <c r="H741" t="n">
        <v>0</v>
      </c>
      <c r="I741" s="7">
        <f>F741*Summary!$B$5</f>
        <v/>
      </c>
      <c r="J741" s="7">
        <f>G741*Summary!$B$5</f>
        <v/>
      </c>
      <c r="K741" s="7">
        <f>H741*Summary!$B$5</f>
        <v/>
      </c>
    </row>
    <row r="742">
      <c r="A742" s="8" t="n">
        <v>45296</v>
      </c>
      <c r="B742" t="inlineStr">
        <is>
          <t>FY23-24</t>
        </is>
      </c>
      <c r="C742" t="inlineStr"/>
      <c r="D742" t="inlineStr"/>
      <c r="E742" t="n">
        <v>0</v>
      </c>
      <c r="F742" t="n">
        <v>0</v>
      </c>
      <c r="G742" t="n">
        <v>5754.02</v>
      </c>
      <c r="H742" t="n">
        <v>0</v>
      </c>
      <c r="I742" s="7">
        <f>F742*Summary!$B$5</f>
        <v/>
      </c>
      <c r="J742" s="7">
        <f>G742*Summary!$B$5</f>
        <v/>
      </c>
      <c r="K742" s="7">
        <f>H742*Summary!$B$5</f>
        <v/>
      </c>
    </row>
    <row r="743">
      <c r="A743" s="8" t="n">
        <v>45299</v>
      </c>
      <c r="B743" t="inlineStr">
        <is>
          <t>FY23-24</t>
        </is>
      </c>
      <c r="C743" t="inlineStr">
        <is>
          <t>CW</t>
        </is>
      </c>
      <c r="D743" t="inlineStr">
        <is>
          <t>09:18</t>
        </is>
      </c>
      <c r="E743" t="n">
        <v>4</v>
      </c>
      <c r="F743" t="n">
        <v>-37.28</v>
      </c>
      <c r="G743" t="n">
        <v>5716.73</v>
      </c>
      <c r="H743" t="n">
        <v>-37.28</v>
      </c>
      <c r="I743" s="7">
        <f>F743*Summary!$B$5</f>
        <v/>
      </c>
      <c r="J743" s="7">
        <f>G743*Summary!$B$5</f>
        <v/>
      </c>
      <c r="K743" s="7">
        <f>H743*Summary!$B$5</f>
        <v/>
      </c>
    </row>
    <row r="744">
      <c r="A744" s="8" t="n">
        <v>45300</v>
      </c>
      <c r="B744" t="inlineStr">
        <is>
          <t>FY23-24</t>
        </is>
      </c>
      <c r="C744" t="inlineStr"/>
      <c r="D744" t="inlineStr"/>
      <c r="E744" t="n">
        <v>0</v>
      </c>
      <c r="F744" t="n">
        <v>0</v>
      </c>
      <c r="G744" t="n">
        <v>5716.73</v>
      </c>
      <c r="H744" t="n">
        <v>-37.28</v>
      </c>
      <c r="I744" s="7">
        <f>F744*Summary!$B$5</f>
        <v/>
      </c>
      <c r="J744" s="7">
        <f>G744*Summary!$B$5</f>
        <v/>
      </c>
      <c r="K744" s="7">
        <f>H744*Summary!$B$5</f>
        <v/>
      </c>
    </row>
    <row r="745">
      <c r="A745" s="8" t="n">
        <v>45301</v>
      </c>
      <c r="B745" t="inlineStr">
        <is>
          <t>FY23-24</t>
        </is>
      </c>
      <c r="C745" t="inlineStr">
        <is>
          <t>CW</t>
        </is>
      </c>
      <c r="D745" t="inlineStr">
        <is>
          <t>09:18</t>
        </is>
      </c>
      <c r="E745" t="n">
        <v>2</v>
      </c>
      <c r="F745" t="n">
        <v>-10.81</v>
      </c>
      <c r="G745" t="n">
        <v>5705.92</v>
      </c>
      <c r="H745" t="n">
        <v>-48.09</v>
      </c>
      <c r="I745" s="7">
        <f>F745*Summary!$B$5</f>
        <v/>
      </c>
      <c r="J745" s="7">
        <f>G745*Summary!$B$5</f>
        <v/>
      </c>
      <c r="K745" s="7">
        <f>H745*Summary!$B$5</f>
        <v/>
      </c>
    </row>
    <row r="746">
      <c r="A746" s="8" t="n">
        <v>45302</v>
      </c>
      <c r="B746" t="inlineStr">
        <is>
          <t>FY23-24</t>
        </is>
      </c>
      <c r="C746" t="inlineStr">
        <is>
          <t>NW</t>
        </is>
      </c>
      <c r="D746" t="inlineStr"/>
      <c r="E746" t="n">
        <v>1</v>
      </c>
      <c r="F746" t="n">
        <v>6.65</v>
      </c>
      <c r="G746" t="n">
        <v>5712.57</v>
      </c>
      <c r="H746" t="n">
        <v>-41.45</v>
      </c>
      <c r="I746" s="7">
        <f>F746*Summary!$B$5</f>
        <v/>
      </c>
      <c r="J746" s="7">
        <f>G746*Summary!$B$5</f>
        <v/>
      </c>
      <c r="K746" s="7">
        <f>H746*Summary!$B$5</f>
        <v/>
      </c>
    </row>
    <row r="747">
      <c r="A747" s="8" t="n">
        <v>45303</v>
      </c>
      <c r="B747" t="inlineStr">
        <is>
          <t>FY23-24</t>
        </is>
      </c>
      <c r="C747" t="inlineStr"/>
      <c r="D747" t="inlineStr"/>
      <c r="E747" t="n">
        <v>0</v>
      </c>
      <c r="F747" t="n">
        <v>0</v>
      </c>
      <c r="G747" t="n">
        <v>5712.57</v>
      </c>
      <c r="H747" t="n">
        <v>-41.45</v>
      </c>
      <c r="I747" s="7">
        <f>F747*Summary!$B$5</f>
        <v/>
      </c>
      <c r="J747" s="7">
        <f>G747*Summary!$B$5</f>
        <v/>
      </c>
      <c r="K747" s="7">
        <f>H747*Summary!$B$5</f>
        <v/>
      </c>
    </row>
    <row r="748">
      <c r="A748" s="8" t="n">
        <v>45306</v>
      </c>
      <c r="B748" t="inlineStr">
        <is>
          <t>FY23-24</t>
        </is>
      </c>
      <c r="C748" t="inlineStr">
        <is>
          <t>CW</t>
        </is>
      </c>
      <c r="D748" t="inlineStr">
        <is>
          <t>09:18</t>
        </is>
      </c>
      <c r="E748" t="n">
        <v>4</v>
      </c>
      <c r="F748" t="n">
        <v>0.25</v>
      </c>
      <c r="G748" t="n">
        <v>5712.81</v>
      </c>
      <c r="H748" t="n">
        <v>-41.2</v>
      </c>
      <c r="I748" s="7">
        <f>F748*Summary!$B$5</f>
        <v/>
      </c>
      <c r="J748" s="7">
        <f>G748*Summary!$B$5</f>
        <v/>
      </c>
      <c r="K748" s="7">
        <f>H748*Summary!$B$5</f>
        <v/>
      </c>
    </row>
    <row r="749">
      <c r="A749" s="8" t="n">
        <v>45307</v>
      </c>
      <c r="B749" t="inlineStr">
        <is>
          <t>FY23-24</t>
        </is>
      </c>
      <c r="C749" t="inlineStr">
        <is>
          <t>CW</t>
        </is>
      </c>
      <c r="D749" t="inlineStr">
        <is>
          <t>09:18</t>
        </is>
      </c>
      <c r="E749" t="n">
        <v>3</v>
      </c>
      <c r="F749" t="n">
        <v>17.64</v>
      </c>
      <c r="G749" t="n">
        <v>5730.45</v>
      </c>
      <c r="H749" t="n">
        <v>-23.56</v>
      </c>
      <c r="I749" s="7">
        <f>F749*Summary!$B$5</f>
        <v/>
      </c>
      <c r="J749" s="7">
        <f>G749*Summary!$B$5</f>
        <v/>
      </c>
      <c r="K749" s="7">
        <f>H749*Summary!$B$5</f>
        <v/>
      </c>
    </row>
    <row r="750">
      <c r="A750" s="8" t="n">
        <v>45308</v>
      </c>
      <c r="B750" t="inlineStr">
        <is>
          <t>FY23-24</t>
        </is>
      </c>
      <c r="C750" t="inlineStr">
        <is>
          <t>CW</t>
        </is>
      </c>
      <c r="D750" t="inlineStr">
        <is>
          <t>09:16</t>
        </is>
      </c>
      <c r="E750" t="n">
        <v>2</v>
      </c>
      <c r="F750" t="n">
        <v>55.04</v>
      </c>
      <c r="G750" t="n">
        <v>5785.49</v>
      </c>
      <c r="H750" t="n">
        <v>0</v>
      </c>
      <c r="I750" s="7">
        <f>F750*Summary!$B$5</f>
        <v/>
      </c>
      <c r="J750" s="7">
        <f>G750*Summary!$B$5</f>
        <v/>
      </c>
      <c r="K750" s="7">
        <f>H750*Summary!$B$5</f>
        <v/>
      </c>
    </row>
    <row r="751">
      <c r="A751" s="8" t="n">
        <v>45309</v>
      </c>
      <c r="B751" t="inlineStr">
        <is>
          <t>FY23-24</t>
        </is>
      </c>
      <c r="C751" t="inlineStr"/>
      <c r="D751" t="inlineStr"/>
      <c r="E751" t="n">
        <v>0</v>
      </c>
      <c r="F751" t="n">
        <v>0</v>
      </c>
      <c r="G751" t="n">
        <v>5785.49</v>
      </c>
      <c r="H751" t="n">
        <v>0</v>
      </c>
      <c r="I751" s="7">
        <f>F751*Summary!$B$5</f>
        <v/>
      </c>
      <c r="J751" s="7">
        <f>G751*Summary!$B$5</f>
        <v/>
      </c>
      <c r="K751" s="7">
        <f>H751*Summary!$B$5</f>
        <v/>
      </c>
    </row>
    <row r="752">
      <c r="A752" s="8" t="n">
        <v>45310</v>
      </c>
      <c r="B752" t="inlineStr">
        <is>
          <t>FY23-24</t>
        </is>
      </c>
      <c r="C752" t="inlineStr">
        <is>
          <t>n/a</t>
        </is>
      </c>
      <c r="D752" t="inlineStr"/>
      <c r="E752" t="n">
        <v>0</v>
      </c>
      <c r="F752" t="n">
        <v>6.56</v>
      </c>
      <c r="G752" t="n">
        <v>5792.06</v>
      </c>
      <c r="H752" t="n">
        <v>0</v>
      </c>
      <c r="I752" s="7">
        <f>F752*Summary!$B$5</f>
        <v/>
      </c>
      <c r="J752" s="7">
        <f>G752*Summary!$B$5</f>
        <v/>
      </c>
      <c r="K752" s="7">
        <f>H752*Summary!$B$5</f>
        <v/>
      </c>
    </row>
    <row r="753">
      <c r="A753" s="8" t="n">
        <v>45311</v>
      </c>
      <c r="B753" t="inlineStr">
        <is>
          <t>FY23-24</t>
        </is>
      </c>
      <c r="C753" t="inlineStr">
        <is>
          <t>n/a</t>
        </is>
      </c>
      <c r="D753" t="inlineStr"/>
      <c r="E753" t="n">
        <v>0</v>
      </c>
      <c r="F753" t="n">
        <v>-0.98</v>
      </c>
      <c r="G753" t="n">
        <v>5791.07</v>
      </c>
      <c r="H753" t="n">
        <v>-0.98</v>
      </c>
      <c r="I753" s="7">
        <f>F753*Summary!$B$5</f>
        <v/>
      </c>
      <c r="J753" s="7">
        <f>G753*Summary!$B$5</f>
        <v/>
      </c>
      <c r="K753" s="7">
        <f>H753*Summary!$B$5</f>
        <v/>
      </c>
    </row>
    <row r="754">
      <c r="A754" s="8" t="n">
        <v>45314</v>
      </c>
      <c r="B754" t="inlineStr">
        <is>
          <t>FY23-24</t>
        </is>
      </c>
      <c r="C754" t="inlineStr">
        <is>
          <t>CW</t>
        </is>
      </c>
      <c r="D754" t="inlineStr">
        <is>
          <t>12:07</t>
        </is>
      </c>
      <c r="E754" t="n">
        <v>3</v>
      </c>
      <c r="F754" t="n">
        <v>19.47</v>
      </c>
      <c r="G754" t="n">
        <v>5810.55</v>
      </c>
      <c r="H754" t="n">
        <v>0</v>
      </c>
      <c r="I754" s="7">
        <f>F754*Summary!$B$5</f>
        <v/>
      </c>
      <c r="J754" s="7">
        <f>G754*Summary!$B$5</f>
        <v/>
      </c>
      <c r="K754" s="7">
        <f>H754*Summary!$B$5</f>
        <v/>
      </c>
    </row>
    <row r="755">
      <c r="A755" s="8" t="n">
        <v>45315</v>
      </c>
      <c r="B755" t="inlineStr">
        <is>
          <t>FY23-24</t>
        </is>
      </c>
      <c r="C755" t="inlineStr">
        <is>
          <t>CW</t>
        </is>
      </c>
      <c r="D755" t="inlineStr">
        <is>
          <t>09:19</t>
        </is>
      </c>
      <c r="E755" t="n">
        <v>2</v>
      </c>
      <c r="F755" t="n">
        <v>-34.37</v>
      </c>
      <c r="G755" t="n">
        <v>5776.18</v>
      </c>
      <c r="H755" t="n">
        <v>-34.37</v>
      </c>
      <c r="I755" s="7">
        <f>F755*Summary!$B$5</f>
        <v/>
      </c>
      <c r="J755" s="7">
        <f>G755*Summary!$B$5</f>
        <v/>
      </c>
      <c r="K755" s="7">
        <f>H755*Summary!$B$5</f>
        <v/>
      </c>
    </row>
    <row r="756">
      <c r="A756" s="8" t="n">
        <v>45316</v>
      </c>
      <c r="B756" t="inlineStr">
        <is>
          <t>FY23-24</t>
        </is>
      </c>
      <c r="C756" t="inlineStr">
        <is>
          <t>CW</t>
        </is>
      </c>
      <c r="D756" t="inlineStr">
        <is>
          <t>09:18</t>
        </is>
      </c>
      <c r="E756" t="n">
        <v>1</v>
      </c>
      <c r="F756" t="n">
        <v>17.6</v>
      </c>
      <c r="G756" t="n">
        <v>5793.78</v>
      </c>
      <c r="H756" t="n">
        <v>-16.77</v>
      </c>
      <c r="I756" s="7">
        <f>F756*Summary!$B$5</f>
        <v/>
      </c>
      <c r="J756" s="7">
        <f>G756*Summary!$B$5</f>
        <v/>
      </c>
      <c r="K756" s="7">
        <f>H756*Summary!$B$5</f>
        <v/>
      </c>
    </row>
    <row r="757">
      <c r="A757" s="8" t="n">
        <v>45320</v>
      </c>
      <c r="B757" t="inlineStr">
        <is>
          <t>FY23-24</t>
        </is>
      </c>
      <c r="C757" t="inlineStr">
        <is>
          <t>CW</t>
        </is>
      </c>
      <c r="D757" t="inlineStr">
        <is>
          <t>09:17</t>
        </is>
      </c>
      <c r="E757" t="n">
        <v>4</v>
      </c>
      <c r="F757" t="n">
        <v>-37.5</v>
      </c>
      <c r="G757" t="n">
        <v>5756.28</v>
      </c>
      <c r="H757" t="n">
        <v>-54.26</v>
      </c>
      <c r="I757" s="7">
        <f>F757*Summary!$B$5</f>
        <v/>
      </c>
      <c r="J757" s="7">
        <f>G757*Summary!$B$5</f>
        <v/>
      </c>
      <c r="K757" s="7">
        <f>H757*Summary!$B$5</f>
        <v/>
      </c>
    </row>
    <row r="758">
      <c r="A758" s="8" t="n">
        <v>45321</v>
      </c>
      <c r="B758" t="inlineStr">
        <is>
          <t>FY23-24</t>
        </is>
      </c>
      <c r="C758" t="inlineStr">
        <is>
          <t>CW</t>
        </is>
      </c>
      <c r="D758" t="inlineStr">
        <is>
          <t>09:18</t>
        </is>
      </c>
      <c r="E758" t="n">
        <v>3</v>
      </c>
      <c r="F758" t="n">
        <v>23.66</v>
      </c>
      <c r="G758" t="n">
        <v>5779.94</v>
      </c>
      <c r="H758" t="n">
        <v>-30.6</v>
      </c>
      <c r="I758" s="7">
        <f>F758*Summary!$B$5</f>
        <v/>
      </c>
      <c r="J758" s="7">
        <f>G758*Summary!$B$5</f>
        <v/>
      </c>
      <c r="K758" s="7">
        <f>H758*Summary!$B$5</f>
        <v/>
      </c>
    </row>
    <row r="759">
      <c r="A759" s="8" t="n">
        <v>45322</v>
      </c>
      <c r="B759" t="inlineStr">
        <is>
          <t>FY23-24</t>
        </is>
      </c>
      <c r="C759" t="inlineStr">
        <is>
          <t>CW</t>
        </is>
      </c>
      <c r="D759" t="inlineStr">
        <is>
          <t>09:16</t>
        </is>
      </c>
      <c r="E759" t="n">
        <v>2</v>
      </c>
      <c r="F759" t="n">
        <v>11.36</v>
      </c>
      <c r="G759" t="n">
        <v>5791.31</v>
      </c>
      <c r="H759" t="n">
        <v>-19.24</v>
      </c>
      <c r="I759" s="7">
        <f>F759*Summary!$B$5</f>
        <v/>
      </c>
      <c r="J759" s="7">
        <f>G759*Summary!$B$5</f>
        <v/>
      </c>
      <c r="K759" s="7">
        <f>H759*Summary!$B$5</f>
        <v/>
      </c>
    </row>
    <row r="760">
      <c r="A760" s="8" t="n">
        <v>45323</v>
      </c>
      <c r="B760" t="inlineStr">
        <is>
          <t>FY23-24</t>
        </is>
      </c>
      <c r="C760" t="inlineStr">
        <is>
          <t>CW</t>
        </is>
      </c>
      <c r="D760" t="inlineStr">
        <is>
          <t>09:18</t>
        </is>
      </c>
      <c r="E760" t="n">
        <v>1</v>
      </c>
      <c r="F760" t="n">
        <v>36.32</v>
      </c>
      <c r="G760" t="n">
        <v>5827.63</v>
      </c>
      <c r="H760" t="n">
        <v>0</v>
      </c>
      <c r="I760" s="7">
        <f>F760*Summary!$B$5</f>
        <v/>
      </c>
      <c r="J760" s="7">
        <f>G760*Summary!$B$5</f>
        <v/>
      </c>
      <c r="K760" s="7">
        <f>H760*Summary!$B$5</f>
        <v/>
      </c>
    </row>
    <row r="761">
      <c r="A761" s="8" t="n">
        <v>45324</v>
      </c>
      <c r="B761" t="inlineStr">
        <is>
          <t>FY23-24</t>
        </is>
      </c>
      <c r="C761" t="inlineStr"/>
      <c r="D761" t="inlineStr"/>
      <c r="E761" t="n">
        <v>0</v>
      </c>
      <c r="F761" t="n">
        <v>0</v>
      </c>
      <c r="G761" t="n">
        <v>5827.63</v>
      </c>
      <c r="H761" t="n">
        <v>0</v>
      </c>
      <c r="I761" s="7">
        <f>F761*Summary!$B$5</f>
        <v/>
      </c>
      <c r="J761" s="7">
        <f>G761*Summary!$B$5</f>
        <v/>
      </c>
      <c r="K761" s="7">
        <f>H761*Summary!$B$5</f>
        <v/>
      </c>
    </row>
    <row r="762">
      <c r="A762" s="8" t="n">
        <v>45327</v>
      </c>
      <c r="B762" t="inlineStr">
        <is>
          <t>FY23-24</t>
        </is>
      </c>
      <c r="C762" t="inlineStr">
        <is>
          <t>CW</t>
        </is>
      </c>
      <c r="D762" t="inlineStr">
        <is>
          <t>09:18</t>
        </is>
      </c>
      <c r="E762" t="n">
        <v>4</v>
      </c>
      <c r="F762" t="n">
        <v>-17.76</v>
      </c>
      <c r="G762" t="n">
        <v>5809.87</v>
      </c>
      <c r="H762" t="n">
        <v>-17.76</v>
      </c>
      <c r="I762" s="7">
        <f>F762*Summary!$B$5</f>
        <v/>
      </c>
      <c r="J762" s="7">
        <f>G762*Summary!$B$5</f>
        <v/>
      </c>
      <c r="K762" s="7">
        <f>H762*Summary!$B$5</f>
        <v/>
      </c>
    </row>
    <row r="763">
      <c r="A763" s="8" t="n">
        <v>45328</v>
      </c>
      <c r="B763" t="inlineStr">
        <is>
          <t>FY23-24</t>
        </is>
      </c>
      <c r="C763" t="inlineStr">
        <is>
          <t>CW</t>
        </is>
      </c>
      <c r="D763" t="inlineStr">
        <is>
          <t>09:18</t>
        </is>
      </c>
      <c r="E763" t="n">
        <v>3</v>
      </c>
      <c r="F763" t="n">
        <v>10.91</v>
      </c>
      <c r="G763" t="n">
        <v>5820.78</v>
      </c>
      <c r="H763" t="n">
        <v>-6.85</v>
      </c>
      <c r="I763" s="7">
        <f>F763*Summary!$B$5</f>
        <v/>
      </c>
      <c r="J763" s="7">
        <f>G763*Summary!$B$5</f>
        <v/>
      </c>
      <c r="K763" s="7">
        <f>H763*Summary!$B$5</f>
        <v/>
      </c>
    </row>
    <row r="764">
      <c r="A764" s="8" t="n">
        <v>45329</v>
      </c>
      <c r="B764" t="inlineStr">
        <is>
          <t>FY23-24</t>
        </is>
      </c>
      <c r="C764" t="inlineStr">
        <is>
          <t>CW</t>
        </is>
      </c>
      <c r="D764" t="inlineStr">
        <is>
          <t>09:17</t>
        </is>
      </c>
      <c r="E764" t="n">
        <v>2</v>
      </c>
      <c r="F764" t="n">
        <v>28.69</v>
      </c>
      <c r="G764" t="n">
        <v>5849.47</v>
      </c>
      <c r="H764" t="n">
        <v>0</v>
      </c>
      <c r="I764" s="7">
        <f>F764*Summary!$B$5</f>
        <v/>
      </c>
      <c r="J764" s="7">
        <f>G764*Summary!$B$5</f>
        <v/>
      </c>
      <c r="K764" s="7">
        <f>H764*Summary!$B$5</f>
        <v/>
      </c>
    </row>
    <row r="765">
      <c r="A765" s="8" t="n">
        <v>45330</v>
      </c>
      <c r="B765" t="inlineStr">
        <is>
          <t>FY23-24</t>
        </is>
      </c>
      <c r="C765" t="inlineStr">
        <is>
          <t>CW</t>
        </is>
      </c>
      <c r="D765" t="inlineStr">
        <is>
          <t>09:18</t>
        </is>
      </c>
      <c r="E765" t="n">
        <v>1</v>
      </c>
      <c r="F765" t="n">
        <v>-59.74</v>
      </c>
      <c r="G765" t="n">
        <v>5789.74</v>
      </c>
      <c r="H765" t="n">
        <v>-59.74</v>
      </c>
      <c r="I765" s="7">
        <f>F765*Summary!$B$5</f>
        <v/>
      </c>
      <c r="J765" s="7">
        <f>G765*Summary!$B$5</f>
        <v/>
      </c>
      <c r="K765" s="7">
        <f>H765*Summary!$B$5</f>
        <v/>
      </c>
    </row>
    <row r="766">
      <c r="A766" s="8" t="n">
        <v>45331</v>
      </c>
      <c r="B766" t="inlineStr">
        <is>
          <t>FY23-24</t>
        </is>
      </c>
      <c r="C766" t="inlineStr">
        <is>
          <t>CW</t>
        </is>
      </c>
      <c r="D766" t="inlineStr">
        <is>
          <t>09:18</t>
        </is>
      </c>
      <c r="E766" t="n">
        <v>6</v>
      </c>
      <c r="F766" t="n">
        <v>30.55</v>
      </c>
      <c r="G766" t="n">
        <v>5820.28</v>
      </c>
      <c r="H766" t="n">
        <v>-29.19</v>
      </c>
      <c r="I766" s="7">
        <f>F766*Summary!$B$5</f>
        <v/>
      </c>
      <c r="J766" s="7">
        <f>G766*Summary!$B$5</f>
        <v/>
      </c>
      <c r="K766" s="7">
        <f>H766*Summary!$B$5</f>
        <v/>
      </c>
    </row>
    <row r="767">
      <c r="A767" s="8" t="n">
        <v>45334</v>
      </c>
      <c r="B767" t="inlineStr">
        <is>
          <t>FY23-24</t>
        </is>
      </c>
      <c r="C767" t="inlineStr">
        <is>
          <t>CW</t>
        </is>
      </c>
      <c r="D767" t="inlineStr">
        <is>
          <t>09:18</t>
        </is>
      </c>
      <c r="E767" t="n">
        <v>4</v>
      </c>
      <c r="F767" t="n">
        <v>-18.32</v>
      </c>
      <c r="G767" t="n">
        <v>5801.96</v>
      </c>
      <c r="H767" t="n">
        <v>-47.51</v>
      </c>
      <c r="I767" s="7">
        <f>F767*Summary!$B$5</f>
        <v/>
      </c>
      <c r="J767" s="7">
        <f>G767*Summary!$B$5</f>
        <v/>
      </c>
      <c r="K767" s="7">
        <f>H767*Summary!$B$5</f>
        <v/>
      </c>
    </row>
    <row r="768">
      <c r="A768" s="8" t="n">
        <v>45335</v>
      </c>
      <c r="B768" t="inlineStr">
        <is>
          <t>FY23-24</t>
        </is>
      </c>
      <c r="C768" t="inlineStr">
        <is>
          <t>CW</t>
        </is>
      </c>
      <c r="D768" t="inlineStr">
        <is>
          <t>09:18</t>
        </is>
      </c>
      <c r="E768" t="n">
        <v>3</v>
      </c>
      <c r="F768" t="n">
        <v>6.83</v>
      </c>
      <c r="G768" t="n">
        <v>5808.8</v>
      </c>
      <c r="H768" t="n">
        <v>-40.68</v>
      </c>
      <c r="I768" s="7">
        <f>F768*Summary!$B$5</f>
        <v/>
      </c>
      <c r="J768" s="7">
        <f>G768*Summary!$B$5</f>
        <v/>
      </c>
      <c r="K768" s="7">
        <f>H768*Summary!$B$5</f>
        <v/>
      </c>
    </row>
    <row r="769">
      <c r="A769" s="8" t="n">
        <v>45336</v>
      </c>
      <c r="B769" t="inlineStr">
        <is>
          <t>FY23-24</t>
        </is>
      </c>
      <c r="C769" t="inlineStr">
        <is>
          <t>CW</t>
        </is>
      </c>
      <c r="D769" t="inlineStr">
        <is>
          <t>09:18</t>
        </is>
      </c>
      <c r="E769" t="n">
        <v>2</v>
      </c>
      <c r="F769" t="n">
        <v>-35.38</v>
      </c>
      <c r="G769" t="n">
        <v>5773.42</v>
      </c>
      <c r="H769" t="n">
        <v>-76.05</v>
      </c>
      <c r="I769" s="7">
        <f>F769*Summary!$B$5</f>
        <v/>
      </c>
      <c r="J769" s="7">
        <f>G769*Summary!$B$5</f>
        <v/>
      </c>
      <c r="K769" s="7">
        <f>H769*Summary!$B$5</f>
        <v/>
      </c>
    </row>
    <row r="770">
      <c r="A770" s="8" t="n">
        <v>45337</v>
      </c>
      <c r="B770" t="inlineStr">
        <is>
          <t>FY23-24</t>
        </is>
      </c>
      <c r="C770" t="inlineStr">
        <is>
          <t>CW</t>
        </is>
      </c>
      <c r="D770" t="inlineStr">
        <is>
          <t>09:18</t>
        </is>
      </c>
      <c r="E770" t="n">
        <v>1</v>
      </c>
      <c r="F770" t="n">
        <v>5.1</v>
      </c>
      <c r="G770" t="n">
        <v>5778.52</v>
      </c>
      <c r="H770" t="n">
        <v>-70.95</v>
      </c>
      <c r="I770" s="7">
        <f>F770*Summary!$B$5</f>
        <v/>
      </c>
      <c r="J770" s="7">
        <f>G770*Summary!$B$5</f>
        <v/>
      </c>
      <c r="K770" s="7">
        <f>H770*Summary!$B$5</f>
        <v/>
      </c>
    </row>
    <row r="771">
      <c r="A771" s="8" t="n">
        <v>45338</v>
      </c>
      <c r="B771" t="inlineStr">
        <is>
          <t>FY23-24</t>
        </is>
      </c>
      <c r="C771" t="inlineStr">
        <is>
          <t>CW</t>
        </is>
      </c>
      <c r="D771" t="inlineStr">
        <is>
          <t>09:16</t>
        </is>
      </c>
      <c r="E771" t="n">
        <v>6</v>
      </c>
      <c r="F771" t="n">
        <v>4.63</v>
      </c>
      <c r="G771" t="n">
        <v>5783.15</v>
      </c>
      <c r="H771" t="n">
        <v>-66.31999999999999</v>
      </c>
      <c r="I771" s="7">
        <f>F771*Summary!$B$5</f>
        <v/>
      </c>
      <c r="J771" s="7">
        <f>G771*Summary!$B$5</f>
        <v/>
      </c>
      <c r="K771" s="7">
        <f>H771*Summary!$B$5</f>
        <v/>
      </c>
    </row>
    <row r="772">
      <c r="A772" s="8" t="n">
        <v>45341</v>
      </c>
      <c r="B772" t="inlineStr">
        <is>
          <t>FY23-24</t>
        </is>
      </c>
      <c r="C772" t="inlineStr">
        <is>
          <t>CW</t>
        </is>
      </c>
      <c r="D772" t="inlineStr">
        <is>
          <t>09:18</t>
        </is>
      </c>
      <c r="E772" t="n">
        <v>4</v>
      </c>
      <c r="F772" t="n">
        <v>-13.33</v>
      </c>
      <c r="G772" t="n">
        <v>5769.82</v>
      </c>
      <c r="H772" t="n">
        <v>-79.65000000000001</v>
      </c>
      <c r="I772" s="7">
        <f>F772*Summary!$B$5</f>
        <v/>
      </c>
      <c r="J772" s="7">
        <f>G772*Summary!$B$5</f>
        <v/>
      </c>
      <c r="K772" s="7">
        <f>H772*Summary!$B$5</f>
        <v/>
      </c>
    </row>
    <row r="773">
      <c r="A773" s="8" t="n">
        <v>45342</v>
      </c>
      <c r="B773" t="inlineStr">
        <is>
          <t>FY23-24</t>
        </is>
      </c>
      <c r="C773" t="inlineStr">
        <is>
          <t>CW</t>
        </is>
      </c>
      <c r="D773" t="inlineStr">
        <is>
          <t>09:16</t>
        </is>
      </c>
      <c r="E773" t="n">
        <v>3</v>
      </c>
      <c r="F773" t="n">
        <v>2.41</v>
      </c>
      <c r="G773" t="n">
        <v>5772.23</v>
      </c>
      <c r="H773" t="n">
        <v>-77.23999999999999</v>
      </c>
      <c r="I773" s="7">
        <f>F773*Summary!$B$5</f>
        <v/>
      </c>
      <c r="J773" s="7">
        <f>G773*Summary!$B$5</f>
        <v/>
      </c>
      <c r="K773" s="7">
        <f>H773*Summary!$B$5</f>
        <v/>
      </c>
    </row>
    <row r="774">
      <c r="A774" s="8" t="n">
        <v>45343</v>
      </c>
      <c r="B774" t="inlineStr">
        <is>
          <t>FY23-24</t>
        </is>
      </c>
      <c r="C774" t="inlineStr">
        <is>
          <t>CW</t>
        </is>
      </c>
      <c r="D774" t="inlineStr">
        <is>
          <t>09:16</t>
        </is>
      </c>
      <c r="E774" t="n">
        <v>2</v>
      </c>
      <c r="F774" t="n">
        <v>52.3</v>
      </c>
      <c r="G774" t="n">
        <v>5824.53</v>
      </c>
      <c r="H774" t="n">
        <v>-24.94</v>
      </c>
      <c r="I774" s="7">
        <f>F774*Summary!$B$5</f>
        <v/>
      </c>
      <c r="J774" s="7">
        <f>G774*Summary!$B$5</f>
        <v/>
      </c>
      <c r="K774" s="7">
        <f>H774*Summary!$B$5</f>
        <v/>
      </c>
    </row>
    <row r="775">
      <c r="A775" s="8" t="n">
        <v>45344</v>
      </c>
      <c r="B775" t="inlineStr">
        <is>
          <t>FY23-24</t>
        </is>
      </c>
      <c r="C775" t="inlineStr">
        <is>
          <t>CW</t>
        </is>
      </c>
      <c r="D775" t="inlineStr">
        <is>
          <t>09:18</t>
        </is>
      </c>
      <c r="E775" t="n">
        <v>1</v>
      </c>
      <c r="F775" t="n">
        <v>-49.1</v>
      </c>
      <c r="G775" t="n">
        <v>5775.43</v>
      </c>
      <c r="H775" t="n">
        <v>-74.04000000000001</v>
      </c>
      <c r="I775" s="7">
        <f>F775*Summary!$B$5</f>
        <v/>
      </c>
      <c r="J775" s="7">
        <f>G775*Summary!$B$5</f>
        <v/>
      </c>
      <c r="K775" s="7">
        <f>H775*Summary!$B$5</f>
        <v/>
      </c>
    </row>
    <row r="776">
      <c r="A776" s="8" t="n">
        <v>45345</v>
      </c>
      <c r="B776" t="inlineStr">
        <is>
          <t>FY23-24</t>
        </is>
      </c>
      <c r="C776" t="inlineStr">
        <is>
          <t>CW</t>
        </is>
      </c>
      <c r="D776" t="inlineStr">
        <is>
          <t>09:16</t>
        </is>
      </c>
      <c r="E776" t="n">
        <v>6</v>
      </c>
      <c r="F776" t="n">
        <v>30.44</v>
      </c>
      <c r="G776" t="n">
        <v>5805.87</v>
      </c>
      <c r="H776" t="n">
        <v>-43.61</v>
      </c>
      <c r="I776" s="7">
        <f>F776*Summary!$B$5</f>
        <v/>
      </c>
      <c r="J776" s="7">
        <f>G776*Summary!$B$5</f>
        <v/>
      </c>
      <c r="K776" s="7">
        <f>H776*Summary!$B$5</f>
        <v/>
      </c>
    </row>
    <row r="777">
      <c r="A777" s="8" t="n">
        <v>45348</v>
      </c>
      <c r="B777" t="inlineStr">
        <is>
          <t>FY23-24</t>
        </is>
      </c>
      <c r="C777" t="inlineStr">
        <is>
          <t>CW</t>
        </is>
      </c>
      <c r="D777" t="inlineStr">
        <is>
          <t>09:17</t>
        </is>
      </c>
      <c r="E777" t="n">
        <v>4</v>
      </c>
      <c r="F777" t="n">
        <v>17.75</v>
      </c>
      <c r="G777" t="n">
        <v>5823.62</v>
      </c>
      <c r="H777" t="n">
        <v>-25.86</v>
      </c>
      <c r="I777" s="7">
        <f>F777*Summary!$B$5</f>
        <v/>
      </c>
      <c r="J777" s="7">
        <f>G777*Summary!$B$5</f>
        <v/>
      </c>
      <c r="K777" s="7">
        <f>H777*Summary!$B$5</f>
        <v/>
      </c>
    </row>
    <row r="778">
      <c r="A778" s="8" t="n">
        <v>45349</v>
      </c>
      <c r="B778" t="inlineStr">
        <is>
          <t>FY23-24</t>
        </is>
      </c>
      <c r="C778" t="inlineStr">
        <is>
          <t>CW</t>
        </is>
      </c>
      <c r="D778" t="inlineStr">
        <is>
          <t>09:17</t>
        </is>
      </c>
      <c r="E778" t="n">
        <v>3</v>
      </c>
      <c r="F778" t="n">
        <v>40.74</v>
      </c>
      <c r="G778" t="n">
        <v>5864.35</v>
      </c>
      <c r="H778" t="n">
        <v>0</v>
      </c>
      <c r="I778" s="7">
        <f>F778*Summary!$B$5</f>
        <v/>
      </c>
      <c r="J778" s="7">
        <f>G778*Summary!$B$5</f>
        <v/>
      </c>
      <c r="K778" s="7">
        <f>H778*Summary!$B$5</f>
        <v/>
      </c>
    </row>
    <row r="779">
      <c r="A779" s="8" t="n">
        <v>45350</v>
      </c>
      <c r="B779" t="inlineStr">
        <is>
          <t>FY23-24</t>
        </is>
      </c>
      <c r="C779" t="inlineStr">
        <is>
          <t>CW</t>
        </is>
      </c>
      <c r="D779" t="inlineStr">
        <is>
          <t>09:17</t>
        </is>
      </c>
      <c r="E779" t="n">
        <v>2</v>
      </c>
      <c r="F779" t="n">
        <v>-46.63</v>
      </c>
      <c r="G779" t="n">
        <v>5817.72</v>
      </c>
      <c r="H779" t="n">
        <v>-46.63</v>
      </c>
      <c r="I779" s="7">
        <f>F779*Summary!$B$5</f>
        <v/>
      </c>
      <c r="J779" s="7">
        <f>G779*Summary!$B$5</f>
        <v/>
      </c>
      <c r="K779" s="7">
        <f>H779*Summary!$B$5</f>
        <v/>
      </c>
    </row>
    <row r="780">
      <c r="A780" s="8" t="n">
        <v>45351</v>
      </c>
      <c r="B780" t="inlineStr">
        <is>
          <t>FY23-24</t>
        </is>
      </c>
      <c r="C780" t="inlineStr">
        <is>
          <t>CW</t>
        </is>
      </c>
      <c r="D780" t="inlineStr">
        <is>
          <t>09:17</t>
        </is>
      </c>
      <c r="E780" t="n">
        <v>1</v>
      </c>
      <c r="F780" t="n">
        <v>-61.28</v>
      </c>
      <c r="G780" t="n">
        <v>5756.45</v>
      </c>
      <c r="H780" t="n">
        <v>-107.91</v>
      </c>
      <c r="I780" s="7">
        <f>F780*Summary!$B$5</f>
        <v/>
      </c>
      <c r="J780" s="7">
        <f>G780*Summary!$B$5</f>
        <v/>
      </c>
      <c r="K780" s="7">
        <f>H780*Summary!$B$5</f>
        <v/>
      </c>
    </row>
    <row r="781">
      <c r="A781" s="8" t="n">
        <v>45352</v>
      </c>
      <c r="B781" t="inlineStr">
        <is>
          <t>FY23-24</t>
        </is>
      </c>
      <c r="C781" t="inlineStr"/>
      <c r="D781" t="inlineStr"/>
      <c r="E781" t="n">
        <v>0</v>
      </c>
      <c r="F781" t="n">
        <v>0</v>
      </c>
      <c r="G781" t="n">
        <v>5756.45</v>
      </c>
      <c r="H781" t="n">
        <v>-107.91</v>
      </c>
      <c r="I781" s="7">
        <f>F781*Summary!$B$5</f>
        <v/>
      </c>
      <c r="J781" s="7">
        <f>G781*Summary!$B$5</f>
        <v/>
      </c>
      <c r="K781" s="7">
        <f>H781*Summary!$B$5</f>
        <v/>
      </c>
    </row>
    <row r="782">
      <c r="A782" s="8" t="n">
        <v>45353</v>
      </c>
      <c r="B782" t="inlineStr">
        <is>
          <t>FY23-24</t>
        </is>
      </c>
      <c r="C782" t="inlineStr">
        <is>
          <t>CW</t>
        </is>
      </c>
      <c r="D782" t="inlineStr">
        <is>
          <t>09:17</t>
        </is>
      </c>
      <c r="E782" t="n">
        <v>5</v>
      </c>
      <c r="F782" t="n">
        <v>27.07</v>
      </c>
      <c r="G782" t="n">
        <v>5783.52</v>
      </c>
      <c r="H782" t="n">
        <v>-80.84</v>
      </c>
      <c r="I782" s="7">
        <f>F782*Summary!$B$5</f>
        <v/>
      </c>
      <c r="J782" s="7">
        <f>G782*Summary!$B$5</f>
        <v/>
      </c>
      <c r="K782" s="7">
        <f>H782*Summary!$B$5</f>
        <v/>
      </c>
    </row>
    <row r="783">
      <c r="A783" s="8" t="n">
        <v>45355</v>
      </c>
      <c r="B783" t="inlineStr">
        <is>
          <t>FY23-24</t>
        </is>
      </c>
      <c r="C783" t="inlineStr">
        <is>
          <t>CW</t>
        </is>
      </c>
      <c r="D783" t="inlineStr">
        <is>
          <t>09:16</t>
        </is>
      </c>
      <c r="E783" t="n">
        <v>4</v>
      </c>
      <c r="F783" t="n">
        <v>38.02</v>
      </c>
      <c r="G783" t="n">
        <v>5821.54</v>
      </c>
      <c r="H783" t="n">
        <v>-42.82</v>
      </c>
      <c r="I783" s="7">
        <f>F783*Summary!$B$5</f>
        <v/>
      </c>
      <c r="J783" s="7">
        <f>G783*Summary!$B$5</f>
        <v/>
      </c>
      <c r="K783" s="7">
        <f>H783*Summary!$B$5</f>
        <v/>
      </c>
    </row>
    <row r="784">
      <c r="A784" s="8" t="n">
        <v>45356</v>
      </c>
      <c r="B784" t="inlineStr">
        <is>
          <t>FY23-24</t>
        </is>
      </c>
      <c r="C784" t="inlineStr">
        <is>
          <t>CW</t>
        </is>
      </c>
      <c r="D784" t="inlineStr">
        <is>
          <t>09:16</t>
        </is>
      </c>
      <c r="E784" t="n">
        <v>3</v>
      </c>
      <c r="F784" t="n">
        <v>30.41</v>
      </c>
      <c r="G784" t="n">
        <v>5851.94</v>
      </c>
      <c r="H784" t="n">
        <v>-12.41</v>
      </c>
      <c r="I784" s="7">
        <f>F784*Summary!$B$5</f>
        <v/>
      </c>
      <c r="J784" s="7">
        <f>G784*Summary!$B$5</f>
        <v/>
      </c>
      <c r="K784" s="7">
        <f>H784*Summary!$B$5</f>
        <v/>
      </c>
    </row>
    <row r="785">
      <c r="A785" s="8" t="n">
        <v>45357</v>
      </c>
      <c r="B785" t="inlineStr">
        <is>
          <t>FY23-24</t>
        </is>
      </c>
      <c r="C785" t="inlineStr">
        <is>
          <t>CW</t>
        </is>
      </c>
      <c r="D785" t="inlineStr">
        <is>
          <t>09:17</t>
        </is>
      </c>
      <c r="E785" t="n">
        <v>2</v>
      </c>
      <c r="F785" t="n">
        <v>-13.01</v>
      </c>
      <c r="G785" t="n">
        <v>5838.93</v>
      </c>
      <c r="H785" t="n">
        <v>-25.42</v>
      </c>
      <c r="I785" s="7">
        <f>F785*Summary!$B$5</f>
        <v/>
      </c>
      <c r="J785" s="7">
        <f>G785*Summary!$B$5</f>
        <v/>
      </c>
      <c r="K785" s="7">
        <f>H785*Summary!$B$5</f>
        <v/>
      </c>
    </row>
    <row r="786">
      <c r="A786" s="8" t="n">
        <v>45358</v>
      </c>
      <c r="B786" t="inlineStr">
        <is>
          <t>FY23-24</t>
        </is>
      </c>
      <c r="C786" t="inlineStr">
        <is>
          <t>CW</t>
        </is>
      </c>
      <c r="D786" t="inlineStr">
        <is>
          <t>09:16</t>
        </is>
      </c>
      <c r="E786" t="n">
        <v>1</v>
      </c>
      <c r="F786" t="n">
        <v>49.8</v>
      </c>
      <c r="G786" t="n">
        <v>5888.73</v>
      </c>
      <c r="H786" t="n">
        <v>0</v>
      </c>
      <c r="I786" s="7">
        <f>F786*Summary!$B$5</f>
        <v/>
      </c>
      <c r="J786" s="7">
        <f>G786*Summary!$B$5</f>
        <v/>
      </c>
      <c r="K786" s="7">
        <f>H786*Summary!$B$5</f>
        <v/>
      </c>
    </row>
    <row r="787">
      <c r="A787" s="8" t="n">
        <v>45362</v>
      </c>
      <c r="B787" t="inlineStr">
        <is>
          <t>FY23-24</t>
        </is>
      </c>
      <c r="C787" t="inlineStr">
        <is>
          <t>CW</t>
        </is>
      </c>
      <c r="D787" t="inlineStr">
        <is>
          <t>09:17</t>
        </is>
      </c>
      <c r="E787" t="n">
        <v>4</v>
      </c>
      <c r="F787" t="n">
        <v>15.57</v>
      </c>
      <c r="G787" t="n">
        <v>5904.29</v>
      </c>
      <c r="H787" t="n">
        <v>0</v>
      </c>
      <c r="I787" s="7">
        <f>F787*Summary!$B$5</f>
        <v/>
      </c>
      <c r="J787" s="7">
        <f>G787*Summary!$B$5</f>
        <v/>
      </c>
      <c r="K787" s="7">
        <f>H787*Summary!$B$5</f>
        <v/>
      </c>
    </row>
    <row r="788">
      <c r="A788" s="8" t="n">
        <v>45363</v>
      </c>
      <c r="B788" t="inlineStr">
        <is>
          <t>FY23-24</t>
        </is>
      </c>
      <c r="C788" t="inlineStr">
        <is>
          <t>CW</t>
        </is>
      </c>
      <c r="D788" t="inlineStr">
        <is>
          <t>09:18</t>
        </is>
      </c>
      <c r="E788" t="n">
        <v>3</v>
      </c>
      <c r="F788" t="n">
        <v>-35.09</v>
      </c>
      <c r="G788" t="n">
        <v>5869.2</v>
      </c>
      <c r="H788" t="n">
        <v>-35.09</v>
      </c>
      <c r="I788" s="7">
        <f>F788*Summary!$B$5</f>
        <v/>
      </c>
      <c r="J788" s="7">
        <f>G788*Summary!$B$5</f>
        <v/>
      </c>
      <c r="K788" s="7">
        <f>H788*Summary!$B$5</f>
        <v/>
      </c>
    </row>
    <row r="789">
      <c r="A789" s="8" t="n">
        <v>45364</v>
      </c>
      <c r="B789" t="inlineStr">
        <is>
          <t>FY23-24</t>
        </is>
      </c>
      <c r="C789" t="inlineStr">
        <is>
          <t>CW</t>
        </is>
      </c>
      <c r="D789" t="inlineStr">
        <is>
          <t>09:17</t>
        </is>
      </c>
      <c r="E789" t="n">
        <v>2</v>
      </c>
      <c r="F789" t="n">
        <v>-40.17</v>
      </c>
      <c r="G789" t="n">
        <v>5829.04</v>
      </c>
      <c r="H789" t="n">
        <v>-75.26000000000001</v>
      </c>
      <c r="I789" s="7">
        <f>F789*Summary!$B$5</f>
        <v/>
      </c>
      <c r="J789" s="7">
        <f>G789*Summary!$B$5</f>
        <v/>
      </c>
      <c r="K789" s="7">
        <f>H789*Summary!$B$5</f>
        <v/>
      </c>
    </row>
    <row r="790">
      <c r="A790" s="8" t="n">
        <v>45365</v>
      </c>
      <c r="B790" t="inlineStr">
        <is>
          <t>FY23-24</t>
        </is>
      </c>
      <c r="C790" t="inlineStr">
        <is>
          <t>CW</t>
        </is>
      </c>
      <c r="D790" t="inlineStr">
        <is>
          <t>09:18</t>
        </is>
      </c>
      <c r="E790" t="n">
        <v>1</v>
      </c>
      <c r="F790" t="n">
        <v>24.14</v>
      </c>
      <c r="G790" t="n">
        <v>5853.18</v>
      </c>
      <c r="H790" t="n">
        <v>-51.12</v>
      </c>
      <c r="I790" s="7">
        <f>F790*Summary!$B$5</f>
        <v/>
      </c>
      <c r="J790" s="7">
        <f>G790*Summary!$B$5</f>
        <v/>
      </c>
      <c r="K790" s="7">
        <f>H790*Summary!$B$5</f>
        <v/>
      </c>
    </row>
    <row r="791">
      <c r="A791" s="8" t="n">
        <v>45366</v>
      </c>
      <c r="B791" t="inlineStr">
        <is>
          <t>FY23-24</t>
        </is>
      </c>
      <c r="C791" t="inlineStr"/>
      <c r="D791" t="inlineStr"/>
      <c r="E791" t="n">
        <v>0</v>
      </c>
      <c r="F791" t="n">
        <v>0</v>
      </c>
      <c r="G791" t="n">
        <v>5853.18</v>
      </c>
      <c r="H791" t="n">
        <v>-51.12</v>
      </c>
      <c r="I791" s="7">
        <f>F791*Summary!$B$5</f>
        <v/>
      </c>
      <c r="J791" s="7">
        <f>G791*Summary!$B$5</f>
        <v/>
      </c>
      <c r="K791" s="7">
        <f>H791*Summary!$B$5</f>
        <v/>
      </c>
    </row>
    <row r="792">
      <c r="A792" s="8" t="n">
        <v>45369</v>
      </c>
      <c r="B792" t="inlineStr">
        <is>
          <t>FY23-24</t>
        </is>
      </c>
      <c r="C792" t="inlineStr">
        <is>
          <t>CW</t>
        </is>
      </c>
      <c r="D792" t="inlineStr">
        <is>
          <t>09:18</t>
        </is>
      </c>
      <c r="E792" t="n">
        <v>4</v>
      </c>
      <c r="F792" t="n">
        <v>23.47</v>
      </c>
      <c r="G792" t="n">
        <v>5876.64</v>
      </c>
      <c r="H792" t="n">
        <v>-27.65</v>
      </c>
      <c r="I792" s="7">
        <f>F792*Summary!$B$5</f>
        <v/>
      </c>
      <c r="J792" s="7">
        <f>G792*Summary!$B$5</f>
        <v/>
      </c>
      <c r="K792" s="7">
        <f>H792*Summary!$B$5</f>
        <v/>
      </c>
    </row>
    <row r="793">
      <c r="A793" s="8" t="n">
        <v>45370</v>
      </c>
      <c r="B793" t="inlineStr">
        <is>
          <t>FY23-24</t>
        </is>
      </c>
      <c r="C793" t="inlineStr">
        <is>
          <t>CW</t>
        </is>
      </c>
      <c r="D793" t="inlineStr">
        <is>
          <t>09:17</t>
        </is>
      </c>
      <c r="E793" t="n">
        <v>3</v>
      </c>
      <c r="F793" t="n">
        <v>8.050000000000001</v>
      </c>
      <c r="G793" t="n">
        <v>5884.69</v>
      </c>
      <c r="H793" t="n">
        <v>-19.6</v>
      </c>
      <c r="I793" s="7">
        <f>F793*Summary!$B$5</f>
        <v/>
      </c>
      <c r="J793" s="7">
        <f>G793*Summary!$B$5</f>
        <v/>
      </c>
      <c r="K793" s="7">
        <f>H793*Summary!$B$5</f>
        <v/>
      </c>
    </row>
    <row r="794">
      <c r="A794" s="8" t="n">
        <v>45371</v>
      </c>
      <c r="B794" t="inlineStr">
        <is>
          <t>FY23-24</t>
        </is>
      </c>
      <c r="C794" t="inlineStr">
        <is>
          <t>CW</t>
        </is>
      </c>
      <c r="D794" t="inlineStr">
        <is>
          <t>09:18</t>
        </is>
      </c>
      <c r="E794" t="n">
        <v>2</v>
      </c>
      <c r="F794" t="n">
        <v>-4.66</v>
      </c>
      <c r="G794" t="n">
        <v>5880.03</v>
      </c>
      <c r="H794" t="n">
        <v>-24.27</v>
      </c>
      <c r="I794" s="7">
        <f>F794*Summary!$B$5</f>
        <v/>
      </c>
      <c r="J794" s="7">
        <f>G794*Summary!$B$5</f>
        <v/>
      </c>
      <c r="K794" s="7">
        <f>H794*Summary!$B$5</f>
        <v/>
      </c>
    </row>
    <row r="795">
      <c r="A795" s="8" t="n">
        <v>45372</v>
      </c>
      <c r="B795" t="inlineStr">
        <is>
          <t>FY23-24</t>
        </is>
      </c>
      <c r="C795" t="inlineStr">
        <is>
          <t>CW</t>
        </is>
      </c>
      <c r="D795" t="inlineStr">
        <is>
          <t>09:18</t>
        </is>
      </c>
      <c r="E795" t="n">
        <v>1</v>
      </c>
      <c r="F795" t="n">
        <v>41.22</v>
      </c>
      <c r="G795" t="n">
        <v>5921.25</v>
      </c>
      <c r="H795" t="n">
        <v>0</v>
      </c>
      <c r="I795" s="7">
        <f>F795*Summary!$B$5</f>
        <v/>
      </c>
      <c r="J795" s="7">
        <f>G795*Summary!$B$5</f>
        <v/>
      </c>
      <c r="K795" s="7">
        <f>H795*Summary!$B$5</f>
        <v/>
      </c>
    </row>
    <row r="796">
      <c r="A796" s="8" t="n">
        <v>45373</v>
      </c>
      <c r="B796" t="inlineStr">
        <is>
          <t>FY23-24</t>
        </is>
      </c>
      <c r="C796" t="inlineStr"/>
      <c r="D796" t="inlineStr"/>
      <c r="E796" t="n">
        <v>0</v>
      </c>
      <c r="F796" t="n">
        <v>0</v>
      </c>
      <c r="G796" t="n">
        <v>5921.25</v>
      </c>
      <c r="H796" t="n">
        <v>0</v>
      </c>
      <c r="I796" s="7">
        <f>F796*Summary!$B$5</f>
        <v/>
      </c>
      <c r="J796" s="7">
        <f>G796*Summary!$B$5</f>
        <v/>
      </c>
      <c r="K796" s="7">
        <f>H796*Summary!$B$5</f>
        <v/>
      </c>
    </row>
    <row r="797">
      <c r="A797" s="8" t="n">
        <v>45377</v>
      </c>
      <c r="B797" t="inlineStr">
        <is>
          <t>FY23-24</t>
        </is>
      </c>
      <c r="C797" t="inlineStr">
        <is>
          <t>CW</t>
        </is>
      </c>
      <c r="D797" t="inlineStr">
        <is>
          <t>09:17</t>
        </is>
      </c>
      <c r="E797" t="n">
        <v>3</v>
      </c>
      <c r="F797" t="n">
        <v>47.65</v>
      </c>
      <c r="G797" t="n">
        <v>5968.9</v>
      </c>
      <c r="H797" t="n">
        <v>0</v>
      </c>
      <c r="I797" s="7">
        <f>F797*Summary!$B$5</f>
        <v/>
      </c>
      <c r="J797" s="7">
        <f>G797*Summary!$B$5</f>
        <v/>
      </c>
      <c r="K797" s="7">
        <f>H797*Summary!$B$5</f>
        <v/>
      </c>
    </row>
    <row r="798">
      <c r="A798" s="8" t="n">
        <v>45378</v>
      </c>
      <c r="B798" t="inlineStr">
        <is>
          <t>FY23-24</t>
        </is>
      </c>
      <c r="C798" t="inlineStr">
        <is>
          <t>CW</t>
        </is>
      </c>
      <c r="D798" t="inlineStr">
        <is>
          <t>09:17</t>
        </is>
      </c>
      <c r="E798" t="n">
        <v>2</v>
      </c>
      <c r="F798" t="n">
        <v>36.3</v>
      </c>
      <c r="G798" t="n">
        <v>6005.19</v>
      </c>
      <c r="H798" t="n">
        <v>0</v>
      </c>
      <c r="I798" s="7">
        <f>F798*Summary!$B$5</f>
        <v/>
      </c>
      <c r="J798" s="7">
        <f>G798*Summary!$B$5</f>
        <v/>
      </c>
      <c r="K798" s="7">
        <f>H798*Summary!$B$5</f>
        <v/>
      </c>
    </row>
    <row r="799">
      <c r="A799" s="8" t="n">
        <v>45379</v>
      </c>
      <c r="B799" t="inlineStr">
        <is>
          <t>FY23-24</t>
        </is>
      </c>
      <c r="C799" t="inlineStr"/>
      <c r="D799" t="inlineStr"/>
      <c r="E799" t="n">
        <v>0</v>
      </c>
      <c r="F799" t="n">
        <v>0</v>
      </c>
      <c r="G799" t="n">
        <v>6005.19</v>
      </c>
      <c r="H799" t="n">
        <v>0</v>
      </c>
      <c r="I799" s="7">
        <f>F799*Summary!$B$5</f>
        <v/>
      </c>
      <c r="J799" s="7">
        <f>G799*Summary!$B$5</f>
        <v/>
      </c>
      <c r="K799" s="7">
        <f>H799*Summary!$B$5</f>
        <v/>
      </c>
    </row>
    <row r="800">
      <c r="A800" s="8" t="n">
        <v>45383</v>
      </c>
      <c r="B800" t="inlineStr">
        <is>
          <t>FY24-25</t>
        </is>
      </c>
      <c r="C800" t="inlineStr">
        <is>
          <t>CW</t>
        </is>
      </c>
      <c r="D800" t="inlineStr">
        <is>
          <t>09:18</t>
        </is>
      </c>
      <c r="E800" t="n">
        <v>4</v>
      </c>
      <c r="F800" t="n">
        <v>38.07</v>
      </c>
      <c r="G800" t="n">
        <v>6043.26</v>
      </c>
      <c r="H800" t="n">
        <v>0</v>
      </c>
      <c r="I800" s="7">
        <f>F800*Summary!$B$5</f>
        <v/>
      </c>
      <c r="J800" s="7">
        <f>G800*Summary!$B$5</f>
        <v/>
      </c>
      <c r="K800" s="7">
        <f>H800*Summary!$B$5</f>
        <v/>
      </c>
    </row>
    <row r="801">
      <c r="A801" s="8" t="n">
        <v>45384</v>
      </c>
      <c r="B801" t="inlineStr">
        <is>
          <t>FY24-25</t>
        </is>
      </c>
      <c r="C801" t="inlineStr">
        <is>
          <t>CW</t>
        </is>
      </c>
      <c r="D801" t="inlineStr">
        <is>
          <t>09:17</t>
        </is>
      </c>
      <c r="E801" t="n">
        <v>3</v>
      </c>
      <c r="F801" t="n">
        <v>13.41</v>
      </c>
      <c r="G801" t="n">
        <v>6056.67</v>
      </c>
      <c r="H801" t="n">
        <v>0</v>
      </c>
      <c r="I801" s="7">
        <f>F801*Summary!$B$5</f>
        <v/>
      </c>
      <c r="J801" s="7">
        <f>G801*Summary!$B$5</f>
        <v/>
      </c>
      <c r="K801" s="7">
        <f>H801*Summary!$B$5</f>
        <v/>
      </c>
    </row>
    <row r="802">
      <c r="A802" s="8" t="n">
        <v>45385</v>
      </c>
      <c r="B802" t="inlineStr">
        <is>
          <t>FY24-25</t>
        </is>
      </c>
      <c r="C802" t="inlineStr">
        <is>
          <t>CW</t>
        </is>
      </c>
      <c r="D802" t="inlineStr">
        <is>
          <t>09:17</t>
        </is>
      </c>
      <c r="E802" t="n">
        <v>2</v>
      </c>
      <c r="F802" t="n">
        <v>3.7</v>
      </c>
      <c r="G802" t="n">
        <v>6060.37</v>
      </c>
      <c r="H802" t="n">
        <v>0</v>
      </c>
      <c r="I802" s="7">
        <f>F802*Summary!$B$5</f>
        <v/>
      </c>
      <c r="J802" s="7">
        <f>G802*Summary!$B$5</f>
        <v/>
      </c>
      <c r="K802" s="7">
        <f>H802*Summary!$B$5</f>
        <v/>
      </c>
    </row>
    <row r="803">
      <c r="A803" s="8" t="n">
        <v>45386</v>
      </c>
      <c r="B803" t="inlineStr">
        <is>
          <t>FY24-25</t>
        </is>
      </c>
      <c r="C803" t="inlineStr">
        <is>
          <t>CW</t>
        </is>
      </c>
      <c r="D803" t="inlineStr">
        <is>
          <t>09:18</t>
        </is>
      </c>
      <c r="E803" t="n">
        <v>1</v>
      </c>
      <c r="F803" t="n">
        <v>-36.58</v>
      </c>
      <c r="G803" t="n">
        <v>6023.79</v>
      </c>
      <c r="H803" t="n">
        <v>-36.58</v>
      </c>
      <c r="I803" s="7">
        <f>F803*Summary!$B$5</f>
        <v/>
      </c>
      <c r="J803" s="7">
        <f>G803*Summary!$B$5</f>
        <v/>
      </c>
      <c r="K803" s="7">
        <f>H803*Summary!$B$5</f>
        <v/>
      </c>
    </row>
    <row r="804">
      <c r="A804" s="8" t="n">
        <v>45387</v>
      </c>
      <c r="B804" t="inlineStr">
        <is>
          <t>FY24-25</t>
        </is>
      </c>
      <c r="C804" t="inlineStr">
        <is>
          <t>CW</t>
        </is>
      </c>
      <c r="D804" t="inlineStr">
        <is>
          <t>09:16</t>
        </is>
      </c>
      <c r="E804" t="n">
        <v>5</v>
      </c>
      <c r="F804" t="n">
        <v>25.15</v>
      </c>
      <c r="G804" t="n">
        <v>6048.95</v>
      </c>
      <c r="H804" t="n">
        <v>-11.43</v>
      </c>
      <c r="I804" s="7">
        <f>F804*Summary!$B$5</f>
        <v/>
      </c>
      <c r="J804" s="7">
        <f>G804*Summary!$B$5</f>
        <v/>
      </c>
      <c r="K804" s="7">
        <f>H804*Summary!$B$5</f>
        <v/>
      </c>
    </row>
    <row r="805">
      <c r="A805" s="8" t="n">
        <v>45390</v>
      </c>
      <c r="B805" t="inlineStr">
        <is>
          <t>FY24-25</t>
        </is>
      </c>
      <c r="C805" t="inlineStr">
        <is>
          <t>CW</t>
        </is>
      </c>
      <c r="D805" t="inlineStr">
        <is>
          <t>09:18</t>
        </is>
      </c>
      <c r="E805" t="n">
        <v>3</v>
      </c>
      <c r="F805" t="n">
        <v>16.84</v>
      </c>
      <c r="G805" t="n">
        <v>6065.79</v>
      </c>
      <c r="H805" t="n">
        <v>0</v>
      </c>
      <c r="I805" s="7">
        <f>F805*Summary!$B$5</f>
        <v/>
      </c>
      <c r="J805" s="7">
        <f>G805*Summary!$B$5</f>
        <v/>
      </c>
      <c r="K805" s="7">
        <f>H805*Summary!$B$5</f>
        <v/>
      </c>
    </row>
    <row r="806">
      <c r="A806" s="8" t="n">
        <v>45391</v>
      </c>
      <c r="B806" t="inlineStr">
        <is>
          <t>FY24-25</t>
        </is>
      </c>
      <c r="C806" t="inlineStr">
        <is>
          <t>CW</t>
        </is>
      </c>
      <c r="D806" t="inlineStr">
        <is>
          <t>09:18</t>
        </is>
      </c>
      <c r="E806" t="n">
        <v>2</v>
      </c>
      <c r="F806" t="n">
        <v>23.02</v>
      </c>
      <c r="G806" t="n">
        <v>6088.81</v>
      </c>
      <c r="H806" t="n">
        <v>0</v>
      </c>
      <c r="I806" s="7">
        <f>F806*Summary!$B$5</f>
        <v/>
      </c>
      <c r="J806" s="7">
        <f>G806*Summary!$B$5</f>
        <v/>
      </c>
      <c r="K806" s="7">
        <f>H806*Summary!$B$5</f>
        <v/>
      </c>
    </row>
    <row r="807">
      <c r="A807" s="8" t="n">
        <v>45392</v>
      </c>
      <c r="B807" t="inlineStr">
        <is>
          <t>FY24-25</t>
        </is>
      </c>
      <c r="C807" t="inlineStr">
        <is>
          <t>NW</t>
        </is>
      </c>
      <c r="D807" t="inlineStr"/>
      <c r="E807" t="n">
        <v>1</v>
      </c>
      <c r="F807" t="n">
        <v>20.45</v>
      </c>
      <c r="G807" t="n">
        <v>6109.26</v>
      </c>
      <c r="H807" t="n">
        <v>0</v>
      </c>
      <c r="I807" s="7">
        <f>F807*Summary!$B$5</f>
        <v/>
      </c>
      <c r="J807" s="7">
        <f>G807*Summary!$B$5</f>
        <v/>
      </c>
      <c r="K807" s="7">
        <f>H807*Summary!$B$5</f>
        <v/>
      </c>
    </row>
    <row r="808">
      <c r="A808" s="8" t="n">
        <v>45394</v>
      </c>
      <c r="B808" t="inlineStr">
        <is>
          <t>FY24-25</t>
        </is>
      </c>
      <c r="C808" t="inlineStr">
        <is>
          <t>CW</t>
        </is>
      </c>
      <c r="D808" t="inlineStr">
        <is>
          <t>09:17</t>
        </is>
      </c>
      <c r="E808" t="n">
        <v>6</v>
      </c>
      <c r="F808" t="n">
        <v>26.36</v>
      </c>
      <c r="G808" t="n">
        <v>6135.62</v>
      </c>
      <c r="H808" t="n">
        <v>0</v>
      </c>
      <c r="I808" s="7">
        <f>F808*Summary!$B$5</f>
        <v/>
      </c>
      <c r="J808" s="7">
        <f>G808*Summary!$B$5</f>
        <v/>
      </c>
      <c r="K808" s="7">
        <f>H808*Summary!$B$5</f>
        <v/>
      </c>
    </row>
    <row r="809">
      <c r="A809" s="8" t="n">
        <v>45397</v>
      </c>
      <c r="B809" t="inlineStr">
        <is>
          <t>FY24-25</t>
        </is>
      </c>
      <c r="C809" t="inlineStr">
        <is>
          <t>CW</t>
        </is>
      </c>
      <c r="D809" t="inlineStr">
        <is>
          <t>09:18</t>
        </is>
      </c>
      <c r="E809" t="n">
        <v>4</v>
      </c>
      <c r="F809" t="n">
        <v>27.34</v>
      </c>
      <c r="G809" t="n">
        <v>6162.96</v>
      </c>
      <c r="H809" t="n">
        <v>0</v>
      </c>
      <c r="I809" s="7">
        <f>F809*Summary!$B$5</f>
        <v/>
      </c>
      <c r="J809" s="7">
        <f>G809*Summary!$B$5</f>
        <v/>
      </c>
      <c r="K809" s="7">
        <f>H809*Summary!$B$5</f>
        <v/>
      </c>
    </row>
    <row r="810">
      <c r="A810" s="8" t="n">
        <v>45398</v>
      </c>
      <c r="B810" t="inlineStr">
        <is>
          <t>FY24-25</t>
        </is>
      </c>
      <c r="C810" t="inlineStr"/>
      <c r="D810" t="inlineStr"/>
      <c r="E810" t="n">
        <v>0</v>
      </c>
      <c r="F810" t="n">
        <v>0</v>
      </c>
      <c r="G810" t="n">
        <v>6162.96</v>
      </c>
      <c r="H810" t="n">
        <v>0</v>
      </c>
      <c r="I810" s="7">
        <f>F810*Summary!$B$5</f>
        <v/>
      </c>
      <c r="J810" s="7">
        <f>G810*Summary!$B$5</f>
        <v/>
      </c>
      <c r="K810" s="7">
        <f>H810*Summary!$B$5</f>
        <v/>
      </c>
    </row>
    <row r="811">
      <c r="A811" s="8" t="n">
        <v>45401</v>
      </c>
      <c r="B811" t="inlineStr">
        <is>
          <t>FY24-25</t>
        </is>
      </c>
      <c r="C811" t="inlineStr"/>
      <c r="D811" t="inlineStr"/>
      <c r="E811" t="n">
        <v>0</v>
      </c>
      <c r="F811" t="n">
        <v>0</v>
      </c>
      <c r="G811" t="n">
        <v>6162.96</v>
      </c>
      <c r="H811" t="n">
        <v>0</v>
      </c>
      <c r="I811" s="7">
        <f>F811*Summary!$B$5</f>
        <v/>
      </c>
      <c r="J811" s="7">
        <f>G811*Summary!$B$5</f>
        <v/>
      </c>
      <c r="K811" s="7">
        <f>H811*Summary!$B$5</f>
        <v/>
      </c>
    </row>
    <row r="812">
      <c r="A812" s="8" t="n">
        <v>45404</v>
      </c>
      <c r="B812" t="inlineStr">
        <is>
          <t>FY24-25</t>
        </is>
      </c>
      <c r="C812" t="inlineStr"/>
      <c r="D812" t="inlineStr"/>
      <c r="E812" t="n">
        <v>0</v>
      </c>
      <c r="F812" t="n">
        <v>0</v>
      </c>
      <c r="G812" t="n">
        <v>6162.96</v>
      </c>
      <c r="H812" t="n">
        <v>0</v>
      </c>
      <c r="I812" s="7">
        <f>F812*Summary!$B$5</f>
        <v/>
      </c>
      <c r="J812" s="7">
        <f>G812*Summary!$B$5</f>
        <v/>
      </c>
      <c r="K812" s="7">
        <f>H812*Summary!$B$5</f>
        <v/>
      </c>
    </row>
    <row r="813">
      <c r="A813" s="8" t="n">
        <v>45405</v>
      </c>
      <c r="B813" t="inlineStr">
        <is>
          <t>FY24-25</t>
        </is>
      </c>
      <c r="C813" t="inlineStr">
        <is>
          <t>n/a</t>
        </is>
      </c>
      <c r="D813" t="inlineStr"/>
      <c r="E813" t="n">
        <v>0</v>
      </c>
      <c r="F813" t="n">
        <v>19.27</v>
      </c>
      <c r="G813" t="n">
        <v>6182.23</v>
      </c>
      <c r="H813" t="n">
        <v>0</v>
      </c>
      <c r="I813" s="7">
        <f>F813*Summary!$B$5</f>
        <v/>
      </c>
      <c r="J813" s="7">
        <f>G813*Summary!$B$5</f>
        <v/>
      </c>
      <c r="K813" s="7">
        <f>H813*Summary!$B$5</f>
        <v/>
      </c>
    </row>
    <row r="814">
      <c r="A814" s="8" t="n">
        <v>45406</v>
      </c>
      <c r="B814" t="inlineStr">
        <is>
          <t>FY24-25</t>
        </is>
      </c>
      <c r="C814" t="inlineStr">
        <is>
          <t>NW</t>
        </is>
      </c>
      <c r="D814" t="inlineStr"/>
      <c r="E814" t="n">
        <v>2</v>
      </c>
      <c r="F814" t="n">
        <v>15.45</v>
      </c>
      <c r="G814" t="n">
        <v>6197.68</v>
      </c>
      <c r="H814" t="n">
        <v>0</v>
      </c>
      <c r="I814" s="7">
        <f>F814*Summary!$B$5</f>
        <v/>
      </c>
      <c r="J814" s="7">
        <f>G814*Summary!$B$5</f>
        <v/>
      </c>
      <c r="K814" s="7">
        <f>H814*Summary!$B$5</f>
        <v/>
      </c>
    </row>
    <row r="815">
      <c r="A815" s="8" t="n">
        <v>45407</v>
      </c>
      <c r="B815" t="inlineStr">
        <is>
          <t>FY24-25</t>
        </is>
      </c>
      <c r="C815" t="inlineStr">
        <is>
          <t>CW</t>
        </is>
      </c>
      <c r="D815" t="inlineStr">
        <is>
          <t>09:18</t>
        </is>
      </c>
      <c r="E815" t="n">
        <v>1</v>
      </c>
      <c r="F815" t="n">
        <v>-37.48</v>
      </c>
      <c r="G815" t="n">
        <v>6160.2</v>
      </c>
      <c r="H815" t="n">
        <v>-37.48</v>
      </c>
      <c r="I815" s="7">
        <f>F815*Summary!$B$5</f>
        <v/>
      </c>
      <c r="J815" s="7">
        <f>G815*Summary!$B$5</f>
        <v/>
      </c>
      <c r="K815" s="7">
        <f>H815*Summary!$B$5</f>
        <v/>
      </c>
    </row>
    <row r="816">
      <c r="A816" s="8" t="n">
        <v>45408</v>
      </c>
      <c r="B816" t="inlineStr">
        <is>
          <t>FY24-25</t>
        </is>
      </c>
      <c r="C816" t="inlineStr">
        <is>
          <t>n/a</t>
        </is>
      </c>
      <c r="D816" t="inlineStr"/>
      <c r="E816" t="n">
        <v>0</v>
      </c>
      <c r="F816" t="n">
        <v>0.68</v>
      </c>
      <c r="G816" t="n">
        <v>6160.88</v>
      </c>
      <c r="H816" t="n">
        <v>-36.8</v>
      </c>
      <c r="I816" s="7">
        <f>F816*Summary!$B$5</f>
        <v/>
      </c>
      <c r="J816" s="7">
        <f>G816*Summary!$B$5</f>
        <v/>
      </c>
      <c r="K816" s="7">
        <f>H816*Summary!$B$5</f>
        <v/>
      </c>
    </row>
    <row r="817">
      <c r="A817" s="8" t="n">
        <v>45411</v>
      </c>
      <c r="B817" t="inlineStr">
        <is>
          <t>FY24-25</t>
        </is>
      </c>
      <c r="C817" t="inlineStr">
        <is>
          <t>CW</t>
        </is>
      </c>
      <c r="D817" t="inlineStr">
        <is>
          <t>09:18</t>
        </is>
      </c>
      <c r="E817" t="n">
        <v>4</v>
      </c>
      <c r="F817" t="n">
        <v>3.69</v>
      </c>
      <c r="G817" t="n">
        <v>6164.58</v>
      </c>
      <c r="H817" t="n">
        <v>-33.1</v>
      </c>
      <c r="I817" s="7">
        <f>F817*Summary!$B$5</f>
        <v/>
      </c>
      <c r="J817" s="7">
        <f>G817*Summary!$B$5</f>
        <v/>
      </c>
      <c r="K817" s="7">
        <f>H817*Summary!$B$5</f>
        <v/>
      </c>
    </row>
    <row r="818">
      <c r="A818" s="8" t="n">
        <v>45412</v>
      </c>
      <c r="B818" t="inlineStr">
        <is>
          <t>FY24-25</t>
        </is>
      </c>
      <c r="C818" t="inlineStr">
        <is>
          <t>n/a</t>
        </is>
      </c>
      <c r="D818" t="inlineStr"/>
      <c r="E818" t="n">
        <v>0</v>
      </c>
      <c r="F818" t="n">
        <v>16.76</v>
      </c>
      <c r="G818" t="n">
        <v>6181.34</v>
      </c>
      <c r="H818" t="n">
        <v>-16.34</v>
      </c>
      <c r="I818" s="7">
        <f>F818*Summary!$B$5</f>
        <v/>
      </c>
      <c r="J818" s="7">
        <f>G818*Summary!$B$5</f>
        <v/>
      </c>
      <c r="K818" s="7">
        <f>H818*Summary!$B$5</f>
        <v/>
      </c>
    </row>
    <row r="819">
      <c r="A819" s="8" t="n">
        <v>45414</v>
      </c>
      <c r="B819" t="inlineStr">
        <is>
          <t>FY24-25</t>
        </is>
      </c>
      <c r="C819" t="inlineStr">
        <is>
          <t>CW</t>
        </is>
      </c>
      <c r="D819" t="inlineStr">
        <is>
          <t>09:16</t>
        </is>
      </c>
      <c r="E819" t="n">
        <v>1</v>
      </c>
      <c r="F819" t="n">
        <v>57.82</v>
      </c>
      <c r="G819" t="n">
        <v>6239.16</v>
      </c>
      <c r="H819" t="n">
        <v>0</v>
      </c>
      <c r="I819" s="7">
        <f>F819*Summary!$B$5</f>
        <v/>
      </c>
      <c r="J819" s="7">
        <f>G819*Summary!$B$5</f>
        <v/>
      </c>
      <c r="K819" s="7">
        <f>H819*Summary!$B$5</f>
        <v/>
      </c>
    </row>
    <row r="820">
      <c r="A820" s="8" t="n">
        <v>45415</v>
      </c>
      <c r="B820" t="inlineStr">
        <is>
          <t>FY24-25</t>
        </is>
      </c>
      <c r="C820" t="inlineStr"/>
      <c r="D820" t="inlineStr"/>
      <c r="E820" t="n">
        <v>0</v>
      </c>
      <c r="F820" t="n">
        <v>0</v>
      </c>
      <c r="G820" t="n">
        <v>6239.16</v>
      </c>
      <c r="H820" t="n">
        <v>0</v>
      </c>
      <c r="I820" s="7">
        <f>F820*Summary!$B$5</f>
        <v/>
      </c>
      <c r="J820" s="7">
        <f>G820*Summary!$B$5</f>
        <v/>
      </c>
      <c r="K820" s="7">
        <f>H820*Summary!$B$5</f>
        <v/>
      </c>
    </row>
    <row r="821">
      <c r="A821" s="8" t="n">
        <v>45418</v>
      </c>
      <c r="B821" t="inlineStr">
        <is>
          <t>FY24-25</t>
        </is>
      </c>
      <c r="C821" t="inlineStr">
        <is>
          <t>n/a</t>
        </is>
      </c>
      <c r="D821" t="inlineStr"/>
      <c r="E821" t="n">
        <v>0</v>
      </c>
      <c r="F821" t="n">
        <v>-8.42</v>
      </c>
      <c r="G821" t="n">
        <v>6230.75</v>
      </c>
      <c r="H821" t="n">
        <v>-8.42</v>
      </c>
      <c r="I821" s="7">
        <f>F821*Summary!$B$5</f>
        <v/>
      </c>
      <c r="J821" s="7">
        <f>G821*Summary!$B$5</f>
        <v/>
      </c>
      <c r="K821" s="7">
        <f>H821*Summary!$B$5</f>
        <v/>
      </c>
    </row>
    <row r="822">
      <c r="A822" s="8" t="n">
        <v>45419</v>
      </c>
      <c r="B822" t="inlineStr">
        <is>
          <t>FY24-25</t>
        </is>
      </c>
      <c r="C822" t="inlineStr">
        <is>
          <t>CW</t>
        </is>
      </c>
      <c r="D822" t="inlineStr">
        <is>
          <t>09:18</t>
        </is>
      </c>
      <c r="E822" t="n">
        <v>3</v>
      </c>
      <c r="F822" t="n">
        <v>-36.26</v>
      </c>
      <c r="G822" t="n">
        <v>6194.49</v>
      </c>
      <c r="H822" t="n">
        <v>-44.67</v>
      </c>
      <c r="I822" s="7">
        <f>F822*Summary!$B$5</f>
        <v/>
      </c>
      <c r="J822" s="7">
        <f>G822*Summary!$B$5</f>
        <v/>
      </c>
      <c r="K822" s="7">
        <f>H822*Summary!$B$5</f>
        <v/>
      </c>
    </row>
    <row r="823">
      <c r="A823" s="8" t="n">
        <v>45420</v>
      </c>
      <c r="B823" t="inlineStr">
        <is>
          <t>FY24-25</t>
        </is>
      </c>
      <c r="C823" t="inlineStr">
        <is>
          <t>CW</t>
        </is>
      </c>
      <c r="D823" t="inlineStr">
        <is>
          <t>09:18</t>
        </is>
      </c>
      <c r="E823" t="n">
        <v>2</v>
      </c>
      <c r="F823" t="n">
        <v>10.18</v>
      </c>
      <c r="G823" t="n">
        <v>6204.67</v>
      </c>
      <c r="H823" t="n">
        <v>-34.49</v>
      </c>
      <c r="I823" s="7">
        <f>F823*Summary!$B$5</f>
        <v/>
      </c>
      <c r="J823" s="7">
        <f>G823*Summary!$B$5</f>
        <v/>
      </c>
      <c r="K823" s="7">
        <f>H823*Summary!$B$5</f>
        <v/>
      </c>
    </row>
    <row r="824">
      <c r="A824" s="8" t="n">
        <v>45421</v>
      </c>
      <c r="B824" t="inlineStr">
        <is>
          <t>FY24-25</t>
        </is>
      </c>
      <c r="C824" t="inlineStr">
        <is>
          <t>CW</t>
        </is>
      </c>
      <c r="D824" t="inlineStr">
        <is>
          <t>09:16</t>
        </is>
      </c>
      <c r="E824" t="n">
        <v>1</v>
      </c>
      <c r="F824" t="n">
        <v>28.22</v>
      </c>
      <c r="G824" t="n">
        <v>6232.89</v>
      </c>
      <c r="H824" t="n">
        <v>-6.27</v>
      </c>
      <c r="I824" s="7">
        <f>F824*Summary!$B$5</f>
        <v/>
      </c>
      <c r="J824" s="7">
        <f>G824*Summary!$B$5</f>
        <v/>
      </c>
      <c r="K824" s="7">
        <f>H824*Summary!$B$5</f>
        <v/>
      </c>
    </row>
    <row r="825">
      <c r="A825" s="8" t="n">
        <v>45422</v>
      </c>
      <c r="B825" t="inlineStr">
        <is>
          <t>FY24-25</t>
        </is>
      </c>
      <c r="C825" t="inlineStr">
        <is>
          <t>n/a</t>
        </is>
      </c>
      <c r="D825" t="inlineStr"/>
      <c r="E825" t="n">
        <v>0</v>
      </c>
      <c r="F825" t="n">
        <v>38.05</v>
      </c>
      <c r="G825" t="n">
        <v>6270.94</v>
      </c>
      <c r="H825" t="n">
        <v>0</v>
      </c>
      <c r="I825" s="7">
        <f>F825*Summary!$B$5</f>
        <v/>
      </c>
      <c r="J825" s="7">
        <f>G825*Summary!$B$5</f>
        <v/>
      </c>
      <c r="K825" s="7">
        <f>H825*Summary!$B$5</f>
        <v/>
      </c>
    </row>
    <row r="826">
      <c r="A826" s="8" t="n">
        <v>45425</v>
      </c>
      <c r="B826" t="inlineStr">
        <is>
          <t>FY24-25</t>
        </is>
      </c>
      <c r="C826" t="inlineStr">
        <is>
          <t>CW</t>
        </is>
      </c>
      <c r="D826" t="inlineStr">
        <is>
          <t>09:17</t>
        </is>
      </c>
      <c r="E826" t="n">
        <v>4</v>
      </c>
      <c r="F826" t="n">
        <v>4.66</v>
      </c>
      <c r="G826" t="n">
        <v>6275.6</v>
      </c>
      <c r="H826" t="n">
        <v>0</v>
      </c>
      <c r="I826" s="7">
        <f>F826*Summary!$B$5</f>
        <v/>
      </c>
      <c r="J826" s="7">
        <f>G826*Summary!$B$5</f>
        <v/>
      </c>
      <c r="K826" s="7">
        <f>H826*Summary!$B$5</f>
        <v/>
      </c>
    </row>
    <row r="827">
      <c r="A827" s="8" t="n">
        <v>45426</v>
      </c>
      <c r="B827" t="inlineStr">
        <is>
          <t>FY24-25</t>
        </is>
      </c>
      <c r="C827" t="inlineStr">
        <is>
          <t>CW</t>
        </is>
      </c>
      <c r="D827" t="inlineStr">
        <is>
          <t>09:18</t>
        </is>
      </c>
      <c r="E827" t="n">
        <v>3</v>
      </c>
      <c r="F827" t="n">
        <v>12.55</v>
      </c>
      <c r="G827" t="n">
        <v>6288.15</v>
      </c>
      <c r="H827" t="n">
        <v>0</v>
      </c>
      <c r="I827" s="7">
        <f>F827*Summary!$B$5</f>
        <v/>
      </c>
      <c r="J827" s="7">
        <f>G827*Summary!$B$5</f>
        <v/>
      </c>
      <c r="K827" s="7">
        <f>H827*Summary!$B$5</f>
        <v/>
      </c>
    </row>
    <row r="828">
      <c r="A828" s="8" t="n">
        <v>45427</v>
      </c>
      <c r="B828" t="inlineStr">
        <is>
          <t>FY24-25</t>
        </is>
      </c>
      <c r="C828" t="inlineStr">
        <is>
          <t>CW</t>
        </is>
      </c>
      <c r="D828" t="inlineStr">
        <is>
          <t>09:17</t>
        </is>
      </c>
      <c r="E828" t="n">
        <v>2</v>
      </c>
      <c r="F828" t="n">
        <v>10.45</v>
      </c>
      <c r="G828" t="n">
        <v>6298.6</v>
      </c>
      <c r="H828" t="n">
        <v>0</v>
      </c>
      <c r="I828" s="7">
        <f>F828*Summary!$B$5</f>
        <v/>
      </c>
      <c r="J828" s="7">
        <f>G828*Summary!$B$5</f>
        <v/>
      </c>
      <c r="K828" s="7">
        <f>H828*Summary!$B$5</f>
        <v/>
      </c>
    </row>
    <row r="829">
      <c r="A829" s="8" t="n">
        <v>45428</v>
      </c>
      <c r="B829" t="inlineStr">
        <is>
          <t>FY24-25</t>
        </is>
      </c>
      <c r="C829" t="inlineStr">
        <is>
          <t>CW</t>
        </is>
      </c>
      <c r="D829" t="inlineStr">
        <is>
          <t>09:16</t>
        </is>
      </c>
      <c r="E829" t="n">
        <v>1</v>
      </c>
      <c r="F829" t="n">
        <v>-41.32</v>
      </c>
      <c r="G829" t="n">
        <v>6257.28</v>
      </c>
      <c r="H829" t="n">
        <v>-41.32</v>
      </c>
      <c r="I829" s="7">
        <f>F829*Summary!$B$5</f>
        <v/>
      </c>
      <c r="J829" s="7">
        <f>G829*Summary!$B$5</f>
        <v/>
      </c>
      <c r="K829" s="7">
        <f>H829*Summary!$B$5</f>
        <v/>
      </c>
    </row>
    <row r="830">
      <c r="A830" s="8" t="n">
        <v>45429</v>
      </c>
      <c r="B830" t="inlineStr">
        <is>
          <t>FY24-25</t>
        </is>
      </c>
      <c r="C830" t="inlineStr">
        <is>
          <t>CW</t>
        </is>
      </c>
      <c r="D830" t="inlineStr">
        <is>
          <t>09:16</t>
        </is>
      </c>
      <c r="E830" t="n">
        <v>6</v>
      </c>
      <c r="F830" t="n">
        <v>30.33</v>
      </c>
      <c r="G830" t="n">
        <v>6287.61</v>
      </c>
      <c r="H830" t="n">
        <v>-10.99</v>
      </c>
      <c r="I830" s="7">
        <f>F830*Summary!$B$5</f>
        <v/>
      </c>
      <c r="J830" s="7">
        <f>G830*Summary!$B$5</f>
        <v/>
      </c>
      <c r="K830" s="7">
        <f>H830*Summary!$B$5</f>
        <v/>
      </c>
    </row>
    <row r="831">
      <c r="A831" s="8" t="n">
        <v>45430</v>
      </c>
      <c r="B831" t="inlineStr">
        <is>
          <t>FY24-25</t>
        </is>
      </c>
      <c r="C831" t="inlineStr">
        <is>
          <t>CW</t>
        </is>
      </c>
      <c r="D831" t="inlineStr">
        <is>
          <t>09:18</t>
        </is>
      </c>
      <c r="E831" t="n">
        <v>5</v>
      </c>
      <c r="F831" t="n">
        <v>25.74</v>
      </c>
      <c r="G831" t="n">
        <v>6313.35</v>
      </c>
      <c r="H831" t="n">
        <v>0</v>
      </c>
      <c r="I831" s="7">
        <f>F831*Summary!$B$5</f>
        <v/>
      </c>
      <c r="J831" s="7">
        <f>G831*Summary!$B$5</f>
        <v/>
      </c>
      <c r="K831" s="7">
        <f>H831*Summary!$B$5</f>
        <v/>
      </c>
    </row>
    <row r="832">
      <c r="A832" s="8" t="n">
        <v>45433</v>
      </c>
      <c r="B832" t="inlineStr">
        <is>
          <t>FY24-25</t>
        </is>
      </c>
      <c r="C832" t="inlineStr">
        <is>
          <t>CW</t>
        </is>
      </c>
      <c r="D832" t="inlineStr">
        <is>
          <t>09:16</t>
        </is>
      </c>
      <c r="E832" t="n">
        <v>3</v>
      </c>
      <c r="F832" t="n">
        <v>21.32</v>
      </c>
      <c r="G832" t="n">
        <v>6334.67</v>
      </c>
      <c r="H832" t="n">
        <v>0</v>
      </c>
      <c r="I832" s="7">
        <f>F832*Summary!$B$5</f>
        <v/>
      </c>
      <c r="J832" s="7">
        <f>G832*Summary!$B$5</f>
        <v/>
      </c>
      <c r="K832" s="7">
        <f>H832*Summary!$B$5</f>
        <v/>
      </c>
    </row>
    <row r="833">
      <c r="A833" s="8" t="n">
        <v>45434</v>
      </c>
      <c r="B833" t="inlineStr">
        <is>
          <t>FY24-25</t>
        </is>
      </c>
      <c r="C833" t="inlineStr">
        <is>
          <t>CW</t>
        </is>
      </c>
      <c r="D833" t="inlineStr">
        <is>
          <t>09:17</t>
        </is>
      </c>
      <c r="E833" t="n">
        <v>2</v>
      </c>
      <c r="F833" t="n">
        <v>2.22</v>
      </c>
      <c r="G833" t="n">
        <v>6336.89</v>
      </c>
      <c r="H833" t="n">
        <v>0</v>
      </c>
      <c r="I833" s="7">
        <f>F833*Summary!$B$5</f>
        <v/>
      </c>
      <c r="J833" s="7">
        <f>G833*Summary!$B$5</f>
        <v/>
      </c>
      <c r="K833" s="7">
        <f>H833*Summary!$B$5</f>
        <v/>
      </c>
    </row>
    <row r="834">
      <c r="A834" s="8" t="n">
        <v>45435</v>
      </c>
      <c r="B834" t="inlineStr">
        <is>
          <t>FY24-25</t>
        </is>
      </c>
      <c r="C834" t="inlineStr">
        <is>
          <t>CW</t>
        </is>
      </c>
      <c r="D834" t="inlineStr">
        <is>
          <t>09:16</t>
        </is>
      </c>
      <c r="E834" t="n">
        <v>1</v>
      </c>
      <c r="F834" t="n">
        <v>-45.7</v>
      </c>
      <c r="G834" t="n">
        <v>6291.19</v>
      </c>
      <c r="H834" t="n">
        <v>-45.7</v>
      </c>
      <c r="I834" s="7">
        <f>F834*Summary!$B$5</f>
        <v/>
      </c>
      <c r="J834" s="7">
        <f>G834*Summary!$B$5</f>
        <v/>
      </c>
      <c r="K834" s="7">
        <f>H834*Summary!$B$5</f>
        <v/>
      </c>
    </row>
    <row r="835">
      <c r="A835" s="8" t="n">
        <v>45436</v>
      </c>
      <c r="B835" t="inlineStr">
        <is>
          <t>FY24-25</t>
        </is>
      </c>
      <c r="C835" t="inlineStr">
        <is>
          <t>CW</t>
        </is>
      </c>
      <c r="D835" t="inlineStr">
        <is>
          <t>09:16</t>
        </is>
      </c>
      <c r="E835" t="n">
        <v>6</v>
      </c>
      <c r="F835" t="n">
        <v>21.1</v>
      </c>
      <c r="G835" t="n">
        <v>6312.29</v>
      </c>
      <c r="H835" t="n">
        <v>-24.6</v>
      </c>
      <c r="I835" s="7">
        <f>F835*Summary!$B$5</f>
        <v/>
      </c>
      <c r="J835" s="7">
        <f>G835*Summary!$B$5</f>
        <v/>
      </c>
      <c r="K835" s="7">
        <f>H835*Summary!$B$5</f>
        <v/>
      </c>
    </row>
    <row r="836">
      <c r="A836" s="8" t="n">
        <v>45439</v>
      </c>
      <c r="B836" t="inlineStr">
        <is>
          <t>FY24-25</t>
        </is>
      </c>
      <c r="C836" t="inlineStr">
        <is>
          <t>CW</t>
        </is>
      </c>
      <c r="D836" t="inlineStr">
        <is>
          <t>09:18</t>
        </is>
      </c>
      <c r="E836" t="n">
        <v>4</v>
      </c>
      <c r="F836" t="n">
        <v>-10.18</v>
      </c>
      <c r="G836" t="n">
        <v>6302.11</v>
      </c>
      <c r="H836" t="n">
        <v>-34.77</v>
      </c>
      <c r="I836" s="7">
        <f>F836*Summary!$B$5</f>
        <v/>
      </c>
      <c r="J836" s="7">
        <f>G836*Summary!$B$5</f>
        <v/>
      </c>
      <c r="K836" s="7">
        <f>H836*Summary!$B$5</f>
        <v/>
      </c>
    </row>
    <row r="837">
      <c r="A837" s="8" t="n">
        <v>45440</v>
      </c>
      <c r="B837" t="inlineStr">
        <is>
          <t>FY24-25</t>
        </is>
      </c>
      <c r="C837" t="inlineStr">
        <is>
          <t>CW</t>
        </is>
      </c>
      <c r="D837" t="inlineStr">
        <is>
          <t>09:17</t>
        </is>
      </c>
      <c r="E837" t="n">
        <v>3</v>
      </c>
      <c r="F837" t="n">
        <v>35.37</v>
      </c>
      <c r="G837" t="n">
        <v>6337.48</v>
      </c>
      <c r="H837" t="n">
        <v>0</v>
      </c>
      <c r="I837" s="7">
        <f>F837*Summary!$B$5</f>
        <v/>
      </c>
      <c r="J837" s="7">
        <f>G837*Summary!$B$5</f>
        <v/>
      </c>
      <c r="K837" s="7">
        <f>H837*Summary!$B$5</f>
        <v/>
      </c>
    </row>
    <row r="838">
      <c r="A838" s="8" t="n">
        <v>45441</v>
      </c>
      <c r="B838" t="inlineStr">
        <is>
          <t>FY24-25</t>
        </is>
      </c>
      <c r="C838" t="inlineStr">
        <is>
          <t>CW</t>
        </is>
      </c>
      <c r="D838" t="inlineStr">
        <is>
          <t>09:16</t>
        </is>
      </c>
      <c r="E838" t="n">
        <v>2</v>
      </c>
      <c r="F838" t="n">
        <v>22.47</v>
      </c>
      <c r="G838" t="n">
        <v>6359.95</v>
      </c>
      <c r="H838" t="n">
        <v>0</v>
      </c>
      <c r="I838" s="7">
        <f>F838*Summary!$B$5</f>
        <v/>
      </c>
      <c r="J838" s="7">
        <f>G838*Summary!$B$5</f>
        <v/>
      </c>
      <c r="K838" s="7">
        <f>H838*Summary!$B$5</f>
        <v/>
      </c>
    </row>
    <row r="839">
      <c r="A839" s="8" t="n">
        <v>45442</v>
      </c>
      <c r="B839" t="inlineStr">
        <is>
          <t>FY24-25</t>
        </is>
      </c>
      <c r="C839" t="inlineStr">
        <is>
          <t>CW</t>
        </is>
      </c>
      <c r="D839" t="inlineStr">
        <is>
          <t>09:17</t>
        </is>
      </c>
      <c r="E839" t="n">
        <v>1</v>
      </c>
      <c r="F839" t="n">
        <v>59.92</v>
      </c>
      <c r="G839" t="n">
        <v>6419.86</v>
      </c>
      <c r="H839" t="n">
        <v>0</v>
      </c>
      <c r="I839" s="7">
        <f>F839*Summary!$B$5</f>
        <v/>
      </c>
      <c r="J839" s="7">
        <f>G839*Summary!$B$5</f>
        <v/>
      </c>
      <c r="K839" s="7">
        <f>H839*Summary!$B$5</f>
        <v/>
      </c>
    </row>
    <row r="840">
      <c r="A840" s="8" t="n">
        <v>45443</v>
      </c>
      <c r="B840" t="inlineStr">
        <is>
          <t>FY24-25</t>
        </is>
      </c>
      <c r="C840" t="inlineStr">
        <is>
          <t>CW</t>
        </is>
      </c>
      <c r="D840" t="inlineStr">
        <is>
          <t>09:16</t>
        </is>
      </c>
      <c r="E840" t="n">
        <v>6</v>
      </c>
      <c r="F840" t="n">
        <v>53.19</v>
      </c>
      <c r="G840" t="n">
        <v>6473.06</v>
      </c>
      <c r="H840" t="n">
        <v>0</v>
      </c>
      <c r="I840" s="7">
        <f>F840*Summary!$B$5</f>
        <v/>
      </c>
      <c r="J840" s="7">
        <f>G840*Summary!$B$5</f>
        <v/>
      </c>
      <c r="K840" s="7">
        <f>H840*Summary!$B$5</f>
        <v/>
      </c>
    </row>
    <row r="841">
      <c r="A841" s="8" t="n">
        <v>45446</v>
      </c>
      <c r="B841" t="inlineStr">
        <is>
          <t>FY24-25</t>
        </is>
      </c>
      <c r="C841" t="inlineStr"/>
      <c r="D841" t="inlineStr"/>
      <c r="E841" t="n">
        <v>0</v>
      </c>
      <c r="F841" t="n">
        <v>0</v>
      </c>
      <c r="G841" t="n">
        <v>6473.06</v>
      </c>
      <c r="H841" t="n">
        <v>0</v>
      </c>
      <c r="I841" s="7">
        <f>F841*Summary!$B$5</f>
        <v/>
      </c>
      <c r="J841" s="7">
        <f>G841*Summary!$B$5</f>
        <v/>
      </c>
      <c r="K841" s="7">
        <f>H841*Summary!$B$5</f>
        <v/>
      </c>
    </row>
    <row r="842">
      <c r="A842" s="8" t="n">
        <v>45447</v>
      </c>
      <c r="B842" t="inlineStr">
        <is>
          <t>FY24-25</t>
        </is>
      </c>
      <c r="C842" t="inlineStr">
        <is>
          <t>CW</t>
        </is>
      </c>
      <c r="D842" t="inlineStr">
        <is>
          <t>09:18</t>
        </is>
      </c>
      <c r="E842" t="n">
        <v>3</v>
      </c>
      <c r="F842" t="n">
        <v>-25.11</v>
      </c>
      <c r="G842" t="n">
        <v>6447.94</v>
      </c>
      <c r="H842" t="n">
        <v>-25.11</v>
      </c>
      <c r="I842" s="7">
        <f>F842*Summary!$B$5</f>
        <v/>
      </c>
      <c r="J842" s="7">
        <f>G842*Summary!$B$5</f>
        <v/>
      </c>
      <c r="K842" s="7">
        <f>H842*Summary!$B$5</f>
        <v/>
      </c>
    </row>
    <row r="843">
      <c r="A843" s="8" t="n">
        <v>45448</v>
      </c>
      <c r="B843" t="inlineStr">
        <is>
          <t>FY24-25</t>
        </is>
      </c>
      <c r="C843" t="inlineStr"/>
      <c r="D843" t="inlineStr"/>
      <c r="E843" t="n">
        <v>0</v>
      </c>
      <c r="F843" t="n">
        <v>0</v>
      </c>
      <c r="G843" t="n">
        <v>6447.94</v>
      </c>
      <c r="H843" t="n">
        <v>-25.11</v>
      </c>
      <c r="I843" s="7">
        <f>F843*Summary!$B$5</f>
        <v/>
      </c>
      <c r="J843" s="7">
        <f>G843*Summary!$B$5</f>
        <v/>
      </c>
      <c r="K843" s="7">
        <f>H843*Summary!$B$5</f>
        <v/>
      </c>
    </row>
    <row r="844">
      <c r="A844" s="8" t="n">
        <v>45449</v>
      </c>
      <c r="B844" t="inlineStr">
        <is>
          <t>FY24-25</t>
        </is>
      </c>
      <c r="C844" t="inlineStr">
        <is>
          <t>CW</t>
        </is>
      </c>
      <c r="D844" t="inlineStr">
        <is>
          <t>09:17</t>
        </is>
      </c>
      <c r="E844" t="n">
        <v>1</v>
      </c>
      <c r="F844" t="n">
        <v>87.40000000000001</v>
      </c>
      <c r="G844" t="n">
        <v>6535.34</v>
      </c>
      <c r="H844" t="n">
        <v>0</v>
      </c>
      <c r="I844" s="7">
        <f>F844*Summary!$B$5</f>
        <v/>
      </c>
      <c r="J844" s="7">
        <f>G844*Summary!$B$5</f>
        <v/>
      </c>
      <c r="K844" s="7">
        <f>H844*Summary!$B$5</f>
        <v/>
      </c>
    </row>
    <row r="845">
      <c r="A845" s="8" t="n">
        <v>45450</v>
      </c>
      <c r="B845" t="inlineStr">
        <is>
          <t>FY24-25</t>
        </is>
      </c>
      <c r="C845" t="inlineStr">
        <is>
          <t>n/a</t>
        </is>
      </c>
      <c r="D845" t="inlineStr"/>
      <c r="E845" t="n">
        <v>0</v>
      </c>
      <c r="F845" t="n">
        <v>-40.48</v>
      </c>
      <c r="G845" t="n">
        <v>6494.86</v>
      </c>
      <c r="H845" t="n">
        <v>-40.48</v>
      </c>
      <c r="I845" s="7">
        <f>F845*Summary!$B$5</f>
        <v/>
      </c>
      <c r="J845" s="7">
        <f>G845*Summary!$B$5</f>
        <v/>
      </c>
      <c r="K845" s="7">
        <f>H845*Summary!$B$5</f>
        <v/>
      </c>
    </row>
    <row r="846">
      <c r="A846" s="8" t="n">
        <v>45453</v>
      </c>
      <c r="B846" t="inlineStr">
        <is>
          <t>FY24-25</t>
        </is>
      </c>
      <c r="C846" t="inlineStr">
        <is>
          <t>CW</t>
        </is>
      </c>
      <c r="D846" t="inlineStr">
        <is>
          <t>09:16</t>
        </is>
      </c>
      <c r="E846" t="n">
        <v>4</v>
      </c>
      <c r="F846" t="n">
        <v>53.44</v>
      </c>
      <c r="G846" t="n">
        <v>6548.3</v>
      </c>
      <c r="H846" t="n">
        <v>0</v>
      </c>
      <c r="I846" s="7">
        <f>F846*Summary!$B$5</f>
        <v/>
      </c>
      <c r="J846" s="7">
        <f>G846*Summary!$B$5</f>
        <v/>
      </c>
      <c r="K846" s="7">
        <f>H846*Summary!$B$5</f>
        <v/>
      </c>
    </row>
    <row r="847">
      <c r="A847" s="8" t="n">
        <v>45454</v>
      </c>
      <c r="B847" t="inlineStr">
        <is>
          <t>FY24-25</t>
        </is>
      </c>
      <c r="C847" t="inlineStr">
        <is>
          <t>CW</t>
        </is>
      </c>
      <c r="D847" t="inlineStr">
        <is>
          <t>09:17</t>
        </is>
      </c>
      <c r="E847" t="n">
        <v>3</v>
      </c>
      <c r="F847" t="n">
        <v>59.94</v>
      </c>
      <c r="G847" t="n">
        <v>6608.24</v>
      </c>
      <c r="H847" t="n">
        <v>0</v>
      </c>
      <c r="I847" s="7">
        <f>F847*Summary!$B$5</f>
        <v/>
      </c>
      <c r="J847" s="7">
        <f>G847*Summary!$B$5</f>
        <v/>
      </c>
      <c r="K847" s="7">
        <f>H847*Summary!$B$5</f>
        <v/>
      </c>
    </row>
    <row r="848">
      <c r="A848" s="8" t="n">
        <v>45455</v>
      </c>
      <c r="B848" t="inlineStr">
        <is>
          <t>FY24-25</t>
        </is>
      </c>
      <c r="C848" t="inlineStr">
        <is>
          <t>CW</t>
        </is>
      </c>
      <c r="D848" t="inlineStr">
        <is>
          <t>09:17</t>
        </is>
      </c>
      <c r="E848" t="n">
        <v>2</v>
      </c>
      <c r="F848" t="n">
        <v>5.95</v>
      </c>
      <c r="G848" t="n">
        <v>6614.18</v>
      </c>
      <c r="H848" t="n">
        <v>0</v>
      </c>
      <c r="I848" s="7">
        <f>F848*Summary!$B$5</f>
        <v/>
      </c>
      <c r="J848" s="7">
        <f>G848*Summary!$B$5</f>
        <v/>
      </c>
      <c r="K848" s="7">
        <f>H848*Summary!$B$5</f>
        <v/>
      </c>
    </row>
    <row r="849">
      <c r="A849" s="8" t="n">
        <v>45456</v>
      </c>
      <c r="B849" t="inlineStr">
        <is>
          <t>FY24-25</t>
        </is>
      </c>
      <c r="C849" t="inlineStr">
        <is>
          <t>CW</t>
        </is>
      </c>
      <c r="D849" t="inlineStr">
        <is>
          <t>09:16</t>
        </is>
      </c>
      <c r="E849" t="n">
        <v>1</v>
      </c>
      <c r="F849" t="n">
        <v>53.81</v>
      </c>
      <c r="G849" t="n">
        <v>6667.99</v>
      </c>
      <c r="H849" t="n">
        <v>0</v>
      </c>
      <c r="I849" s="7">
        <f>F849*Summary!$B$5</f>
        <v/>
      </c>
      <c r="J849" s="7">
        <f>G849*Summary!$B$5</f>
        <v/>
      </c>
      <c r="K849" s="7">
        <f>H849*Summary!$B$5</f>
        <v/>
      </c>
    </row>
    <row r="850">
      <c r="A850" s="8" t="n">
        <v>45457</v>
      </c>
      <c r="B850" t="inlineStr">
        <is>
          <t>FY24-25</t>
        </is>
      </c>
      <c r="C850" t="inlineStr"/>
      <c r="D850" t="inlineStr"/>
      <c r="E850" t="n">
        <v>0</v>
      </c>
      <c r="F850" t="n">
        <v>0</v>
      </c>
      <c r="G850" t="n">
        <v>6667.99</v>
      </c>
      <c r="H850" t="n">
        <v>0</v>
      </c>
      <c r="I850" s="7">
        <f>F850*Summary!$B$5</f>
        <v/>
      </c>
      <c r="J850" s="7">
        <f>G850*Summary!$B$5</f>
        <v/>
      </c>
      <c r="K850" s="7">
        <f>H850*Summary!$B$5</f>
        <v/>
      </c>
    </row>
    <row r="851">
      <c r="A851" s="8" t="n">
        <v>45461</v>
      </c>
      <c r="B851" t="inlineStr">
        <is>
          <t>FY24-25</t>
        </is>
      </c>
      <c r="C851" t="inlineStr">
        <is>
          <t>CW</t>
        </is>
      </c>
      <c r="D851" t="inlineStr">
        <is>
          <t>09:18</t>
        </is>
      </c>
      <c r="E851" t="n">
        <v>3</v>
      </c>
      <c r="F851" t="n">
        <v>12.73</v>
      </c>
      <c r="G851" t="n">
        <v>6680.72</v>
      </c>
      <c r="H851" t="n">
        <v>0</v>
      </c>
      <c r="I851" s="7">
        <f>F851*Summary!$B$5</f>
        <v/>
      </c>
      <c r="J851" s="7">
        <f>G851*Summary!$B$5</f>
        <v/>
      </c>
      <c r="K851" s="7">
        <f>H851*Summary!$B$5</f>
        <v/>
      </c>
    </row>
    <row r="852">
      <c r="A852" s="8" t="n">
        <v>45462</v>
      </c>
      <c r="B852" t="inlineStr">
        <is>
          <t>FY24-25</t>
        </is>
      </c>
      <c r="C852" t="inlineStr"/>
      <c r="D852" t="inlineStr"/>
      <c r="E852" t="n">
        <v>0</v>
      </c>
      <c r="F852" t="n">
        <v>0</v>
      </c>
      <c r="G852" t="n">
        <v>6680.72</v>
      </c>
      <c r="H852" t="n">
        <v>0</v>
      </c>
      <c r="I852" s="7">
        <f>F852*Summary!$B$5</f>
        <v/>
      </c>
      <c r="J852" s="7">
        <f>G852*Summary!$B$5</f>
        <v/>
      </c>
      <c r="K852" s="7">
        <f>H852*Summary!$B$5</f>
        <v/>
      </c>
    </row>
    <row r="853">
      <c r="A853" s="8" t="n">
        <v>45463</v>
      </c>
      <c r="B853" t="inlineStr">
        <is>
          <t>FY24-25</t>
        </is>
      </c>
      <c r="C853" t="inlineStr">
        <is>
          <t>CW</t>
        </is>
      </c>
      <c r="D853" t="inlineStr">
        <is>
          <t>09:17</t>
        </is>
      </c>
      <c r="E853" t="n">
        <v>1</v>
      </c>
      <c r="F853" t="n">
        <v>-49.12</v>
      </c>
      <c r="G853" t="n">
        <v>6631.6</v>
      </c>
      <c r="H853" t="n">
        <v>-49.12</v>
      </c>
      <c r="I853" s="7">
        <f>F853*Summary!$B$5</f>
        <v/>
      </c>
      <c r="J853" s="7">
        <f>G853*Summary!$B$5</f>
        <v/>
      </c>
      <c r="K853" s="7">
        <f>H853*Summary!$B$5</f>
        <v/>
      </c>
    </row>
    <row r="854">
      <c r="A854" s="8" t="n">
        <v>45464</v>
      </c>
      <c r="B854" t="inlineStr">
        <is>
          <t>FY24-25</t>
        </is>
      </c>
      <c r="C854" t="inlineStr">
        <is>
          <t>CW</t>
        </is>
      </c>
      <c r="D854" t="inlineStr">
        <is>
          <t>09:18</t>
        </is>
      </c>
      <c r="E854" t="n">
        <v>6</v>
      </c>
      <c r="F854" t="n">
        <v>-10.74</v>
      </c>
      <c r="G854" t="n">
        <v>6620.86</v>
      </c>
      <c r="H854" t="n">
        <v>-59.87</v>
      </c>
      <c r="I854" s="7">
        <f>F854*Summary!$B$5</f>
        <v/>
      </c>
      <c r="J854" s="7">
        <f>G854*Summary!$B$5</f>
        <v/>
      </c>
      <c r="K854" s="7">
        <f>H854*Summary!$B$5</f>
        <v/>
      </c>
    </row>
    <row r="855">
      <c r="A855" s="8" t="n">
        <v>45467</v>
      </c>
      <c r="B855" t="inlineStr">
        <is>
          <t>FY24-25</t>
        </is>
      </c>
      <c r="C855" t="inlineStr">
        <is>
          <t>CW</t>
        </is>
      </c>
      <c r="D855" t="inlineStr">
        <is>
          <t>09:18</t>
        </is>
      </c>
      <c r="E855" t="n">
        <v>4</v>
      </c>
      <c r="F855" t="n">
        <v>-4.6</v>
      </c>
      <c r="G855" t="n">
        <v>6616.26</v>
      </c>
      <c r="H855" t="n">
        <v>-64.45999999999999</v>
      </c>
      <c r="I855" s="7">
        <f>F855*Summary!$B$5</f>
        <v/>
      </c>
      <c r="J855" s="7">
        <f>G855*Summary!$B$5</f>
        <v/>
      </c>
      <c r="K855" s="7">
        <f>H855*Summary!$B$5</f>
        <v/>
      </c>
    </row>
    <row r="856">
      <c r="A856" s="8" t="n">
        <v>45468</v>
      </c>
      <c r="B856" t="inlineStr">
        <is>
          <t>FY24-25</t>
        </is>
      </c>
      <c r="C856" t="inlineStr">
        <is>
          <t>CW</t>
        </is>
      </c>
      <c r="D856" t="inlineStr">
        <is>
          <t>09:18</t>
        </is>
      </c>
      <c r="E856" t="n">
        <v>3</v>
      </c>
      <c r="F856" t="n">
        <v>-6.37</v>
      </c>
      <c r="G856" t="n">
        <v>6609.89</v>
      </c>
      <c r="H856" t="n">
        <v>-70.84</v>
      </c>
      <c r="I856" s="7">
        <f>F856*Summary!$B$5</f>
        <v/>
      </c>
      <c r="J856" s="7">
        <f>G856*Summary!$B$5</f>
        <v/>
      </c>
      <c r="K856" s="7">
        <f>H856*Summary!$B$5</f>
        <v/>
      </c>
    </row>
    <row r="857">
      <c r="A857" s="8" t="n">
        <v>45469</v>
      </c>
      <c r="B857" t="inlineStr">
        <is>
          <t>FY24-25</t>
        </is>
      </c>
      <c r="C857" t="inlineStr">
        <is>
          <t>CW</t>
        </is>
      </c>
      <c r="D857" t="inlineStr">
        <is>
          <t>09:16</t>
        </is>
      </c>
      <c r="E857" t="n">
        <v>2</v>
      </c>
      <c r="F857" t="n">
        <v>20.48</v>
      </c>
      <c r="G857" t="n">
        <v>6630.37</v>
      </c>
      <c r="H857" t="n">
        <v>-50.36</v>
      </c>
      <c r="I857" s="7">
        <f>F857*Summary!$B$5</f>
        <v/>
      </c>
      <c r="J857" s="7">
        <f>G857*Summary!$B$5</f>
        <v/>
      </c>
      <c r="K857" s="7">
        <f>H857*Summary!$B$5</f>
        <v/>
      </c>
    </row>
    <row r="858">
      <c r="A858" s="8" t="n">
        <v>45470</v>
      </c>
      <c r="B858" t="inlineStr">
        <is>
          <t>FY24-25</t>
        </is>
      </c>
      <c r="C858" t="inlineStr">
        <is>
          <t>CW</t>
        </is>
      </c>
      <c r="D858" t="inlineStr">
        <is>
          <t>09:16</t>
        </is>
      </c>
      <c r="E858" t="n">
        <v>1</v>
      </c>
      <c r="F858" t="n">
        <v>5.17</v>
      </c>
      <c r="G858" t="n">
        <v>6635.54</v>
      </c>
      <c r="H858" t="n">
        <v>-45.19</v>
      </c>
      <c r="I858" s="7">
        <f>F858*Summary!$B$5</f>
        <v/>
      </c>
      <c r="J858" s="7">
        <f>G858*Summary!$B$5</f>
        <v/>
      </c>
      <c r="K858" s="7">
        <f>H858*Summary!$B$5</f>
        <v/>
      </c>
    </row>
    <row r="859">
      <c r="A859" s="8" t="n">
        <v>45471</v>
      </c>
      <c r="B859" t="inlineStr">
        <is>
          <t>FY24-25</t>
        </is>
      </c>
      <c r="C859" t="inlineStr">
        <is>
          <t>CW</t>
        </is>
      </c>
      <c r="D859" t="inlineStr">
        <is>
          <t>09:16</t>
        </is>
      </c>
      <c r="E859" t="n">
        <v>6</v>
      </c>
      <c r="F859" t="n">
        <v>19.09</v>
      </c>
      <c r="G859" t="n">
        <v>6654.62</v>
      </c>
      <c r="H859" t="n">
        <v>-26.1</v>
      </c>
      <c r="I859" s="7">
        <f>F859*Summary!$B$5</f>
        <v/>
      </c>
      <c r="J859" s="7">
        <f>G859*Summary!$B$5</f>
        <v/>
      </c>
      <c r="K859" s="7">
        <f>H859*Summary!$B$5</f>
        <v/>
      </c>
    </row>
    <row r="860">
      <c r="A860" s="8" t="n">
        <v>45474</v>
      </c>
      <c r="B860" t="inlineStr">
        <is>
          <t>FY24-25</t>
        </is>
      </c>
      <c r="C860" t="inlineStr">
        <is>
          <t>CW</t>
        </is>
      </c>
      <c r="D860" t="inlineStr">
        <is>
          <t>09:18</t>
        </is>
      </c>
      <c r="E860" t="n">
        <v>4</v>
      </c>
      <c r="F860" t="n">
        <v>16.61</v>
      </c>
      <c r="G860" t="n">
        <v>6671.23</v>
      </c>
      <c r="H860" t="n">
        <v>-9.49</v>
      </c>
      <c r="I860" s="7">
        <f>F860*Summary!$B$5</f>
        <v/>
      </c>
      <c r="J860" s="7">
        <f>G860*Summary!$B$5</f>
        <v/>
      </c>
      <c r="K860" s="7">
        <f>H860*Summary!$B$5</f>
        <v/>
      </c>
    </row>
    <row r="861">
      <c r="A861" s="8" t="n">
        <v>45475</v>
      </c>
      <c r="B861" t="inlineStr">
        <is>
          <t>FY24-25</t>
        </is>
      </c>
      <c r="C861" t="inlineStr">
        <is>
          <t>CW</t>
        </is>
      </c>
      <c r="D861" t="inlineStr">
        <is>
          <t>09:18</t>
        </is>
      </c>
      <c r="E861" t="n">
        <v>3</v>
      </c>
      <c r="F861" t="n">
        <v>-9.43</v>
      </c>
      <c r="G861" t="n">
        <v>6661.8</v>
      </c>
      <c r="H861" t="n">
        <v>-18.92</v>
      </c>
      <c r="I861" s="7">
        <f>F861*Summary!$B$5</f>
        <v/>
      </c>
      <c r="J861" s="7">
        <f>G861*Summary!$B$5</f>
        <v/>
      </c>
      <c r="K861" s="7">
        <f>H861*Summary!$B$5</f>
        <v/>
      </c>
    </row>
    <row r="862">
      <c r="A862" s="8" t="n">
        <v>45476</v>
      </c>
      <c r="B862" t="inlineStr">
        <is>
          <t>FY24-25</t>
        </is>
      </c>
      <c r="C862" t="inlineStr">
        <is>
          <t>NW</t>
        </is>
      </c>
      <c r="D862" t="inlineStr"/>
      <c r="E862" t="n">
        <v>2</v>
      </c>
      <c r="F862" t="n">
        <v>18.24</v>
      </c>
      <c r="G862" t="n">
        <v>6680.04</v>
      </c>
      <c r="H862" t="n">
        <v>-0.68</v>
      </c>
      <c r="I862" s="7">
        <f>F862*Summary!$B$5</f>
        <v/>
      </c>
      <c r="J862" s="7">
        <f>G862*Summary!$B$5</f>
        <v/>
      </c>
      <c r="K862" s="7">
        <f>H862*Summary!$B$5</f>
        <v/>
      </c>
    </row>
    <row r="863">
      <c r="A863" s="8" t="n">
        <v>45477</v>
      </c>
      <c r="B863" t="inlineStr">
        <is>
          <t>FY24-25</t>
        </is>
      </c>
      <c r="C863" t="inlineStr">
        <is>
          <t>CW</t>
        </is>
      </c>
      <c r="D863" t="inlineStr">
        <is>
          <t>09:16</t>
        </is>
      </c>
      <c r="E863" t="n">
        <v>1</v>
      </c>
      <c r="F863" t="n">
        <v>50.35</v>
      </c>
      <c r="G863" t="n">
        <v>6730.39</v>
      </c>
      <c r="H863" t="n">
        <v>0</v>
      </c>
      <c r="I863" s="7">
        <f>F863*Summary!$B$5</f>
        <v/>
      </c>
      <c r="J863" s="7">
        <f>G863*Summary!$B$5</f>
        <v/>
      </c>
      <c r="K863" s="7">
        <f>H863*Summary!$B$5</f>
        <v/>
      </c>
    </row>
    <row r="864">
      <c r="A864" s="8" t="n">
        <v>45483</v>
      </c>
      <c r="B864" t="inlineStr">
        <is>
          <t>FY24-25</t>
        </is>
      </c>
      <c r="C864" t="inlineStr">
        <is>
          <t>CW</t>
        </is>
      </c>
      <c r="D864" t="inlineStr">
        <is>
          <t>09:17</t>
        </is>
      </c>
      <c r="E864" t="n">
        <v>2</v>
      </c>
      <c r="F864" t="n">
        <v>-35.06</v>
      </c>
      <c r="G864" t="n">
        <v>6695.32</v>
      </c>
      <c r="H864" t="n">
        <v>-35.06</v>
      </c>
      <c r="I864" s="7">
        <f>F864*Summary!$B$5</f>
        <v/>
      </c>
      <c r="J864" s="7">
        <f>G864*Summary!$B$5</f>
        <v/>
      </c>
      <c r="K864" s="7">
        <f>H864*Summary!$B$5</f>
        <v/>
      </c>
    </row>
    <row r="865">
      <c r="A865" s="8" t="n">
        <v>45484</v>
      </c>
      <c r="B865" t="inlineStr">
        <is>
          <t>FY24-25</t>
        </is>
      </c>
      <c r="C865" t="inlineStr"/>
      <c r="D865" t="inlineStr"/>
      <c r="E865" t="n">
        <v>0</v>
      </c>
      <c r="F865" t="n">
        <v>0</v>
      </c>
      <c r="G865" t="n">
        <v>6695.32</v>
      </c>
      <c r="H865" t="n">
        <v>-35.06</v>
      </c>
      <c r="I865" s="7">
        <f>F865*Summary!$B$5</f>
        <v/>
      </c>
      <c r="J865" s="7">
        <f>G865*Summary!$B$5</f>
        <v/>
      </c>
      <c r="K865" s="7">
        <f>H865*Summary!$B$5</f>
        <v/>
      </c>
    </row>
    <row r="866">
      <c r="A866" s="8" t="n">
        <v>45485</v>
      </c>
      <c r="B866" t="inlineStr">
        <is>
          <t>FY24-25</t>
        </is>
      </c>
      <c r="C866" t="inlineStr"/>
      <c r="D866" t="inlineStr"/>
      <c r="E866" t="n">
        <v>0</v>
      </c>
      <c r="F866" t="n">
        <v>0</v>
      </c>
      <c r="G866" t="n">
        <v>6695.32</v>
      </c>
      <c r="H866" t="n">
        <v>-35.06</v>
      </c>
      <c r="I866" s="7">
        <f>F866*Summary!$B$5</f>
        <v/>
      </c>
      <c r="J866" s="7">
        <f>G866*Summary!$B$5</f>
        <v/>
      </c>
      <c r="K866" s="7">
        <f>H866*Summary!$B$5</f>
        <v/>
      </c>
    </row>
    <row r="867">
      <c r="A867" s="8" t="n">
        <v>45488</v>
      </c>
      <c r="B867" t="inlineStr">
        <is>
          <t>FY24-25</t>
        </is>
      </c>
      <c r="C867" t="inlineStr">
        <is>
          <t>CW</t>
        </is>
      </c>
      <c r="D867" t="inlineStr">
        <is>
          <t>09:18</t>
        </is>
      </c>
      <c r="E867" t="n">
        <v>4</v>
      </c>
      <c r="F867" t="n">
        <v>19.09</v>
      </c>
      <c r="G867" t="n">
        <v>6714.42</v>
      </c>
      <c r="H867" t="n">
        <v>-15.97</v>
      </c>
      <c r="I867" s="7">
        <f>F867*Summary!$B$5</f>
        <v/>
      </c>
      <c r="J867" s="7">
        <f>G867*Summary!$B$5</f>
        <v/>
      </c>
      <c r="K867" s="7">
        <f>H867*Summary!$B$5</f>
        <v/>
      </c>
    </row>
    <row r="868">
      <c r="A868" s="8" t="n">
        <v>45489</v>
      </c>
      <c r="B868" t="inlineStr">
        <is>
          <t>FY24-25</t>
        </is>
      </c>
      <c r="C868" t="inlineStr">
        <is>
          <t>CW</t>
        </is>
      </c>
      <c r="D868" t="inlineStr">
        <is>
          <t>09:18</t>
        </is>
      </c>
      <c r="E868" t="n">
        <v>3</v>
      </c>
      <c r="F868" t="n">
        <v>38.77</v>
      </c>
      <c r="G868" t="n">
        <v>6753.18</v>
      </c>
      <c r="H868" t="n">
        <v>0</v>
      </c>
      <c r="I868" s="7">
        <f>F868*Summary!$B$5</f>
        <v/>
      </c>
      <c r="J868" s="7">
        <f>G868*Summary!$B$5</f>
        <v/>
      </c>
      <c r="K868" s="7">
        <f>H868*Summary!$B$5</f>
        <v/>
      </c>
    </row>
    <row r="869">
      <c r="A869" s="8" t="n">
        <v>45491</v>
      </c>
      <c r="B869" t="inlineStr">
        <is>
          <t>FY24-25</t>
        </is>
      </c>
      <c r="C869" t="inlineStr"/>
      <c r="D869" t="inlineStr"/>
      <c r="E869" t="n">
        <v>0</v>
      </c>
      <c r="F869" t="n">
        <v>0</v>
      </c>
      <c r="G869" t="n">
        <v>6753.18</v>
      </c>
      <c r="H869" t="n">
        <v>0</v>
      </c>
      <c r="I869" s="7">
        <f>F869*Summary!$B$5</f>
        <v/>
      </c>
      <c r="J869" s="7">
        <f>G869*Summary!$B$5</f>
        <v/>
      </c>
      <c r="K869" s="7">
        <f>H869*Summary!$B$5</f>
        <v/>
      </c>
    </row>
    <row r="870">
      <c r="A870" s="8" t="n">
        <v>45492</v>
      </c>
      <c r="B870" t="inlineStr">
        <is>
          <t>FY24-25</t>
        </is>
      </c>
      <c r="C870" t="inlineStr">
        <is>
          <t>CW</t>
        </is>
      </c>
      <c r="D870" t="inlineStr">
        <is>
          <t>09:18</t>
        </is>
      </c>
      <c r="E870" t="n">
        <v>6</v>
      </c>
      <c r="F870" t="n">
        <v>-30.81</v>
      </c>
      <c r="G870" t="n">
        <v>6722.38</v>
      </c>
      <c r="H870" t="n">
        <v>-30.81</v>
      </c>
      <c r="I870" s="7">
        <f>F870*Summary!$B$5</f>
        <v/>
      </c>
      <c r="J870" s="7">
        <f>G870*Summary!$B$5</f>
        <v/>
      </c>
      <c r="K870" s="7">
        <f>H870*Summary!$B$5</f>
        <v/>
      </c>
    </row>
    <row r="871">
      <c r="A871" s="8" t="n">
        <v>45495</v>
      </c>
      <c r="B871" t="inlineStr">
        <is>
          <t>FY24-25</t>
        </is>
      </c>
      <c r="C871" t="inlineStr">
        <is>
          <t>CW</t>
        </is>
      </c>
      <c r="D871" t="inlineStr">
        <is>
          <t>09:16</t>
        </is>
      </c>
      <c r="E871" t="n">
        <v>4</v>
      </c>
      <c r="F871" t="n">
        <v>12.38</v>
      </c>
      <c r="G871" t="n">
        <v>6734.75</v>
      </c>
      <c r="H871" t="n">
        <v>-18.43</v>
      </c>
      <c r="I871" s="7">
        <f>F871*Summary!$B$5</f>
        <v/>
      </c>
      <c r="J871" s="7">
        <f>G871*Summary!$B$5</f>
        <v/>
      </c>
      <c r="K871" s="7">
        <f>H871*Summary!$B$5</f>
        <v/>
      </c>
    </row>
    <row r="872">
      <c r="A872" s="8" t="n">
        <v>45496</v>
      </c>
      <c r="B872" t="inlineStr">
        <is>
          <t>FY24-25</t>
        </is>
      </c>
      <c r="C872" t="inlineStr">
        <is>
          <t>CW</t>
        </is>
      </c>
      <c r="D872" t="inlineStr">
        <is>
          <t>09:18</t>
        </is>
      </c>
      <c r="E872" t="n">
        <v>3</v>
      </c>
      <c r="F872" t="n">
        <v>-13.26</v>
      </c>
      <c r="G872" t="n">
        <v>6721.49</v>
      </c>
      <c r="H872" t="n">
        <v>-31.7</v>
      </c>
      <c r="I872" s="7">
        <f>F872*Summary!$B$5</f>
        <v/>
      </c>
      <c r="J872" s="7">
        <f>G872*Summary!$B$5</f>
        <v/>
      </c>
      <c r="K872" s="7">
        <f>H872*Summary!$B$5</f>
        <v/>
      </c>
    </row>
    <row r="873">
      <c r="A873" s="8" t="n">
        <v>45497</v>
      </c>
      <c r="B873" t="inlineStr">
        <is>
          <t>FY24-25</t>
        </is>
      </c>
      <c r="C873" t="inlineStr">
        <is>
          <t>NW</t>
        </is>
      </c>
      <c r="D873" t="inlineStr"/>
      <c r="E873" t="n">
        <v>0</v>
      </c>
      <c r="F873" t="n">
        <v>23.11</v>
      </c>
      <c r="G873" t="n">
        <v>6744.59</v>
      </c>
      <c r="H873" t="n">
        <v>-8.59</v>
      </c>
      <c r="I873" s="7">
        <f>F873*Summary!$B$5</f>
        <v/>
      </c>
      <c r="J873" s="7">
        <f>G873*Summary!$B$5</f>
        <v/>
      </c>
      <c r="K873" s="7">
        <f>H873*Summary!$B$5</f>
        <v/>
      </c>
    </row>
    <row r="874">
      <c r="A874" s="8" t="n">
        <v>45498</v>
      </c>
      <c r="B874" t="inlineStr">
        <is>
          <t>FY24-25</t>
        </is>
      </c>
      <c r="C874" t="inlineStr">
        <is>
          <t>CW</t>
        </is>
      </c>
      <c r="D874" t="inlineStr">
        <is>
          <t>09:16</t>
        </is>
      </c>
      <c r="E874" t="n">
        <v>1</v>
      </c>
      <c r="F874" t="n">
        <v>54.72</v>
      </c>
      <c r="G874" t="n">
        <v>6799.31</v>
      </c>
      <c r="H874" t="n">
        <v>0</v>
      </c>
      <c r="I874" s="7">
        <f>F874*Summary!$B$5</f>
        <v/>
      </c>
      <c r="J874" s="7">
        <f>G874*Summary!$B$5</f>
        <v/>
      </c>
      <c r="K874" s="7">
        <f>H874*Summary!$B$5</f>
        <v/>
      </c>
    </row>
    <row r="875">
      <c r="A875" s="8" t="n">
        <v>45499</v>
      </c>
      <c r="B875" t="inlineStr">
        <is>
          <t>FY24-25</t>
        </is>
      </c>
      <c r="C875" t="inlineStr">
        <is>
          <t>CW</t>
        </is>
      </c>
      <c r="D875" t="inlineStr">
        <is>
          <t>09:18</t>
        </is>
      </c>
      <c r="E875" t="n">
        <v>6</v>
      </c>
      <c r="F875" t="n">
        <v>-37.36</v>
      </c>
      <c r="G875" t="n">
        <v>6761.95</v>
      </c>
      <c r="H875" t="n">
        <v>-37.36</v>
      </c>
      <c r="I875" s="7">
        <f>F875*Summary!$B$5</f>
        <v/>
      </c>
      <c r="J875" s="7">
        <f>G875*Summary!$B$5</f>
        <v/>
      </c>
      <c r="K875" s="7">
        <f>H875*Summary!$B$5</f>
        <v/>
      </c>
    </row>
    <row r="876">
      <c r="A876" s="8" t="n">
        <v>45502</v>
      </c>
      <c r="B876" t="inlineStr">
        <is>
          <t>FY24-25</t>
        </is>
      </c>
      <c r="C876" t="inlineStr"/>
      <c r="D876" t="inlineStr"/>
      <c r="E876" t="n">
        <v>0</v>
      </c>
      <c r="F876" t="n">
        <v>0</v>
      </c>
      <c r="G876" t="n">
        <v>6761.95</v>
      </c>
      <c r="H876" t="n">
        <v>-37.36</v>
      </c>
      <c r="I876" s="7">
        <f>F876*Summary!$B$5</f>
        <v/>
      </c>
      <c r="J876" s="7">
        <f>G876*Summary!$B$5</f>
        <v/>
      </c>
      <c r="K876" s="7">
        <f>H876*Summary!$B$5</f>
        <v/>
      </c>
    </row>
    <row r="877">
      <c r="A877" s="8" t="n">
        <v>45503</v>
      </c>
      <c r="B877" t="inlineStr">
        <is>
          <t>FY24-25</t>
        </is>
      </c>
      <c r="C877" t="inlineStr"/>
      <c r="D877" t="inlineStr"/>
      <c r="E877" t="n">
        <v>0</v>
      </c>
      <c r="F877" t="n">
        <v>0</v>
      </c>
      <c r="G877" t="n">
        <v>6761.95</v>
      </c>
      <c r="H877" t="n">
        <v>-37.36</v>
      </c>
      <c r="I877" s="7">
        <f>F877*Summary!$B$5</f>
        <v/>
      </c>
      <c r="J877" s="7">
        <f>G877*Summary!$B$5</f>
        <v/>
      </c>
      <c r="K877" s="7">
        <f>H877*Summary!$B$5</f>
        <v/>
      </c>
    </row>
    <row r="878">
      <c r="A878" s="8" t="n">
        <v>45504</v>
      </c>
      <c r="B878" t="inlineStr">
        <is>
          <t>FY24-25</t>
        </is>
      </c>
      <c r="C878" t="inlineStr">
        <is>
          <t>CW</t>
        </is>
      </c>
      <c r="D878" t="inlineStr">
        <is>
          <t>09:17</t>
        </is>
      </c>
      <c r="E878" t="n">
        <v>2</v>
      </c>
      <c r="F878" t="n">
        <v>-12.61</v>
      </c>
      <c r="G878" t="n">
        <v>6749.34</v>
      </c>
      <c r="H878" t="n">
        <v>-49.97</v>
      </c>
      <c r="I878" s="7">
        <f>F878*Summary!$B$5</f>
        <v/>
      </c>
      <c r="J878" s="7">
        <f>G878*Summary!$B$5</f>
        <v/>
      </c>
      <c r="K878" s="7">
        <f>H878*Summary!$B$5</f>
        <v/>
      </c>
    </row>
    <row r="879">
      <c r="A879" s="8" t="n">
        <v>45505</v>
      </c>
      <c r="B879" t="inlineStr">
        <is>
          <t>FY24-25</t>
        </is>
      </c>
      <c r="C879" t="inlineStr">
        <is>
          <t>CW</t>
        </is>
      </c>
      <c r="D879" t="inlineStr">
        <is>
          <t>09:17</t>
        </is>
      </c>
      <c r="E879" t="n">
        <v>1</v>
      </c>
      <c r="F879" t="n">
        <v>54.48</v>
      </c>
      <c r="G879" t="n">
        <v>6803.82</v>
      </c>
      <c r="H879" t="n">
        <v>0</v>
      </c>
      <c r="I879" s="7">
        <f>F879*Summary!$B$5</f>
        <v/>
      </c>
      <c r="J879" s="7">
        <f>G879*Summary!$B$5</f>
        <v/>
      </c>
      <c r="K879" s="7">
        <f>H879*Summary!$B$5</f>
        <v/>
      </c>
    </row>
    <row r="880">
      <c r="A880" s="8" t="n">
        <v>45506</v>
      </c>
      <c r="B880" t="inlineStr">
        <is>
          <t>FY24-25</t>
        </is>
      </c>
      <c r="C880" t="inlineStr"/>
      <c r="D880" t="inlineStr"/>
      <c r="E880" t="n">
        <v>0</v>
      </c>
      <c r="F880" t="n">
        <v>0</v>
      </c>
      <c r="G880" t="n">
        <v>6803.82</v>
      </c>
      <c r="H880" t="n">
        <v>0</v>
      </c>
      <c r="I880" s="7">
        <f>F880*Summary!$B$5</f>
        <v/>
      </c>
      <c r="J880" s="7">
        <f>G880*Summary!$B$5</f>
        <v/>
      </c>
      <c r="K880" s="7">
        <f>H880*Summary!$B$5</f>
        <v/>
      </c>
    </row>
    <row r="881">
      <c r="A881" s="8" t="n">
        <v>45509</v>
      </c>
      <c r="B881" t="inlineStr">
        <is>
          <t>FY24-25</t>
        </is>
      </c>
      <c r="C881" t="inlineStr">
        <is>
          <t>CW</t>
        </is>
      </c>
      <c r="D881" t="inlineStr">
        <is>
          <t>09:18</t>
        </is>
      </c>
      <c r="E881" t="n">
        <v>4</v>
      </c>
      <c r="F881" t="n">
        <v>-12.78</v>
      </c>
      <c r="G881" t="n">
        <v>6791.03</v>
      </c>
      <c r="H881" t="n">
        <v>-12.78</v>
      </c>
      <c r="I881" s="7">
        <f>F881*Summary!$B$5</f>
        <v/>
      </c>
      <c r="J881" s="7">
        <f>G881*Summary!$B$5</f>
        <v/>
      </c>
      <c r="K881" s="7">
        <f>H881*Summary!$B$5</f>
        <v/>
      </c>
    </row>
    <row r="882">
      <c r="A882" s="8" t="n">
        <v>45510</v>
      </c>
      <c r="B882" t="inlineStr">
        <is>
          <t>FY24-25</t>
        </is>
      </c>
      <c r="C882" t="inlineStr"/>
      <c r="D882" t="inlineStr"/>
      <c r="E882" t="n">
        <v>0</v>
      </c>
      <c r="F882" t="n">
        <v>0</v>
      </c>
      <c r="G882" t="n">
        <v>6791.03</v>
      </c>
      <c r="H882" t="n">
        <v>-12.78</v>
      </c>
      <c r="I882" s="7">
        <f>F882*Summary!$B$5</f>
        <v/>
      </c>
      <c r="J882" s="7">
        <f>G882*Summary!$B$5</f>
        <v/>
      </c>
      <c r="K882" s="7">
        <f>H882*Summary!$B$5</f>
        <v/>
      </c>
    </row>
    <row r="883">
      <c r="A883" s="8" t="n">
        <v>45511</v>
      </c>
      <c r="B883" t="inlineStr">
        <is>
          <t>FY24-25</t>
        </is>
      </c>
      <c r="C883" t="inlineStr"/>
      <c r="D883" t="inlineStr"/>
      <c r="E883" t="n">
        <v>0</v>
      </c>
      <c r="F883" t="n">
        <v>0</v>
      </c>
      <c r="G883" t="n">
        <v>6791.03</v>
      </c>
      <c r="H883" t="n">
        <v>-12.78</v>
      </c>
      <c r="I883" s="7">
        <f>F883*Summary!$B$5</f>
        <v/>
      </c>
      <c r="J883" s="7">
        <f>G883*Summary!$B$5</f>
        <v/>
      </c>
      <c r="K883" s="7">
        <f>H883*Summary!$B$5</f>
        <v/>
      </c>
    </row>
    <row r="884">
      <c r="A884" s="8" t="n">
        <v>45512</v>
      </c>
      <c r="B884" t="inlineStr">
        <is>
          <t>FY24-25</t>
        </is>
      </c>
      <c r="C884" t="inlineStr">
        <is>
          <t>CW</t>
        </is>
      </c>
      <c r="D884" t="inlineStr">
        <is>
          <t>09:18</t>
        </is>
      </c>
      <c r="E884" t="n">
        <v>1</v>
      </c>
      <c r="F884" t="n">
        <v>-43.23</v>
      </c>
      <c r="G884" t="n">
        <v>6747.8</v>
      </c>
      <c r="H884" t="n">
        <v>-56.01</v>
      </c>
      <c r="I884" s="7">
        <f>F884*Summary!$B$5</f>
        <v/>
      </c>
      <c r="J884" s="7">
        <f>G884*Summary!$B$5</f>
        <v/>
      </c>
      <c r="K884" s="7">
        <f>H884*Summary!$B$5</f>
        <v/>
      </c>
    </row>
    <row r="885">
      <c r="A885" s="8" t="n">
        <v>45513</v>
      </c>
      <c r="B885" t="inlineStr">
        <is>
          <t>FY24-25</t>
        </is>
      </c>
      <c r="C885" t="inlineStr"/>
      <c r="D885" t="inlineStr"/>
      <c r="E885" t="n">
        <v>0</v>
      </c>
      <c r="F885" t="n">
        <v>0</v>
      </c>
      <c r="G885" t="n">
        <v>6747.8</v>
      </c>
      <c r="H885" t="n">
        <v>-56.01</v>
      </c>
      <c r="I885" s="7">
        <f>F885*Summary!$B$5</f>
        <v/>
      </c>
      <c r="J885" s="7">
        <f>G885*Summary!$B$5</f>
        <v/>
      </c>
      <c r="K885" s="7">
        <f>H885*Summary!$B$5</f>
        <v/>
      </c>
    </row>
    <row r="886">
      <c r="A886" s="8" t="n">
        <v>45516</v>
      </c>
      <c r="B886" t="inlineStr">
        <is>
          <t>FY24-25</t>
        </is>
      </c>
      <c r="C886" t="inlineStr">
        <is>
          <t>CW</t>
        </is>
      </c>
      <c r="D886" t="inlineStr">
        <is>
          <t>09:18</t>
        </is>
      </c>
      <c r="E886" t="n">
        <v>3</v>
      </c>
      <c r="F886" t="n">
        <v>-1.06</v>
      </c>
      <c r="G886" t="n">
        <v>6746.74</v>
      </c>
      <c r="H886" t="n">
        <v>-57.08</v>
      </c>
      <c r="I886" s="7">
        <f>F886*Summary!$B$5</f>
        <v/>
      </c>
      <c r="J886" s="7">
        <f>G886*Summary!$B$5</f>
        <v/>
      </c>
      <c r="K886" s="7">
        <f>H886*Summary!$B$5</f>
        <v/>
      </c>
    </row>
    <row r="887">
      <c r="A887" s="8" t="n">
        <v>45517</v>
      </c>
      <c r="B887" t="inlineStr">
        <is>
          <t>FY24-25</t>
        </is>
      </c>
      <c r="C887" t="inlineStr">
        <is>
          <t>CW</t>
        </is>
      </c>
      <c r="D887" t="inlineStr">
        <is>
          <t>09:17</t>
        </is>
      </c>
      <c r="E887" t="n">
        <v>2</v>
      </c>
      <c r="F887" t="n">
        <v>30.76</v>
      </c>
      <c r="G887" t="n">
        <v>6777.5</v>
      </c>
      <c r="H887" t="n">
        <v>-26.32</v>
      </c>
      <c r="I887" s="7">
        <f>F887*Summary!$B$5</f>
        <v/>
      </c>
      <c r="J887" s="7">
        <f>G887*Summary!$B$5</f>
        <v/>
      </c>
      <c r="K887" s="7">
        <f>H887*Summary!$B$5</f>
        <v/>
      </c>
    </row>
    <row r="888">
      <c r="A888" s="8" t="n">
        <v>45518</v>
      </c>
      <c r="B888" t="inlineStr">
        <is>
          <t>FY24-25</t>
        </is>
      </c>
      <c r="C888" t="inlineStr">
        <is>
          <t>CW</t>
        </is>
      </c>
      <c r="D888" t="inlineStr">
        <is>
          <t>09:17</t>
        </is>
      </c>
      <c r="E888" t="n">
        <v>1</v>
      </c>
      <c r="F888" t="n">
        <v>53.85</v>
      </c>
      <c r="G888" t="n">
        <v>6831.35</v>
      </c>
      <c r="H888" t="n">
        <v>0</v>
      </c>
      <c r="I888" s="7">
        <f>F888*Summary!$B$5</f>
        <v/>
      </c>
      <c r="J888" s="7">
        <f>G888*Summary!$B$5</f>
        <v/>
      </c>
      <c r="K888" s="7">
        <f>H888*Summary!$B$5</f>
        <v/>
      </c>
    </row>
    <row r="889">
      <c r="A889" s="8" t="n">
        <v>45520</v>
      </c>
      <c r="B889" t="inlineStr">
        <is>
          <t>FY24-25</t>
        </is>
      </c>
      <c r="C889" t="inlineStr"/>
      <c r="D889" t="inlineStr"/>
      <c r="E889" t="n">
        <v>0</v>
      </c>
      <c r="F889" t="n">
        <v>0</v>
      </c>
      <c r="G889" t="n">
        <v>6831.35</v>
      </c>
      <c r="H889" t="n">
        <v>0</v>
      </c>
      <c r="I889" s="7">
        <f>F889*Summary!$B$5</f>
        <v/>
      </c>
      <c r="J889" s="7">
        <f>G889*Summary!$B$5</f>
        <v/>
      </c>
      <c r="K889" s="7">
        <f>H889*Summary!$B$5</f>
        <v/>
      </c>
    </row>
    <row r="890">
      <c r="A890" s="8" t="n">
        <v>45523</v>
      </c>
      <c r="B890" t="inlineStr">
        <is>
          <t>FY24-25</t>
        </is>
      </c>
      <c r="C890" t="inlineStr"/>
      <c r="D890" t="inlineStr"/>
      <c r="E890" t="n">
        <v>0</v>
      </c>
      <c r="F890" t="n">
        <v>0</v>
      </c>
      <c r="G890" t="n">
        <v>6831.35</v>
      </c>
      <c r="H890" t="n">
        <v>0</v>
      </c>
      <c r="I890" s="7">
        <f>F890*Summary!$B$5</f>
        <v/>
      </c>
      <c r="J890" s="7">
        <f>G890*Summary!$B$5</f>
        <v/>
      </c>
      <c r="K890" s="7">
        <f>H890*Summary!$B$5</f>
        <v/>
      </c>
    </row>
    <row r="891">
      <c r="A891" s="8" t="n">
        <v>45527</v>
      </c>
      <c r="B891" t="inlineStr">
        <is>
          <t>FY24-25</t>
        </is>
      </c>
      <c r="C891" t="inlineStr">
        <is>
          <t>CW</t>
        </is>
      </c>
      <c r="D891" t="inlineStr">
        <is>
          <t>09:17</t>
        </is>
      </c>
      <c r="E891" t="n">
        <v>6</v>
      </c>
      <c r="F891" t="n">
        <v>24.97</v>
      </c>
      <c r="G891" t="n">
        <v>6856.32</v>
      </c>
      <c r="H891" t="n">
        <v>0</v>
      </c>
      <c r="I891" s="7">
        <f>F891*Summary!$B$5</f>
        <v/>
      </c>
      <c r="J891" s="7">
        <f>G891*Summary!$B$5</f>
        <v/>
      </c>
      <c r="K891" s="7">
        <f>H891*Summary!$B$5</f>
        <v/>
      </c>
    </row>
    <row r="892">
      <c r="A892" s="8" t="n">
        <v>45530</v>
      </c>
      <c r="B892" t="inlineStr">
        <is>
          <t>FY24-25</t>
        </is>
      </c>
      <c r="C892" t="inlineStr">
        <is>
          <t>CW</t>
        </is>
      </c>
      <c r="D892" t="inlineStr">
        <is>
          <t>09:18</t>
        </is>
      </c>
      <c r="E892" t="n">
        <v>4</v>
      </c>
      <c r="F892" t="n">
        <v>0.84</v>
      </c>
      <c r="G892" t="n">
        <v>6857.16</v>
      </c>
      <c r="H892" t="n">
        <v>0</v>
      </c>
      <c r="I892" s="7">
        <f>F892*Summary!$B$5</f>
        <v/>
      </c>
      <c r="J892" s="7">
        <f>G892*Summary!$B$5</f>
        <v/>
      </c>
      <c r="K892" s="7">
        <f>H892*Summary!$B$5</f>
        <v/>
      </c>
    </row>
    <row r="893">
      <c r="A893" s="8" t="n">
        <v>45531</v>
      </c>
      <c r="B893" t="inlineStr">
        <is>
          <t>FY24-25</t>
        </is>
      </c>
      <c r="C893" t="inlineStr">
        <is>
          <t>CW</t>
        </is>
      </c>
      <c r="D893" t="inlineStr">
        <is>
          <t>09:18</t>
        </is>
      </c>
      <c r="E893" t="n">
        <v>3</v>
      </c>
      <c r="F893" t="n">
        <v>19.81</v>
      </c>
      <c r="G893" t="n">
        <v>6876.97</v>
      </c>
      <c r="H893" t="n">
        <v>0</v>
      </c>
      <c r="I893" s="7">
        <f>F893*Summary!$B$5</f>
        <v/>
      </c>
      <c r="J893" s="7">
        <f>G893*Summary!$B$5</f>
        <v/>
      </c>
      <c r="K893" s="7">
        <f>H893*Summary!$B$5</f>
        <v/>
      </c>
    </row>
    <row r="894">
      <c r="A894" s="8" t="n">
        <v>45532</v>
      </c>
      <c r="B894" t="inlineStr">
        <is>
          <t>FY24-25</t>
        </is>
      </c>
      <c r="C894" t="inlineStr">
        <is>
          <t>CW</t>
        </is>
      </c>
      <c r="D894" t="inlineStr">
        <is>
          <t>09:18</t>
        </is>
      </c>
      <c r="E894" t="n">
        <v>2</v>
      </c>
      <c r="F894" t="n">
        <v>1.85</v>
      </c>
      <c r="G894" t="n">
        <v>6878.82</v>
      </c>
      <c r="H894" t="n">
        <v>0</v>
      </c>
      <c r="I894" s="7">
        <f>F894*Summary!$B$5</f>
        <v/>
      </c>
      <c r="J894" s="7">
        <f>G894*Summary!$B$5</f>
        <v/>
      </c>
      <c r="K894" s="7">
        <f>H894*Summary!$B$5</f>
        <v/>
      </c>
    </row>
    <row r="895">
      <c r="A895" s="8" t="n">
        <v>45533</v>
      </c>
      <c r="B895" t="inlineStr">
        <is>
          <t>FY24-25</t>
        </is>
      </c>
      <c r="C895" t="inlineStr">
        <is>
          <t>CW</t>
        </is>
      </c>
      <c r="D895" t="inlineStr">
        <is>
          <t>09:18</t>
        </is>
      </c>
      <c r="E895" t="n">
        <v>1</v>
      </c>
      <c r="F895" t="n">
        <v>-49.43</v>
      </c>
      <c r="G895" t="n">
        <v>6829.39</v>
      </c>
      <c r="H895" t="n">
        <v>-49.43</v>
      </c>
      <c r="I895" s="7">
        <f>F895*Summary!$B$5</f>
        <v/>
      </c>
      <c r="J895" s="7">
        <f>G895*Summary!$B$5</f>
        <v/>
      </c>
      <c r="K895" s="7">
        <f>H895*Summary!$B$5</f>
        <v/>
      </c>
    </row>
    <row r="896">
      <c r="A896" s="8" t="n">
        <v>45537</v>
      </c>
      <c r="B896" t="inlineStr">
        <is>
          <t>FY24-25</t>
        </is>
      </c>
      <c r="C896" t="inlineStr">
        <is>
          <t>CW</t>
        </is>
      </c>
      <c r="D896" t="inlineStr">
        <is>
          <t>09:17</t>
        </is>
      </c>
      <c r="E896" t="n">
        <v>4</v>
      </c>
      <c r="F896" t="n">
        <v>16.26</v>
      </c>
      <c r="G896" t="n">
        <v>6845.64</v>
      </c>
      <c r="H896" t="n">
        <v>-33.17</v>
      </c>
      <c r="I896" s="7">
        <f>F896*Summary!$B$5</f>
        <v/>
      </c>
      <c r="J896" s="7">
        <f>G896*Summary!$B$5</f>
        <v/>
      </c>
      <c r="K896" s="7">
        <f>H896*Summary!$B$5</f>
        <v/>
      </c>
    </row>
    <row r="897">
      <c r="A897" s="8" t="n">
        <v>45538</v>
      </c>
      <c r="B897" t="inlineStr">
        <is>
          <t>FY24-25</t>
        </is>
      </c>
      <c r="C897" t="inlineStr">
        <is>
          <t>CW</t>
        </is>
      </c>
      <c r="D897" t="inlineStr">
        <is>
          <t>09:17</t>
        </is>
      </c>
      <c r="E897" t="n">
        <v>3</v>
      </c>
      <c r="F897" t="n">
        <v>16.4</v>
      </c>
      <c r="G897" t="n">
        <v>6862.04</v>
      </c>
      <c r="H897" t="n">
        <v>-16.78</v>
      </c>
      <c r="I897" s="7">
        <f>F897*Summary!$B$5</f>
        <v/>
      </c>
      <c r="J897" s="7">
        <f>G897*Summary!$B$5</f>
        <v/>
      </c>
      <c r="K897" s="7">
        <f>H897*Summary!$B$5</f>
        <v/>
      </c>
    </row>
    <row r="898">
      <c r="A898" s="8" t="n">
        <v>45539</v>
      </c>
      <c r="B898" t="inlineStr">
        <is>
          <t>FY24-25</t>
        </is>
      </c>
      <c r="C898" t="inlineStr">
        <is>
          <t>CW</t>
        </is>
      </c>
      <c r="D898" t="inlineStr">
        <is>
          <t>09:17</t>
        </is>
      </c>
      <c r="E898" t="n">
        <v>2</v>
      </c>
      <c r="F898" t="n">
        <v>40.68</v>
      </c>
      <c r="G898" t="n">
        <v>6902.72</v>
      </c>
      <c r="H898" t="n">
        <v>0</v>
      </c>
      <c r="I898" s="7">
        <f>F898*Summary!$B$5</f>
        <v/>
      </c>
      <c r="J898" s="7">
        <f>G898*Summary!$B$5</f>
        <v/>
      </c>
      <c r="K898" s="7">
        <f>H898*Summary!$B$5</f>
        <v/>
      </c>
    </row>
    <row r="899">
      <c r="A899" s="8" t="n">
        <v>45540</v>
      </c>
      <c r="B899" t="inlineStr">
        <is>
          <t>FY24-25</t>
        </is>
      </c>
      <c r="C899" t="inlineStr">
        <is>
          <t>NW</t>
        </is>
      </c>
      <c r="D899" t="inlineStr"/>
      <c r="E899" t="n">
        <v>1</v>
      </c>
      <c r="F899" t="n">
        <v>18.06</v>
      </c>
      <c r="G899" t="n">
        <v>6920.78</v>
      </c>
      <c r="H899" t="n">
        <v>0</v>
      </c>
      <c r="I899" s="7">
        <f>F899*Summary!$B$5</f>
        <v/>
      </c>
      <c r="J899" s="7">
        <f>G899*Summary!$B$5</f>
        <v/>
      </c>
      <c r="K899" s="7">
        <f>H899*Summary!$B$5</f>
        <v/>
      </c>
    </row>
    <row r="900">
      <c r="A900" s="8" t="n">
        <v>45541</v>
      </c>
      <c r="B900" t="inlineStr">
        <is>
          <t>FY24-25</t>
        </is>
      </c>
      <c r="C900" t="inlineStr">
        <is>
          <t>CW</t>
        </is>
      </c>
      <c r="D900" t="inlineStr">
        <is>
          <t>09:18</t>
        </is>
      </c>
      <c r="E900" t="n">
        <v>6</v>
      </c>
      <c r="F900" t="n">
        <v>-41.11</v>
      </c>
      <c r="G900" t="n">
        <v>6879.68</v>
      </c>
      <c r="H900" t="n">
        <v>-41.11</v>
      </c>
      <c r="I900" s="7">
        <f>F900*Summary!$B$5</f>
        <v/>
      </c>
      <c r="J900" s="7">
        <f>G900*Summary!$B$5</f>
        <v/>
      </c>
      <c r="K900" s="7">
        <f>H900*Summary!$B$5</f>
        <v/>
      </c>
    </row>
    <row r="901">
      <c r="A901" s="8" t="n">
        <v>45544</v>
      </c>
      <c r="B901" t="inlineStr">
        <is>
          <t>FY24-25</t>
        </is>
      </c>
      <c r="C901" t="inlineStr">
        <is>
          <t>n/a</t>
        </is>
      </c>
      <c r="D901" t="inlineStr"/>
      <c r="E901" t="n">
        <v>0</v>
      </c>
      <c r="F901" t="n">
        <v>44.63</v>
      </c>
      <c r="G901" t="n">
        <v>6924.31</v>
      </c>
      <c r="H901" t="n">
        <v>0</v>
      </c>
      <c r="I901" s="7">
        <f>F901*Summary!$B$5</f>
        <v/>
      </c>
      <c r="J901" s="7">
        <f>G901*Summary!$B$5</f>
        <v/>
      </c>
      <c r="K901" s="7">
        <f>H901*Summary!$B$5</f>
        <v/>
      </c>
    </row>
    <row r="902">
      <c r="A902" s="8" t="n">
        <v>45545</v>
      </c>
      <c r="B902" t="inlineStr">
        <is>
          <t>FY24-25</t>
        </is>
      </c>
      <c r="C902" t="inlineStr"/>
      <c r="D902" t="inlineStr"/>
      <c r="E902" t="n">
        <v>0</v>
      </c>
      <c r="F902" t="n">
        <v>0</v>
      </c>
      <c r="G902" t="n">
        <v>6924.31</v>
      </c>
      <c r="H902" t="n">
        <v>0</v>
      </c>
      <c r="I902" s="7">
        <f>F902*Summary!$B$5</f>
        <v/>
      </c>
      <c r="J902" s="7">
        <f>G902*Summary!$B$5</f>
        <v/>
      </c>
      <c r="K902" s="7">
        <f>H902*Summary!$B$5</f>
        <v/>
      </c>
    </row>
    <row r="903">
      <c r="A903" s="8" t="n">
        <v>45546</v>
      </c>
      <c r="B903" t="inlineStr">
        <is>
          <t>FY24-25</t>
        </is>
      </c>
      <c r="C903" t="inlineStr"/>
      <c r="D903" t="inlineStr"/>
      <c r="E903" t="n">
        <v>0</v>
      </c>
      <c r="F903" t="n">
        <v>0</v>
      </c>
      <c r="G903" t="n">
        <v>6924.31</v>
      </c>
      <c r="H903" t="n">
        <v>0</v>
      </c>
      <c r="I903" s="7">
        <f>F903*Summary!$B$5</f>
        <v/>
      </c>
      <c r="J903" s="7">
        <f>G903*Summary!$B$5</f>
        <v/>
      </c>
      <c r="K903" s="7">
        <f>H903*Summary!$B$5</f>
        <v/>
      </c>
    </row>
    <row r="904">
      <c r="A904" s="8" t="n">
        <v>45547</v>
      </c>
      <c r="B904" t="inlineStr">
        <is>
          <t>FY24-25</t>
        </is>
      </c>
      <c r="C904" t="inlineStr"/>
      <c r="D904" t="inlineStr"/>
      <c r="E904" t="n">
        <v>0</v>
      </c>
      <c r="F904" t="n">
        <v>0</v>
      </c>
      <c r="G904" t="n">
        <v>6924.31</v>
      </c>
      <c r="H904" t="n">
        <v>0</v>
      </c>
      <c r="I904" s="7">
        <f>F904*Summary!$B$5</f>
        <v/>
      </c>
      <c r="J904" s="7">
        <f>G904*Summary!$B$5</f>
        <v/>
      </c>
      <c r="K904" s="7">
        <f>H904*Summary!$B$5</f>
        <v/>
      </c>
    </row>
    <row r="905">
      <c r="A905" s="8" t="n">
        <v>45548</v>
      </c>
      <c r="B905" t="inlineStr">
        <is>
          <t>FY24-25</t>
        </is>
      </c>
      <c r="C905" t="inlineStr"/>
      <c r="D905" t="inlineStr"/>
      <c r="E905" t="n">
        <v>0</v>
      </c>
      <c r="F905" t="n">
        <v>0</v>
      </c>
      <c r="G905" t="n">
        <v>6924.31</v>
      </c>
      <c r="H905" t="n">
        <v>0</v>
      </c>
      <c r="I905" s="7">
        <f>F905*Summary!$B$5</f>
        <v/>
      </c>
      <c r="J905" s="7">
        <f>G905*Summary!$B$5</f>
        <v/>
      </c>
      <c r="K905" s="7">
        <f>H905*Summary!$B$5</f>
        <v/>
      </c>
    </row>
    <row r="906">
      <c r="A906" s="8" t="n">
        <v>45551</v>
      </c>
      <c r="B906" t="inlineStr">
        <is>
          <t>FY24-25</t>
        </is>
      </c>
      <c r="C906" t="inlineStr">
        <is>
          <t>CW</t>
        </is>
      </c>
      <c r="D906" t="inlineStr">
        <is>
          <t>09:18</t>
        </is>
      </c>
      <c r="E906" t="n">
        <v>4</v>
      </c>
      <c r="F906" t="n">
        <v>8.109999999999999</v>
      </c>
      <c r="G906" t="n">
        <v>6932.41</v>
      </c>
      <c r="H906" t="n">
        <v>0</v>
      </c>
      <c r="I906" s="7">
        <f>F906*Summary!$B$5</f>
        <v/>
      </c>
      <c r="J906" s="7">
        <f>G906*Summary!$B$5</f>
        <v/>
      </c>
      <c r="K906" s="7">
        <f>H906*Summary!$B$5</f>
        <v/>
      </c>
    </row>
    <row r="907">
      <c r="A907" s="8" t="n">
        <v>45552</v>
      </c>
      <c r="B907" t="inlineStr">
        <is>
          <t>FY24-25</t>
        </is>
      </c>
      <c r="C907" t="inlineStr">
        <is>
          <t>CW</t>
        </is>
      </c>
      <c r="D907" t="inlineStr">
        <is>
          <t>09:17</t>
        </is>
      </c>
      <c r="E907" t="n">
        <v>3</v>
      </c>
      <c r="F907" t="n">
        <v>11.15</v>
      </c>
      <c r="G907" t="n">
        <v>6943.56</v>
      </c>
      <c r="H907" t="n">
        <v>0</v>
      </c>
      <c r="I907" s="7">
        <f>F907*Summary!$B$5</f>
        <v/>
      </c>
      <c r="J907" s="7">
        <f>G907*Summary!$B$5</f>
        <v/>
      </c>
      <c r="K907" s="7">
        <f>H907*Summary!$B$5</f>
        <v/>
      </c>
    </row>
    <row r="908">
      <c r="A908" s="8" t="n">
        <v>45553</v>
      </c>
      <c r="B908" t="inlineStr">
        <is>
          <t>FY24-25</t>
        </is>
      </c>
      <c r="C908" t="inlineStr">
        <is>
          <t>CW</t>
        </is>
      </c>
      <c r="D908" t="inlineStr">
        <is>
          <t>09:18</t>
        </is>
      </c>
      <c r="E908" t="n">
        <v>2</v>
      </c>
      <c r="F908" t="n">
        <v>-37.18</v>
      </c>
      <c r="G908" t="n">
        <v>6906.38</v>
      </c>
      <c r="H908" t="n">
        <v>-37.18</v>
      </c>
      <c r="I908" s="7">
        <f>F908*Summary!$B$5</f>
        <v/>
      </c>
      <c r="J908" s="7">
        <f>G908*Summary!$B$5</f>
        <v/>
      </c>
      <c r="K908" s="7">
        <f>H908*Summary!$B$5</f>
        <v/>
      </c>
    </row>
    <row r="909">
      <c r="A909" s="8" t="n">
        <v>45554</v>
      </c>
      <c r="B909" t="inlineStr">
        <is>
          <t>FY24-25</t>
        </is>
      </c>
      <c r="C909" t="inlineStr"/>
      <c r="D909" t="inlineStr"/>
      <c r="E909" t="n">
        <v>0</v>
      </c>
      <c r="F909" t="n">
        <v>0</v>
      </c>
      <c r="G909" t="n">
        <v>6906.38</v>
      </c>
      <c r="H909" t="n">
        <v>-37.18</v>
      </c>
      <c r="I909" s="7">
        <f>F909*Summary!$B$5</f>
        <v/>
      </c>
      <c r="J909" s="7">
        <f>G909*Summary!$B$5</f>
        <v/>
      </c>
      <c r="K909" s="7">
        <f>H909*Summary!$B$5</f>
        <v/>
      </c>
    </row>
    <row r="910">
      <c r="A910" s="8" t="n">
        <v>45555</v>
      </c>
      <c r="B910" t="inlineStr">
        <is>
          <t>FY24-25</t>
        </is>
      </c>
      <c r="C910" t="inlineStr">
        <is>
          <t>n/a</t>
        </is>
      </c>
      <c r="D910" t="inlineStr"/>
      <c r="E910" t="n">
        <v>0</v>
      </c>
      <c r="F910" t="n">
        <v>-42.52</v>
      </c>
      <c r="G910" t="n">
        <v>6863.86</v>
      </c>
      <c r="H910" t="n">
        <v>-79.70999999999999</v>
      </c>
      <c r="I910" s="7">
        <f>F910*Summary!$B$5</f>
        <v/>
      </c>
      <c r="J910" s="7">
        <f>G910*Summary!$B$5</f>
        <v/>
      </c>
      <c r="K910" s="7">
        <f>H910*Summary!$B$5</f>
        <v/>
      </c>
    </row>
    <row r="911">
      <c r="A911" s="8" t="n">
        <v>45558</v>
      </c>
      <c r="B911" t="inlineStr">
        <is>
          <t>FY24-25</t>
        </is>
      </c>
      <c r="C911" t="inlineStr"/>
      <c r="D911" t="inlineStr"/>
      <c r="E911" t="n">
        <v>0</v>
      </c>
      <c r="F911" t="n">
        <v>0</v>
      </c>
      <c r="G911" t="n">
        <v>6863.86</v>
      </c>
      <c r="H911" t="n">
        <v>-79.70999999999999</v>
      </c>
      <c r="I911" s="7">
        <f>F911*Summary!$B$5</f>
        <v/>
      </c>
      <c r="J911" s="7">
        <f>G911*Summary!$B$5</f>
        <v/>
      </c>
      <c r="K911" s="7">
        <f>H911*Summary!$B$5</f>
        <v/>
      </c>
    </row>
    <row r="912">
      <c r="A912" s="8" t="n">
        <v>45559</v>
      </c>
      <c r="B912" t="inlineStr">
        <is>
          <t>FY24-25</t>
        </is>
      </c>
      <c r="C912" t="inlineStr">
        <is>
          <t>CW</t>
        </is>
      </c>
      <c r="D912" t="inlineStr">
        <is>
          <t>09:18</t>
        </is>
      </c>
      <c r="E912" t="n">
        <v>3</v>
      </c>
      <c r="F912" t="n">
        <v>36.68</v>
      </c>
      <c r="G912" t="n">
        <v>6900.54</v>
      </c>
      <c r="H912" t="n">
        <v>-43.03</v>
      </c>
      <c r="I912" s="7">
        <f>F912*Summary!$B$5</f>
        <v/>
      </c>
      <c r="J912" s="7">
        <f>G912*Summary!$B$5</f>
        <v/>
      </c>
      <c r="K912" s="7">
        <f>H912*Summary!$B$5</f>
        <v/>
      </c>
    </row>
    <row r="913">
      <c r="A913" s="8" t="n">
        <v>45560</v>
      </c>
      <c r="B913" t="inlineStr">
        <is>
          <t>FY24-25</t>
        </is>
      </c>
      <c r="C913" t="inlineStr">
        <is>
          <t>CW</t>
        </is>
      </c>
      <c r="D913" t="inlineStr">
        <is>
          <t>09:17</t>
        </is>
      </c>
      <c r="E913" t="n">
        <v>2</v>
      </c>
      <c r="F913" t="n">
        <v>40.16</v>
      </c>
      <c r="G913" t="n">
        <v>6940.69</v>
      </c>
      <c r="H913" t="n">
        <v>-2.87</v>
      </c>
      <c r="I913" s="7">
        <f>F913*Summary!$B$5</f>
        <v/>
      </c>
      <c r="J913" s="7">
        <f>G913*Summary!$B$5</f>
        <v/>
      </c>
      <c r="K913" s="7">
        <f>H913*Summary!$B$5</f>
        <v/>
      </c>
    </row>
    <row r="914">
      <c r="A914" s="8" t="n">
        <v>45561</v>
      </c>
      <c r="B914" t="inlineStr">
        <is>
          <t>FY24-25</t>
        </is>
      </c>
      <c r="C914" t="inlineStr">
        <is>
          <t>CW</t>
        </is>
      </c>
      <c r="D914" t="inlineStr">
        <is>
          <t>09:16</t>
        </is>
      </c>
      <c r="E914" t="n">
        <v>1</v>
      </c>
      <c r="F914" t="n">
        <v>-43.77</v>
      </c>
      <c r="G914" t="n">
        <v>6896.92</v>
      </c>
      <c r="H914" t="n">
        <v>-46.64</v>
      </c>
      <c r="I914" s="7">
        <f>F914*Summary!$B$5</f>
        <v/>
      </c>
      <c r="J914" s="7">
        <f>G914*Summary!$B$5</f>
        <v/>
      </c>
      <c r="K914" s="7">
        <f>H914*Summary!$B$5</f>
        <v/>
      </c>
    </row>
    <row r="915">
      <c r="A915" s="8" t="n">
        <v>45562</v>
      </c>
      <c r="B915" t="inlineStr">
        <is>
          <t>FY24-25</t>
        </is>
      </c>
      <c r="C915" t="inlineStr">
        <is>
          <t>CW</t>
        </is>
      </c>
      <c r="D915" t="inlineStr">
        <is>
          <t>09:18</t>
        </is>
      </c>
      <c r="E915" t="n">
        <v>6</v>
      </c>
      <c r="F915" t="n">
        <v>23.27</v>
      </c>
      <c r="G915" t="n">
        <v>6920.19</v>
      </c>
      <c r="H915" t="n">
        <v>-23.37</v>
      </c>
      <c r="I915" s="7">
        <f>F915*Summary!$B$5</f>
        <v/>
      </c>
      <c r="J915" s="7">
        <f>G915*Summary!$B$5</f>
        <v/>
      </c>
      <c r="K915" s="7">
        <f>H915*Summary!$B$5</f>
        <v/>
      </c>
    </row>
    <row r="916">
      <c r="A916" s="8" t="n">
        <v>45565</v>
      </c>
      <c r="B916" t="inlineStr">
        <is>
          <t>FY24-25</t>
        </is>
      </c>
      <c r="C916" t="inlineStr"/>
      <c r="D916" t="inlineStr"/>
      <c r="E916" t="n">
        <v>0</v>
      </c>
      <c r="F916" t="n">
        <v>0</v>
      </c>
      <c r="G916" t="n">
        <v>6920.19</v>
      </c>
      <c r="H916" t="n">
        <v>-23.37</v>
      </c>
      <c r="I916" s="7">
        <f>F916*Summary!$B$5</f>
        <v/>
      </c>
      <c r="J916" s="7">
        <f>G916*Summary!$B$5</f>
        <v/>
      </c>
      <c r="K916" s="7">
        <f>H916*Summary!$B$5</f>
        <v/>
      </c>
    </row>
    <row r="917">
      <c r="A917" s="8" t="n">
        <v>45566</v>
      </c>
      <c r="B917" t="inlineStr">
        <is>
          <t>FY24-25</t>
        </is>
      </c>
      <c r="C917" t="inlineStr">
        <is>
          <t>n/a</t>
        </is>
      </c>
      <c r="D917" t="inlineStr"/>
      <c r="E917" t="n">
        <v>0</v>
      </c>
      <c r="F917" t="n">
        <v>36.5</v>
      </c>
      <c r="G917" t="n">
        <v>6956.69</v>
      </c>
      <c r="H917" t="n">
        <v>0</v>
      </c>
      <c r="I917" s="7">
        <f>F917*Summary!$B$5</f>
        <v/>
      </c>
      <c r="J917" s="7">
        <f>G917*Summary!$B$5</f>
        <v/>
      </c>
      <c r="K917" s="7">
        <f>H917*Summary!$B$5</f>
        <v/>
      </c>
    </row>
    <row r="918">
      <c r="A918" s="8" t="n">
        <v>45568</v>
      </c>
      <c r="B918" t="inlineStr">
        <is>
          <t>FY24-25</t>
        </is>
      </c>
      <c r="C918" t="inlineStr">
        <is>
          <t>CW</t>
        </is>
      </c>
      <c r="D918" t="inlineStr">
        <is>
          <t>09:17</t>
        </is>
      </c>
      <c r="E918" t="n">
        <v>1</v>
      </c>
      <c r="F918" t="n">
        <v>-6.89</v>
      </c>
      <c r="G918" t="n">
        <v>6949.8</v>
      </c>
      <c r="H918" t="n">
        <v>-6.89</v>
      </c>
      <c r="I918" s="7">
        <f>F918*Summary!$B$5</f>
        <v/>
      </c>
      <c r="J918" s="7">
        <f>G918*Summary!$B$5</f>
        <v/>
      </c>
      <c r="K918" s="7">
        <f>H918*Summary!$B$5</f>
        <v/>
      </c>
    </row>
    <row r="919">
      <c r="A919" s="8" t="n">
        <v>45569</v>
      </c>
      <c r="B919" t="inlineStr">
        <is>
          <t>FY24-25</t>
        </is>
      </c>
      <c r="C919" t="inlineStr"/>
      <c r="D919" t="inlineStr"/>
      <c r="E919" t="n">
        <v>0</v>
      </c>
      <c r="F919" t="n">
        <v>0</v>
      </c>
      <c r="G919" t="n">
        <v>6949.8</v>
      </c>
      <c r="H919" t="n">
        <v>-6.89</v>
      </c>
      <c r="I919" s="7">
        <f>F919*Summary!$B$5</f>
        <v/>
      </c>
      <c r="J919" s="7">
        <f>G919*Summary!$B$5</f>
        <v/>
      </c>
      <c r="K919" s="7">
        <f>H919*Summary!$B$5</f>
        <v/>
      </c>
    </row>
    <row r="920">
      <c r="A920" s="8" t="n">
        <v>45572</v>
      </c>
      <c r="B920" t="inlineStr">
        <is>
          <t>FY24-25</t>
        </is>
      </c>
      <c r="C920" t="inlineStr">
        <is>
          <t>CW</t>
        </is>
      </c>
      <c r="D920" t="inlineStr">
        <is>
          <t>13:04</t>
        </is>
      </c>
      <c r="E920" t="n">
        <v>4</v>
      </c>
      <c r="F920" t="n">
        <v>28.24</v>
      </c>
      <c r="G920" t="n">
        <v>6978.04</v>
      </c>
      <c r="H920" t="n">
        <v>0</v>
      </c>
      <c r="I920" s="7">
        <f>F920*Summary!$B$5</f>
        <v/>
      </c>
      <c r="J920" s="7">
        <f>G920*Summary!$B$5</f>
        <v/>
      </c>
      <c r="K920" s="7">
        <f>H920*Summary!$B$5</f>
        <v/>
      </c>
    </row>
    <row r="921">
      <c r="A921" s="8" t="n">
        <v>45573</v>
      </c>
      <c r="B921" t="inlineStr">
        <is>
          <t>FY24-25</t>
        </is>
      </c>
      <c r="C921" t="inlineStr">
        <is>
          <t>CW</t>
        </is>
      </c>
      <c r="D921" t="inlineStr">
        <is>
          <t>09:18</t>
        </is>
      </c>
      <c r="E921" t="n">
        <v>3</v>
      </c>
      <c r="F921" t="n">
        <v>21.39</v>
      </c>
      <c r="G921" t="n">
        <v>6999.44</v>
      </c>
      <c r="H921" t="n">
        <v>0</v>
      </c>
      <c r="I921" s="7">
        <f>F921*Summary!$B$5</f>
        <v/>
      </c>
      <c r="J921" s="7">
        <f>G921*Summary!$B$5</f>
        <v/>
      </c>
      <c r="K921" s="7">
        <f>H921*Summary!$B$5</f>
        <v/>
      </c>
    </row>
    <row r="922">
      <c r="A922" s="8" t="n">
        <v>45574</v>
      </c>
      <c r="B922" t="inlineStr">
        <is>
          <t>FY24-25</t>
        </is>
      </c>
      <c r="C922" t="inlineStr">
        <is>
          <t>CW</t>
        </is>
      </c>
      <c r="D922" t="inlineStr">
        <is>
          <t>09:17</t>
        </is>
      </c>
      <c r="E922" t="n">
        <v>2</v>
      </c>
      <c r="F922" t="n">
        <v>4.89</v>
      </c>
      <c r="G922" t="n">
        <v>7004.33</v>
      </c>
      <c r="H922" t="n">
        <v>0</v>
      </c>
      <c r="I922" s="7">
        <f>F922*Summary!$B$5</f>
        <v/>
      </c>
      <c r="J922" s="7">
        <f>G922*Summary!$B$5</f>
        <v/>
      </c>
      <c r="K922" s="7">
        <f>H922*Summary!$B$5</f>
        <v/>
      </c>
    </row>
    <row r="923">
      <c r="A923" s="8" t="n">
        <v>45575</v>
      </c>
      <c r="B923" t="inlineStr">
        <is>
          <t>FY24-25</t>
        </is>
      </c>
      <c r="C923" t="inlineStr">
        <is>
          <t>CW</t>
        </is>
      </c>
      <c r="D923" t="inlineStr">
        <is>
          <t>09:17</t>
        </is>
      </c>
      <c r="E923" t="n">
        <v>1</v>
      </c>
      <c r="F923" t="n">
        <v>42.17</v>
      </c>
      <c r="G923" t="n">
        <v>7046.5</v>
      </c>
      <c r="H923" t="n">
        <v>0</v>
      </c>
      <c r="I923" s="7">
        <f>F923*Summary!$B$5</f>
        <v/>
      </c>
      <c r="J923" s="7">
        <f>G923*Summary!$B$5</f>
        <v/>
      </c>
      <c r="K923" s="7">
        <f>H923*Summary!$B$5</f>
        <v/>
      </c>
    </row>
    <row r="924">
      <c r="A924" s="8" t="n">
        <v>45576</v>
      </c>
      <c r="B924" t="inlineStr">
        <is>
          <t>FY24-25</t>
        </is>
      </c>
      <c r="C924" t="inlineStr">
        <is>
          <t>CW</t>
        </is>
      </c>
      <c r="D924" t="inlineStr">
        <is>
          <t>09:18</t>
        </is>
      </c>
      <c r="E924" t="n">
        <v>6</v>
      </c>
      <c r="F924" t="n">
        <v>27.38</v>
      </c>
      <c r="G924" t="n">
        <v>7073.88</v>
      </c>
      <c r="H924" t="n">
        <v>0</v>
      </c>
      <c r="I924" s="7">
        <f>F924*Summary!$B$5</f>
        <v/>
      </c>
      <c r="J924" s="7">
        <f>G924*Summary!$B$5</f>
        <v/>
      </c>
      <c r="K924" s="7">
        <f>H924*Summary!$B$5</f>
        <v/>
      </c>
    </row>
    <row r="925">
      <c r="A925" s="8" t="n">
        <v>45579</v>
      </c>
      <c r="B925" t="inlineStr">
        <is>
          <t>FY24-25</t>
        </is>
      </c>
      <c r="C925" t="inlineStr">
        <is>
          <t>CW</t>
        </is>
      </c>
      <c r="D925" t="inlineStr">
        <is>
          <t>09:18</t>
        </is>
      </c>
      <c r="E925" t="n">
        <v>4</v>
      </c>
      <c r="F925" t="n">
        <v>13.13</v>
      </c>
      <c r="G925" t="n">
        <v>7087.01</v>
      </c>
      <c r="H925" t="n">
        <v>0</v>
      </c>
      <c r="I925" s="7">
        <f>F925*Summary!$B$5</f>
        <v/>
      </c>
      <c r="J925" s="7">
        <f>G925*Summary!$B$5</f>
        <v/>
      </c>
      <c r="K925" s="7">
        <f>H925*Summary!$B$5</f>
        <v/>
      </c>
    </row>
    <row r="926">
      <c r="A926" s="8" t="n">
        <v>45580</v>
      </c>
      <c r="B926" t="inlineStr">
        <is>
          <t>FY24-25</t>
        </is>
      </c>
      <c r="C926" t="inlineStr"/>
      <c r="D926" t="inlineStr"/>
      <c r="E926" t="n">
        <v>0</v>
      </c>
      <c r="F926" t="n">
        <v>0</v>
      </c>
      <c r="G926" t="n">
        <v>7087.01</v>
      </c>
      <c r="H926" t="n">
        <v>0</v>
      </c>
      <c r="I926" s="7">
        <f>F926*Summary!$B$5</f>
        <v/>
      </c>
      <c r="J926" s="7">
        <f>G926*Summary!$B$5</f>
        <v/>
      </c>
      <c r="K926" s="7">
        <f>H926*Summary!$B$5</f>
        <v/>
      </c>
    </row>
    <row r="927">
      <c r="A927" s="8" t="n">
        <v>45581</v>
      </c>
      <c r="B927" t="inlineStr">
        <is>
          <t>FY24-25</t>
        </is>
      </c>
      <c r="C927" t="inlineStr">
        <is>
          <t>NW</t>
        </is>
      </c>
      <c r="D927" t="inlineStr"/>
      <c r="E927" t="n">
        <v>2</v>
      </c>
      <c r="F927" t="n">
        <v>-2.96</v>
      </c>
      <c r="G927" t="n">
        <v>7084.05</v>
      </c>
      <c r="H927" t="n">
        <v>-2.96</v>
      </c>
      <c r="I927" s="7">
        <f>F927*Summary!$B$5</f>
        <v/>
      </c>
      <c r="J927" s="7">
        <f>G927*Summary!$B$5</f>
        <v/>
      </c>
      <c r="K927" s="7">
        <f>H927*Summary!$B$5</f>
        <v/>
      </c>
    </row>
    <row r="928">
      <c r="A928" s="8" t="n">
        <v>45582</v>
      </c>
      <c r="B928" t="inlineStr">
        <is>
          <t>FY24-25</t>
        </is>
      </c>
      <c r="C928" t="inlineStr">
        <is>
          <t>NW</t>
        </is>
      </c>
      <c r="D928" t="inlineStr"/>
      <c r="E928" t="n">
        <v>1</v>
      </c>
      <c r="F928" t="n">
        <v>6.3</v>
      </c>
      <c r="G928" t="n">
        <v>7090.35</v>
      </c>
      <c r="H928" t="n">
        <v>0</v>
      </c>
      <c r="I928" s="7">
        <f>F928*Summary!$B$5</f>
        <v/>
      </c>
      <c r="J928" s="7">
        <f>G928*Summary!$B$5</f>
        <v/>
      </c>
      <c r="K928" s="7">
        <f>H928*Summary!$B$5</f>
        <v/>
      </c>
    </row>
    <row r="929">
      <c r="A929" s="8" t="n">
        <v>45583</v>
      </c>
      <c r="B929" t="inlineStr">
        <is>
          <t>FY24-25</t>
        </is>
      </c>
      <c r="C929" t="inlineStr">
        <is>
          <t>CW</t>
        </is>
      </c>
      <c r="D929" t="inlineStr">
        <is>
          <t>09:18</t>
        </is>
      </c>
      <c r="E929" t="n">
        <v>6</v>
      </c>
      <c r="F929" t="n">
        <v>29.39</v>
      </c>
      <c r="G929" t="n">
        <v>7119.75</v>
      </c>
      <c r="H929" t="n">
        <v>0</v>
      </c>
      <c r="I929" s="7">
        <f>F929*Summary!$B$5</f>
        <v/>
      </c>
      <c r="J929" s="7">
        <f>G929*Summary!$B$5</f>
        <v/>
      </c>
      <c r="K929" s="7">
        <f>H929*Summary!$B$5</f>
        <v/>
      </c>
    </row>
    <row r="930">
      <c r="A930" s="8" t="n">
        <v>45586</v>
      </c>
      <c r="B930" t="inlineStr">
        <is>
          <t>FY24-25</t>
        </is>
      </c>
      <c r="C930" t="inlineStr"/>
      <c r="D930" t="inlineStr"/>
      <c r="E930" t="n">
        <v>0</v>
      </c>
      <c r="F930" t="n">
        <v>0</v>
      </c>
      <c r="G930" t="n">
        <v>7119.75</v>
      </c>
      <c r="H930" t="n">
        <v>0</v>
      </c>
      <c r="I930" s="7">
        <f>F930*Summary!$B$5</f>
        <v/>
      </c>
      <c r="J930" s="7">
        <f>G930*Summary!$B$5</f>
        <v/>
      </c>
      <c r="K930" s="7">
        <f>H930*Summary!$B$5</f>
        <v/>
      </c>
    </row>
    <row r="931">
      <c r="A931" s="8" t="n">
        <v>45587</v>
      </c>
      <c r="B931" t="inlineStr">
        <is>
          <t>FY24-25</t>
        </is>
      </c>
      <c r="C931" t="inlineStr"/>
      <c r="D931" t="inlineStr"/>
      <c r="E931" t="n">
        <v>0</v>
      </c>
      <c r="F931" t="n">
        <v>0</v>
      </c>
      <c r="G931" t="n">
        <v>7119.75</v>
      </c>
      <c r="H931" t="n">
        <v>0</v>
      </c>
      <c r="I931" s="7">
        <f>F931*Summary!$B$5</f>
        <v/>
      </c>
      <c r="J931" s="7">
        <f>G931*Summary!$B$5</f>
        <v/>
      </c>
      <c r="K931" s="7">
        <f>H931*Summary!$B$5</f>
        <v/>
      </c>
    </row>
    <row r="932">
      <c r="A932" s="8" t="n">
        <v>45588</v>
      </c>
      <c r="B932" t="inlineStr">
        <is>
          <t>FY24-25</t>
        </is>
      </c>
      <c r="C932" t="inlineStr">
        <is>
          <t>CW</t>
        </is>
      </c>
      <c r="D932" t="inlineStr">
        <is>
          <t>09:18</t>
        </is>
      </c>
      <c r="E932" t="n">
        <v>2</v>
      </c>
      <c r="F932" t="n">
        <v>31.46</v>
      </c>
      <c r="G932" t="n">
        <v>7151.21</v>
      </c>
      <c r="H932" t="n">
        <v>0</v>
      </c>
      <c r="I932" s="7">
        <f>F932*Summary!$B$5</f>
        <v/>
      </c>
      <c r="J932" s="7">
        <f>G932*Summary!$B$5</f>
        <v/>
      </c>
      <c r="K932" s="7">
        <f>H932*Summary!$B$5</f>
        <v/>
      </c>
    </row>
    <row r="933">
      <c r="A933" s="8" t="n">
        <v>45589</v>
      </c>
      <c r="B933" t="inlineStr">
        <is>
          <t>FY24-25</t>
        </is>
      </c>
      <c r="C933" t="inlineStr">
        <is>
          <t>CW</t>
        </is>
      </c>
      <c r="D933" t="inlineStr">
        <is>
          <t>09:16</t>
        </is>
      </c>
      <c r="E933" t="n">
        <v>1</v>
      </c>
      <c r="F933" t="n">
        <v>39.66</v>
      </c>
      <c r="G933" t="n">
        <v>7190.86</v>
      </c>
      <c r="H933" t="n">
        <v>0</v>
      </c>
      <c r="I933" s="7">
        <f>F933*Summary!$B$5</f>
        <v/>
      </c>
      <c r="J933" s="7">
        <f>G933*Summary!$B$5</f>
        <v/>
      </c>
      <c r="K933" s="7">
        <f>H933*Summary!$B$5</f>
        <v/>
      </c>
    </row>
    <row r="934">
      <c r="A934" s="8" t="n">
        <v>45590</v>
      </c>
      <c r="B934" t="inlineStr">
        <is>
          <t>FY24-25</t>
        </is>
      </c>
      <c r="C934" t="inlineStr">
        <is>
          <t>CW</t>
        </is>
      </c>
      <c r="D934" t="inlineStr">
        <is>
          <t>09:16</t>
        </is>
      </c>
      <c r="E934" t="n">
        <v>6</v>
      </c>
      <c r="F934" t="n">
        <v>-13.72</v>
      </c>
      <c r="G934" t="n">
        <v>7177.14</v>
      </c>
      <c r="H934" t="n">
        <v>-13.72</v>
      </c>
      <c r="I934" s="7">
        <f>F934*Summary!$B$5</f>
        <v/>
      </c>
      <c r="J934" s="7">
        <f>G934*Summary!$B$5</f>
        <v/>
      </c>
      <c r="K934" s="7">
        <f>H934*Summary!$B$5</f>
        <v/>
      </c>
    </row>
    <row r="935">
      <c r="A935" s="8" t="n">
        <v>45593</v>
      </c>
      <c r="B935" t="inlineStr">
        <is>
          <t>FY24-25</t>
        </is>
      </c>
      <c r="C935" t="inlineStr"/>
      <c r="D935" t="inlineStr"/>
      <c r="E935" t="n">
        <v>0</v>
      </c>
      <c r="F935" t="n">
        <v>0</v>
      </c>
      <c r="G935" t="n">
        <v>7177.14</v>
      </c>
      <c r="H935" t="n">
        <v>-13.72</v>
      </c>
      <c r="I935" s="7">
        <f>F935*Summary!$B$5</f>
        <v/>
      </c>
      <c r="J935" s="7">
        <f>G935*Summary!$B$5</f>
        <v/>
      </c>
      <c r="K935" s="7">
        <f>H935*Summary!$B$5</f>
        <v/>
      </c>
    </row>
    <row r="936">
      <c r="A936" s="8" t="n">
        <v>45594</v>
      </c>
      <c r="B936" t="inlineStr">
        <is>
          <t>FY24-25</t>
        </is>
      </c>
      <c r="C936" t="inlineStr"/>
      <c r="D936" t="inlineStr"/>
      <c r="E936" t="n">
        <v>0</v>
      </c>
      <c r="F936" t="n">
        <v>0</v>
      </c>
      <c r="G936" t="n">
        <v>7177.14</v>
      </c>
      <c r="H936" t="n">
        <v>-13.72</v>
      </c>
      <c r="I936" s="7">
        <f>F936*Summary!$B$5</f>
        <v/>
      </c>
      <c r="J936" s="7">
        <f>G936*Summary!$B$5</f>
        <v/>
      </c>
      <c r="K936" s="7">
        <f>H936*Summary!$B$5</f>
        <v/>
      </c>
    </row>
    <row r="937">
      <c r="A937" s="8" t="n">
        <v>45595</v>
      </c>
      <c r="B937" t="inlineStr">
        <is>
          <t>FY24-25</t>
        </is>
      </c>
      <c r="C937" t="inlineStr">
        <is>
          <t>CW</t>
        </is>
      </c>
      <c r="D937" t="inlineStr">
        <is>
          <t>09:16</t>
        </is>
      </c>
      <c r="E937" t="n">
        <v>2</v>
      </c>
      <c r="F937" t="n">
        <v>13.79</v>
      </c>
      <c r="G937" t="n">
        <v>7190.93</v>
      </c>
      <c r="H937" t="n">
        <v>0</v>
      </c>
      <c r="I937" s="7">
        <f>F937*Summary!$B$5</f>
        <v/>
      </c>
      <c r="J937" s="7">
        <f>G937*Summary!$B$5</f>
        <v/>
      </c>
      <c r="K937" s="7">
        <f>H937*Summary!$B$5</f>
        <v/>
      </c>
    </row>
    <row r="938">
      <c r="A938" s="8" t="n">
        <v>45596</v>
      </c>
      <c r="B938" t="inlineStr">
        <is>
          <t>FY24-25</t>
        </is>
      </c>
      <c r="C938" t="inlineStr">
        <is>
          <t>CW</t>
        </is>
      </c>
      <c r="D938" t="inlineStr">
        <is>
          <t>09:16</t>
        </is>
      </c>
      <c r="E938" t="n">
        <v>1</v>
      </c>
      <c r="F938" t="n">
        <v>54.69</v>
      </c>
      <c r="G938" t="n">
        <v>7245.62</v>
      </c>
      <c r="H938" t="n">
        <v>0</v>
      </c>
      <c r="I938" s="7">
        <f>F938*Summary!$B$5</f>
        <v/>
      </c>
      <c r="J938" s="7">
        <f>G938*Summary!$B$5</f>
        <v/>
      </c>
      <c r="K938" s="7">
        <f>H938*Summary!$B$5</f>
        <v/>
      </c>
    </row>
    <row r="939">
      <c r="A939" s="8" t="n">
        <v>45600</v>
      </c>
      <c r="B939" t="inlineStr">
        <is>
          <t>FY24-25</t>
        </is>
      </c>
      <c r="C939" t="inlineStr">
        <is>
          <t>CW</t>
        </is>
      </c>
      <c r="D939" t="inlineStr">
        <is>
          <t>09:16</t>
        </is>
      </c>
      <c r="E939" t="n">
        <v>4</v>
      </c>
      <c r="F939" t="n">
        <v>-36.66</v>
      </c>
      <c r="G939" t="n">
        <v>7208.96</v>
      </c>
      <c r="H939" t="n">
        <v>-36.66</v>
      </c>
      <c r="I939" s="7">
        <f>F939*Summary!$B$5</f>
        <v/>
      </c>
      <c r="J939" s="7">
        <f>G939*Summary!$B$5</f>
        <v/>
      </c>
      <c r="K939" s="7">
        <f>H939*Summary!$B$5</f>
        <v/>
      </c>
    </row>
    <row r="940">
      <c r="A940" s="8" t="n">
        <v>45601</v>
      </c>
      <c r="B940" t="inlineStr">
        <is>
          <t>FY24-25</t>
        </is>
      </c>
      <c r="C940" t="inlineStr">
        <is>
          <t>CW</t>
        </is>
      </c>
      <c r="D940" t="inlineStr">
        <is>
          <t>09:16</t>
        </is>
      </c>
      <c r="E940" t="n">
        <v>3</v>
      </c>
      <c r="F940" t="n">
        <v>11.05</v>
      </c>
      <c r="G940" t="n">
        <v>7220.01</v>
      </c>
      <c r="H940" t="n">
        <v>-25.61</v>
      </c>
      <c r="I940" s="7">
        <f>F940*Summary!$B$5</f>
        <v/>
      </c>
      <c r="J940" s="7">
        <f>G940*Summary!$B$5</f>
        <v/>
      </c>
      <c r="K940" s="7">
        <f>H940*Summary!$B$5</f>
        <v/>
      </c>
    </row>
    <row r="941">
      <c r="A941" s="8" t="n">
        <v>45602</v>
      </c>
      <c r="B941" t="inlineStr">
        <is>
          <t>FY24-25</t>
        </is>
      </c>
      <c r="C941" t="inlineStr">
        <is>
          <t>CW</t>
        </is>
      </c>
      <c r="D941" t="inlineStr">
        <is>
          <t>09:18</t>
        </is>
      </c>
      <c r="E941" t="n">
        <v>2</v>
      </c>
      <c r="F941" t="n">
        <v>21.77</v>
      </c>
      <c r="G941" t="n">
        <v>7241.77</v>
      </c>
      <c r="H941" t="n">
        <v>-3.85</v>
      </c>
      <c r="I941" s="7">
        <f>F941*Summary!$B$5</f>
        <v/>
      </c>
      <c r="J941" s="7">
        <f>G941*Summary!$B$5</f>
        <v/>
      </c>
      <c r="K941" s="7">
        <f>H941*Summary!$B$5</f>
        <v/>
      </c>
    </row>
    <row r="942">
      <c r="A942" s="8" t="n">
        <v>45603</v>
      </c>
      <c r="B942" t="inlineStr">
        <is>
          <t>FY24-25</t>
        </is>
      </c>
      <c r="C942" t="inlineStr">
        <is>
          <t>CW</t>
        </is>
      </c>
      <c r="D942" t="inlineStr">
        <is>
          <t>09:18</t>
        </is>
      </c>
      <c r="E942" t="n">
        <v>1</v>
      </c>
      <c r="F942" t="n">
        <v>-46.98</v>
      </c>
      <c r="G942" t="n">
        <v>7194.79</v>
      </c>
      <c r="H942" t="n">
        <v>-50.83</v>
      </c>
      <c r="I942" s="7">
        <f>F942*Summary!$B$5</f>
        <v/>
      </c>
      <c r="J942" s="7">
        <f>G942*Summary!$B$5</f>
        <v/>
      </c>
      <c r="K942" s="7">
        <f>H942*Summary!$B$5</f>
        <v/>
      </c>
    </row>
    <row r="943">
      <c r="A943" s="8" t="n">
        <v>45604</v>
      </c>
      <c r="B943" t="inlineStr">
        <is>
          <t>FY24-25</t>
        </is>
      </c>
      <c r="C943" t="inlineStr">
        <is>
          <t>CW</t>
        </is>
      </c>
      <c r="D943" t="inlineStr">
        <is>
          <t>09:16</t>
        </is>
      </c>
      <c r="E943" t="n">
        <v>6</v>
      </c>
      <c r="F943" t="n">
        <v>13</v>
      </c>
      <c r="G943" t="n">
        <v>7207.79</v>
      </c>
      <c r="H943" t="n">
        <v>-37.83</v>
      </c>
      <c r="I943" s="7">
        <f>F943*Summary!$B$5</f>
        <v/>
      </c>
      <c r="J943" s="7">
        <f>G943*Summary!$B$5</f>
        <v/>
      </c>
      <c r="K943" s="7">
        <f>H943*Summary!$B$5</f>
        <v/>
      </c>
    </row>
    <row r="944">
      <c r="A944" s="8" t="n">
        <v>45607</v>
      </c>
      <c r="B944" t="inlineStr">
        <is>
          <t>FY24-25</t>
        </is>
      </c>
      <c r="C944" t="inlineStr"/>
      <c r="D944" t="inlineStr"/>
      <c r="E944" t="n">
        <v>0</v>
      </c>
      <c r="F944" t="n">
        <v>0</v>
      </c>
      <c r="G944" t="n">
        <v>7207.79</v>
      </c>
      <c r="H944" t="n">
        <v>-37.83</v>
      </c>
      <c r="I944" s="7">
        <f>F944*Summary!$B$5</f>
        <v/>
      </c>
      <c r="J944" s="7">
        <f>G944*Summary!$B$5</f>
        <v/>
      </c>
      <c r="K944" s="7">
        <f>H944*Summary!$B$5</f>
        <v/>
      </c>
    </row>
    <row r="945">
      <c r="A945" s="8" t="n">
        <v>45608</v>
      </c>
      <c r="B945" t="inlineStr">
        <is>
          <t>FY24-25</t>
        </is>
      </c>
      <c r="C945" t="inlineStr">
        <is>
          <t>n/a</t>
        </is>
      </c>
      <c r="D945" t="inlineStr"/>
      <c r="E945" t="n">
        <v>0</v>
      </c>
      <c r="F945" t="n">
        <v>-30.83</v>
      </c>
      <c r="G945" t="n">
        <v>7176.96</v>
      </c>
      <c r="H945" t="n">
        <v>-68.66</v>
      </c>
      <c r="I945" s="7">
        <f>F945*Summary!$B$5</f>
        <v/>
      </c>
      <c r="J945" s="7">
        <f>G945*Summary!$B$5</f>
        <v/>
      </c>
      <c r="K945" s="7">
        <f>H945*Summary!$B$5</f>
        <v/>
      </c>
    </row>
    <row r="946">
      <c r="A946" s="8" t="n">
        <v>45609</v>
      </c>
      <c r="B946" t="inlineStr">
        <is>
          <t>FY24-25</t>
        </is>
      </c>
      <c r="C946" t="inlineStr">
        <is>
          <t>CW</t>
        </is>
      </c>
      <c r="D946" t="inlineStr">
        <is>
          <t>09:18</t>
        </is>
      </c>
      <c r="E946" t="n">
        <v>2</v>
      </c>
      <c r="F946" t="n">
        <v>2.12</v>
      </c>
      <c r="G946" t="n">
        <v>7179.08</v>
      </c>
      <c r="H946" t="n">
        <v>-66.54000000000001</v>
      </c>
      <c r="I946" s="7">
        <f>F946*Summary!$B$5</f>
        <v/>
      </c>
      <c r="J946" s="7">
        <f>G946*Summary!$B$5</f>
        <v/>
      </c>
      <c r="K946" s="7">
        <f>H946*Summary!$B$5</f>
        <v/>
      </c>
    </row>
    <row r="947">
      <c r="A947" s="8" t="n">
        <v>45610</v>
      </c>
      <c r="B947" t="inlineStr">
        <is>
          <t>FY24-25</t>
        </is>
      </c>
      <c r="C947" t="inlineStr">
        <is>
          <t>CW</t>
        </is>
      </c>
      <c r="D947" t="inlineStr">
        <is>
          <t>09:16</t>
        </is>
      </c>
      <c r="E947" t="n">
        <v>1</v>
      </c>
      <c r="F947" t="n">
        <v>47.99</v>
      </c>
      <c r="G947" t="n">
        <v>7227.07</v>
      </c>
      <c r="H947" t="n">
        <v>-18.54</v>
      </c>
      <c r="I947" s="7">
        <f>F947*Summary!$B$5</f>
        <v/>
      </c>
      <c r="J947" s="7">
        <f>G947*Summary!$B$5</f>
        <v/>
      </c>
      <c r="K947" s="7">
        <f>H947*Summary!$B$5</f>
        <v/>
      </c>
    </row>
    <row r="948">
      <c r="A948" s="8" t="n">
        <v>45614</v>
      </c>
      <c r="B948" t="inlineStr">
        <is>
          <t>FY24-25</t>
        </is>
      </c>
      <c r="C948" t="inlineStr">
        <is>
          <t>CW</t>
        </is>
      </c>
      <c r="D948" t="inlineStr">
        <is>
          <t>09:18</t>
        </is>
      </c>
      <c r="E948" t="n">
        <v>4</v>
      </c>
      <c r="F948" t="n">
        <v>0.02</v>
      </c>
      <c r="G948" t="n">
        <v>7227.09</v>
      </c>
      <c r="H948" t="n">
        <v>-18.53</v>
      </c>
      <c r="I948" s="7">
        <f>F948*Summary!$B$5</f>
        <v/>
      </c>
      <c r="J948" s="7">
        <f>G948*Summary!$B$5</f>
        <v/>
      </c>
      <c r="K948" s="7">
        <f>H948*Summary!$B$5</f>
        <v/>
      </c>
    </row>
    <row r="949">
      <c r="A949" s="8" t="n">
        <v>45615</v>
      </c>
      <c r="B949" t="inlineStr">
        <is>
          <t>FY24-25</t>
        </is>
      </c>
      <c r="C949" t="inlineStr"/>
      <c r="D949" t="inlineStr"/>
      <c r="E949" t="n">
        <v>0</v>
      </c>
      <c r="F949" t="n">
        <v>0</v>
      </c>
      <c r="G949" t="n">
        <v>7227.09</v>
      </c>
      <c r="H949" t="n">
        <v>-18.53</v>
      </c>
      <c r="I949" s="7">
        <f>F949*Summary!$B$5</f>
        <v/>
      </c>
      <c r="J949" s="7">
        <f>G949*Summary!$B$5</f>
        <v/>
      </c>
      <c r="K949" s="7">
        <f>H949*Summary!$B$5</f>
        <v/>
      </c>
    </row>
    <row r="950">
      <c r="A950" s="8" t="n">
        <v>45617</v>
      </c>
      <c r="B950" t="inlineStr">
        <is>
          <t>FY24-25</t>
        </is>
      </c>
      <c r="C950" t="inlineStr">
        <is>
          <t>CW</t>
        </is>
      </c>
      <c r="D950" t="inlineStr">
        <is>
          <t>09:16</t>
        </is>
      </c>
      <c r="E950" t="n">
        <v>1</v>
      </c>
      <c r="F950" t="n">
        <v>82.92</v>
      </c>
      <c r="G950" t="n">
        <v>7310.01</v>
      </c>
      <c r="H950" t="n">
        <v>0</v>
      </c>
      <c r="I950" s="7">
        <f>F950*Summary!$B$5</f>
        <v/>
      </c>
      <c r="J950" s="7">
        <f>G950*Summary!$B$5</f>
        <v/>
      </c>
      <c r="K950" s="7">
        <f>H950*Summary!$B$5</f>
        <v/>
      </c>
    </row>
    <row r="951">
      <c r="A951" s="8" t="n">
        <v>45618</v>
      </c>
      <c r="B951" t="inlineStr">
        <is>
          <t>FY24-25</t>
        </is>
      </c>
      <c r="C951" t="inlineStr">
        <is>
          <t>n/a</t>
        </is>
      </c>
      <c r="D951" t="inlineStr"/>
      <c r="E951" t="n">
        <v>0</v>
      </c>
      <c r="F951" t="n">
        <v>-40.29</v>
      </c>
      <c r="G951" t="n">
        <v>7269.72</v>
      </c>
      <c r="H951" t="n">
        <v>-40.29</v>
      </c>
      <c r="I951" s="7">
        <f>F951*Summary!$B$5</f>
        <v/>
      </c>
      <c r="J951" s="7">
        <f>G951*Summary!$B$5</f>
        <v/>
      </c>
      <c r="K951" s="7">
        <f>H951*Summary!$B$5</f>
        <v/>
      </c>
    </row>
    <row r="952">
      <c r="A952" s="8" t="n">
        <v>45621</v>
      </c>
      <c r="B952" t="inlineStr">
        <is>
          <t>FY24-25</t>
        </is>
      </c>
      <c r="C952" t="inlineStr"/>
      <c r="D952" t="inlineStr"/>
      <c r="E952" t="n">
        <v>0</v>
      </c>
      <c r="F952" t="n">
        <v>0</v>
      </c>
      <c r="G952" t="n">
        <v>7269.72</v>
      </c>
      <c r="H952" t="n">
        <v>-40.29</v>
      </c>
      <c r="I952" s="7">
        <f>F952*Summary!$B$5</f>
        <v/>
      </c>
      <c r="J952" s="7">
        <f>G952*Summary!$B$5</f>
        <v/>
      </c>
      <c r="K952" s="7">
        <f>H952*Summary!$B$5</f>
        <v/>
      </c>
    </row>
    <row r="953">
      <c r="A953" s="8" t="n">
        <v>45622</v>
      </c>
      <c r="B953" t="inlineStr">
        <is>
          <t>FY24-25</t>
        </is>
      </c>
      <c r="C953" t="inlineStr"/>
      <c r="D953" t="inlineStr"/>
      <c r="E953" t="n">
        <v>0</v>
      </c>
      <c r="F953" t="n">
        <v>0</v>
      </c>
      <c r="G953" t="n">
        <v>7269.72</v>
      </c>
      <c r="H953" t="n">
        <v>-40.29</v>
      </c>
      <c r="I953" s="7">
        <f>F953*Summary!$B$5</f>
        <v/>
      </c>
      <c r="J953" s="7">
        <f>G953*Summary!$B$5</f>
        <v/>
      </c>
      <c r="K953" s="7">
        <f>H953*Summary!$B$5</f>
        <v/>
      </c>
    </row>
    <row r="954">
      <c r="A954" s="8" t="n">
        <v>45623</v>
      </c>
      <c r="B954" t="inlineStr">
        <is>
          <t>FY24-25</t>
        </is>
      </c>
      <c r="C954" t="inlineStr">
        <is>
          <t>CW</t>
        </is>
      </c>
      <c r="D954" t="inlineStr">
        <is>
          <t>09:17</t>
        </is>
      </c>
      <c r="E954" t="n">
        <v>2</v>
      </c>
      <c r="F954" t="n">
        <v>48</v>
      </c>
      <c r="G954" t="n">
        <v>7317.72</v>
      </c>
      <c r="H954" t="n">
        <v>0</v>
      </c>
      <c r="I954" s="7">
        <f>F954*Summary!$B$5</f>
        <v/>
      </c>
      <c r="J954" s="7">
        <f>G954*Summary!$B$5</f>
        <v/>
      </c>
      <c r="K954" s="7">
        <f>H954*Summary!$B$5</f>
        <v/>
      </c>
    </row>
    <row r="955">
      <c r="A955" s="8" t="n">
        <v>45624</v>
      </c>
      <c r="B955" t="inlineStr">
        <is>
          <t>FY24-25</t>
        </is>
      </c>
      <c r="C955" t="inlineStr">
        <is>
          <t>CW</t>
        </is>
      </c>
      <c r="D955" t="inlineStr">
        <is>
          <t>09:16</t>
        </is>
      </c>
      <c r="E955" t="n">
        <v>1</v>
      </c>
      <c r="F955" t="n">
        <v>-49.86</v>
      </c>
      <c r="G955" t="n">
        <v>7267.86</v>
      </c>
      <c r="H955" t="n">
        <v>-49.86</v>
      </c>
      <c r="I955" s="7">
        <f>F955*Summary!$B$5</f>
        <v/>
      </c>
      <c r="J955" s="7">
        <f>G955*Summary!$B$5</f>
        <v/>
      </c>
      <c r="K955" s="7">
        <f>H955*Summary!$B$5</f>
        <v/>
      </c>
    </row>
    <row r="956">
      <c r="A956" s="8" t="n">
        <v>45625</v>
      </c>
      <c r="B956" t="inlineStr">
        <is>
          <t>FY24-25</t>
        </is>
      </c>
      <c r="C956" t="inlineStr">
        <is>
          <t>n/a</t>
        </is>
      </c>
      <c r="D956" t="inlineStr"/>
      <c r="E956" t="n">
        <v>0</v>
      </c>
      <c r="F956" t="n">
        <v>35.49</v>
      </c>
      <c r="G956" t="n">
        <v>7303.35</v>
      </c>
      <c r="H956" t="n">
        <v>-14.36</v>
      </c>
      <c r="I956" s="7">
        <f>F956*Summary!$B$5</f>
        <v/>
      </c>
      <c r="J956" s="7">
        <f>G956*Summary!$B$5</f>
        <v/>
      </c>
      <c r="K956" s="7">
        <f>H956*Summary!$B$5</f>
        <v/>
      </c>
    </row>
    <row r="957">
      <c r="A957" s="8" t="n">
        <v>45628</v>
      </c>
      <c r="B957" t="inlineStr">
        <is>
          <t>FY24-25</t>
        </is>
      </c>
      <c r="C957" t="inlineStr"/>
      <c r="D957" t="inlineStr"/>
      <c r="E957" t="n">
        <v>0</v>
      </c>
      <c r="F957" t="n">
        <v>0</v>
      </c>
      <c r="G957" t="n">
        <v>7303.35</v>
      </c>
      <c r="H957" t="n">
        <v>-14.36</v>
      </c>
      <c r="I957" s="7">
        <f>F957*Summary!$B$5</f>
        <v/>
      </c>
      <c r="J957" s="7">
        <f>G957*Summary!$B$5</f>
        <v/>
      </c>
      <c r="K957" s="7">
        <f>H957*Summary!$B$5</f>
        <v/>
      </c>
    </row>
    <row r="958">
      <c r="A958" s="8" t="n">
        <v>45629</v>
      </c>
      <c r="B958" t="inlineStr">
        <is>
          <t>FY24-25</t>
        </is>
      </c>
      <c r="C958" t="inlineStr">
        <is>
          <t>CW</t>
        </is>
      </c>
      <c r="D958" t="inlineStr">
        <is>
          <t>09:17</t>
        </is>
      </c>
      <c r="E958" t="n">
        <v>3</v>
      </c>
      <c r="F958" t="n">
        <v>7.83</v>
      </c>
      <c r="G958" t="n">
        <v>7311.19</v>
      </c>
      <c r="H958" t="n">
        <v>-6.53</v>
      </c>
      <c r="I958" s="7">
        <f>F958*Summary!$B$5</f>
        <v/>
      </c>
      <c r="J958" s="7">
        <f>G958*Summary!$B$5</f>
        <v/>
      </c>
      <c r="K958" s="7">
        <f>H958*Summary!$B$5</f>
        <v/>
      </c>
    </row>
    <row r="959">
      <c r="A959" s="8" t="n">
        <v>45630</v>
      </c>
      <c r="B959" t="inlineStr">
        <is>
          <t>FY24-25</t>
        </is>
      </c>
      <c r="C959" t="inlineStr">
        <is>
          <t>CW</t>
        </is>
      </c>
      <c r="D959" t="inlineStr">
        <is>
          <t>09:16</t>
        </is>
      </c>
      <c r="E959" t="n">
        <v>2</v>
      </c>
      <c r="F959" t="n">
        <v>-36.96</v>
      </c>
      <c r="G959" t="n">
        <v>7274.23</v>
      </c>
      <c r="H959" t="n">
        <v>-43.49</v>
      </c>
      <c r="I959" s="7">
        <f>F959*Summary!$B$5</f>
        <v/>
      </c>
      <c r="J959" s="7">
        <f>G959*Summary!$B$5</f>
        <v/>
      </c>
      <c r="K959" s="7">
        <f>H959*Summary!$B$5</f>
        <v/>
      </c>
    </row>
    <row r="960">
      <c r="A960" s="8" t="n">
        <v>45631</v>
      </c>
      <c r="B960" t="inlineStr">
        <is>
          <t>FY24-25</t>
        </is>
      </c>
      <c r="C960" t="inlineStr">
        <is>
          <t>CW</t>
        </is>
      </c>
      <c r="D960" t="inlineStr">
        <is>
          <t>09:16</t>
        </is>
      </c>
      <c r="E960" t="n">
        <v>1</v>
      </c>
      <c r="F960" t="n">
        <v>-39.25</v>
      </c>
      <c r="G960" t="n">
        <v>7234.98</v>
      </c>
      <c r="H960" t="n">
        <v>-82.73999999999999</v>
      </c>
      <c r="I960" s="7">
        <f>F960*Summary!$B$5</f>
        <v/>
      </c>
      <c r="J960" s="7">
        <f>G960*Summary!$B$5</f>
        <v/>
      </c>
      <c r="K960" s="7">
        <f>H960*Summary!$B$5</f>
        <v/>
      </c>
    </row>
    <row r="961">
      <c r="A961" s="8" t="n">
        <v>45632</v>
      </c>
      <c r="B961" t="inlineStr">
        <is>
          <t>FY24-25</t>
        </is>
      </c>
      <c r="C961" t="inlineStr">
        <is>
          <t>CW</t>
        </is>
      </c>
      <c r="D961" t="inlineStr">
        <is>
          <t>09:16</t>
        </is>
      </c>
      <c r="E961" t="n">
        <v>6</v>
      </c>
      <c r="F961" t="n">
        <v>38.14</v>
      </c>
      <c r="G961" t="n">
        <v>7273.12</v>
      </c>
      <c r="H961" t="n">
        <v>-44.6</v>
      </c>
      <c r="I961" s="7">
        <f>F961*Summary!$B$5</f>
        <v/>
      </c>
      <c r="J961" s="7">
        <f>G961*Summary!$B$5</f>
        <v/>
      </c>
      <c r="K961" s="7">
        <f>H961*Summary!$B$5</f>
        <v/>
      </c>
    </row>
    <row r="962">
      <c r="A962" s="8" t="n">
        <v>45635</v>
      </c>
      <c r="B962" t="inlineStr">
        <is>
          <t>FY24-25</t>
        </is>
      </c>
      <c r="C962" t="inlineStr">
        <is>
          <t>CW</t>
        </is>
      </c>
      <c r="D962" t="inlineStr">
        <is>
          <t>09:17</t>
        </is>
      </c>
      <c r="E962" t="n">
        <v>4</v>
      </c>
      <c r="F962" t="n">
        <v>43.95</v>
      </c>
      <c r="G962" t="n">
        <v>7317.07</v>
      </c>
      <c r="H962" t="n">
        <v>-0.65</v>
      </c>
      <c r="I962" s="7">
        <f>F962*Summary!$B$5</f>
        <v/>
      </c>
      <c r="J962" s="7">
        <f>G962*Summary!$B$5</f>
        <v/>
      </c>
      <c r="K962" s="7">
        <f>H962*Summary!$B$5</f>
        <v/>
      </c>
    </row>
    <row r="963">
      <c r="A963" s="8" t="n">
        <v>45636</v>
      </c>
      <c r="B963" t="inlineStr">
        <is>
          <t>FY24-25</t>
        </is>
      </c>
      <c r="C963" t="inlineStr">
        <is>
          <t>CW</t>
        </is>
      </c>
      <c r="D963" t="inlineStr">
        <is>
          <t>09:17</t>
        </is>
      </c>
      <c r="E963" t="n">
        <v>3</v>
      </c>
      <c r="F963" t="n">
        <v>28.08</v>
      </c>
      <c r="G963" t="n">
        <v>7345.15</v>
      </c>
      <c r="H963" t="n">
        <v>0</v>
      </c>
      <c r="I963" s="7">
        <f>F963*Summary!$B$5</f>
        <v/>
      </c>
      <c r="J963" s="7">
        <f>G963*Summary!$B$5</f>
        <v/>
      </c>
      <c r="K963" s="7">
        <f>H963*Summary!$B$5</f>
        <v/>
      </c>
    </row>
    <row r="964">
      <c r="A964" s="8" t="n">
        <v>45637</v>
      </c>
      <c r="B964" t="inlineStr">
        <is>
          <t>FY24-25</t>
        </is>
      </c>
      <c r="C964" t="inlineStr">
        <is>
          <t>CW</t>
        </is>
      </c>
      <c r="D964" t="inlineStr">
        <is>
          <t>09:17</t>
        </is>
      </c>
      <c r="E964" t="n">
        <v>2</v>
      </c>
      <c r="F964" t="n">
        <v>47.37</v>
      </c>
      <c r="G964" t="n">
        <v>7392.52</v>
      </c>
      <c r="H964" t="n">
        <v>0</v>
      </c>
      <c r="I964" s="7">
        <f>F964*Summary!$B$5</f>
        <v/>
      </c>
      <c r="J964" s="7">
        <f>G964*Summary!$B$5</f>
        <v/>
      </c>
      <c r="K964" s="7">
        <f>H964*Summary!$B$5</f>
        <v/>
      </c>
    </row>
    <row r="965">
      <c r="A965" s="8" t="n">
        <v>45638</v>
      </c>
      <c r="B965" t="inlineStr">
        <is>
          <t>FY24-25</t>
        </is>
      </c>
      <c r="C965" t="inlineStr"/>
      <c r="D965" t="inlineStr"/>
      <c r="E965" t="n">
        <v>0</v>
      </c>
      <c r="F965" t="n">
        <v>0</v>
      </c>
      <c r="G965" t="n">
        <v>7392.52</v>
      </c>
      <c r="H965" t="n">
        <v>0</v>
      </c>
      <c r="I965" s="7">
        <f>F965*Summary!$B$5</f>
        <v/>
      </c>
      <c r="J965" s="7">
        <f>G965*Summary!$B$5</f>
        <v/>
      </c>
      <c r="K965" s="7">
        <f>H965*Summary!$B$5</f>
        <v/>
      </c>
    </row>
    <row r="966">
      <c r="A966" s="8" t="n">
        <v>45639</v>
      </c>
      <c r="B966" t="inlineStr">
        <is>
          <t>FY24-25</t>
        </is>
      </c>
      <c r="C966" t="inlineStr">
        <is>
          <t>CW</t>
        </is>
      </c>
      <c r="D966" t="inlineStr">
        <is>
          <t>09:16</t>
        </is>
      </c>
      <c r="E966" t="n">
        <v>6</v>
      </c>
      <c r="F966" t="n">
        <v>-36.27</v>
      </c>
      <c r="G966" t="n">
        <v>7356.26</v>
      </c>
      <c r="H966" t="n">
        <v>-36.27</v>
      </c>
      <c r="I966" s="7">
        <f>F966*Summary!$B$5</f>
        <v/>
      </c>
      <c r="J966" s="7">
        <f>G966*Summary!$B$5</f>
        <v/>
      </c>
      <c r="K966" s="7">
        <f>H966*Summary!$B$5</f>
        <v/>
      </c>
    </row>
    <row r="967">
      <c r="A967" s="8" t="n">
        <v>45642</v>
      </c>
      <c r="B967" t="inlineStr">
        <is>
          <t>FY24-25</t>
        </is>
      </c>
      <c r="C967" t="inlineStr">
        <is>
          <t>CW</t>
        </is>
      </c>
      <c r="D967" t="inlineStr">
        <is>
          <t>11:19</t>
        </is>
      </c>
      <c r="E967" t="n">
        <v>4</v>
      </c>
      <c r="F967" t="n">
        <v>27.5</v>
      </c>
      <c r="G967" t="n">
        <v>7383.76</v>
      </c>
      <c r="H967" t="n">
        <v>-8.77</v>
      </c>
      <c r="I967" s="7">
        <f>F967*Summary!$B$5</f>
        <v/>
      </c>
      <c r="J967" s="7">
        <f>G967*Summary!$B$5</f>
        <v/>
      </c>
      <c r="K967" s="7">
        <f>H967*Summary!$B$5</f>
        <v/>
      </c>
    </row>
    <row r="968">
      <c r="A968" s="8" t="n">
        <v>45643</v>
      </c>
      <c r="B968" t="inlineStr">
        <is>
          <t>FY24-25</t>
        </is>
      </c>
      <c r="C968" t="inlineStr">
        <is>
          <t>CW</t>
        </is>
      </c>
      <c r="D968" t="inlineStr">
        <is>
          <t>09:17</t>
        </is>
      </c>
      <c r="E968" t="n">
        <v>3</v>
      </c>
      <c r="F968" t="n">
        <v>-35.75</v>
      </c>
      <c r="G968" t="n">
        <v>7348.01</v>
      </c>
      <c r="H968" t="n">
        <v>-44.51</v>
      </c>
      <c r="I968" s="7">
        <f>F968*Summary!$B$5</f>
        <v/>
      </c>
      <c r="J968" s="7">
        <f>G968*Summary!$B$5</f>
        <v/>
      </c>
      <c r="K968" s="7">
        <f>H968*Summary!$B$5</f>
        <v/>
      </c>
    </row>
    <row r="969">
      <c r="A969" s="8" t="n">
        <v>45644</v>
      </c>
      <c r="B969" t="inlineStr">
        <is>
          <t>FY24-25</t>
        </is>
      </c>
      <c r="C969" t="inlineStr">
        <is>
          <t>CW</t>
        </is>
      </c>
      <c r="D969" t="inlineStr">
        <is>
          <t>09:17</t>
        </is>
      </c>
      <c r="E969" t="n">
        <v>2</v>
      </c>
      <c r="F969" t="n">
        <v>39.91</v>
      </c>
      <c r="G969" t="n">
        <v>7387.92</v>
      </c>
      <c r="H969" t="n">
        <v>-4.6</v>
      </c>
      <c r="I969" s="7">
        <f>F969*Summary!$B$5</f>
        <v/>
      </c>
      <c r="J969" s="7">
        <f>G969*Summary!$B$5</f>
        <v/>
      </c>
      <c r="K969" s="7">
        <f>H969*Summary!$B$5</f>
        <v/>
      </c>
    </row>
    <row r="970">
      <c r="A970" s="8" t="n">
        <v>45645</v>
      </c>
      <c r="B970" t="inlineStr">
        <is>
          <t>FY24-25</t>
        </is>
      </c>
      <c r="C970" t="inlineStr">
        <is>
          <t>CW</t>
        </is>
      </c>
      <c r="D970" t="inlineStr">
        <is>
          <t>09:16</t>
        </is>
      </c>
      <c r="E970" t="n">
        <v>1</v>
      </c>
      <c r="F970" t="n">
        <v>69.94</v>
      </c>
      <c r="G970" t="n">
        <v>7457.86</v>
      </c>
      <c r="H970" t="n">
        <v>0</v>
      </c>
      <c r="I970" s="7">
        <f>F970*Summary!$B$5</f>
        <v/>
      </c>
      <c r="J970" s="7">
        <f>G970*Summary!$B$5</f>
        <v/>
      </c>
      <c r="K970" s="7">
        <f>H970*Summary!$B$5</f>
        <v/>
      </c>
    </row>
    <row r="971">
      <c r="A971" s="8" t="n">
        <v>45646</v>
      </c>
      <c r="B971" t="inlineStr">
        <is>
          <t>FY24-25</t>
        </is>
      </c>
      <c r="C971" t="inlineStr"/>
      <c r="D971" t="inlineStr"/>
      <c r="E971" t="n">
        <v>0</v>
      </c>
      <c r="F971" t="n">
        <v>0</v>
      </c>
      <c r="G971" t="n">
        <v>7457.86</v>
      </c>
      <c r="H971" t="n">
        <v>0</v>
      </c>
      <c r="I971" s="7">
        <f>F971*Summary!$B$5</f>
        <v/>
      </c>
      <c r="J971" s="7">
        <f>G971*Summary!$B$5</f>
        <v/>
      </c>
      <c r="K971" s="7">
        <f>H971*Summary!$B$5</f>
        <v/>
      </c>
    </row>
    <row r="972">
      <c r="A972" s="8" t="n">
        <v>45649</v>
      </c>
      <c r="B972" t="inlineStr">
        <is>
          <t>FY24-25</t>
        </is>
      </c>
      <c r="C972" t="inlineStr">
        <is>
          <t>n/a</t>
        </is>
      </c>
      <c r="D972" t="inlineStr"/>
      <c r="E972" t="n">
        <v>0</v>
      </c>
      <c r="F972" t="n">
        <v>65.23999999999999</v>
      </c>
      <c r="G972" t="n">
        <v>7523.1</v>
      </c>
      <c r="H972" t="n">
        <v>0</v>
      </c>
      <c r="I972" s="7">
        <f>F972*Summary!$B$5</f>
        <v/>
      </c>
      <c r="J972" s="7">
        <f>G972*Summary!$B$5</f>
        <v/>
      </c>
      <c r="K972" s="7">
        <f>H972*Summary!$B$5</f>
        <v/>
      </c>
    </row>
    <row r="973">
      <c r="A973" s="8" t="n">
        <v>45650</v>
      </c>
      <c r="B973" t="inlineStr">
        <is>
          <t>FY24-25</t>
        </is>
      </c>
      <c r="C973" t="inlineStr">
        <is>
          <t>n/a</t>
        </is>
      </c>
      <c r="D973" t="inlineStr"/>
      <c r="E973" t="n">
        <v>0</v>
      </c>
      <c r="F973" t="n">
        <v>14.68</v>
      </c>
      <c r="G973" t="n">
        <v>7537.78</v>
      </c>
      <c r="H973" t="n">
        <v>0</v>
      </c>
      <c r="I973" s="7">
        <f>F973*Summary!$B$5</f>
        <v/>
      </c>
      <c r="J973" s="7">
        <f>G973*Summary!$B$5</f>
        <v/>
      </c>
      <c r="K973" s="7">
        <f>H973*Summary!$B$5</f>
        <v/>
      </c>
    </row>
    <row r="974">
      <c r="A974" s="8" t="n">
        <v>45652</v>
      </c>
      <c r="B974" t="inlineStr">
        <is>
          <t>FY24-25</t>
        </is>
      </c>
      <c r="C974" t="inlineStr">
        <is>
          <t>CW</t>
        </is>
      </c>
      <c r="D974" t="inlineStr">
        <is>
          <t>09:17</t>
        </is>
      </c>
      <c r="E974" t="n">
        <v>1</v>
      </c>
      <c r="F974" t="n">
        <v>-45.46</v>
      </c>
      <c r="G974" t="n">
        <v>7492.32</v>
      </c>
      <c r="H974" t="n">
        <v>-45.46</v>
      </c>
      <c r="I974" s="7">
        <f>F974*Summary!$B$5</f>
        <v/>
      </c>
      <c r="J974" s="7">
        <f>G974*Summary!$B$5</f>
        <v/>
      </c>
      <c r="K974" s="7">
        <f>H974*Summary!$B$5</f>
        <v/>
      </c>
    </row>
    <row r="975">
      <c r="A975" s="8" t="n">
        <v>45653</v>
      </c>
      <c r="B975" t="inlineStr">
        <is>
          <t>FY24-25</t>
        </is>
      </c>
      <c r="C975" t="inlineStr">
        <is>
          <t>n/a</t>
        </is>
      </c>
      <c r="D975" t="inlineStr"/>
      <c r="E975" t="n">
        <v>0</v>
      </c>
      <c r="F975" t="n">
        <v>60.32</v>
      </c>
      <c r="G975" t="n">
        <v>7552.64</v>
      </c>
      <c r="H975" t="n">
        <v>0</v>
      </c>
      <c r="I975" s="7">
        <f>F975*Summary!$B$5</f>
        <v/>
      </c>
      <c r="J975" s="7">
        <f>G975*Summary!$B$5</f>
        <v/>
      </c>
      <c r="K975" s="7">
        <f>H975*Summary!$B$5</f>
        <v/>
      </c>
    </row>
    <row r="976">
      <c r="A976" s="8" t="n">
        <v>45656</v>
      </c>
      <c r="B976" t="inlineStr">
        <is>
          <t>FY24-25</t>
        </is>
      </c>
      <c r="C976" t="inlineStr"/>
      <c r="D976" t="inlineStr"/>
      <c r="E976" t="n">
        <v>0</v>
      </c>
      <c r="F976" t="n">
        <v>0</v>
      </c>
      <c r="G976" t="n">
        <v>7552.64</v>
      </c>
      <c r="H976" t="n">
        <v>0</v>
      </c>
      <c r="I976" s="7">
        <f>F976*Summary!$B$5</f>
        <v/>
      </c>
      <c r="J976" s="7">
        <f>G976*Summary!$B$5</f>
        <v/>
      </c>
      <c r="K976" s="7">
        <f>H976*Summary!$B$5</f>
        <v/>
      </c>
    </row>
    <row r="977">
      <c r="A977" s="8" t="n">
        <v>45657</v>
      </c>
      <c r="B977" t="inlineStr">
        <is>
          <t>FY24-25</t>
        </is>
      </c>
      <c r="C977" t="inlineStr">
        <is>
          <t>n/a</t>
        </is>
      </c>
      <c r="D977" t="inlineStr"/>
      <c r="E977" t="n">
        <v>3</v>
      </c>
      <c r="F977" t="n">
        <v>-39.38</v>
      </c>
      <c r="G977" t="n">
        <v>7513.26</v>
      </c>
      <c r="H977" t="n">
        <v>-39.38</v>
      </c>
      <c r="I977" s="7">
        <f>F977*Summary!$B$5</f>
        <v/>
      </c>
      <c r="J977" s="7">
        <f>G977*Summary!$B$5</f>
        <v/>
      </c>
      <c r="K977" s="7">
        <f>H977*Summary!$B$5</f>
        <v/>
      </c>
    </row>
    <row r="978">
      <c r="A978" s="8" t="n">
        <v>45658</v>
      </c>
      <c r="B978" t="inlineStr">
        <is>
          <t>FY24-25</t>
        </is>
      </c>
      <c r="C978" t="inlineStr">
        <is>
          <t>CW</t>
        </is>
      </c>
      <c r="D978" t="inlineStr">
        <is>
          <t>10:50</t>
        </is>
      </c>
      <c r="E978" t="n">
        <v>2</v>
      </c>
      <c r="F978" t="n">
        <v>7.54</v>
      </c>
      <c r="G978" t="n">
        <v>7520.81</v>
      </c>
      <c r="H978" t="n">
        <v>-31.83</v>
      </c>
      <c r="I978" s="7">
        <f>F978*Summary!$B$5</f>
        <v/>
      </c>
      <c r="J978" s="7">
        <f>G978*Summary!$B$5</f>
        <v/>
      </c>
      <c r="K978" s="7">
        <f>H978*Summary!$B$5</f>
        <v/>
      </c>
    </row>
    <row r="979">
      <c r="A979" s="8" t="n">
        <v>45659</v>
      </c>
      <c r="B979" t="inlineStr">
        <is>
          <t>FY24-25</t>
        </is>
      </c>
      <c r="C979" t="inlineStr">
        <is>
          <t>CW</t>
        </is>
      </c>
      <c r="D979" t="inlineStr">
        <is>
          <t>09:16</t>
        </is>
      </c>
      <c r="E979" t="n">
        <v>1</v>
      </c>
      <c r="F979" t="n">
        <v>48.87</v>
      </c>
      <c r="G979" t="n">
        <v>7569.68</v>
      </c>
      <c r="H979" t="n">
        <v>0</v>
      </c>
      <c r="I979" s="7">
        <f>F979*Summary!$B$5</f>
        <v/>
      </c>
      <c r="J979" s="7">
        <f>G979*Summary!$B$5</f>
        <v/>
      </c>
      <c r="K979" s="7">
        <f>H979*Summary!$B$5</f>
        <v/>
      </c>
    </row>
    <row r="980">
      <c r="A980" s="8" t="n">
        <v>45660</v>
      </c>
      <c r="B980" t="inlineStr">
        <is>
          <t>FY24-25</t>
        </is>
      </c>
      <c r="C980" t="inlineStr">
        <is>
          <t>CW</t>
        </is>
      </c>
      <c r="D980" t="inlineStr">
        <is>
          <t>09:18</t>
        </is>
      </c>
      <c r="E980" t="n">
        <v>6</v>
      </c>
      <c r="F980" t="n">
        <v>29.46</v>
      </c>
      <c r="G980" t="n">
        <v>7599.14</v>
      </c>
      <c r="H980" t="n">
        <v>0</v>
      </c>
      <c r="I980" s="7">
        <f>F980*Summary!$B$5</f>
        <v/>
      </c>
      <c r="J980" s="7">
        <f>G980*Summary!$B$5</f>
        <v/>
      </c>
      <c r="K980" s="7">
        <f>H980*Summary!$B$5</f>
        <v/>
      </c>
    </row>
    <row r="981">
      <c r="A981" s="8" t="n">
        <v>45663</v>
      </c>
      <c r="B981" t="inlineStr">
        <is>
          <t>FY24-25</t>
        </is>
      </c>
      <c r="C981" t="inlineStr">
        <is>
          <t>CW</t>
        </is>
      </c>
      <c r="D981" t="inlineStr">
        <is>
          <t>09:17</t>
        </is>
      </c>
      <c r="E981" t="n">
        <v>4</v>
      </c>
      <c r="F981" t="n">
        <v>-38.58</v>
      </c>
      <c r="G981" t="n">
        <v>7560.56</v>
      </c>
      <c r="H981" t="n">
        <v>-38.58</v>
      </c>
      <c r="I981" s="7">
        <f>F981*Summary!$B$5</f>
        <v/>
      </c>
      <c r="J981" s="7">
        <f>G981*Summary!$B$5</f>
        <v/>
      </c>
      <c r="K981" s="7">
        <f>H981*Summary!$B$5</f>
        <v/>
      </c>
    </row>
    <row r="982">
      <c r="A982" s="8" t="n">
        <v>45664</v>
      </c>
      <c r="B982" t="inlineStr">
        <is>
          <t>FY24-25</t>
        </is>
      </c>
      <c r="C982" t="inlineStr">
        <is>
          <t>n/a</t>
        </is>
      </c>
      <c r="D982" t="inlineStr"/>
      <c r="E982" t="n">
        <v>0</v>
      </c>
      <c r="F982" t="n">
        <v>57.26</v>
      </c>
      <c r="G982" t="n">
        <v>7617.82</v>
      </c>
      <c r="H982" t="n">
        <v>0</v>
      </c>
      <c r="I982" s="7">
        <f>F982*Summary!$B$5</f>
        <v/>
      </c>
      <c r="J982" s="7">
        <f>G982*Summary!$B$5</f>
        <v/>
      </c>
      <c r="K982" s="7">
        <f>H982*Summary!$B$5</f>
        <v/>
      </c>
    </row>
    <row r="983">
      <c r="A983" s="8" t="n">
        <v>45665</v>
      </c>
      <c r="B983" t="inlineStr">
        <is>
          <t>FY24-25</t>
        </is>
      </c>
      <c r="C983" t="inlineStr">
        <is>
          <t>NW</t>
        </is>
      </c>
      <c r="D983" t="inlineStr"/>
      <c r="E983" t="n">
        <v>0</v>
      </c>
      <c r="F983" t="n">
        <v>22.01</v>
      </c>
      <c r="G983" t="n">
        <v>7639.83</v>
      </c>
      <c r="H983" t="n">
        <v>0</v>
      </c>
      <c r="I983" s="7">
        <f>F983*Summary!$B$5</f>
        <v/>
      </c>
      <c r="J983" s="7">
        <f>G983*Summary!$B$5</f>
        <v/>
      </c>
      <c r="K983" s="7">
        <f>H983*Summary!$B$5</f>
        <v/>
      </c>
    </row>
    <row r="984">
      <c r="A984" s="8" t="n">
        <v>45666</v>
      </c>
      <c r="B984" t="inlineStr">
        <is>
          <t>FY24-25</t>
        </is>
      </c>
      <c r="C984" t="inlineStr">
        <is>
          <t>NW</t>
        </is>
      </c>
      <c r="D984" t="inlineStr"/>
      <c r="E984" t="n">
        <v>0</v>
      </c>
      <c r="F984" t="n">
        <v>-3.57</v>
      </c>
      <c r="G984" t="n">
        <v>7636.27</v>
      </c>
      <c r="H984" t="n">
        <v>-3.57</v>
      </c>
      <c r="I984" s="7">
        <f>F984*Summary!$B$5</f>
        <v/>
      </c>
      <c r="J984" s="7">
        <f>G984*Summary!$B$5</f>
        <v/>
      </c>
      <c r="K984" s="7">
        <f>H984*Summary!$B$5</f>
        <v/>
      </c>
    </row>
    <row r="985">
      <c r="A985" s="8" t="n">
        <v>45667</v>
      </c>
      <c r="B985" t="inlineStr">
        <is>
          <t>FY24-25</t>
        </is>
      </c>
      <c r="C985" t="inlineStr">
        <is>
          <t>CW</t>
        </is>
      </c>
      <c r="D985" t="inlineStr">
        <is>
          <t>09:18</t>
        </is>
      </c>
      <c r="E985" t="n">
        <v>6</v>
      </c>
      <c r="F985" t="n">
        <v>-41.39</v>
      </c>
      <c r="G985" t="n">
        <v>7594.88</v>
      </c>
      <c r="H985" t="n">
        <v>-44.96</v>
      </c>
      <c r="I985" s="7">
        <f>F985*Summary!$B$5</f>
        <v/>
      </c>
      <c r="J985" s="7">
        <f>G985*Summary!$B$5</f>
        <v/>
      </c>
      <c r="K985" s="7">
        <f>H985*Summary!$B$5</f>
        <v/>
      </c>
    </row>
    <row r="986">
      <c r="A986" s="8" t="n">
        <v>45670</v>
      </c>
      <c r="B986" t="inlineStr">
        <is>
          <t>FY24-25</t>
        </is>
      </c>
      <c r="C986" t="inlineStr">
        <is>
          <t>CW</t>
        </is>
      </c>
      <c r="D986" t="inlineStr">
        <is>
          <t>09:17</t>
        </is>
      </c>
      <c r="E986" t="n">
        <v>4</v>
      </c>
      <c r="F986" t="n">
        <v>45.26</v>
      </c>
      <c r="G986" t="n">
        <v>7640.14</v>
      </c>
      <c r="H986" t="n">
        <v>0</v>
      </c>
      <c r="I986" s="7">
        <f>F986*Summary!$B$5</f>
        <v/>
      </c>
      <c r="J986" s="7">
        <f>G986*Summary!$B$5</f>
        <v/>
      </c>
      <c r="K986" s="7">
        <f>H986*Summary!$B$5</f>
        <v/>
      </c>
    </row>
    <row r="987">
      <c r="A987" s="8" t="n">
        <v>45671</v>
      </c>
      <c r="B987" t="inlineStr">
        <is>
          <t>FY24-25</t>
        </is>
      </c>
      <c r="C987" t="inlineStr">
        <is>
          <t>n/a</t>
        </is>
      </c>
      <c r="D987" t="inlineStr"/>
      <c r="E987" t="n">
        <v>0</v>
      </c>
      <c r="F987" t="n">
        <v>31.42</v>
      </c>
      <c r="G987" t="n">
        <v>7671.56</v>
      </c>
      <c r="H987" t="n">
        <v>0</v>
      </c>
      <c r="I987" s="7">
        <f>F987*Summary!$B$5</f>
        <v/>
      </c>
      <c r="J987" s="7">
        <f>G987*Summary!$B$5</f>
        <v/>
      </c>
      <c r="K987" s="7">
        <f>H987*Summary!$B$5</f>
        <v/>
      </c>
    </row>
    <row r="988">
      <c r="A988" s="8" t="n">
        <v>45672</v>
      </c>
      <c r="B988" t="inlineStr">
        <is>
          <t>FY24-25</t>
        </is>
      </c>
      <c r="C988" t="inlineStr"/>
      <c r="D988" t="inlineStr"/>
      <c r="E988" t="n">
        <v>0</v>
      </c>
      <c r="F988" t="n">
        <v>0</v>
      </c>
      <c r="G988" t="n">
        <v>7671.56</v>
      </c>
      <c r="H988" t="n">
        <v>0</v>
      </c>
      <c r="I988" s="7">
        <f>F988*Summary!$B$5</f>
        <v/>
      </c>
      <c r="J988" s="7">
        <f>G988*Summary!$B$5</f>
        <v/>
      </c>
      <c r="K988" s="7">
        <f>H988*Summary!$B$5</f>
        <v/>
      </c>
    </row>
    <row r="989">
      <c r="A989" s="8" t="n">
        <v>45673</v>
      </c>
      <c r="B989" t="inlineStr">
        <is>
          <t>FY24-25</t>
        </is>
      </c>
      <c r="C989" t="inlineStr">
        <is>
          <t>CW</t>
        </is>
      </c>
      <c r="D989" t="inlineStr">
        <is>
          <t>09:18</t>
        </is>
      </c>
      <c r="E989" t="n">
        <v>1</v>
      </c>
      <c r="F989" t="n">
        <v>40.09</v>
      </c>
      <c r="G989" t="n">
        <v>7711.65</v>
      </c>
      <c r="H989" t="n">
        <v>0</v>
      </c>
      <c r="I989" s="7">
        <f>F989*Summary!$B$5</f>
        <v/>
      </c>
      <c r="J989" s="7">
        <f>G989*Summary!$B$5</f>
        <v/>
      </c>
      <c r="K989" s="7">
        <f>H989*Summary!$B$5</f>
        <v/>
      </c>
    </row>
    <row r="990">
      <c r="A990" s="8" t="n">
        <v>45674</v>
      </c>
      <c r="B990" t="inlineStr">
        <is>
          <t>FY24-25</t>
        </is>
      </c>
      <c r="C990" t="inlineStr">
        <is>
          <t>CW</t>
        </is>
      </c>
      <c r="D990" t="inlineStr">
        <is>
          <t>09:18</t>
        </is>
      </c>
      <c r="E990" t="n">
        <v>6</v>
      </c>
      <c r="F990" t="n">
        <v>34.09</v>
      </c>
      <c r="G990" t="n">
        <v>7745.74</v>
      </c>
      <c r="H990" t="n">
        <v>0</v>
      </c>
      <c r="I990" s="7">
        <f>F990*Summary!$B$5</f>
        <v/>
      </c>
      <c r="J990" s="7">
        <f>G990*Summary!$B$5</f>
        <v/>
      </c>
      <c r="K990" s="7">
        <f>H990*Summary!$B$5</f>
        <v/>
      </c>
    </row>
    <row r="991">
      <c r="A991" s="8" t="n">
        <v>45677</v>
      </c>
      <c r="B991" t="inlineStr">
        <is>
          <t>FY24-25</t>
        </is>
      </c>
      <c r="C991" t="inlineStr">
        <is>
          <t>CW</t>
        </is>
      </c>
      <c r="D991" t="inlineStr">
        <is>
          <t>09:18</t>
        </is>
      </c>
      <c r="E991" t="n">
        <v>4</v>
      </c>
      <c r="F991" t="n">
        <v>-41.6</v>
      </c>
      <c r="G991" t="n">
        <v>7704.14</v>
      </c>
      <c r="H991" t="n">
        <v>-41.6</v>
      </c>
      <c r="I991" s="7">
        <f>F991*Summary!$B$5</f>
        <v/>
      </c>
      <c r="J991" s="7">
        <f>G991*Summary!$B$5</f>
        <v/>
      </c>
      <c r="K991" s="7">
        <f>H991*Summary!$B$5</f>
        <v/>
      </c>
    </row>
    <row r="992">
      <c r="A992" s="8" t="n">
        <v>45678</v>
      </c>
      <c r="B992" t="inlineStr">
        <is>
          <t>FY24-25</t>
        </is>
      </c>
      <c r="C992" t="inlineStr">
        <is>
          <t>CW</t>
        </is>
      </c>
      <c r="D992" t="inlineStr">
        <is>
          <t>09:18</t>
        </is>
      </c>
      <c r="E992" t="n">
        <v>3</v>
      </c>
      <c r="F992" t="n">
        <v>-36.03</v>
      </c>
      <c r="G992" t="n">
        <v>7668.11</v>
      </c>
      <c r="H992" t="n">
        <v>-77.63</v>
      </c>
      <c r="I992" s="7">
        <f>F992*Summary!$B$5</f>
        <v/>
      </c>
      <c r="J992" s="7">
        <f>G992*Summary!$B$5</f>
        <v/>
      </c>
      <c r="K992" s="7">
        <f>H992*Summary!$B$5</f>
        <v/>
      </c>
    </row>
    <row r="993">
      <c r="A993" s="8" t="n">
        <v>45679</v>
      </c>
      <c r="B993" t="inlineStr">
        <is>
          <t>FY24-25</t>
        </is>
      </c>
      <c r="C993" t="inlineStr"/>
      <c r="D993" t="inlineStr"/>
      <c r="E993" t="n">
        <v>0</v>
      </c>
      <c r="F993" t="n">
        <v>0</v>
      </c>
      <c r="G993" t="n">
        <v>7668.11</v>
      </c>
      <c r="H993" t="n">
        <v>-77.63</v>
      </c>
      <c r="I993" s="7">
        <f>F993*Summary!$B$5</f>
        <v/>
      </c>
      <c r="J993" s="7">
        <f>G993*Summary!$B$5</f>
        <v/>
      </c>
      <c r="K993" s="7">
        <f>H993*Summary!$B$5</f>
        <v/>
      </c>
    </row>
    <row r="994">
      <c r="A994" s="8" t="n">
        <v>45680</v>
      </c>
      <c r="B994" t="inlineStr">
        <is>
          <t>FY24-25</t>
        </is>
      </c>
      <c r="C994" t="inlineStr"/>
      <c r="D994" t="inlineStr"/>
      <c r="E994" t="n">
        <v>0</v>
      </c>
      <c r="F994" t="n">
        <v>0</v>
      </c>
      <c r="G994" t="n">
        <v>7668.11</v>
      </c>
      <c r="H994" t="n">
        <v>-77.63</v>
      </c>
      <c r="I994" s="7">
        <f>F994*Summary!$B$5</f>
        <v/>
      </c>
      <c r="J994" s="7">
        <f>G994*Summary!$B$5</f>
        <v/>
      </c>
      <c r="K994" s="7">
        <f>H994*Summary!$B$5</f>
        <v/>
      </c>
    </row>
    <row r="995">
      <c r="A995" s="8" t="n">
        <v>45681</v>
      </c>
      <c r="B995" t="inlineStr">
        <is>
          <t>FY24-25</t>
        </is>
      </c>
      <c r="C995" t="inlineStr">
        <is>
          <t>CW</t>
        </is>
      </c>
      <c r="D995" t="inlineStr">
        <is>
          <t>09:17</t>
        </is>
      </c>
      <c r="E995" t="n">
        <v>6</v>
      </c>
      <c r="F995" t="n">
        <v>0.22</v>
      </c>
      <c r="G995" t="n">
        <v>7668.34</v>
      </c>
      <c r="H995" t="n">
        <v>-77.40000000000001</v>
      </c>
      <c r="I995" s="7">
        <f>F995*Summary!$B$5</f>
        <v/>
      </c>
      <c r="J995" s="7">
        <f>G995*Summary!$B$5</f>
        <v/>
      </c>
      <c r="K995" s="7">
        <f>H995*Summary!$B$5</f>
        <v/>
      </c>
    </row>
    <row r="996">
      <c r="A996" s="8" t="n">
        <v>45684</v>
      </c>
      <c r="B996" t="inlineStr">
        <is>
          <t>FY24-25</t>
        </is>
      </c>
      <c r="C996" t="inlineStr">
        <is>
          <t>CW</t>
        </is>
      </c>
      <c r="D996" t="inlineStr">
        <is>
          <t>09:16</t>
        </is>
      </c>
      <c r="E996" t="n">
        <v>4</v>
      </c>
      <c r="F996" t="n">
        <v>26.51</v>
      </c>
      <c r="G996" t="n">
        <v>7694.85</v>
      </c>
      <c r="H996" t="n">
        <v>-50.89</v>
      </c>
      <c r="I996" s="7">
        <f>F996*Summary!$B$5</f>
        <v/>
      </c>
      <c r="J996" s="7">
        <f>G996*Summary!$B$5</f>
        <v/>
      </c>
      <c r="K996" s="7">
        <f>H996*Summary!$B$5</f>
        <v/>
      </c>
    </row>
    <row r="997">
      <c r="A997" s="8" t="n">
        <v>45685</v>
      </c>
      <c r="B997" t="inlineStr">
        <is>
          <t>FY24-25</t>
        </is>
      </c>
      <c r="C997" t="inlineStr">
        <is>
          <t>n/a</t>
        </is>
      </c>
      <c r="D997" t="inlineStr"/>
      <c r="E997" t="n">
        <v>3</v>
      </c>
      <c r="F997" t="n">
        <v>-38.82</v>
      </c>
      <c r="G997" t="n">
        <v>7656.03</v>
      </c>
      <c r="H997" t="n">
        <v>-89.70999999999999</v>
      </c>
      <c r="I997" s="7">
        <f>F997*Summary!$B$5</f>
        <v/>
      </c>
      <c r="J997" s="7">
        <f>G997*Summary!$B$5</f>
        <v/>
      </c>
      <c r="K997" s="7">
        <f>H997*Summary!$B$5</f>
        <v/>
      </c>
    </row>
    <row r="998">
      <c r="A998" s="8" t="n">
        <v>45686</v>
      </c>
      <c r="B998" t="inlineStr">
        <is>
          <t>FY24-25</t>
        </is>
      </c>
      <c r="C998" t="inlineStr">
        <is>
          <t>CW</t>
        </is>
      </c>
      <c r="D998" t="inlineStr">
        <is>
          <t>09:23</t>
        </is>
      </c>
      <c r="E998" t="n">
        <v>2</v>
      </c>
      <c r="F998" t="n">
        <v>-37.5</v>
      </c>
      <c r="G998" t="n">
        <v>7618.53</v>
      </c>
      <c r="H998" t="n">
        <v>-127.21</v>
      </c>
      <c r="I998" s="7">
        <f>F998*Summary!$B$5</f>
        <v/>
      </c>
      <c r="J998" s="7">
        <f>G998*Summary!$B$5</f>
        <v/>
      </c>
      <c r="K998" s="7">
        <f>H998*Summary!$B$5</f>
        <v/>
      </c>
    </row>
    <row r="999">
      <c r="A999" s="8" t="n">
        <v>45687</v>
      </c>
      <c r="B999" t="inlineStr">
        <is>
          <t>FY24-25</t>
        </is>
      </c>
      <c r="C999" t="inlineStr">
        <is>
          <t>CW</t>
        </is>
      </c>
      <c r="D999" t="inlineStr">
        <is>
          <t>09:16</t>
        </is>
      </c>
      <c r="E999" t="n">
        <v>1</v>
      </c>
      <c r="F999" t="n">
        <v>113.71</v>
      </c>
      <c r="G999" t="n">
        <v>7732.24</v>
      </c>
      <c r="H999" t="n">
        <v>-13.5</v>
      </c>
      <c r="I999" s="7">
        <f>F999*Summary!$B$5</f>
        <v/>
      </c>
      <c r="J999" s="7">
        <f>G999*Summary!$B$5</f>
        <v/>
      </c>
      <c r="K999" s="7">
        <f>H999*Summary!$B$5</f>
        <v/>
      </c>
    </row>
    <row r="1000">
      <c r="A1000" s="8" t="n">
        <v>45688</v>
      </c>
      <c r="B1000" t="inlineStr">
        <is>
          <t>FY24-25</t>
        </is>
      </c>
      <c r="C1000" t="inlineStr">
        <is>
          <t>CW</t>
        </is>
      </c>
      <c r="D1000" t="inlineStr">
        <is>
          <t>09:16</t>
        </is>
      </c>
      <c r="E1000" t="n">
        <v>6</v>
      </c>
      <c r="F1000" t="n">
        <v>47.78</v>
      </c>
      <c r="G1000" t="n">
        <v>7780.02</v>
      </c>
      <c r="H1000" t="n">
        <v>0</v>
      </c>
      <c r="I1000" s="7">
        <f>F1000*Summary!$B$5</f>
        <v/>
      </c>
      <c r="J1000" s="7">
        <f>G1000*Summary!$B$5</f>
        <v/>
      </c>
      <c r="K1000" s="7">
        <f>H1000*Summary!$B$5</f>
        <v/>
      </c>
    </row>
    <row r="1001">
      <c r="A1001" s="8" t="n">
        <v>45689</v>
      </c>
      <c r="B1001" t="inlineStr">
        <is>
          <t>FY24-25</t>
        </is>
      </c>
      <c r="C1001" t="inlineStr">
        <is>
          <t>CW</t>
        </is>
      </c>
      <c r="D1001" t="inlineStr">
        <is>
          <t>09:18</t>
        </is>
      </c>
      <c r="E1001" t="n">
        <v>5</v>
      </c>
      <c r="F1001" t="n">
        <v>-13.88</v>
      </c>
      <c r="G1001" t="n">
        <v>7766.14</v>
      </c>
      <c r="H1001" t="n">
        <v>-13.88</v>
      </c>
      <c r="I1001" s="7">
        <f>F1001*Summary!$B$5</f>
        <v/>
      </c>
      <c r="J1001" s="7">
        <f>G1001*Summary!$B$5</f>
        <v/>
      </c>
      <c r="K1001" s="7">
        <f>H1001*Summary!$B$5</f>
        <v/>
      </c>
    </row>
    <row r="1002">
      <c r="A1002" s="8" t="n">
        <v>45691</v>
      </c>
      <c r="B1002" t="inlineStr">
        <is>
          <t>FY24-25</t>
        </is>
      </c>
      <c r="C1002" t="inlineStr">
        <is>
          <t>n/a</t>
        </is>
      </c>
      <c r="D1002" t="inlineStr"/>
      <c r="E1002" t="n">
        <v>0</v>
      </c>
      <c r="F1002" t="n">
        <v>29.06</v>
      </c>
      <c r="G1002" t="n">
        <v>7795.2</v>
      </c>
      <c r="H1002" t="n">
        <v>0</v>
      </c>
      <c r="I1002" s="7">
        <f>F1002*Summary!$B$5</f>
        <v/>
      </c>
      <c r="J1002" s="7">
        <f>G1002*Summary!$B$5</f>
        <v/>
      </c>
      <c r="K1002" s="7">
        <f>H1002*Summary!$B$5</f>
        <v/>
      </c>
    </row>
    <row r="1003">
      <c r="A1003" s="8" t="n">
        <v>45692</v>
      </c>
      <c r="B1003" t="inlineStr">
        <is>
          <t>FY24-25</t>
        </is>
      </c>
      <c r="C1003" t="inlineStr">
        <is>
          <t>CW</t>
        </is>
      </c>
      <c r="D1003" t="inlineStr">
        <is>
          <t>10:37</t>
        </is>
      </c>
      <c r="E1003" t="n">
        <v>3</v>
      </c>
      <c r="F1003" t="n">
        <v>59.79</v>
      </c>
      <c r="G1003" t="n">
        <v>7855</v>
      </c>
      <c r="H1003" t="n">
        <v>0</v>
      </c>
      <c r="I1003" s="7">
        <f>F1003*Summary!$B$5</f>
        <v/>
      </c>
      <c r="J1003" s="7">
        <f>G1003*Summary!$B$5</f>
        <v/>
      </c>
      <c r="K1003" s="7">
        <f>H1003*Summary!$B$5</f>
        <v/>
      </c>
    </row>
    <row r="1004">
      <c r="A1004" s="8" t="n">
        <v>45693</v>
      </c>
      <c r="B1004" t="inlineStr">
        <is>
          <t>FY24-25</t>
        </is>
      </c>
      <c r="C1004" t="inlineStr">
        <is>
          <t>NW</t>
        </is>
      </c>
      <c r="D1004" t="inlineStr"/>
      <c r="E1004" t="n">
        <v>2</v>
      </c>
      <c r="F1004" t="n">
        <v>11.24</v>
      </c>
      <c r="G1004" t="n">
        <v>7866.23</v>
      </c>
      <c r="H1004" t="n">
        <v>0</v>
      </c>
      <c r="I1004" s="7">
        <f>F1004*Summary!$B$5</f>
        <v/>
      </c>
      <c r="J1004" s="7">
        <f>G1004*Summary!$B$5</f>
        <v/>
      </c>
      <c r="K1004" s="7">
        <f>H1004*Summary!$B$5</f>
        <v/>
      </c>
    </row>
    <row r="1005">
      <c r="A1005" s="8" t="n">
        <v>45694</v>
      </c>
      <c r="B1005" t="inlineStr">
        <is>
          <t>FY24-25</t>
        </is>
      </c>
      <c r="C1005" t="inlineStr">
        <is>
          <t>CW</t>
        </is>
      </c>
      <c r="D1005" t="inlineStr">
        <is>
          <t>09:23</t>
        </is>
      </c>
      <c r="E1005" t="n">
        <v>1</v>
      </c>
      <c r="F1005" t="n">
        <v>37.15</v>
      </c>
      <c r="G1005" t="n">
        <v>7903.38</v>
      </c>
      <c r="H1005" t="n">
        <v>0</v>
      </c>
      <c r="I1005" s="7">
        <f>F1005*Summary!$B$5</f>
        <v/>
      </c>
      <c r="J1005" s="7">
        <f>G1005*Summary!$B$5</f>
        <v/>
      </c>
      <c r="K1005" s="7">
        <f>H1005*Summary!$B$5</f>
        <v/>
      </c>
    </row>
    <row r="1006">
      <c r="A1006" s="8" t="n">
        <v>45695</v>
      </c>
      <c r="B1006" t="inlineStr">
        <is>
          <t>FY24-25</t>
        </is>
      </c>
      <c r="C1006" t="inlineStr">
        <is>
          <t>CW</t>
        </is>
      </c>
      <c r="D1006" t="inlineStr">
        <is>
          <t>09:16</t>
        </is>
      </c>
      <c r="E1006" t="n">
        <v>6</v>
      </c>
      <c r="F1006" t="n">
        <v>36.23</v>
      </c>
      <c r="G1006" t="n">
        <v>7939.61</v>
      </c>
      <c r="H1006" t="n">
        <v>0</v>
      </c>
      <c r="I1006" s="7">
        <f>F1006*Summary!$B$5</f>
        <v/>
      </c>
      <c r="J1006" s="7">
        <f>G1006*Summary!$B$5</f>
        <v/>
      </c>
      <c r="K1006" s="7">
        <f>H1006*Summary!$B$5</f>
        <v/>
      </c>
    </row>
    <row r="1007">
      <c r="A1007" s="8" t="n">
        <v>45698</v>
      </c>
      <c r="B1007" t="inlineStr">
        <is>
          <t>FY24-25</t>
        </is>
      </c>
      <c r="C1007" t="inlineStr"/>
      <c r="D1007" t="inlineStr"/>
      <c r="E1007" t="n">
        <v>0</v>
      </c>
      <c r="F1007" t="n">
        <v>0</v>
      </c>
      <c r="G1007" t="n">
        <v>7939.61</v>
      </c>
      <c r="H1007" t="n">
        <v>0</v>
      </c>
      <c r="I1007" s="7">
        <f>F1007*Summary!$B$5</f>
        <v/>
      </c>
      <c r="J1007" s="7">
        <f>G1007*Summary!$B$5</f>
        <v/>
      </c>
      <c r="K1007" s="7">
        <f>H1007*Summary!$B$5</f>
        <v/>
      </c>
    </row>
    <row r="1008">
      <c r="A1008" s="8" t="n">
        <v>45699</v>
      </c>
      <c r="B1008" t="inlineStr">
        <is>
          <t>FY24-25</t>
        </is>
      </c>
      <c r="C1008" t="inlineStr">
        <is>
          <t>CW</t>
        </is>
      </c>
      <c r="D1008" t="inlineStr">
        <is>
          <t>09:17</t>
        </is>
      </c>
      <c r="E1008" t="n">
        <v>3</v>
      </c>
      <c r="F1008" t="n">
        <v>54.82</v>
      </c>
      <c r="G1008" t="n">
        <v>7994.43</v>
      </c>
      <c r="H1008" t="n">
        <v>0</v>
      </c>
      <c r="I1008" s="7">
        <f>F1008*Summary!$B$5</f>
        <v/>
      </c>
      <c r="J1008" s="7">
        <f>G1008*Summary!$B$5</f>
        <v/>
      </c>
      <c r="K1008" s="7">
        <f>H1008*Summary!$B$5</f>
        <v/>
      </c>
    </row>
    <row r="1009">
      <c r="A1009" s="8" t="n">
        <v>45700</v>
      </c>
      <c r="B1009" t="inlineStr">
        <is>
          <t>FY24-25</t>
        </is>
      </c>
      <c r="C1009" t="inlineStr">
        <is>
          <t>CW</t>
        </is>
      </c>
      <c r="D1009" t="inlineStr">
        <is>
          <t>09:17</t>
        </is>
      </c>
      <c r="E1009" t="n">
        <v>2</v>
      </c>
      <c r="F1009" t="n">
        <v>-32.74</v>
      </c>
      <c r="G1009" t="n">
        <v>7961.69</v>
      </c>
      <c r="H1009" t="n">
        <v>-32.74</v>
      </c>
      <c r="I1009" s="7">
        <f>F1009*Summary!$B$5</f>
        <v/>
      </c>
      <c r="J1009" s="7">
        <f>G1009*Summary!$B$5</f>
        <v/>
      </c>
      <c r="K1009" s="7">
        <f>H1009*Summary!$B$5</f>
        <v/>
      </c>
    </row>
    <row r="1010">
      <c r="A1010" s="8" t="n">
        <v>45701</v>
      </c>
      <c r="B1010" t="inlineStr">
        <is>
          <t>FY24-25</t>
        </is>
      </c>
      <c r="C1010" t="inlineStr">
        <is>
          <t>CW</t>
        </is>
      </c>
      <c r="D1010" t="inlineStr">
        <is>
          <t>09:17</t>
        </is>
      </c>
      <c r="E1010" t="n">
        <v>1</v>
      </c>
      <c r="F1010" t="n">
        <v>15.23</v>
      </c>
      <c r="G1010" t="n">
        <v>7976.93</v>
      </c>
      <c r="H1010" t="n">
        <v>-17.5</v>
      </c>
      <c r="I1010" s="7">
        <f>F1010*Summary!$B$5</f>
        <v/>
      </c>
      <c r="J1010" s="7">
        <f>G1010*Summary!$B$5</f>
        <v/>
      </c>
      <c r="K1010" s="7">
        <f>H1010*Summary!$B$5</f>
        <v/>
      </c>
    </row>
    <row r="1011">
      <c r="A1011" s="8" t="n">
        <v>45702</v>
      </c>
      <c r="B1011" t="inlineStr">
        <is>
          <t>FY24-25</t>
        </is>
      </c>
      <c r="C1011" t="inlineStr"/>
      <c r="D1011" t="inlineStr"/>
      <c r="E1011" t="n">
        <v>0</v>
      </c>
      <c r="F1011" t="n">
        <v>0</v>
      </c>
      <c r="G1011" t="n">
        <v>7976.93</v>
      </c>
      <c r="H1011" t="n">
        <v>-17.5</v>
      </c>
      <c r="I1011" s="7">
        <f>F1011*Summary!$B$5</f>
        <v/>
      </c>
      <c r="J1011" s="7">
        <f>G1011*Summary!$B$5</f>
        <v/>
      </c>
      <c r="K1011" s="7">
        <f>H1011*Summary!$B$5</f>
        <v/>
      </c>
    </row>
    <row r="1012">
      <c r="A1012" s="8" t="n">
        <v>45705</v>
      </c>
      <c r="B1012" t="inlineStr">
        <is>
          <t>FY24-25</t>
        </is>
      </c>
      <c r="C1012" t="inlineStr">
        <is>
          <t>CW</t>
        </is>
      </c>
      <c r="D1012" t="inlineStr">
        <is>
          <t>09:22</t>
        </is>
      </c>
      <c r="E1012" t="n">
        <v>4</v>
      </c>
      <c r="F1012" t="n">
        <v>13.75</v>
      </c>
      <c r="G1012" t="n">
        <v>7990.67</v>
      </c>
      <c r="H1012" t="n">
        <v>-3.75</v>
      </c>
      <c r="I1012" s="7">
        <f>F1012*Summary!$B$5</f>
        <v/>
      </c>
      <c r="J1012" s="7">
        <f>G1012*Summary!$B$5</f>
        <v/>
      </c>
      <c r="K1012" s="7">
        <f>H1012*Summary!$B$5</f>
        <v/>
      </c>
    </row>
    <row r="1013">
      <c r="A1013" s="8" t="n">
        <v>45706</v>
      </c>
      <c r="B1013" t="inlineStr">
        <is>
          <t>FY24-25</t>
        </is>
      </c>
      <c r="C1013" t="inlineStr">
        <is>
          <t>CW</t>
        </is>
      </c>
      <c r="D1013" t="inlineStr">
        <is>
          <t>09:16</t>
        </is>
      </c>
      <c r="E1013" t="n">
        <v>3</v>
      </c>
      <c r="F1013" t="n">
        <v>39.91</v>
      </c>
      <c r="G1013" t="n">
        <v>8030.59</v>
      </c>
      <c r="H1013" t="n">
        <v>0</v>
      </c>
      <c r="I1013" s="7">
        <f>F1013*Summary!$B$5</f>
        <v/>
      </c>
      <c r="J1013" s="7">
        <f>G1013*Summary!$B$5</f>
        <v/>
      </c>
      <c r="K1013" s="7">
        <f>H1013*Summary!$B$5</f>
        <v/>
      </c>
    </row>
    <row r="1014">
      <c r="A1014" s="8" t="n">
        <v>45707</v>
      </c>
      <c r="B1014" t="inlineStr">
        <is>
          <t>FY24-25</t>
        </is>
      </c>
      <c r="C1014" t="inlineStr">
        <is>
          <t>CW</t>
        </is>
      </c>
      <c r="D1014" t="inlineStr">
        <is>
          <t>09:17</t>
        </is>
      </c>
      <c r="E1014" t="n">
        <v>2</v>
      </c>
      <c r="F1014" t="n">
        <v>1.5</v>
      </c>
      <c r="G1014" t="n">
        <v>8032.09</v>
      </c>
      <c r="H1014" t="n">
        <v>0</v>
      </c>
      <c r="I1014" s="7">
        <f>F1014*Summary!$B$5</f>
        <v/>
      </c>
      <c r="J1014" s="7">
        <f>G1014*Summary!$B$5</f>
        <v/>
      </c>
      <c r="K1014" s="7">
        <f>H1014*Summary!$B$5</f>
        <v/>
      </c>
    </row>
    <row r="1015">
      <c r="A1015" s="8" t="n">
        <v>45708</v>
      </c>
      <c r="B1015" t="inlineStr">
        <is>
          <t>FY24-25</t>
        </is>
      </c>
      <c r="C1015" t="inlineStr">
        <is>
          <t>CW</t>
        </is>
      </c>
      <c r="D1015" t="inlineStr">
        <is>
          <t>09:16</t>
        </is>
      </c>
      <c r="E1015" t="n">
        <v>1</v>
      </c>
      <c r="F1015" t="n">
        <v>66.43000000000001</v>
      </c>
      <c r="G1015" t="n">
        <v>8098.52</v>
      </c>
      <c r="H1015" t="n">
        <v>0</v>
      </c>
      <c r="I1015" s="7">
        <f>F1015*Summary!$B$5</f>
        <v/>
      </c>
      <c r="J1015" s="7">
        <f>G1015*Summary!$B$5</f>
        <v/>
      </c>
      <c r="K1015" s="7">
        <f>H1015*Summary!$B$5</f>
        <v/>
      </c>
    </row>
    <row r="1016">
      <c r="A1016" s="8" t="n">
        <v>45709</v>
      </c>
      <c r="B1016" t="inlineStr">
        <is>
          <t>FY24-25</t>
        </is>
      </c>
      <c r="C1016" t="inlineStr">
        <is>
          <t>CW</t>
        </is>
      </c>
      <c r="D1016" t="inlineStr">
        <is>
          <t>09:18</t>
        </is>
      </c>
      <c r="E1016" t="n">
        <v>6</v>
      </c>
      <c r="F1016" t="n">
        <v>20.38</v>
      </c>
      <c r="G1016" t="n">
        <v>8118.91</v>
      </c>
      <c r="H1016" t="n">
        <v>0</v>
      </c>
      <c r="I1016" s="7">
        <f>F1016*Summary!$B$5</f>
        <v/>
      </c>
      <c r="J1016" s="7">
        <f>G1016*Summary!$B$5</f>
        <v/>
      </c>
      <c r="K1016" s="7">
        <f>H1016*Summary!$B$5</f>
        <v/>
      </c>
    </row>
    <row r="1017">
      <c r="A1017" s="8" t="n">
        <v>45712</v>
      </c>
      <c r="B1017" t="inlineStr">
        <is>
          <t>FY24-25</t>
        </is>
      </c>
      <c r="C1017" t="inlineStr">
        <is>
          <t>CW</t>
        </is>
      </c>
      <c r="D1017" t="inlineStr">
        <is>
          <t>09:17</t>
        </is>
      </c>
      <c r="E1017" t="n">
        <v>4</v>
      </c>
      <c r="F1017" t="n">
        <v>41.79</v>
      </c>
      <c r="G1017" t="n">
        <v>8160.69</v>
      </c>
      <c r="H1017" t="n">
        <v>0</v>
      </c>
      <c r="I1017" s="7">
        <f>F1017*Summary!$B$5</f>
        <v/>
      </c>
      <c r="J1017" s="7">
        <f>G1017*Summary!$B$5</f>
        <v/>
      </c>
      <c r="K1017" s="7">
        <f>H1017*Summary!$B$5</f>
        <v/>
      </c>
    </row>
    <row r="1018">
      <c r="A1018" s="8" t="n">
        <v>45713</v>
      </c>
      <c r="B1018" t="inlineStr">
        <is>
          <t>FY24-25</t>
        </is>
      </c>
      <c r="C1018" t="inlineStr"/>
      <c r="D1018" t="inlineStr"/>
      <c r="E1018" t="n">
        <v>0</v>
      </c>
      <c r="F1018" t="n">
        <v>0</v>
      </c>
      <c r="G1018" t="n">
        <v>8160.69</v>
      </c>
      <c r="H1018" t="n">
        <v>0</v>
      </c>
      <c r="I1018" s="7">
        <f>F1018*Summary!$B$5</f>
        <v/>
      </c>
      <c r="J1018" s="7">
        <f>G1018*Summary!$B$5</f>
        <v/>
      </c>
      <c r="K1018" s="7">
        <f>H1018*Summary!$B$5</f>
        <v/>
      </c>
    </row>
    <row r="1019">
      <c r="A1019" s="8" t="n">
        <v>45715</v>
      </c>
      <c r="B1019" t="inlineStr">
        <is>
          <t>FY24-25</t>
        </is>
      </c>
      <c r="C1019" t="inlineStr"/>
      <c r="D1019" t="inlineStr"/>
      <c r="E1019" t="n">
        <v>0</v>
      </c>
      <c r="F1019" t="n">
        <v>0</v>
      </c>
      <c r="G1019" t="n">
        <v>8160.69</v>
      </c>
      <c r="H1019" t="n">
        <v>0</v>
      </c>
      <c r="I1019" s="7">
        <f>F1019*Summary!$B$5</f>
        <v/>
      </c>
      <c r="J1019" s="7">
        <f>G1019*Summary!$B$5</f>
        <v/>
      </c>
      <c r="K1019" s="7">
        <f>H1019*Summary!$B$5</f>
        <v/>
      </c>
    </row>
    <row r="1020">
      <c r="A1020" s="8" t="n">
        <v>45716</v>
      </c>
      <c r="B1020" t="inlineStr">
        <is>
          <t>FY24-25</t>
        </is>
      </c>
      <c r="C1020" t="inlineStr">
        <is>
          <t>CW</t>
        </is>
      </c>
      <c r="D1020" t="inlineStr">
        <is>
          <t>09:16</t>
        </is>
      </c>
      <c r="E1020" t="n">
        <v>6</v>
      </c>
      <c r="F1020" t="n">
        <v>35.69</v>
      </c>
      <c r="G1020" t="n">
        <v>8196.379999999999</v>
      </c>
      <c r="H1020" t="n">
        <v>0</v>
      </c>
      <c r="I1020" s="7">
        <f>F1020*Summary!$B$5</f>
        <v/>
      </c>
      <c r="J1020" s="7">
        <f>G1020*Summary!$B$5</f>
        <v/>
      </c>
      <c r="K1020" s="7">
        <f>H1020*Summary!$B$5</f>
        <v/>
      </c>
    </row>
    <row r="1021">
      <c r="A1021" s="8" t="n">
        <v>45719</v>
      </c>
      <c r="B1021" t="inlineStr">
        <is>
          <t>FY24-25</t>
        </is>
      </c>
      <c r="C1021" t="inlineStr">
        <is>
          <t>n/a</t>
        </is>
      </c>
      <c r="D1021" t="inlineStr"/>
      <c r="E1021" t="n">
        <v>0</v>
      </c>
      <c r="F1021" t="n">
        <v>-10.77</v>
      </c>
      <c r="G1021" t="n">
        <v>8185.62</v>
      </c>
      <c r="H1021" t="n">
        <v>-10.77</v>
      </c>
      <c r="I1021" s="7">
        <f>F1021*Summary!$B$5</f>
        <v/>
      </c>
      <c r="J1021" s="7">
        <f>G1021*Summary!$B$5</f>
        <v/>
      </c>
      <c r="K1021" s="7">
        <f>H1021*Summary!$B$5</f>
        <v/>
      </c>
    </row>
    <row r="1022">
      <c r="A1022" s="8" t="n">
        <v>45720</v>
      </c>
      <c r="B1022" t="inlineStr">
        <is>
          <t>FY24-25</t>
        </is>
      </c>
      <c r="C1022" t="inlineStr"/>
      <c r="D1022" t="inlineStr"/>
      <c r="E1022" t="n">
        <v>0</v>
      </c>
      <c r="F1022" t="n">
        <v>0</v>
      </c>
      <c r="G1022" t="n">
        <v>8185.62</v>
      </c>
      <c r="H1022" t="n">
        <v>-10.77</v>
      </c>
      <c r="I1022" s="7">
        <f>F1022*Summary!$B$5</f>
        <v/>
      </c>
      <c r="J1022" s="7">
        <f>G1022*Summary!$B$5</f>
        <v/>
      </c>
      <c r="K1022" s="7">
        <f>H1022*Summary!$B$5</f>
        <v/>
      </c>
    </row>
    <row r="1023">
      <c r="A1023" s="8" t="n">
        <v>45721</v>
      </c>
      <c r="B1023" t="inlineStr">
        <is>
          <t>FY24-25</t>
        </is>
      </c>
      <c r="C1023" t="inlineStr"/>
      <c r="D1023" t="inlineStr"/>
      <c r="E1023" t="n">
        <v>0</v>
      </c>
      <c r="F1023" t="n">
        <v>0</v>
      </c>
      <c r="G1023" t="n">
        <v>8185.62</v>
      </c>
      <c r="H1023" t="n">
        <v>-10.77</v>
      </c>
      <c r="I1023" s="7">
        <f>F1023*Summary!$B$5</f>
        <v/>
      </c>
      <c r="J1023" s="7">
        <f>G1023*Summary!$B$5</f>
        <v/>
      </c>
      <c r="K1023" s="7">
        <f>H1023*Summary!$B$5</f>
        <v/>
      </c>
    </row>
    <row r="1024">
      <c r="A1024" s="8" t="n">
        <v>45722</v>
      </c>
      <c r="B1024" t="inlineStr">
        <is>
          <t>FY24-25</t>
        </is>
      </c>
      <c r="C1024" t="inlineStr">
        <is>
          <t>NW</t>
        </is>
      </c>
      <c r="D1024" t="inlineStr"/>
      <c r="E1024" t="n">
        <v>0</v>
      </c>
      <c r="F1024" t="n">
        <v>-40.57</v>
      </c>
      <c r="G1024" t="n">
        <v>8145.04</v>
      </c>
      <c r="H1024" t="n">
        <v>-51.34</v>
      </c>
      <c r="I1024" s="7">
        <f>F1024*Summary!$B$5</f>
        <v/>
      </c>
      <c r="J1024" s="7">
        <f>G1024*Summary!$B$5</f>
        <v/>
      </c>
      <c r="K1024" s="7">
        <f>H1024*Summary!$B$5</f>
        <v/>
      </c>
    </row>
    <row r="1025">
      <c r="A1025" s="8" t="n">
        <v>45723</v>
      </c>
      <c r="B1025" t="inlineStr">
        <is>
          <t>FY24-25</t>
        </is>
      </c>
      <c r="C1025" t="inlineStr">
        <is>
          <t>CW</t>
        </is>
      </c>
      <c r="D1025" t="inlineStr">
        <is>
          <t>09:18</t>
        </is>
      </c>
      <c r="E1025" t="n">
        <v>6</v>
      </c>
      <c r="F1025" t="n">
        <v>10.3</v>
      </c>
      <c r="G1025" t="n">
        <v>8155.34</v>
      </c>
      <c r="H1025" t="n">
        <v>-41.04</v>
      </c>
      <c r="I1025" s="7">
        <f>F1025*Summary!$B$5</f>
        <v/>
      </c>
      <c r="J1025" s="7">
        <f>G1025*Summary!$B$5</f>
        <v/>
      </c>
      <c r="K1025" s="7">
        <f>H1025*Summary!$B$5</f>
        <v/>
      </c>
    </row>
    <row r="1026">
      <c r="A1026" s="8" t="n">
        <v>45726</v>
      </c>
      <c r="B1026" t="inlineStr">
        <is>
          <t>FY24-25</t>
        </is>
      </c>
      <c r="C1026" t="inlineStr">
        <is>
          <t>CW</t>
        </is>
      </c>
      <c r="D1026" t="inlineStr">
        <is>
          <t>09:18</t>
        </is>
      </c>
      <c r="E1026" t="n">
        <v>4</v>
      </c>
      <c r="F1026" t="n">
        <v>5.07</v>
      </c>
      <c r="G1026" t="n">
        <v>8160.41</v>
      </c>
      <c r="H1026" t="n">
        <v>-35.98</v>
      </c>
      <c r="I1026" s="7">
        <f>F1026*Summary!$B$5</f>
        <v/>
      </c>
      <c r="J1026" s="7">
        <f>G1026*Summary!$B$5</f>
        <v/>
      </c>
      <c r="K1026" s="7">
        <f>H1026*Summary!$B$5</f>
        <v/>
      </c>
    </row>
    <row r="1027">
      <c r="A1027" s="8" t="n">
        <v>45727</v>
      </c>
      <c r="B1027" t="inlineStr">
        <is>
          <t>FY24-25</t>
        </is>
      </c>
      <c r="C1027" t="inlineStr">
        <is>
          <t>CW</t>
        </is>
      </c>
      <c r="D1027" t="inlineStr">
        <is>
          <t>09:17</t>
        </is>
      </c>
      <c r="E1027" t="n">
        <v>3</v>
      </c>
      <c r="F1027" t="n">
        <v>-9.43</v>
      </c>
      <c r="G1027" t="n">
        <v>8150.97</v>
      </c>
      <c r="H1027" t="n">
        <v>-45.41</v>
      </c>
      <c r="I1027" s="7">
        <f>F1027*Summary!$B$5</f>
        <v/>
      </c>
      <c r="J1027" s="7">
        <f>G1027*Summary!$B$5</f>
        <v/>
      </c>
      <c r="K1027" s="7">
        <f>H1027*Summary!$B$5</f>
        <v/>
      </c>
    </row>
    <row r="1028">
      <c r="A1028" s="8" t="n">
        <v>45728</v>
      </c>
      <c r="B1028" t="inlineStr">
        <is>
          <t>FY24-25</t>
        </is>
      </c>
      <c r="C1028" t="inlineStr"/>
      <c r="D1028" t="inlineStr"/>
      <c r="E1028" t="n">
        <v>0</v>
      </c>
      <c r="F1028" t="n">
        <v>0</v>
      </c>
      <c r="G1028" t="n">
        <v>8150.97</v>
      </c>
      <c r="H1028" t="n">
        <v>-45.41</v>
      </c>
      <c r="I1028" s="7">
        <f>F1028*Summary!$B$5</f>
        <v/>
      </c>
      <c r="J1028" s="7">
        <f>G1028*Summary!$B$5</f>
        <v/>
      </c>
      <c r="K1028" s="7">
        <f>H1028*Summary!$B$5</f>
        <v/>
      </c>
    </row>
    <row r="1029">
      <c r="A1029" s="8" t="n">
        <v>45729</v>
      </c>
      <c r="B1029" t="inlineStr">
        <is>
          <t>FY24-25</t>
        </is>
      </c>
      <c r="C1029" t="inlineStr"/>
      <c r="D1029" t="inlineStr"/>
      <c r="E1029" t="n">
        <v>0</v>
      </c>
      <c r="F1029" t="n">
        <v>0</v>
      </c>
      <c r="G1029" t="n">
        <v>8150.97</v>
      </c>
      <c r="H1029" t="n">
        <v>-45.41</v>
      </c>
      <c r="I1029" s="7">
        <f>F1029*Summary!$B$5</f>
        <v/>
      </c>
      <c r="J1029" s="7">
        <f>G1029*Summary!$B$5</f>
        <v/>
      </c>
      <c r="K1029" s="7">
        <f>H1029*Summary!$B$5</f>
        <v/>
      </c>
    </row>
    <row r="1030">
      <c r="A1030" s="8" t="n">
        <v>45733</v>
      </c>
      <c r="B1030" t="inlineStr">
        <is>
          <t>FY24-25</t>
        </is>
      </c>
      <c r="C1030" t="inlineStr"/>
      <c r="D1030" t="inlineStr"/>
      <c r="E1030" t="n">
        <v>0</v>
      </c>
      <c r="F1030" t="n">
        <v>0</v>
      </c>
      <c r="G1030" t="n">
        <v>8150.97</v>
      </c>
      <c r="H1030" t="n">
        <v>-45.41</v>
      </c>
      <c r="I1030" s="7">
        <f>F1030*Summary!$B$5</f>
        <v/>
      </c>
      <c r="J1030" s="7">
        <f>G1030*Summary!$B$5</f>
        <v/>
      </c>
      <c r="K1030" s="7">
        <f>H1030*Summary!$B$5</f>
        <v/>
      </c>
    </row>
    <row r="1031">
      <c r="A1031" s="8" t="n">
        <v>45734</v>
      </c>
      <c r="B1031" t="inlineStr">
        <is>
          <t>FY24-25</t>
        </is>
      </c>
      <c r="C1031" t="inlineStr">
        <is>
          <t>CW</t>
        </is>
      </c>
      <c r="D1031" t="inlineStr">
        <is>
          <t>09:18</t>
        </is>
      </c>
      <c r="E1031" t="n">
        <v>3</v>
      </c>
      <c r="F1031" t="n">
        <v>-36.31</v>
      </c>
      <c r="G1031" t="n">
        <v>8114.66</v>
      </c>
      <c r="H1031" t="n">
        <v>-81.72</v>
      </c>
      <c r="I1031" s="7">
        <f>F1031*Summary!$B$5</f>
        <v/>
      </c>
      <c r="J1031" s="7">
        <f>G1031*Summary!$B$5</f>
        <v/>
      </c>
      <c r="K1031" s="7">
        <f>H1031*Summary!$B$5</f>
        <v/>
      </c>
    </row>
    <row r="1032">
      <c r="A1032" s="8" t="n">
        <v>45735</v>
      </c>
      <c r="B1032" t="inlineStr">
        <is>
          <t>FY24-25</t>
        </is>
      </c>
      <c r="C1032" t="inlineStr">
        <is>
          <t>CW</t>
        </is>
      </c>
      <c r="D1032" t="inlineStr">
        <is>
          <t>09:17</t>
        </is>
      </c>
      <c r="E1032" t="n">
        <v>2</v>
      </c>
      <c r="F1032" t="n">
        <v>-20.07</v>
      </c>
      <c r="G1032" t="n">
        <v>8094.59</v>
      </c>
      <c r="H1032" t="n">
        <v>-101.79</v>
      </c>
      <c r="I1032" s="7">
        <f>F1032*Summary!$B$5</f>
        <v/>
      </c>
      <c r="J1032" s="7">
        <f>G1032*Summary!$B$5</f>
        <v/>
      </c>
      <c r="K1032" s="7">
        <f>H1032*Summary!$B$5</f>
        <v/>
      </c>
    </row>
    <row r="1033">
      <c r="A1033" s="8" t="n">
        <v>45736</v>
      </c>
      <c r="B1033" t="inlineStr">
        <is>
          <t>FY24-25</t>
        </is>
      </c>
      <c r="C1033" t="inlineStr"/>
      <c r="D1033" t="inlineStr"/>
      <c r="E1033" t="n">
        <v>0</v>
      </c>
      <c r="F1033" t="n">
        <v>0</v>
      </c>
      <c r="G1033" t="n">
        <v>8094.59</v>
      </c>
      <c r="H1033" t="n">
        <v>-101.79</v>
      </c>
      <c r="I1033" s="7">
        <f>F1033*Summary!$B$5</f>
        <v/>
      </c>
      <c r="J1033" s="7">
        <f>G1033*Summary!$B$5</f>
        <v/>
      </c>
      <c r="K1033" s="7">
        <f>H1033*Summary!$B$5</f>
        <v/>
      </c>
    </row>
    <row r="1034">
      <c r="A1034" s="8" t="n">
        <v>45737</v>
      </c>
      <c r="B1034" t="inlineStr">
        <is>
          <t>FY24-25</t>
        </is>
      </c>
      <c r="C1034" t="inlineStr">
        <is>
          <t>n/a</t>
        </is>
      </c>
      <c r="D1034" t="inlineStr"/>
      <c r="E1034" t="n">
        <v>0</v>
      </c>
      <c r="F1034" t="n">
        <v>-23.74</v>
      </c>
      <c r="G1034" t="n">
        <v>8070.86</v>
      </c>
      <c r="H1034" t="n">
        <v>-125.53</v>
      </c>
      <c r="I1034" s="7">
        <f>F1034*Summary!$B$5</f>
        <v/>
      </c>
      <c r="J1034" s="7">
        <f>G1034*Summary!$B$5</f>
        <v/>
      </c>
      <c r="K1034" s="7">
        <f>H1034*Summary!$B$5</f>
        <v/>
      </c>
    </row>
    <row r="1035">
      <c r="A1035" s="8" t="n">
        <v>45740</v>
      </c>
      <c r="B1035" t="inlineStr">
        <is>
          <t>FY24-25</t>
        </is>
      </c>
      <c r="C1035" t="inlineStr">
        <is>
          <t>CW</t>
        </is>
      </c>
      <c r="D1035" t="inlineStr">
        <is>
          <t>09:18</t>
        </is>
      </c>
      <c r="E1035" t="n">
        <v>4</v>
      </c>
      <c r="F1035" t="n">
        <v>-36.58</v>
      </c>
      <c r="G1035" t="n">
        <v>8034.27</v>
      </c>
      <c r="H1035" t="n">
        <v>-162.11</v>
      </c>
      <c r="I1035" s="7">
        <f>F1035*Summary!$B$5</f>
        <v/>
      </c>
      <c r="J1035" s="7">
        <f>G1035*Summary!$B$5</f>
        <v/>
      </c>
      <c r="K1035" s="7">
        <f>H1035*Summary!$B$5</f>
        <v/>
      </c>
    </row>
    <row r="1036">
      <c r="A1036" s="8" t="n">
        <v>45741</v>
      </c>
      <c r="B1036" t="inlineStr">
        <is>
          <t>FY24-25</t>
        </is>
      </c>
      <c r="C1036" t="inlineStr">
        <is>
          <t>CW</t>
        </is>
      </c>
      <c r="D1036" t="inlineStr">
        <is>
          <t>09:17</t>
        </is>
      </c>
      <c r="E1036" t="n">
        <v>3</v>
      </c>
      <c r="F1036" t="n">
        <v>43.83</v>
      </c>
      <c r="G1036" t="n">
        <v>8078.11</v>
      </c>
      <c r="H1036" t="n">
        <v>-118.27</v>
      </c>
      <c r="I1036" s="7">
        <f>F1036*Summary!$B$5</f>
        <v/>
      </c>
      <c r="J1036" s="7">
        <f>G1036*Summary!$B$5</f>
        <v/>
      </c>
      <c r="K1036" s="7">
        <f>H1036*Summary!$B$5</f>
        <v/>
      </c>
    </row>
    <row r="1037">
      <c r="A1037" s="8" t="n">
        <v>45742</v>
      </c>
      <c r="B1037" t="inlineStr">
        <is>
          <t>FY24-25</t>
        </is>
      </c>
      <c r="C1037" t="inlineStr">
        <is>
          <t>CW</t>
        </is>
      </c>
      <c r="D1037" t="inlineStr">
        <is>
          <t>09:18</t>
        </is>
      </c>
      <c r="E1037" t="n">
        <v>2</v>
      </c>
      <c r="F1037" t="n">
        <v>12.29</v>
      </c>
      <c r="G1037" t="n">
        <v>8090.4</v>
      </c>
      <c r="H1037" t="n">
        <v>-105.98</v>
      </c>
      <c r="I1037" s="7">
        <f>F1037*Summary!$B$5</f>
        <v/>
      </c>
      <c r="J1037" s="7">
        <f>G1037*Summary!$B$5</f>
        <v/>
      </c>
      <c r="K1037" s="7">
        <f>H1037*Summary!$B$5</f>
        <v/>
      </c>
    </row>
    <row r="1038">
      <c r="A1038" s="8" t="n">
        <v>45743</v>
      </c>
      <c r="B1038" t="inlineStr">
        <is>
          <t>FY24-25</t>
        </is>
      </c>
      <c r="C1038" t="inlineStr">
        <is>
          <t>CW</t>
        </is>
      </c>
      <c r="D1038" t="inlineStr">
        <is>
          <t>09:18</t>
        </is>
      </c>
      <c r="E1038" t="n">
        <v>1</v>
      </c>
      <c r="F1038" t="n">
        <v>4.25</v>
      </c>
      <c r="G1038" t="n">
        <v>8094.65</v>
      </c>
      <c r="H1038" t="n">
        <v>-101.74</v>
      </c>
      <c r="I1038" s="7">
        <f>F1038*Summary!$B$5</f>
        <v/>
      </c>
      <c r="J1038" s="7">
        <f>G1038*Summary!$B$5</f>
        <v/>
      </c>
      <c r="K1038" s="7">
        <f>H1038*Summary!$B$5</f>
        <v/>
      </c>
    </row>
    <row r="1039">
      <c r="A1039" s="8" t="n">
        <v>45744</v>
      </c>
      <c r="B1039" t="inlineStr">
        <is>
          <t>FY24-25</t>
        </is>
      </c>
      <c r="C1039" t="inlineStr">
        <is>
          <t>CW</t>
        </is>
      </c>
      <c r="D1039" t="inlineStr">
        <is>
          <t>09:16</t>
        </is>
      </c>
      <c r="E1039" t="n">
        <v>6</v>
      </c>
      <c r="F1039" t="n">
        <v>27.3</v>
      </c>
      <c r="G1039" t="n">
        <v>8121.94</v>
      </c>
      <c r="H1039" t="n">
        <v>-74.44</v>
      </c>
      <c r="I1039" s="7">
        <f>F1039*Summary!$B$5</f>
        <v/>
      </c>
      <c r="J1039" s="7">
        <f>G1039*Summary!$B$5</f>
        <v/>
      </c>
      <c r="K1039" s="7">
        <f>H1039*Summary!$B$5</f>
        <v/>
      </c>
    </row>
    <row r="1040">
      <c r="A1040" s="8" t="n">
        <v>45748</v>
      </c>
      <c r="B1040" t="inlineStr">
        <is>
          <t>FY25-26</t>
        </is>
      </c>
      <c r="C1040" t="inlineStr">
        <is>
          <t>n/a</t>
        </is>
      </c>
      <c r="D1040" t="inlineStr"/>
      <c r="E1040" t="n">
        <v>0</v>
      </c>
      <c r="F1040" t="n">
        <v>-11.01</v>
      </c>
      <c r="G1040" t="n">
        <v>8110.94</v>
      </c>
      <c r="H1040" t="n">
        <v>-85.44</v>
      </c>
      <c r="I1040" s="7">
        <f>F1040*Summary!$B$5</f>
        <v/>
      </c>
      <c r="J1040" s="7">
        <f>G1040*Summary!$B$5</f>
        <v/>
      </c>
      <c r="K1040" s="7">
        <f>H1040*Summary!$B$5</f>
        <v/>
      </c>
    </row>
    <row r="1041">
      <c r="A1041" s="8" t="n">
        <v>45749</v>
      </c>
      <c r="B1041" t="inlineStr">
        <is>
          <t>FY25-26</t>
        </is>
      </c>
      <c r="C1041" t="inlineStr">
        <is>
          <t>CW</t>
        </is>
      </c>
      <c r="D1041" t="inlineStr">
        <is>
          <t>09:19</t>
        </is>
      </c>
      <c r="E1041" t="n">
        <v>2</v>
      </c>
      <c r="F1041" t="n">
        <v>8.550000000000001</v>
      </c>
      <c r="G1041" t="n">
        <v>8119.49</v>
      </c>
      <c r="H1041" t="n">
        <v>-76.90000000000001</v>
      </c>
      <c r="I1041" s="7">
        <f>F1041*Summary!$B$5</f>
        <v/>
      </c>
      <c r="J1041" s="7">
        <f>G1041*Summary!$B$5</f>
        <v/>
      </c>
      <c r="K1041" s="7">
        <f>H1041*Summary!$B$5</f>
        <v/>
      </c>
    </row>
    <row r="1042">
      <c r="A1042" s="8" t="n">
        <v>45750</v>
      </c>
      <c r="B1042" t="inlineStr">
        <is>
          <t>FY25-26</t>
        </is>
      </c>
      <c r="C1042" t="inlineStr">
        <is>
          <t>CW</t>
        </is>
      </c>
      <c r="D1042" t="inlineStr">
        <is>
          <t>09:18</t>
        </is>
      </c>
      <c r="E1042" t="n">
        <v>1</v>
      </c>
      <c r="F1042" t="n">
        <v>42.82</v>
      </c>
      <c r="G1042" t="n">
        <v>8162.31</v>
      </c>
      <c r="H1042" t="n">
        <v>-34.07</v>
      </c>
      <c r="I1042" s="7">
        <f>F1042*Summary!$B$5</f>
        <v/>
      </c>
      <c r="J1042" s="7">
        <f>G1042*Summary!$B$5</f>
        <v/>
      </c>
      <c r="K1042" s="7">
        <f>H1042*Summary!$B$5</f>
        <v/>
      </c>
    </row>
    <row r="1043">
      <c r="A1043" s="8" t="n">
        <v>45751</v>
      </c>
      <c r="B1043" t="inlineStr">
        <is>
          <t>FY25-26</t>
        </is>
      </c>
      <c r="C1043" t="inlineStr">
        <is>
          <t>CW</t>
        </is>
      </c>
      <c r="D1043" t="inlineStr">
        <is>
          <t>09:17</t>
        </is>
      </c>
      <c r="E1043" t="n">
        <v>5</v>
      </c>
      <c r="F1043" t="n">
        <v>31.13</v>
      </c>
      <c r="G1043" t="n">
        <v>8193.440000000001</v>
      </c>
      <c r="H1043" t="n">
        <v>-2.95</v>
      </c>
      <c r="I1043" s="7">
        <f>F1043*Summary!$B$5</f>
        <v/>
      </c>
      <c r="J1043" s="7">
        <f>G1043*Summary!$B$5</f>
        <v/>
      </c>
      <c r="K1043" s="7">
        <f>H1043*Summary!$B$5</f>
        <v/>
      </c>
    </row>
    <row r="1044">
      <c r="A1044" s="8" t="n">
        <v>45754</v>
      </c>
      <c r="B1044" t="inlineStr">
        <is>
          <t>FY25-26</t>
        </is>
      </c>
      <c r="C1044" t="inlineStr">
        <is>
          <t>CW</t>
        </is>
      </c>
      <c r="D1044" t="inlineStr">
        <is>
          <t>09:18</t>
        </is>
      </c>
      <c r="E1044" t="n">
        <v>3</v>
      </c>
      <c r="F1044" t="n">
        <v>-2.12</v>
      </c>
      <c r="G1044" t="n">
        <v>8191.32</v>
      </c>
      <c r="H1044" t="n">
        <v>-5.06</v>
      </c>
      <c r="I1044" s="7">
        <f>F1044*Summary!$B$5</f>
        <v/>
      </c>
      <c r="J1044" s="7">
        <f>G1044*Summary!$B$5</f>
        <v/>
      </c>
      <c r="K1044" s="7">
        <f>H1044*Summary!$B$5</f>
        <v/>
      </c>
    </row>
    <row r="1045">
      <c r="A1045" s="8" t="n">
        <v>45755</v>
      </c>
      <c r="B1045" t="inlineStr">
        <is>
          <t>FY25-26</t>
        </is>
      </c>
      <c r="C1045" t="inlineStr"/>
      <c r="D1045" t="inlineStr"/>
      <c r="E1045" t="n">
        <v>0</v>
      </c>
      <c r="F1045" t="n">
        <v>0</v>
      </c>
      <c r="G1045" t="n">
        <v>8191.32</v>
      </c>
      <c r="H1045" t="n">
        <v>-5.06</v>
      </c>
      <c r="I1045" s="7">
        <f>F1045*Summary!$B$5</f>
        <v/>
      </c>
      <c r="J1045" s="7">
        <f>G1045*Summary!$B$5</f>
        <v/>
      </c>
      <c r="K1045" s="7">
        <f>H1045*Summary!$B$5</f>
        <v/>
      </c>
    </row>
    <row r="1046">
      <c r="A1046" s="8" t="n">
        <v>45756</v>
      </c>
      <c r="B1046" t="inlineStr">
        <is>
          <t>FY25-26</t>
        </is>
      </c>
      <c r="C1046" t="inlineStr">
        <is>
          <t>CW</t>
        </is>
      </c>
      <c r="D1046" t="inlineStr">
        <is>
          <t>09:16</t>
        </is>
      </c>
      <c r="E1046" t="n">
        <v>1</v>
      </c>
      <c r="F1046" t="n">
        <v>118.52</v>
      </c>
      <c r="G1046" t="n">
        <v>8309.84</v>
      </c>
      <c r="H1046" t="n">
        <v>0</v>
      </c>
      <c r="I1046" s="7">
        <f>F1046*Summary!$B$5</f>
        <v/>
      </c>
      <c r="J1046" s="7">
        <f>G1046*Summary!$B$5</f>
        <v/>
      </c>
      <c r="K1046" s="7">
        <f>H1046*Summary!$B$5</f>
        <v/>
      </c>
    </row>
    <row r="1047">
      <c r="A1047" s="8" t="n">
        <v>45758</v>
      </c>
      <c r="B1047" t="inlineStr">
        <is>
          <t>FY25-26</t>
        </is>
      </c>
      <c r="C1047" t="inlineStr"/>
      <c r="D1047" t="inlineStr"/>
      <c r="E1047" t="n">
        <v>0</v>
      </c>
      <c r="F1047" t="n">
        <v>0</v>
      </c>
      <c r="G1047" t="n">
        <v>8309.84</v>
      </c>
      <c r="H1047" t="n">
        <v>0</v>
      </c>
      <c r="I1047" s="7">
        <f>F1047*Summary!$B$5</f>
        <v/>
      </c>
      <c r="J1047" s="7">
        <f>G1047*Summary!$B$5</f>
        <v/>
      </c>
      <c r="K1047" s="7">
        <f>H1047*Summary!$B$5</f>
        <v/>
      </c>
    </row>
    <row r="1048">
      <c r="A1048" s="8" t="n">
        <v>45762</v>
      </c>
      <c r="B1048" t="inlineStr">
        <is>
          <t>FY25-26</t>
        </is>
      </c>
      <c r="C1048" t="inlineStr"/>
      <c r="D1048" t="inlineStr"/>
      <c r="E1048" t="n">
        <v>0</v>
      </c>
      <c r="F1048" t="n">
        <v>0</v>
      </c>
      <c r="G1048" t="n">
        <v>8309.84</v>
      </c>
      <c r="H1048" t="n">
        <v>0</v>
      </c>
      <c r="I1048" s="7">
        <f>F1048*Summary!$B$5</f>
        <v/>
      </c>
      <c r="J1048" s="7">
        <f>G1048*Summary!$B$5</f>
        <v/>
      </c>
      <c r="K1048" s="7">
        <f>H1048*Summary!$B$5</f>
        <v/>
      </c>
    </row>
    <row r="1049">
      <c r="A1049" s="8" t="n">
        <v>45763</v>
      </c>
      <c r="B1049" t="inlineStr">
        <is>
          <t>FY25-26</t>
        </is>
      </c>
      <c r="C1049" t="inlineStr"/>
      <c r="D1049" t="inlineStr"/>
      <c r="E1049" t="n">
        <v>0</v>
      </c>
      <c r="F1049" t="n">
        <v>0</v>
      </c>
      <c r="G1049" t="n">
        <v>8309.84</v>
      </c>
      <c r="H1049" t="n">
        <v>0</v>
      </c>
      <c r="I1049" s="7">
        <f>F1049*Summary!$B$5</f>
        <v/>
      </c>
      <c r="J1049" s="7">
        <f>G1049*Summary!$B$5</f>
        <v/>
      </c>
      <c r="K1049" s="7">
        <f>H1049*Summary!$B$5</f>
        <v/>
      </c>
    </row>
    <row r="1050">
      <c r="A1050" s="8" t="n">
        <v>45764</v>
      </c>
      <c r="B1050" t="inlineStr">
        <is>
          <t>FY25-26</t>
        </is>
      </c>
      <c r="C1050" t="inlineStr"/>
      <c r="D1050" t="inlineStr"/>
      <c r="E1050" t="n">
        <v>0</v>
      </c>
      <c r="F1050" t="n">
        <v>0</v>
      </c>
      <c r="G1050" t="n">
        <v>8309.84</v>
      </c>
      <c r="H1050" t="n">
        <v>0</v>
      </c>
      <c r="I1050" s="7">
        <f>F1050*Summary!$B$5</f>
        <v/>
      </c>
      <c r="J1050" s="7">
        <f>G1050*Summary!$B$5</f>
        <v/>
      </c>
      <c r="K1050" s="7">
        <f>H1050*Summary!$B$5</f>
        <v/>
      </c>
    </row>
    <row r="1051">
      <c r="A1051" s="8" t="n">
        <v>45768</v>
      </c>
      <c r="B1051" t="inlineStr">
        <is>
          <t>FY25-26</t>
        </is>
      </c>
      <c r="C1051" t="inlineStr">
        <is>
          <t>CW</t>
        </is>
      </c>
      <c r="D1051" t="inlineStr">
        <is>
          <t>09:18</t>
        </is>
      </c>
      <c r="E1051" t="n">
        <v>4</v>
      </c>
      <c r="F1051" t="n">
        <v>49.37</v>
      </c>
      <c r="G1051" t="n">
        <v>8359.209999999999</v>
      </c>
      <c r="H1051" t="n">
        <v>0</v>
      </c>
      <c r="I1051" s="7">
        <f>F1051*Summary!$B$5</f>
        <v/>
      </c>
      <c r="J1051" s="7">
        <f>G1051*Summary!$B$5</f>
        <v/>
      </c>
      <c r="K1051" s="7">
        <f>H1051*Summary!$B$5</f>
        <v/>
      </c>
    </row>
    <row r="1052">
      <c r="A1052" s="8" t="n">
        <v>45769</v>
      </c>
      <c r="B1052" t="inlineStr">
        <is>
          <t>FY25-26</t>
        </is>
      </c>
      <c r="C1052" t="inlineStr">
        <is>
          <t>n/a</t>
        </is>
      </c>
      <c r="D1052" t="inlineStr"/>
      <c r="E1052" t="n">
        <v>0</v>
      </c>
      <c r="F1052" t="n">
        <v>36.28</v>
      </c>
      <c r="G1052" t="n">
        <v>8395.49</v>
      </c>
      <c r="H1052" t="n">
        <v>0</v>
      </c>
      <c r="I1052" s="7">
        <f>F1052*Summary!$B$5</f>
        <v/>
      </c>
      <c r="J1052" s="7">
        <f>G1052*Summary!$B$5</f>
        <v/>
      </c>
      <c r="K1052" s="7">
        <f>H1052*Summary!$B$5</f>
        <v/>
      </c>
    </row>
    <row r="1053">
      <c r="A1053" s="8" t="n">
        <v>45770</v>
      </c>
      <c r="B1053" t="inlineStr">
        <is>
          <t>FY25-26</t>
        </is>
      </c>
      <c r="C1053" t="inlineStr">
        <is>
          <t>CW</t>
        </is>
      </c>
      <c r="D1053" t="inlineStr">
        <is>
          <t>09:17</t>
        </is>
      </c>
      <c r="E1053" t="n">
        <v>2</v>
      </c>
      <c r="F1053" t="n">
        <v>27.96</v>
      </c>
      <c r="G1053" t="n">
        <v>8423.450000000001</v>
      </c>
      <c r="H1053" t="n">
        <v>0</v>
      </c>
      <c r="I1053" s="7">
        <f>F1053*Summary!$B$5</f>
        <v/>
      </c>
      <c r="J1053" s="7">
        <f>G1053*Summary!$B$5</f>
        <v/>
      </c>
      <c r="K1053" s="7">
        <f>H1053*Summary!$B$5</f>
        <v/>
      </c>
    </row>
    <row r="1054">
      <c r="A1054" s="8" t="n">
        <v>45771</v>
      </c>
      <c r="B1054" t="inlineStr">
        <is>
          <t>FY25-26</t>
        </is>
      </c>
      <c r="C1054" t="inlineStr">
        <is>
          <t>CW</t>
        </is>
      </c>
      <c r="D1054" t="inlineStr">
        <is>
          <t>09:18</t>
        </is>
      </c>
      <c r="E1054" t="n">
        <v>1</v>
      </c>
      <c r="F1054" t="n">
        <v>38.78</v>
      </c>
      <c r="G1054" t="n">
        <v>8462.23</v>
      </c>
      <c r="H1054" t="n">
        <v>0</v>
      </c>
      <c r="I1054" s="7">
        <f>F1054*Summary!$B$5</f>
        <v/>
      </c>
      <c r="J1054" s="7">
        <f>G1054*Summary!$B$5</f>
        <v/>
      </c>
      <c r="K1054" s="7">
        <f>H1054*Summary!$B$5</f>
        <v/>
      </c>
    </row>
    <row r="1055">
      <c r="A1055" s="8" t="n">
        <v>45772</v>
      </c>
      <c r="B1055" t="inlineStr">
        <is>
          <t>FY25-26</t>
        </is>
      </c>
      <c r="C1055" t="inlineStr">
        <is>
          <t>CW</t>
        </is>
      </c>
      <c r="D1055" t="inlineStr">
        <is>
          <t>10:01</t>
        </is>
      </c>
      <c r="E1055" t="n">
        <v>5</v>
      </c>
      <c r="F1055" t="n">
        <v>34.64</v>
      </c>
      <c r="G1055" t="n">
        <v>8496.879999999999</v>
      </c>
      <c r="H1055" t="n">
        <v>0</v>
      </c>
      <c r="I1055" s="7">
        <f>F1055*Summary!$B$5</f>
        <v/>
      </c>
      <c r="J1055" s="7">
        <f>G1055*Summary!$B$5</f>
        <v/>
      </c>
      <c r="K1055" s="7">
        <f>H1055*Summary!$B$5</f>
        <v/>
      </c>
    </row>
    <row r="1056">
      <c r="A1056" s="8" t="n">
        <v>45775</v>
      </c>
      <c r="B1056" t="inlineStr">
        <is>
          <t>FY25-26</t>
        </is>
      </c>
      <c r="C1056" t="inlineStr"/>
      <c r="D1056" t="inlineStr"/>
      <c r="E1056" t="n">
        <v>0</v>
      </c>
      <c r="F1056" t="n">
        <v>0</v>
      </c>
      <c r="G1056" t="n">
        <v>8496.879999999999</v>
      </c>
      <c r="H1056" t="n">
        <v>0</v>
      </c>
      <c r="I1056" s="7">
        <f>F1056*Summary!$B$5</f>
        <v/>
      </c>
      <c r="J1056" s="7">
        <f>G1056*Summary!$B$5</f>
        <v/>
      </c>
      <c r="K1056" s="7">
        <f>H1056*Summary!$B$5</f>
        <v/>
      </c>
    </row>
    <row r="1057">
      <c r="A1057" s="8" t="n">
        <v>45776</v>
      </c>
      <c r="B1057" t="inlineStr">
        <is>
          <t>FY25-26</t>
        </is>
      </c>
      <c r="C1057" t="inlineStr"/>
      <c r="D1057" t="inlineStr"/>
      <c r="E1057" t="n">
        <v>0</v>
      </c>
      <c r="F1057" t="n">
        <v>0</v>
      </c>
      <c r="G1057" t="n">
        <v>8496.879999999999</v>
      </c>
      <c r="H1057" t="n">
        <v>0</v>
      </c>
      <c r="I1057" s="7">
        <f>F1057*Summary!$B$5</f>
        <v/>
      </c>
      <c r="J1057" s="7">
        <f>G1057*Summary!$B$5</f>
        <v/>
      </c>
      <c r="K1057" s="7">
        <f>H1057*Summary!$B$5</f>
        <v/>
      </c>
    </row>
    <row r="1058">
      <c r="A1058" s="8" t="n">
        <v>45777</v>
      </c>
      <c r="B1058" t="inlineStr">
        <is>
          <t>FY25-26</t>
        </is>
      </c>
      <c r="C1058" t="inlineStr">
        <is>
          <t>NW</t>
        </is>
      </c>
      <c r="D1058" t="inlineStr"/>
      <c r="E1058" t="n">
        <v>0</v>
      </c>
      <c r="F1058" t="n">
        <v>-26.16</v>
      </c>
      <c r="G1058" t="n">
        <v>8470.719999999999</v>
      </c>
      <c r="H1058" t="n">
        <v>-26.16</v>
      </c>
      <c r="I1058" s="7">
        <f>F1058*Summary!$B$5</f>
        <v/>
      </c>
      <c r="J1058" s="7">
        <f>G1058*Summary!$B$5</f>
        <v/>
      </c>
      <c r="K1058" s="7">
        <f>H1058*Summary!$B$5</f>
        <v/>
      </c>
    </row>
    <row r="1059">
      <c r="A1059" s="8" t="n">
        <v>45779</v>
      </c>
      <c r="B1059" t="inlineStr">
        <is>
          <t>FY25-26</t>
        </is>
      </c>
      <c r="C1059" t="inlineStr">
        <is>
          <t>n/a</t>
        </is>
      </c>
      <c r="D1059" t="inlineStr"/>
      <c r="E1059" t="n">
        <v>0</v>
      </c>
      <c r="F1059" t="n">
        <v>6.36</v>
      </c>
      <c r="G1059" t="n">
        <v>8477.08</v>
      </c>
      <c r="H1059" t="n">
        <v>-19.8</v>
      </c>
      <c r="I1059" s="7">
        <f>F1059*Summary!$B$5</f>
        <v/>
      </c>
      <c r="J1059" s="7">
        <f>G1059*Summary!$B$5</f>
        <v/>
      </c>
      <c r="K1059" s="7">
        <f>H1059*Summary!$B$5</f>
        <v/>
      </c>
    </row>
    <row r="1060">
      <c r="A1060" s="8" t="n">
        <v>45782</v>
      </c>
      <c r="B1060" t="inlineStr">
        <is>
          <t>FY25-26</t>
        </is>
      </c>
      <c r="C1060" t="inlineStr">
        <is>
          <t>n/a</t>
        </is>
      </c>
      <c r="D1060" t="inlineStr"/>
      <c r="E1060" t="n">
        <v>0</v>
      </c>
      <c r="F1060" t="n">
        <v>41.8</v>
      </c>
      <c r="G1060" t="n">
        <v>8518.879999999999</v>
      </c>
      <c r="H1060" t="n">
        <v>0</v>
      </c>
      <c r="I1060" s="7">
        <f>F1060*Summary!$B$5</f>
        <v/>
      </c>
      <c r="J1060" s="7">
        <f>G1060*Summary!$B$5</f>
        <v/>
      </c>
      <c r="K1060" s="7">
        <f>H1060*Summary!$B$5</f>
        <v/>
      </c>
    </row>
    <row r="1061">
      <c r="A1061" s="8" t="n">
        <v>45783</v>
      </c>
      <c r="B1061" t="inlineStr">
        <is>
          <t>FY25-26</t>
        </is>
      </c>
      <c r="C1061" t="inlineStr"/>
      <c r="D1061" t="inlineStr"/>
      <c r="E1061" t="n">
        <v>0</v>
      </c>
      <c r="F1061" t="n">
        <v>0</v>
      </c>
      <c r="G1061" t="n">
        <v>8518.879999999999</v>
      </c>
      <c r="H1061" t="n">
        <v>0</v>
      </c>
      <c r="I1061" s="7">
        <f>F1061*Summary!$B$5</f>
        <v/>
      </c>
      <c r="J1061" s="7">
        <f>G1061*Summary!$B$5</f>
        <v/>
      </c>
      <c r="K1061" s="7">
        <f>H1061*Summary!$B$5</f>
        <v/>
      </c>
    </row>
    <row r="1062">
      <c r="A1062" s="8" t="n">
        <v>45784</v>
      </c>
      <c r="B1062" t="inlineStr">
        <is>
          <t>FY25-26</t>
        </is>
      </c>
      <c r="C1062" t="inlineStr">
        <is>
          <t>CW</t>
        </is>
      </c>
      <c r="D1062" t="inlineStr">
        <is>
          <t>09:18</t>
        </is>
      </c>
      <c r="E1062" t="n">
        <v>2</v>
      </c>
      <c r="F1062" t="n">
        <v>10.29</v>
      </c>
      <c r="G1062" t="n">
        <v>8529.17</v>
      </c>
      <c r="H1062" t="n">
        <v>0</v>
      </c>
      <c r="I1062" s="7">
        <f>F1062*Summary!$B$5</f>
        <v/>
      </c>
      <c r="J1062" s="7">
        <f>G1062*Summary!$B$5</f>
        <v/>
      </c>
      <c r="K1062" s="7">
        <f>H1062*Summary!$B$5</f>
        <v/>
      </c>
    </row>
    <row r="1063">
      <c r="A1063" s="8" t="n">
        <v>45785</v>
      </c>
      <c r="B1063" t="inlineStr">
        <is>
          <t>FY25-26</t>
        </is>
      </c>
      <c r="C1063" t="inlineStr"/>
      <c r="D1063" t="inlineStr"/>
      <c r="E1063" t="n">
        <v>0</v>
      </c>
      <c r="F1063" t="n">
        <v>0</v>
      </c>
      <c r="G1063" t="n">
        <v>8529.17</v>
      </c>
      <c r="H1063" t="n">
        <v>0</v>
      </c>
      <c r="I1063" s="7">
        <f>F1063*Summary!$B$5</f>
        <v/>
      </c>
      <c r="J1063" s="7">
        <f>G1063*Summary!$B$5</f>
        <v/>
      </c>
      <c r="K1063" s="7">
        <f>H1063*Summary!$B$5</f>
        <v/>
      </c>
    </row>
    <row r="1064">
      <c r="A1064" s="8" t="n">
        <v>45786</v>
      </c>
      <c r="B1064" t="inlineStr">
        <is>
          <t>FY25-26</t>
        </is>
      </c>
      <c r="C1064" t="inlineStr">
        <is>
          <t>CW</t>
        </is>
      </c>
      <c r="D1064" t="inlineStr">
        <is>
          <t>09:18</t>
        </is>
      </c>
      <c r="E1064" t="n">
        <v>6</v>
      </c>
      <c r="F1064" t="n">
        <v>13.49</v>
      </c>
      <c r="G1064" t="n">
        <v>8542.66</v>
      </c>
      <c r="H1064" t="n">
        <v>0</v>
      </c>
      <c r="I1064" s="7">
        <f>F1064*Summary!$B$5</f>
        <v/>
      </c>
      <c r="J1064" s="7">
        <f>G1064*Summary!$B$5</f>
        <v/>
      </c>
      <c r="K1064" s="7">
        <f>H1064*Summary!$B$5</f>
        <v/>
      </c>
    </row>
    <row r="1065">
      <c r="A1065" s="8" t="n">
        <v>45789</v>
      </c>
      <c r="B1065" t="inlineStr">
        <is>
          <t>FY25-26</t>
        </is>
      </c>
      <c r="C1065" t="inlineStr"/>
      <c r="D1065" t="inlineStr"/>
      <c r="E1065" t="n">
        <v>0</v>
      </c>
      <c r="F1065" t="n">
        <v>0</v>
      </c>
      <c r="G1065" t="n">
        <v>8542.66</v>
      </c>
      <c r="H1065" t="n">
        <v>0</v>
      </c>
      <c r="I1065" s="7">
        <f>F1065*Summary!$B$5</f>
        <v/>
      </c>
      <c r="J1065" s="7">
        <f>G1065*Summary!$B$5</f>
        <v/>
      </c>
      <c r="K1065" s="7">
        <f>H1065*Summary!$B$5</f>
        <v/>
      </c>
    </row>
    <row r="1066">
      <c r="A1066" s="8" t="n">
        <v>45790</v>
      </c>
      <c r="B1066" t="inlineStr">
        <is>
          <t>FY25-26</t>
        </is>
      </c>
      <c r="C1066" t="inlineStr">
        <is>
          <t>n/a</t>
        </is>
      </c>
      <c r="D1066" t="inlineStr"/>
      <c r="E1066" t="n">
        <v>3</v>
      </c>
      <c r="F1066" t="n">
        <v>-44.37</v>
      </c>
      <c r="G1066" t="n">
        <v>8498.299999999999</v>
      </c>
      <c r="H1066" t="n">
        <v>-44.37</v>
      </c>
      <c r="I1066" s="7">
        <f>F1066*Summary!$B$5</f>
        <v/>
      </c>
      <c r="J1066" s="7">
        <f>G1066*Summary!$B$5</f>
        <v/>
      </c>
      <c r="K1066" s="7">
        <f>H1066*Summary!$B$5</f>
        <v/>
      </c>
    </row>
    <row r="1067">
      <c r="A1067" s="8" t="n">
        <v>45791</v>
      </c>
      <c r="B1067" t="inlineStr">
        <is>
          <t>FY25-26</t>
        </is>
      </c>
      <c r="C1067" t="inlineStr">
        <is>
          <t>NW</t>
        </is>
      </c>
      <c r="D1067" t="inlineStr"/>
      <c r="E1067" t="n">
        <v>0</v>
      </c>
      <c r="F1067" t="n">
        <v>44.38</v>
      </c>
      <c r="G1067" t="n">
        <v>8542.68</v>
      </c>
      <c r="H1067" t="n">
        <v>0</v>
      </c>
      <c r="I1067" s="7">
        <f>F1067*Summary!$B$5</f>
        <v/>
      </c>
      <c r="J1067" s="7">
        <f>G1067*Summary!$B$5</f>
        <v/>
      </c>
      <c r="K1067" s="7">
        <f>H1067*Summary!$B$5</f>
        <v/>
      </c>
    </row>
    <row r="1068">
      <c r="A1068" s="8" t="n">
        <v>45792</v>
      </c>
      <c r="B1068" t="inlineStr">
        <is>
          <t>FY25-26</t>
        </is>
      </c>
      <c r="C1068" t="inlineStr">
        <is>
          <t>CW</t>
        </is>
      </c>
      <c r="D1068" t="inlineStr">
        <is>
          <t>09:18</t>
        </is>
      </c>
      <c r="E1068" t="n">
        <v>1</v>
      </c>
      <c r="F1068" t="n">
        <v>-42.29</v>
      </c>
      <c r="G1068" t="n">
        <v>8500.379999999999</v>
      </c>
      <c r="H1068" t="n">
        <v>-42.29</v>
      </c>
      <c r="I1068" s="7">
        <f>F1068*Summary!$B$5</f>
        <v/>
      </c>
      <c r="J1068" s="7">
        <f>G1068*Summary!$B$5</f>
        <v/>
      </c>
      <c r="K1068" s="7">
        <f>H1068*Summary!$B$5</f>
        <v/>
      </c>
    </row>
    <row r="1069">
      <c r="A1069" s="8" t="n">
        <v>45793</v>
      </c>
      <c r="B1069" t="inlineStr">
        <is>
          <t>FY25-26</t>
        </is>
      </c>
      <c r="C1069" t="inlineStr">
        <is>
          <t>CW</t>
        </is>
      </c>
      <c r="D1069" t="inlineStr">
        <is>
          <t>09:16</t>
        </is>
      </c>
      <c r="E1069" t="n">
        <v>6</v>
      </c>
      <c r="F1069" t="n">
        <v>29.73</v>
      </c>
      <c r="G1069" t="n">
        <v>8530.110000000001</v>
      </c>
      <c r="H1069" t="n">
        <v>-12.56</v>
      </c>
      <c r="I1069" s="7">
        <f>F1069*Summary!$B$5</f>
        <v/>
      </c>
      <c r="J1069" s="7">
        <f>G1069*Summary!$B$5</f>
        <v/>
      </c>
      <c r="K1069" s="7">
        <f>H1069*Summary!$B$5</f>
        <v/>
      </c>
    </row>
    <row r="1070">
      <c r="A1070" s="8" t="n">
        <v>45796</v>
      </c>
      <c r="B1070" t="inlineStr">
        <is>
          <t>FY25-26</t>
        </is>
      </c>
      <c r="C1070" t="inlineStr">
        <is>
          <t>CW</t>
        </is>
      </c>
      <c r="D1070" t="inlineStr">
        <is>
          <t>09:17</t>
        </is>
      </c>
      <c r="E1070" t="n">
        <v>4</v>
      </c>
      <c r="F1070" t="n">
        <v>44.28</v>
      </c>
      <c r="G1070" t="n">
        <v>8574.4</v>
      </c>
      <c r="H1070" t="n">
        <v>0</v>
      </c>
      <c r="I1070" s="7">
        <f>F1070*Summary!$B$5</f>
        <v/>
      </c>
      <c r="J1070" s="7">
        <f>G1070*Summary!$B$5</f>
        <v/>
      </c>
      <c r="K1070" s="7">
        <f>H1070*Summary!$B$5</f>
        <v/>
      </c>
    </row>
    <row r="1071">
      <c r="A1071" s="8" t="n">
        <v>45797</v>
      </c>
      <c r="B1071" t="inlineStr">
        <is>
          <t>FY25-26</t>
        </is>
      </c>
      <c r="C1071" t="inlineStr">
        <is>
          <t>CW</t>
        </is>
      </c>
      <c r="D1071" t="inlineStr">
        <is>
          <t>09:18</t>
        </is>
      </c>
      <c r="E1071" t="n">
        <v>3</v>
      </c>
      <c r="F1071" t="n">
        <v>-35.27</v>
      </c>
      <c r="G1071" t="n">
        <v>8539.120000000001</v>
      </c>
      <c r="H1071" t="n">
        <v>-35.27</v>
      </c>
      <c r="I1071" s="7">
        <f>F1071*Summary!$B$5</f>
        <v/>
      </c>
      <c r="J1071" s="7">
        <f>G1071*Summary!$B$5</f>
        <v/>
      </c>
      <c r="K1071" s="7">
        <f>H1071*Summary!$B$5</f>
        <v/>
      </c>
    </row>
    <row r="1072">
      <c r="A1072" s="8" t="n">
        <v>45798</v>
      </c>
      <c r="B1072" t="inlineStr">
        <is>
          <t>FY25-26</t>
        </is>
      </c>
      <c r="C1072" t="inlineStr">
        <is>
          <t>CW</t>
        </is>
      </c>
      <c r="D1072" t="inlineStr">
        <is>
          <t>09:17</t>
        </is>
      </c>
      <c r="E1072" t="n">
        <v>2</v>
      </c>
      <c r="F1072" t="n">
        <v>-33.46</v>
      </c>
      <c r="G1072" t="n">
        <v>8505.66</v>
      </c>
      <c r="H1072" t="n">
        <v>-68.73999999999999</v>
      </c>
      <c r="I1072" s="7">
        <f>F1072*Summary!$B$5</f>
        <v/>
      </c>
      <c r="J1072" s="7">
        <f>G1072*Summary!$B$5</f>
        <v/>
      </c>
      <c r="K1072" s="7">
        <f>H1072*Summary!$B$5</f>
        <v/>
      </c>
    </row>
    <row r="1073">
      <c r="A1073" s="8" t="n">
        <v>45799</v>
      </c>
      <c r="B1073" t="inlineStr">
        <is>
          <t>FY25-26</t>
        </is>
      </c>
      <c r="C1073" t="inlineStr">
        <is>
          <t>CW</t>
        </is>
      </c>
      <c r="D1073" t="inlineStr">
        <is>
          <t>09:17</t>
        </is>
      </c>
      <c r="E1073" t="n">
        <v>1</v>
      </c>
      <c r="F1073" t="n">
        <v>71.26000000000001</v>
      </c>
      <c r="G1073" t="n">
        <v>8576.91</v>
      </c>
      <c r="H1073" t="n">
        <v>0</v>
      </c>
      <c r="I1073" s="7">
        <f>F1073*Summary!$B$5</f>
        <v/>
      </c>
      <c r="J1073" s="7">
        <f>G1073*Summary!$B$5</f>
        <v/>
      </c>
      <c r="K1073" s="7">
        <f>H1073*Summary!$B$5</f>
        <v/>
      </c>
    </row>
    <row r="1074">
      <c r="A1074" s="8" t="n">
        <v>45800</v>
      </c>
      <c r="B1074" t="inlineStr">
        <is>
          <t>FY25-26</t>
        </is>
      </c>
      <c r="C1074" t="inlineStr">
        <is>
          <t>CW</t>
        </is>
      </c>
      <c r="D1074" t="inlineStr">
        <is>
          <t>09:18</t>
        </is>
      </c>
      <c r="E1074" t="n">
        <v>6</v>
      </c>
      <c r="F1074" t="n">
        <v>-38.77</v>
      </c>
      <c r="G1074" t="n">
        <v>8538.139999999999</v>
      </c>
      <c r="H1074" t="n">
        <v>-38.77</v>
      </c>
      <c r="I1074" s="7">
        <f>F1074*Summary!$B$5</f>
        <v/>
      </c>
      <c r="J1074" s="7">
        <f>G1074*Summary!$B$5</f>
        <v/>
      </c>
      <c r="K1074" s="7">
        <f>H1074*Summary!$B$5</f>
        <v/>
      </c>
    </row>
    <row r="1075">
      <c r="A1075" s="8" t="n">
        <v>45803</v>
      </c>
      <c r="B1075" t="inlineStr">
        <is>
          <t>FY25-26</t>
        </is>
      </c>
      <c r="C1075" t="inlineStr">
        <is>
          <t>CW</t>
        </is>
      </c>
      <c r="D1075" t="inlineStr">
        <is>
          <t>09:18</t>
        </is>
      </c>
      <c r="E1075" t="n">
        <v>4</v>
      </c>
      <c r="F1075" t="n">
        <v>-35.35</v>
      </c>
      <c r="G1075" t="n">
        <v>8502.790000000001</v>
      </c>
      <c r="H1075" t="n">
        <v>-74.12</v>
      </c>
      <c r="I1075" s="7">
        <f>F1075*Summary!$B$5</f>
        <v/>
      </c>
      <c r="J1075" s="7">
        <f>G1075*Summary!$B$5</f>
        <v/>
      </c>
      <c r="K1075" s="7">
        <f>H1075*Summary!$B$5</f>
        <v/>
      </c>
    </row>
    <row r="1076">
      <c r="A1076" s="8" t="n">
        <v>45804</v>
      </c>
      <c r="B1076" t="inlineStr">
        <is>
          <t>FY25-26</t>
        </is>
      </c>
      <c r="C1076" t="inlineStr">
        <is>
          <t>CW</t>
        </is>
      </c>
      <c r="D1076" t="inlineStr">
        <is>
          <t>09:16</t>
        </is>
      </c>
      <c r="E1076" t="n">
        <v>3</v>
      </c>
      <c r="F1076" t="n">
        <v>-42.71</v>
      </c>
      <c r="G1076" t="n">
        <v>8460.08</v>
      </c>
      <c r="H1076" t="n">
        <v>-116.83</v>
      </c>
      <c r="I1076" s="7">
        <f>F1076*Summary!$B$5</f>
        <v/>
      </c>
      <c r="J1076" s="7">
        <f>G1076*Summary!$B$5</f>
        <v/>
      </c>
      <c r="K1076" s="7">
        <f>H1076*Summary!$B$5</f>
        <v/>
      </c>
    </row>
    <row r="1077">
      <c r="A1077" s="8" t="n">
        <v>45805</v>
      </c>
      <c r="B1077" t="inlineStr">
        <is>
          <t>FY25-26</t>
        </is>
      </c>
      <c r="C1077" t="inlineStr">
        <is>
          <t>CW</t>
        </is>
      </c>
      <c r="D1077" t="inlineStr">
        <is>
          <t>09:16</t>
        </is>
      </c>
      <c r="E1077" t="n">
        <v>2</v>
      </c>
      <c r="F1077" t="n">
        <v>81.45</v>
      </c>
      <c r="G1077" t="n">
        <v>8541.530000000001</v>
      </c>
      <c r="H1077" t="n">
        <v>-35.38</v>
      </c>
      <c r="I1077" s="7">
        <f>F1077*Summary!$B$5</f>
        <v/>
      </c>
      <c r="J1077" s="7">
        <f>G1077*Summary!$B$5</f>
        <v/>
      </c>
      <c r="K1077" s="7">
        <f>H1077*Summary!$B$5</f>
        <v/>
      </c>
    </row>
    <row r="1078">
      <c r="A1078" s="8" t="n">
        <v>45806</v>
      </c>
      <c r="B1078" t="inlineStr">
        <is>
          <t>FY25-26</t>
        </is>
      </c>
      <c r="C1078" t="inlineStr">
        <is>
          <t>CW</t>
        </is>
      </c>
      <c r="D1078" t="inlineStr">
        <is>
          <t>09:16</t>
        </is>
      </c>
      <c r="E1078" t="n">
        <v>1</v>
      </c>
      <c r="F1078" t="n">
        <v>44.65</v>
      </c>
      <c r="G1078" t="n">
        <v>8586.18</v>
      </c>
      <c r="H1078" t="n">
        <v>0</v>
      </c>
      <c r="I1078" s="7">
        <f>F1078*Summary!$B$5</f>
        <v/>
      </c>
      <c r="J1078" s="7">
        <f>G1078*Summary!$B$5</f>
        <v/>
      </c>
      <c r="K1078" s="7">
        <f>H1078*Summary!$B$5</f>
        <v/>
      </c>
    </row>
    <row r="1079">
      <c r="A1079" s="8" t="n">
        <v>45807</v>
      </c>
      <c r="B1079" t="inlineStr">
        <is>
          <t>FY25-26</t>
        </is>
      </c>
      <c r="C1079" t="inlineStr"/>
      <c r="D1079" t="inlineStr"/>
      <c r="E1079" t="n">
        <v>0</v>
      </c>
      <c r="F1079" t="n">
        <v>0</v>
      </c>
      <c r="G1079" t="n">
        <v>8586.18</v>
      </c>
      <c r="H1079" t="n">
        <v>0</v>
      </c>
      <c r="I1079" s="7">
        <f>F1079*Summary!$B$5</f>
        <v/>
      </c>
      <c r="J1079" s="7">
        <f>G1079*Summary!$B$5</f>
        <v/>
      </c>
      <c r="K1079" s="7">
        <f>H1079*Summary!$B$5</f>
        <v/>
      </c>
    </row>
    <row r="1080">
      <c r="A1080" s="8" t="n">
        <v>45810</v>
      </c>
      <c r="B1080" t="inlineStr">
        <is>
          <t>FY25-26</t>
        </is>
      </c>
      <c r="C1080" t="inlineStr">
        <is>
          <t>CW</t>
        </is>
      </c>
      <c r="D1080" t="inlineStr">
        <is>
          <t>09:16</t>
        </is>
      </c>
      <c r="E1080" t="n">
        <v>4</v>
      </c>
      <c r="F1080" t="n">
        <v>55.99</v>
      </c>
      <c r="G1080" t="n">
        <v>8642.17</v>
      </c>
      <c r="H1080" t="n">
        <v>0</v>
      </c>
      <c r="I1080" s="7">
        <f>F1080*Summary!$B$5</f>
        <v/>
      </c>
      <c r="J1080" s="7">
        <f>G1080*Summary!$B$5</f>
        <v/>
      </c>
      <c r="K1080" s="7">
        <f>H1080*Summary!$B$5</f>
        <v/>
      </c>
    </row>
    <row r="1081">
      <c r="A1081" s="8" t="n">
        <v>45811</v>
      </c>
      <c r="B1081" t="inlineStr">
        <is>
          <t>FY25-26</t>
        </is>
      </c>
      <c r="C1081" t="inlineStr">
        <is>
          <t>CW</t>
        </is>
      </c>
      <c r="D1081" t="inlineStr">
        <is>
          <t>09:17</t>
        </is>
      </c>
      <c r="E1081" t="n">
        <v>3</v>
      </c>
      <c r="F1081" t="n">
        <v>75.39</v>
      </c>
      <c r="G1081" t="n">
        <v>8717.559999999999</v>
      </c>
      <c r="H1081" t="n">
        <v>0</v>
      </c>
      <c r="I1081" s="7">
        <f>F1081*Summary!$B$5</f>
        <v/>
      </c>
      <c r="J1081" s="7">
        <f>G1081*Summary!$B$5</f>
        <v/>
      </c>
      <c r="K1081" s="7">
        <f>H1081*Summary!$B$5</f>
        <v/>
      </c>
    </row>
    <row r="1082">
      <c r="A1082" s="8" t="n">
        <v>45812</v>
      </c>
      <c r="B1082" t="inlineStr">
        <is>
          <t>FY25-26</t>
        </is>
      </c>
      <c r="C1082" t="inlineStr">
        <is>
          <t>CW</t>
        </is>
      </c>
      <c r="D1082" t="inlineStr">
        <is>
          <t>09:17</t>
        </is>
      </c>
      <c r="E1082" t="n">
        <v>2</v>
      </c>
      <c r="F1082" t="n">
        <v>54.6</v>
      </c>
      <c r="G1082" t="n">
        <v>8772.16</v>
      </c>
      <c r="H1082" t="n">
        <v>0</v>
      </c>
      <c r="I1082" s="7">
        <f>F1082*Summary!$B$5</f>
        <v/>
      </c>
      <c r="J1082" s="7">
        <f>G1082*Summary!$B$5</f>
        <v/>
      </c>
      <c r="K1082" s="7">
        <f>H1082*Summary!$B$5</f>
        <v/>
      </c>
    </row>
    <row r="1083">
      <c r="A1083" s="8" t="n">
        <v>45813</v>
      </c>
      <c r="B1083" t="inlineStr">
        <is>
          <t>FY25-26</t>
        </is>
      </c>
      <c r="C1083" t="inlineStr">
        <is>
          <t>NW</t>
        </is>
      </c>
      <c r="D1083" t="inlineStr"/>
      <c r="E1083" t="n">
        <v>0</v>
      </c>
      <c r="F1083" t="n">
        <v>2.05</v>
      </c>
      <c r="G1083" t="n">
        <v>8774.209999999999</v>
      </c>
      <c r="H1083" t="n">
        <v>0</v>
      </c>
      <c r="I1083" s="7">
        <f>F1083*Summary!$B$5</f>
        <v/>
      </c>
      <c r="J1083" s="7">
        <f>G1083*Summary!$B$5</f>
        <v/>
      </c>
      <c r="K1083" s="7">
        <f>H1083*Summary!$B$5</f>
        <v/>
      </c>
    </row>
    <row r="1084">
      <c r="A1084" s="8" t="n">
        <v>45814</v>
      </c>
      <c r="B1084" t="inlineStr">
        <is>
          <t>FY25-26</t>
        </is>
      </c>
      <c r="C1084" t="inlineStr">
        <is>
          <t>CW</t>
        </is>
      </c>
      <c r="D1084" t="inlineStr">
        <is>
          <t>09:18</t>
        </is>
      </c>
      <c r="E1084" t="n">
        <v>6</v>
      </c>
      <c r="F1084" t="n">
        <v>-48.58</v>
      </c>
      <c r="G1084" t="n">
        <v>8725.629999999999</v>
      </c>
      <c r="H1084" t="n">
        <v>-48.58</v>
      </c>
      <c r="I1084" s="7">
        <f>F1084*Summary!$B$5</f>
        <v/>
      </c>
      <c r="J1084" s="7">
        <f>G1084*Summary!$B$5</f>
        <v/>
      </c>
      <c r="K1084" s="7">
        <f>H1084*Summary!$B$5</f>
        <v/>
      </c>
    </row>
    <row r="1085">
      <c r="A1085" s="8" t="n">
        <v>45817</v>
      </c>
      <c r="B1085" t="inlineStr">
        <is>
          <t>FY25-26</t>
        </is>
      </c>
      <c r="C1085" t="inlineStr">
        <is>
          <t>CW</t>
        </is>
      </c>
      <c r="D1085" t="inlineStr">
        <is>
          <t>09:18</t>
        </is>
      </c>
      <c r="E1085" t="n">
        <v>4</v>
      </c>
      <c r="F1085" t="n">
        <v>41.23</v>
      </c>
      <c r="G1085" t="n">
        <v>8766.860000000001</v>
      </c>
      <c r="H1085" t="n">
        <v>-7.35</v>
      </c>
      <c r="I1085" s="7">
        <f>F1085*Summary!$B$5</f>
        <v/>
      </c>
      <c r="J1085" s="7">
        <f>G1085*Summary!$B$5</f>
        <v/>
      </c>
      <c r="K1085" s="7">
        <f>H1085*Summary!$B$5</f>
        <v/>
      </c>
    </row>
    <row r="1086">
      <c r="A1086" s="8" t="n">
        <v>45818</v>
      </c>
      <c r="B1086" t="inlineStr">
        <is>
          <t>FY25-26</t>
        </is>
      </c>
      <c r="C1086" t="inlineStr">
        <is>
          <t>CW</t>
        </is>
      </c>
      <c r="D1086" t="inlineStr">
        <is>
          <t>09:17</t>
        </is>
      </c>
      <c r="E1086" t="n">
        <v>3</v>
      </c>
      <c r="F1086" t="n">
        <v>47.65</v>
      </c>
      <c r="G1086" t="n">
        <v>8814.51</v>
      </c>
      <c r="H1086" t="n">
        <v>0</v>
      </c>
      <c r="I1086" s="7">
        <f>F1086*Summary!$B$5</f>
        <v/>
      </c>
      <c r="J1086" s="7">
        <f>G1086*Summary!$B$5</f>
        <v/>
      </c>
      <c r="K1086" s="7">
        <f>H1086*Summary!$B$5</f>
        <v/>
      </c>
    </row>
    <row r="1087">
      <c r="A1087" s="8" t="n">
        <v>45819</v>
      </c>
      <c r="B1087" t="inlineStr">
        <is>
          <t>FY25-26</t>
        </is>
      </c>
      <c r="C1087" t="inlineStr"/>
      <c r="D1087" t="inlineStr"/>
      <c r="E1087" t="n">
        <v>0</v>
      </c>
      <c r="F1087" t="n">
        <v>0</v>
      </c>
      <c r="G1087" t="n">
        <v>8814.51</v>
      </c>
      <c r="H1087" t="n">
        <v>0</v>
      </c>
      <c r="I1087" s="7">
        <f>F1087*Summary!$B$5</f>
        <v/>
      </c>
      <c r="J1087" s="7">
        <f>G1087*Summary!$B$5</f>
        <v/>
      </c>
      <c r="K1087" s="7">
        <f>H1087*Summary!$B$5</f>
        <v/>
      </c>
    </row>
    <row r="1088">
      <c r="A1088" s="8" t="n">
        <v>45820</v>
      </c>
      <c r="B1088" t="inlineStr">
        <is>
          <t>FY25-26</t>
        </is>
      </c>
      <c r="C1088" t="inlineStr">
        <is>
          <t>CW</t>
        </is>
      </c>
      <c r="D1088" t="inlineStr">
        <is>
          <t>09:45</t>
        </is>
      </c>
      <c r="E1088" t="n">
        <v>1</v>
      </c>
      <c r="F1088" t="n">
        <v>22.47</v>
      </c>
      <c r="G1088" t="n">
        <v>8836.98</v>
      </c>
      <c r="H1088" t="n">
        <v>0</v>
      </c>
      <c r="I1088" s="7">
        <f>F1088*Summary!$B$5</f>
        <v/>
      </c>
      <c r="J1088" s="7">
        <f>G1088*Summary!$B$5</f>
        <v/>
      </c>
      <c r="K1088" s="7">
        <f>H1088*Summary!$B$5</f>
        <v/>
      </c>
    </row>
    <row r="1089">
      <c r="A1089" s="8" t="n">
        <v>45821</v>
      </c>
      <c r="B1089" t="inlineStr">
        <is>
          <t>FY25-26</t>
        </is>
      </c>
      <c r="C1089" t="inlineStr">
        <is>
          <t>CW</t>
        </is>
      </c>
      <c r="D1089" t="inlineStr">
        <is>
          <t>09:18</t>
        </is>
      </c>
      <c r="E1089" t="n">
        <v>6</v>
      </c>
      <c r="F1089" t="n">
        <v>32.55</v>
      </c>
      <c r="G1089" t="n">
        <v>8869.530000000001</v>
      </c>
      <c r="H1089" t="n">
        <v>0</v>
      </c>
      <c r="I1089" s="7">
        <f>F1089*Summary!$B$5</f>
        <v/>
      </c>
      <c r="J1089" s="7">
        <f>G1089*Summary!$B$5</f>
        <v/>
      </c>
      <c r="K1089" s="7">
        <f>H1089*Summary!$B$5</f>
        <v/>
      </c>
    </row>
    <row r="1090">
      <c r="A1090" s="8" t="n">
        <v>45824</v>
      </c>
      <c r="B1090" t="inlineStr">
        <is>
          <t>FY25-26</t>
        </is>
      </c>
      <c r="C1090" t="inlineStr"/>
      <c r="D1090" t="inlineStr"/>
      <c r="E1090" t="n">
        <v>0</v>
      </c>
      <c r="F1090" t="n">
        <v>0</v>
      </c>
      <c r="G1090" t="n">
        <v>8869.530000000001</v>
      </c>
      <c r="H1090" t="n">
        <v>0</v>
      </c>
      <c r="I1090" s="7">
        <f>F1090*Summary!$B$5</f>
        <v/>
      </c>
      <c r="J1090" s="7">
        <f>G1090*Summary!$B$5</f>
        <v/>
      </c>
      <c r="K1090" s="7">
        <f>H1090*Summary!$B$5</f>
        <v/>
      </c>
    </row>
    <row r="1091">
      <c r="A1091" s="8" t="n">
        <v>45825</v>
      </c>
      <c r="B1091" t="inlineStr">
        <is>
          <t>FY25-26</t>
        </is>
      </c>
      <c r="C1091" t="inlineStr">
        <is>
          <t>CW</t>
        </is>
      </c>
      <c r="D1091" t="inlineStr">
        <is>
          <t>09:18</t>
        </is>
      </c>
      <c r="E1091" t="n">
        <v>3</v>
      </c>
      <c r="F1091" t="n">
        <v>31.2</v>
      </c>
      <c r="G1091" t="n">
        <v>8900.73</v>
      </c>
      <c r="H1091" t="n">
        <v>0</v>
      </c>
      <c r="I1091" s="7">
        <f>F1091*Summary!$B$5</f>
        <v/>
      </c>
      <c r="J1091" s="7">
        <f>G1091*Summary!$B$5</f>
        <v/>
      </c>
      <c r="K1091" s="7">
        <f>H1091*Summary!$B$5</f>
        <v/>
      </c>
    </row>
    <row r="1092">
      <c r="A1092" s="8" t="n">
        <v>45826</v>
      </c>
      <c r="B1092" t="inlineStr">
        <is>
          <t>FY25-26</t>
        </is>
      </c>
      <c r="C1092" t="inlineStr">
        <is>
          <t>CW</t>
        </is>
      </c>
      <c r="D1092" t="inlineStr">
        <is>
          <t>09:17</t>
        </is>
      </c>
      <c r="E1092" t="n">
        <v>2</v>
      </c>
      <c r="F1092" t="n">
        <v>11.31</v>
      </c>
      <c r="G1092" t="n">
        <v>8912.040000000001</v>
      </c>
      <c r="H1092" t="n">
        <v>0</v>
      </c>
      <c r="I1092" s="7">
        <f>F1092*Summary!$B$5</f>
        <v/>
      </c>
      <c r="J1092" s="7">
        <f>G1092*Summary!$B$5</f>
        <v/>
      </c>
      <c r="K1092" s="7">
        <f>H1092*Summary!$B$5</f>
        <v/>
      </c>
    </row>
    <row r="1093">
      <c r="A1093" s="8" t="n">
        <v>45827</v>
      </c>
      <c r="B1093" t="inlineStr">
        <is>
          <t>FY25-26</t>
        </is>
      </c>
      <c r="C1093" t="inlineStr"/>
      <c r="D1093" t="inlineStr"/>
      <c r="E1093" t="n">
        <v>0</v>
      </c>
      <c r="F1093" t="n">
        <v>0</v>
      </c>
      <c r="G1093" t="n">
        <v>8912.040000000001</v>
      </c>
      <c r="H1093" t="n">
        <v>0</v>
      </c>
      <c r="I1093" s="7">
        <f>F1093*Summary!$B$5</f>
        <v/>
      </c>
      <c r="J1093" s="7">
        <f>G1093*Summary!$B$5</f>
        <v/>
      </c>
      <c r="K1093" s="7">
        <f>H1093*Summary!$B$5</f>
        <v/>
      </c>
    </row>
    <row r="1094">
      <c r="A1094" s="8" t="n">
        <v>45828</v>
      </c>
      <c r="B1094" t="inlineStr">
        <is>
          <t>FY25-26</t>
        </is>
      </c>
      <c r="C1094" t="inlineStr"/>
      <c r="D1094" t="inlineStr"/>
      <c r="E1094" t="n">
        <v>0</v>
      </c>
      <c r="F1094" t="n">
        <v>0</v>
      </c>
      <c r="G1094" t="n">
        <v>8912.040000000001</v>
      </c>
      <c r="H1094" t="n">
        <v>0</v>
      </c>
      <c r="I1094" s="7">
        <f>F1094*Summary!$B$5</f>
        <v/>
      </c>
      <c r="J1094" s="7">
        <f>G1094*Summary!$B$5</f>
        <v/>
      </c>
      <c r="K1094" s="7">
        <f>H1094*Summary!$B$5</f>
        <v/>
      </c>
    </row>
    <row r="1095">
      <c r="A1095" s="8" t="n">
        <v>45831</v>
      </c>
      <c r="B1095" t="inlineStr">
        <is>
          <t>FY25-26</t>
        </is>
      </c>
      <c r="C1095" t="inlineStr">
        <is>
          <t>n/a</t>
        </is>
      </c>
      <c r="D1095" t="inlineStr"/>
      <c r="E1095" t="n">
        <v>0</v>
      </c>
      <c r="F1095" t="n">
        <v>-8.789999999999999</v>
      </c>
      <c r="G1095" t="n">
        <v>8903.25</v>
      </c>
      <c r="H1095" t="n">
        <v>-8.789999999999999</v>
      </c>
      <c r="I1095" s="7">
        <f>F1095*Summary!$B$5</f>
        <v/>
      </c>
      <c r="J1095" s="7">
        <f>G1095*Summary!$B$5</f>
        <v/>
      </c>
      <c r="K1095" s="7">
        <f>H1095*Summary!$B$5</f>
        <v/>
      </c>
    </row>
    <row r="1096">
      <c r="A1096" s="8" t="n">
        <v>45832</v>
      </c>
      <c r="B1096" t="inlineStr">
        <is>
          <t>FY25-26</t>
        </is>
      </c>
      <c r="C1096" t="inlineStr"/>
      <c r="D1096" t="inlineStr"/>
      <c r="E1096" t="n">
        <v>0</v>
      </c>
      <c r="F1096" t="n">
        <v>0</v>
      </c>
      <c r="G1096" t="n">
        <v>8903.25</v>
      </c>
      <c r="H1096" t="n">
        <v>-8.789999999999999</v>
      </c>
      <c r="I1096" s="7">
        <f>F1096*Summary!$B$5</f>
        <v/>
      </c>
      <c r="J1096" s="7">
        <f>G1096*Summary!$B$5</f>
        <v/>
      </c>
      <c r="K1096" s="7">
        <f>H1096*Summary!$B$5</f>
        <v/>
      </c>
    </row>
    <row r="1097">
      <c r="A1097" s="8" t="n">
        <v>45833</v>
      </c>
      <c r="B1097" t="inlineStr">
        <is>
          <t>FY25-26</t>
        </is>
      </c>
      <c r="C1097" t="inlineStr">
        <is>
          <t>NW</t>
        </is>
      </c>
      <c r="D1097" t="inlineStr"/>
      <c r="E1097" t="n">
        <v>0</v>
      </c>
      <c r="F1097" t="n">
        <v>13.44</v>
      </c>
      <c r="G1097" t="n">
        <v>8916.700000000001</v>
      </c>
      <c r="H1097" t="n">
        <v>0</v>
      </c>
      <c r="I1097" s="7">
        <f>F1097*Summary!$B$5</f>
        <v/>
      </c>
      <c r="J1097" s="7">
        <f>G1097*Summary!$B$5</f>
        <v/>
      </c>
      <c r="K1097" s="7">
        <f>H1097*Summary!$B$5</f>
        <v/>
      </c>
    </row>
    <row r="1098">
      <c r="A1098" s="8" t="n">
        <v>45834</v>
      </c>
      <c r="B1098" t="inlineStr">
        <is>
          <t>FY25-26</t>
        </is>
      </c>
      <c r="C1098" t="inlineStr"/>
      <c r="D1098" t="inlineStr"/>
      <c r="E1098" t="n">
        <v>0</v>
      </c>
      <c r="F1098" t="n">
        <v>0</v>
      </c>
      <c r="G1098" t="n">
        <v>8916.700000000001</v>
      </c>
      <c r="H1098" t="n">
        <v>0</v>
      </c>
      <c r="I1098" s="7">
        <f>F1098*Summary!$B$5</f>
        <v/>
      </c>
      <c r="J1098" s="7">
        <f>G1098*Summary!$B$5</f>
        <v/>
      </c>
      <c r="K1098" s="7">
        <f>H1098*Summary!$B$5</f>
        <v/>
      </c>
    </row>
    <row r="1099">
      <c r="A1099" s="8" t="n">
        <v>45835</v>
      </c>
      <c r="B1099" t="inlineStr">
        <is>
          <t>FY25-26</t>
        </is>
      </c>
      <c r="C1099" t="inlineStr">
        <is>
          <t>CW</t>
        </is>
      </c>
      <c r="D1099" t="inlineStr">
        <is>
          <t>09:18</t>
        </is>
      </c>
      <c r="E1099" t="n">
        <v>6</v>
      </c>
      <c r="F1099" t="n">
        <v>24.57</v>
      </c>
      <c r="G1099" t="n">
        <v>8941.27</v>
      </c>
      <c r="H1099" t="n">
        <v>0</v>
      </c>
      <c r="I1099" s="7">
        <f>F1099*Summary!$B$5</f>
        <v/>
      </c>
      <c r="J1099" s="7">
        <f>G1099*Summary!$B$5</f>
        <v/>
      </c>
      <c r="K1099" s="7">
        <f>H1099*Summary!$B$5</f>
        <v/>
      </c>
    </row>
    <row r="1100">
      <c r="A1100" s="8" t="n">
        <v>45838</v>
      </c>
      <c r="B1100" t="inlineStr">
        <is>
          <t>FY25-26</t>
        </is>
      </c>
      <c r="C1100" t="inlineStr">
        <is>
          <t>CW</t>
        </is>
      </c>
      <c r="D1100" t="inlineStr">
        <is>
          <t>09:18</t>
        </is>
      </c>
      <c r="E1100" t="n">
        <v>4</v>
      </c>
      <c r="F1100" t="n">
        <v>9.65</v>
      </c>
      <c r="G1100" t="n">
        <v>8950.92</v>
      </c>
      <c r="H1100" t="n">
        <v>0</v>
      </c>
      <c r="I1100" s="7">
        <f>F1100*Summary!$B$5</f>
        <v/>
      </c>
      <c r="J1100" s="7">
        <f>G1100*Summary!$B$5</f>
        <v/>
      </c>
      <c r="K1100" s="7">
        <f>H1100*Summary!$B$5</f>
        <v/>
      </c>
    </row>
    <row r="1101">
      <c r="A1101" s="8" t="n">
        <v>45839</v>
      </c>
      <c r="B1101" t="inlineStr">
        <is>
          <t>FY25-26</t>
        </is>
      </c>
      <c r="C1101" t="inlineStr">
        <is>
          <t>CW</t>
        </is>
      </c>
      <c r="D1101" t="inlineStr">
        <is>
          <t>09:18</t>
        </is>
      </c>
      <c r="E1101" t="n">
        <v>3</v>
      </c>
      <c r="F1101" t="n">
        <v>47.79</v>
      </c>
      <c r="G1101" t="n">
        <v>8998.709999999999</v>
      </c>
      <c r="H1101" t="n">
        <v>0</v>
      </c>
      <c r="I1101" s="7">
        <f>F1101*Summary!$B$5</f>
        <v/>
      </c>
      <c r="J1101" s="7">
        <f>G1101*Summary!$B$5</f>
        <v/>
      </c>
      <c r="K1101" s="7">
        <f>H1101*Summary!$B$5</f>
        <v/>
      </c>
    </row>
    <row r="1102">
      <c r="A1102" s="8" t="n">
        <v>45840</v>
      </c>
      <c r="B1102" t="inlineStr">
        <is>
          <t>FY25-26</t>
        </is>
      </c>
      <c r="C1102" t="inlineStr">
        <is>
          <t>CW</t>
        </is>
      </c>
      <c r="D1102" t="inlineStr">
        <is>
          <t>09:18</t>
        </is>
      </c>
      <c r="E1102" t="n">
        <v>2</v>
      </c>
      <c r="F1102" t="n">
        <v>0.76</v>
      </c>
      <c r="G1102" t="n">
        <v>8999.469999999999</v>
      </c>
      <c r="H1102" t="n">
        <v>0</v>
      </c>
      <c r="I1102" s="7">
        <f>F1102*Summary!$B$5</f>
        <v/>
      </c>
      <c r="J1102" s="7">
        <f>G1102*Summary!$B$5</f>
        <v/>
      </c>
      <c r="K1102" s="7">
        <f>H1102*Summary!$B$5</f>
        <v/>
      </c>
    </row>
    <row r="1103">
      <c r="A1103" s="8" t="n">
        <v>45841</v>
      </c>
      <c r="B1103" t="inlineStr">
        <is>
          <t>FY25-26</t>
        </is>
      </c>
      <c r="C1103" t="inlineStr"/>
      <c r="D1103" t="inlineStr"/>
      <c r="E1103" t="n">
        <v>0</v>
      </c>
      <c r="F1103" t="n">
        <v>0</v>
      </c>
      <c r="G1103" t="n">
        <v>8999.469999999999</v>
      </c>
      <c r="H1103" t="n">
        <v>0</v>
      </c>
      <c r="I1103" s="7">
        <f>F1103*Summary!$B$5</f>
        <v/>
      </c>
      <c r="J1103" s="7">
        <f>G1103*Summary!$B$5</f>
        <v/>
      </c>
      <c r="K1103" s="7">
        <f>H1103*Summary!$B$5</f>
        <v/>
      </c>
    </row>
    <row r="1104">
      <c r="A1104" s="8" t="n">
        <v>45842</v>
      </c>
      <c r="B1104" t="inlineStr">
        <is>
          <t>FY25-26</t>
        </is>
      </c>
      <c r="C1104" t="inlineStr">
        <is>
          <t>CW</t>
        </is>
      </c>
      <c r="D1104" t="inlineStr">
        <is>
          <t>09:16</t>
        </is>
      </c>
      <c r="E1104" t="n">
        <v>6</v>
      </c>
      <c r="F1104" t="n">
        <v>25.74</v>
      </c>
      <c r="G1104" t="n">
        <v>9025.209999999999</v>
      </c>
      <c r="H1104" t="n">
        <v>0</v>
      </c>
      <c r="I1104" s="7">
        <f>F1104*Summary!$B$5</f>
        <v/>
      </c>
      <c r="J1104" s="7">
        <f>G1104*Summary!$B$5</f>
        <v/>
      </c>
      <c r="K1104" s="7">
        <f>H1104*Summary!$B$5</f>
        <v/>
      </c>
    </row>
    <row r="1105">
      <c r="A1105" s="8" t="n">
        <v>45845</v>
      </c>
      <c r="B1105" t="inlineStr">
        <is>
          <t>FY25-26</t>
        </is>
      </c>
      <c r="C1105" t="inlineStr">
        <is>
          <t>CW</t>
        </is>
      </c>
      <c r="D1105" t="inlineStr">
        <is>
          <t>09:18</t>
        </is>
      </c>
      <c r="E1105" t="n">
        <v>4</v>
      </c>
      <c r="F1105" t="n">
        <v>12.7</v>
      </c>
      <c r="G1105" t="n">
        <v>9037.9</v>
      </c>
      <c r="H1105" t="n">
        <v>0</v>
      </c>
      <c r="I1105" s="7">
        <f>F1105*Summary!$B$5</f>
        <v/>
      </c>
      <c r="J1105" s="7">
        <f>G1105*Summary!$B$5</f>
        <v/>
      </c>
      <c r="K1105" s="7">
        <f>H1105*Summary!$B$5</f>
        <v/>
      </c>
    </row>
    <row r="1106">
      <c r="A1106" s="8" t="n">
        <v>45846</v>
      </c>
      <c r="B1106" t="inlineStr">
        <is>
          <t>FY25-26</t>
        </is>
      </c>
      <c r="C1106" t="inlineStr">
        <is>
          <t>CW</t>
        </is>
      </c>
      <c r="D1106" t="inlineStr">
        <is>
          <t>09:18</t>
        </is>
      </c>
      <c r="E1106" t="n">
        <v>3</v>
      </c>
      <c r="F1106" t="n">
        <v>42.75</v>
      </c>
      <c r="G1106" t="n">
        <v>9080.66</v>
      </c>
      <c r="H1106" t="n">
        <v>0</v>
      </c>
      <c r="I1106" s="7">
        <f>F1106*Summary!$B$5</f>
        <v/>
      </c>
      <c r="J1106" s="7">
        <f>G1106*Summary!$B$5</f>
        <v/>
      </c>
      <c r="K1106" s="7">
        <f>H1106*Summary!$B$5</f>
        <v/>
      </c>
    </row>
    <row r="1107">
      <c r="A1107" s="8" t="n">
        <v>45847</v>
      </c>
      <c r="B1107" t="inlineStr">
        <is>
          <t>FY25-26</t>
        </is>
      </c>
      <c r="C1107" t="inlineStr">
        <is>
          <t>CW</t>
        </is>
      </c>
      <c r="D1107" t="inlineStr">
        <is>
          <t>09:18</t>
        </is>
      </c>
      <c r="E1107" t="n">
        <v>2</v>
      </c>
      <c r="F1107" t="n">
        <v>8.880000000000001</v>
      </c>
      <c r="G1107" t="n">
        <v>9089.540000000001</v>
      </c>
      <c r="H1107" t="n">
        <v>0</v>
      </c>
      <c r="I1107" s="7">
        <f>F1107*Summary!$B$5</f>
        <v/>
      </c>
      <c r="J1107" s="7">
        <f>G1107*Summary!$B$5</f>
        <v/>
      </c>
      <c r="K1107" s="7">
        <f>H1107*Summary!$B$5</f>
        <v/>
      </c>
    </row>
    <row r="1108">
      <c r="A1108" s="8" t="n">
        <v>45848</v>
      </c>
      <c r="B1108" t="inlineStr">
        <is>
          <t>FY25-26</t>
        </is>
      </c>
      <c r="C1108" t="inlineStr">
        <is>
          <t>CW</t>
        </is>
      </c>
      <c r="D1108" t="inlineStr">
        <is>
          <t>09:18</t>
        </is>
      </c>
      <c r="E1108" t="n">
        <v>1</v>
      </c>
      <c r="F1108" t="n">
        <v>-5.31</v>
      </c>
      <c r="G1108" t="n">
        <v>9084.219999999999</v>
      </c>
      <c r="H1108" t="n">
        <v>-5.31</v>
      </c>
      <c r="I1108" s="7">
        <f>F1108*Summary!$B$5</f>
        <v/>
      </c>
      <c r="J1108" s="7">
        <f>G1108*Summary!$B$5</f>
        <v/>
      </c>
      <c r="K1108" s="7">
        <f>H1108*Summary!$B$5</f>
        <v/>
      </c>
    </row>
    <row r="1109">
      <c r="A1109" s="8" t="n">
        <v>45849</v>
      </c>
      <c r="B1109" t="inlineStr">
        <is>
          <t>FY25-26</t>
        </is>
      </c>
      <c r="C1109" t="inlineStr"/>
      <c r="D1109" t="inlineStr"/>
      <c r="E1109" t="n">
        <v>0</v>
      </c>
      <c r="F1109" t="n">
        <v>0</v>
      </c>
      <c r="G1109" t="n">
        <v>9084.219999999999</v>
      </c>
      <c r="H1109" t="n">
        <v>-5.31</v>
      </c>
      <c r="I1109" s="7">
        <f>F1109*Summary!$B$5</f>
        <v/>
      </c>
      <c r="J1109" s="7">
        <f>G1109*Summary!$B$5</f>
        <v/>
      </c>
      <c r="K1109" s="7">
        <f>H1109*Summary!$B$5</f>
        <v/>
      </c>
    </row>
    <row r="1110">
      <c r="A1110" s="8" t="n">
        <v>45852</v>
      </c>
      <c r="B1110" t="inlineStr">
        <is>
          <t>FY25-26</t>
        </is>
      </c>
      <c r="C1110" t="inlineStr">
        <is>
          <t>CW</t>
        </is>
      </c>
      <c r="D1110" t="inlineStr">
        <is>
          <t>09:18</t>
        </is>
      </c>
      <c r="E1110" t="n">
        <v>4</v>
      </c>
      <c r="F1110" t="n">
        <v>2.99</v>
      </c>
      <c r="G1110" t="n">
        <v>9087.209999999999</v>
      </c>
      <c r="H1110" t="n">
        <v>-2.32</v>
      </c>
      <c r="I1110" s="7">
        <f>F1110*Summary!$B$5</f>
        <v/>
      </c>
      <c r="J1110" s="7">
        <f>G1110*Summary!$B$5</f>
        <v/>
      </c>
      <c r="K1110" s="7">
        <f>H1110*Summary!$B$5</f>
        <v/>
      </c>
    </row>
    <row r="1111">
      <c r="A1111" s="8" t="n">
        <v>45853</v>
      </c>
      <c r="B1111" t="inlineStr">
        <is>
          <t>FY25-26</t>
        </is>
      </c>
      <c r="C1111" t="inlineStr">
        <is>
          <t>CW</t>
        </is>
      </c>
      <c r="D1111" t="inlineStr">
        <is>
          <t>09:18</t>
        </is>
      </c>
      <c r="E1111" t="n">
        <v>3</v>
      </c>
      <c r="F1111" t="n">
        <v>22.74</v>
      </c>
      <c r="G1111" t="n">
        <v>9109.959999999999</v>
      </c>
      <c r="H1111" t="n">
        <v>0</v>
      </c>
      <c r="I1111" s="7">
        <f>F1111*Summary!$B$5</f>
        <v/>
      </c>
      <c r="J1111" s="7">
        <f>G1111*Summary!$B$5</f>
        <v/>
      </c>
      <c r="K1111" s="7">
        <f>H1111*Summary!$B$5</f>
        <v/>
      </c>
    </row>
    <row r="1112">
      <c r="A1112" s="8" t="n">
        <v>45854</v>
      </c>
      <c r="B1112" t="inlineStr">
        <is>
          <t>FY25-26</t>
        </is>
      </c>
      <c r="C1112" t="inlineStr"/>
      <c r="D1112" t="inlineStr"/>
      <c r="E1112" t="n">
        <v>0</v>
      </c>
      <c r="F1112" t="n">
        <v>0</v>
      </c>
      <c r="G1112" t="n">
        <v>9109.959999999999</v>
      </c>
      <c r="H1112" t="n">
        <v>0</v>
      </c>
      <c r="I1112" s="7">
        <f>F1112*Summary!$B$5</f>
        <v/>
      </c>
      <c r="J1112" s="7">
        <f>G1112*Summary!$B$5</f>
        <v/>
      </c>
      <c r="K1112" s="7">
        <f>H1112*Summary!$B$5</f>
        <v/>
      </c>
    </row>
    <row r="1113">
      <c r="A1113" s="8" t="n">
        <v>45855</v>
      </c>
      <c r="B1113" t="inlineStr">
        <is>
          <t>FY25-26</t>
        </is>
      </c>
      <c r="C1113" t="inlineStr">
        <is>
          <t>CW</t>
        </is>
      </c>
      <c r="D1113" t="inlineStr">
        <is>
          <t>09:18</t>
        </is>
      </c>
      <c r="E1113" t="n">
        <v>1</v>
      </c>
      <c r="F1113" t="n">
        <v>33.87</v>
      </c>
      <c r="G1113" t="n">
        <v>9143.83</v>
      </c>
      <c r="H1113" t="n">
        <v>0</v>
      </c>
      <c r="I1113" s="7">
        <f>F1113*Summary!$B$5</f>
        <v/>
      </c>
      <c r="J1113" s="7">
        <f>G1113*Summary!$B$5</f>
        <v/>
      </c>
      <c r="K1113" s="7">
        <f>H1113*Summary!$B$5</f>
        <v/>
      </c>
    </row>
    <row r="1114">
      <c r="A1114" s="8" t="n">
        <v>45856</v>
      </c>
      <c r="B1114" t="inlineStr">
        <is>
          <t>FY25-26</t>
        </is>
      </c>
      <c r="C1114" t="inlineStr">
        <is>
          <t>CW</t>
        </is>
      </c>
      <c r="D1114" t="inlineStr">
        <is>
          <t>09:18</t>
        </is>
      </c>
      <c r="E1114" t="n">
        <v>6</v>
      </c>
      <c r="F1114" t="n">
        <v>-36.31</v>
      </c>
      <c r="G1114" t="n">
        <v>9107.52</v>
      </c>
      <c r="H1114" t="n">
        <v>-36.31</v>
      </c>
      <c r="I1114" s="7">
        <f>F1114*Summary!$B$5</f>
        <v/>
      </c>
      <c r="J1114" s="7">
        <f>G1114*Summary!$B$5</f>
        <v/>
      </c>
      <c r="K1114" s="7">
        <f>H1114*Summary!$B$5</f>
        <v/>
      </c>
    </row>
    <row r="1115">
      <c r="A1115" s="8" t="n">
        <v>45859</v>
      </c>
      <c r="B1115" t="inlineStr">
        <is>
          <t>FY25-26</t>
        </is>
      </c>
      <c r="C1115" t="inlineStr">
        <is>
          <t>CW</t>
        </is>
      </c>
      <c r="D1115" t="inlineStr">
        <is>
          <t>09:18</t>
        </is>
      </c>
      <c r="E1115" t="n">
        <v>4</v>
      </c>
      <c r="F1115" t="n">
        <v>12.05</v>
      </c>
      <c r="G1115" t="n">
        <v>9119.559999999999</v>
      </c>
      <c r="H1115" t="n">
        <v>-24.26</v>
      </c>
      <c r="I1115" s="7">
        <f>F1115*Summary!$B$5</f>
        <v/>
      </c>
      <c r="J1115" s="7">
        <f>G1115*Summary!$B$5</f>
        <v/>
      </c>
      <c r="K1115" s="7">
        <f>H1115*Summary!$B$5</f>
        <v/>
      </c>
    </row>
    <row r="1116">
      <c r="A1116" s="8" t="n">
        <v>45860</v>
      </c>
      <c r="B1116" t="inlineStr">
        <is>
          <t>FY25-26</t>
        </is>
      </c>
      <c r="C1116" t="inlineStr"/>
      <c r="D1116" t="inlineStr"/>
      <c r="E1116" t="n">
        <v>0</v>
      </c>
      <c r="F1116" t="n">
        <v>0</v>
      </c>
      <c r="G1116" t="n">
        <v>9119.559999999999</v>
      </c>
      <c r="H1116" t="n">
        <v>-24.26</v>
      </c>
      <c r="I1116" s="7">
        <f>F1116*Summary!$B$5</f>
        <v/>
      </c>
      <c r="J1116" s="7">
        <f>G1116*Summary!$B$5</f>
        <v/>
      </c>
      <c r="K1116" s="7">
        <f>H1116*Summary!$B$5</f>
        <v/>
      </c>
    </row>
    <row r="1117">
      <c r="A1117" s="8" t="n">
        <v>45861</v>
      </c>
      <c r="B1117" t="inlineStr">
        <is>
          <t>FY25-26</t>
        </is>
      </c>
      <c r="C1117" t="inlineStr"/>
      <c r="D1117" t="inlineStr"/>
      <c r="E1117" t="n">
        <v>0</v>
      </c>
      <c r="F1117" t="n">
        <v>0</v>
      </c>
      <c r="G1117" t="n">
        <v>9119.559999999999</v>
      </c>
      <c r="H1117" t="n">
        <v>-24.26</v>
      </c>
      <c r="I1117" s="7">
        <f>F1117*Summary!$B$5</f>
        <v/>
      </c>
      <c r="J1117" s="7">
        <f>G1117*Summary!$B$5</f>
        <v/>
      </c>
      <c r="K1117" s="7">
        <f>H1117*Summary!$B$5</f>
        <v/>
      </c>
    </row>
    <row r="1118">
      <c r="A1118" s="8" t="n">
        <v>45862</v>
      </c>
      <c r="B1118" t="inlineStr">
        <is>
          <t>FY25-26</t>
        </is>
      </c>
      <c r="C1118" t="inlineStr"/>
      <c r="D1118" t="inlineStr"/>
      <c r="E1118" t="n">
        <v>0</v>
      </c>
      <c r="F1118" t="n">
        <v>0</v>
      </c>
      <c r="G1118" t="n">
        <v>9119.559999999999</v>
      </c>
      <c r="H1118" t="n">
        <v>-24.26</v>
      </c>
      <c r="I1118" s="7">
        <f>F1118*Summary!$B$5</f>
        <v/>
      </c>
      <c r="J1118" s="7">
        <f>G1118*Summary!$B$5</f>
        <v/>
      </c>
      <c r="K1118" s="7">
        <f>H1118*Summary!$B$5</f>
        <v/>
      </c>
    </row>
    <row r="1119">
      <c r="A1119" s="8" t="n">
        <v>45863</v>
      </c>
      <c r="B1119" t="inlineStr">
        <is>
          <t>FY25-26</t>
        </is>
      </c>
      <c r="C1119" t="inlineStr"/>
      <c r="D1119" t="inlineStr"/>
      <c r="E1119" t="n">
        <v>0</v>
      </c>
      <c r="F1119" t="n">
        <v>0</v>
      </c>
      <c r="G1119" t="n">
        <v>9119.559999999999</v>
      </c>
      <c r="H1119" t="n">
        <v>-24.26</v>
      </c>
      <c r="I1119" s="7">
        <f>F1119*Summary!$B$5</f>
        <v/>
      </c>
      <c r="J1119" s="7">
        <f>G1119*Summary!$B$5</f>
        <v/>
      </c>
      <c r="K1119" s="7">
        <f>H1119*Summary!$B$5</f>
        <v/>
      </c>
    </row>
    <row r="1120">
      <c r="A1120" s="8" t="n">
        <v>45866</v>
      </c>
      <c r="B1120" t="inlineStr">
        <is>
          <t>FY25-26</t>
        </is>
      </c>
      <c r="C1120" t="inlineStr">
        <is>
          <t>n/a</t>
        </is>
      </c>
      <c r="D1120" t="inlineStr"/>
      <c r="E1120" t="n">
        <v>0</v>
      </c>
      <c r="F1120" t="n">
        <v>-20.02</v>
      </c>
      <c r="G1120" t="n">
        <v>9099.540000000001</v>
      </c>
      <c r="H1120" t="n">
        <v>-44.28</v>
      </c>
      <c r="I1120" s="7">
        <f>F1120*Summary!$B$5</f>
        <v/>
      </c>
      <c r="J1120" s="7">
        <f>G1120*Summary!$B$5</f>
        <v/>
      </c>
      <c r="K1120" s="7">
        <f>H1120*Summary!$B$5</f>
        <v/>
      </c>
    </row>
    <row r="1121">
      <c r="A1121" s="8" t="n">
        <v>45867</v>
      </c>
      <c r="B1121" t="inlineStr">
        <is>
          <t>FY25-26</t>
        </is>
      </c>
      <c r="C1121" t="inlineStr">
        <is>
          <t>CW</t>
        </is>
      </c>
      <c r="D1121" t="inlineStr">
        <is>
          <t>09:18</t>
        </is>
      </c>
      <c r="E1121" t="n">
        <v>3</v>
      </c>
      <c r="F1121" t="n">
        <v>29.86</v>
      </c>
      <c r="G1121" t="n">
        <v>9129.41</v>
      </c>
      <c r="H1121" t="n">
        <v>-14.42</v>
      </c>
      <c r="I1121" s="7">
        <f>F1121*Summary!$B$5</f>
        <v/>
      </c>
      <c r="J1121" s="7">
        <f>G1121*Summary!$B$5</f>
        <v/>
      </c>
      <c r="K1121" s="7">
        <f>H1121*Summary!$B$5</f>
        <v/>
      </c>
    </row>
    <row r="1122">
      <c r="A1122" s="8" t="n">
        <v>45868</v>
      </c>
      <c r="B1122" t="inlineStr">
        <is>
          <t>FY25-26</t>
        </is>
      </c>
      <c r="C1122" t="inlineStr"/>
      <c r="D1122" t="inlineStr"/>
      <c r="E1122" t="n">
        <v>0</v>
      </c>
      <c r="F1122" t="n">
        <v>0</v>
      </c>
      <c r="G1122" t="n">
        <v>9129.41</v>
      </c>
      <c r="H1122" t="n">
        <v>-14.42</v>
      </c>
      <c r="I1122" s="7">
        <f>F1122*Summary!$B$5</f>
        <v/>
      </c>
      <c r="J1122" s="7">
        <f>G1122*Summary!$B$5</f>
        <v/>
      </c>
      <c r="K1122" s="7">
        <f>H1122*Summary!$B$5</f>
        <v/>
      </c>
    </row>
    <row r="1123">
      <c r="A1123" s="8" t="n">
        <v>45869</v>
      </c>
      <c r="B1123" t="inlineStr">
        <is>
          <t>FY25-26</t>
        </is>
      </c>
      <c r="C1123" t="inlineStr">
        <is>
          <t>CW</t>
        </is>
      </c>
      <c r="D1123" t="inlineStr">
        <is>
          <t>09:18</t>
        </is>
      </c>
      <c r="E1123" t="n">
        <v>1</v>
      </c>
      <c r="F1123" t="n">
        <v>-2.4</v>
      </c>
      <c r="G1123" t="n">
        <v>9127</v>
      </c>
      <c r="H1123" t="n">
        <v>-16.82</v>
      </c>
      <c r="I1123" s="7">
        <f>F1123*Summary!$B$5</f>
        <v/>
      </c>
      <c r="J1123" s="7">
        <f>G1123*Summary!$B$5</f>
        <v/>
      </c>
      <c r="K1123" s="7">
        <f>H1123*Summary!$B$5</f>
        <v/>
      </c>
    </row>
    <row r="1124">
      <c r="A1124" s="8" t="n">
        <v>45870</v>
      </c>
      <c r="B1124" t="inlineStr">
        <is>
          <t>FY25-26</t>
        </is>
      </c>
      <c r="C1124" t="inlineStr"/>
      <c r="D1124" t="inlineStr"/>
      <c r="E1124" t="n">
        <v>0</v>
      </c>
      <c r="F1124" t="n">
        <v>0</v>
      </c>
      <c r="G1124" t="n">
        <v>9127</v>
      </c>
      <c r="H1124" t="n">
        <v>-16.82</v>
      </c>
      <c r="I1124" s="7">
        <f>F1124*Summary!$B$5</f>
        <v/>
      </c>
      <c r="J1124" s="7">
        <f>G1124*Summary!$B$5</f>
        <v/>
      </c>
      <c r="K1124" s="7">
        <f>H1124*Summary!$B$5</f>
        <v/>
      </c>
    </row>
    <row r="1125">
      <c r="A1125" s="8" t="n">
        <v>45873</v>
      </c>
      <c r="B1125" t="inlineStr">
        <is>
          <t>FY25-26</t>
        </is>
      </c>
      <c r="C1125" t="inlineStr">
        <is>
          <t>n/a</t>
        </is>
      </c>
      <c r="D1125" t="inlineStr"/>
      <c r="E1125" t="n">
        <v>0</v>
      </c>
      <c r="F1125" t="n">
        <v>20.6</v>
      </c>
      <c r="G1125" t="n">
        <v>9147.610000000001</v>
      </c>
      <c r="H1125" t="n">
        <v>0</v>
      </c>
      <c r="I1125" s="7">
        <f>F1125*Summary!$B$5</f>
        <v/>
      </c>
      <c r="J1125" s="7">
        <f>G1125*Summary!$B$5</f>
        <v/>
      </c>
      <c r="K1125" s="7">
        <f>H1125*Summary!$B$5</f>
        <v/>
      </c>
    </row>
    <row r="1126">
      <c r="A1126" s="8" t="n">
        <v>45874</v>
      </c>
      <c r="B1126" t="inlineStr">
        <is>
          <t>FY25-26</t>
        </is>
      </c>
      <c r="C1126" t="inlineStr">
        <is>
          <t>CW</t>
        </is>
      </c>
      <c r="D1126" t="inlineStr">
        <is>
          <t>09:18</t>
        </is>
      </c>
      <c r="E1126" t="n">
        <v>3</v>
      </c>
      <c r="F1126" t="n">
        <v>19.75</v>
      </c>
      <c r="G1126" t="n">
        <v>9167.360000000001</v>
      </c>
      <c r="H1126" t="n">
        <v>0</v>
      </c>
      <c r="I1126" s="7">
        <f>F1126*Summary!$B$5</f>
        <v/>
      </c>
      <c r="J1126" s="7">
        <f>G1126*Summary!$B$5</f>
        <v/>
      </c>
      <c r="K1126" s="7">
        <f>H1126*Summary!$B$5</f>
        <v/>
      </c>
    </row>
    <row r="1127">
      <c r="A1127" s="8" t="n">
        <v>45875</v>
      </c>
      <c r="B1127" t="inlineStr">
        <is>
          <t>FY25-26</t>
        </is>
      </c>
      <c r="C1127" t="inlineStr">
        <is>
          <t>NW</t>
        </is>
      </c>
      <c r="D1127" t="inlineStr"/>
      <c r="E1127" t="n">
        <v>2</v>
      </c>
      <c r="F1127" t="n">
        <v>11.12</v>
      </c>
      <c r="G1127" t="n">
        <v>9178.48</v>
      </c>
      <c r="H1127" t="n">
        <v>0</v>
      </c>
      <c r="I1127" s="7">
        <f>F1127*Summary!$B$5</f>
        <v/>
      </c>
      <c r="J1127" s="7">
        <f>G1127*Summary!$B$5</f>
        <v/>
      </c>
      <c r="K1127" s="7">
        <f>H1127*Summary!$B$5</f>
        <v/>
      </c>
    </row>
    <row r="1128">
      <c r="A1128" s="8" t="n">
        <v>45876</v>
      </c>
      <c r="B1128" t="inlineStr">
        <is>
          <t>FY25-26</t>
        </is>
      </c>
      <c r="C1128" t="inlineStr"/>
      <c r="D1128" t="inlineStr"/>
      <c r="E1128" t="n">
        <v>0</v>
      </c>
      <c r="F1128" t="n">
        <v>0</v>
      </c>
      <c r="G1128" t="n">
        <v>9178.48</v>
      </c>
      <c r="H1128" t="n">
        <v>0</v>
      </c>
      <c r="I1128" s="7">
        <f>F1128*Summary!$B$5</f>
        <v/>
      </c>
      <c r="J1128" s="7">
        <f>G1128*Summary!$B$5</f>
        <v/>
      </c>
      <c r="K1128" s="7">
        <f>H1128*Summary!$B$5</f>
        <v/>
      </c>
    </row>
    <row r="1129">
      <c r="A1129" s="8" t="n">
        <v>45877</v>
      </c>
      <c r="B1129" t="inlineStr">
        <is>
          <t>FY25-26</t>
        </is>
      </c>
      <c r="C1129" t="inlineStr"/>
      <c r="D1129" t="inlineStr"/>
      <c r="E1129" t="n">
        <v>0</v>
      </c>
      <c r="F1129" t="n">
        <v>0</v>
      </c>
      <c r="G1129" t="n">
        <v>9178.48</v>
      </c>
      <c r="H1129" t="n">
        <v>0</v>
      </c>
      <c r="I1129" s="7">
        <f>F1129*Summary!$B$5</f>
        <v/>
      </c>
      <c r="J1129" s="7">
        <f>G1129*Summary!$B$5</f>
        <v/>
      </c>
      <c r="K1129" s="7">
        <f>H1129*Summary!$B$5</f>
        <v/>
      </c>
    </row>
    <row r="1130">
      <c r="A1130" s="8" t="n">
        <v>45880</v>
      </c>
      <c r="B1130" t="inlineStr">
        <is>
          <t>FY25-26</t>
        </is>
      </c>
      <c r="C1130" t="inlineStr">
        <is>
          <t>CW</t>
        </is>
      </c>
      <c r="D1130" t="inlineStr">
        <is>
          <t>09:18</t>
        </is>
      </c>
      <c r="E1130" t="n">
        <v>4</v>
      </c>
      <c r="F1130" t="n">
        <v>21.9</v>
      </c>
      <c r="G1130" t="n">
        <v>9200.389999999999</v>
      </c>
      <c r="H1130" t="n">
        <v>0</v>
      </c>
      <c r="I1130" s="7">
        <f>F1130*Summary!$B$5</f>
        <v/>
      </c>
      <c r="J1130" s="7">
        <f>G1130*Summary!$B$5</f>
        <v/>
      </c>
      <c r="K1130" s="7">
        <f>H1130*Summary!$B$5</f>
        <v/>
      </c>
    </row>
    <row r="1131">
      <c r="A1131" s="8" t="n">
        <v>45881</v>
      </c>
      <c r="B1131" t="inlineStr">
        <is>
          <t>FY25-26</t>
        </is>
      </c>
      <c r="C1131" t="inlineStr"/>
      <c r="D1131" t="inlineStr"/>
      <c r="E1131" t="n">
        <v>0</v>
      </c>
      <c r="F1131" t="n">
        <v>0</v>
      </c>
      <c r="G1131" t="n">
        <v>9200.389999999999</v>
      </c>
      <c r="H1131" t="n">
        <v>0</v>
      </c>
      <c r="I1131" s="7">
        <f>F1131*Summary!$B$5</f>
        <v/>
      </c>
      <c r="J1131" s="7">
        <f>G1131*Summary!$B$5</f>
        <v/>
      </c>
      <c r="K1131" s="7">
        <f>H1131*Summary!$B$5</f>
        <v/>
      </c>
    </row>
    <row r="1132">
      <c r="A1132" s="8" t="n">
        <v>45882</v>
      </c>
      <c r="B1132" t="inlineStr">
        <is>
          <t>FY25-26</t>
        </is>
      </c>
      <c r="C1132" t="inlineStr">
        <is>
          <t>NW</t>
        </is>
      </c>
      <c r="D1132" t="inlineStr"/>
      <c r="E1132" t="n">
        <v>2</v>
      </c>
      <c r="F1132" t="n">
        <v>5.71</v>
      </c>
      <c r="G1132" t="n">
        <v>9206.09</v>
      </c>
      <c r="H1132" t="n">
        <v>0</v>
      </c>
      <c r="I1132" s="7">
        <f>F1132*Summary!$B$5</f>
        <v/>
      </c>
      <c r="J1132" s="7">
        <f>G1132*Summary!$B$5</f>
        <v/>
      </c>
      <c r="K1132" s="7">
        <f>H1132*Summary!$B$5</f>
        <v/>
      </c>
    </row>
    <row r="1133">
      <c r="A1133" s="8" t="n">
        <v>45883</v>
      </c>
      <c r="B1133" t="inlineStr">
        <is>
          <t>FY25-26</t>
        </is>
      </c>
      <c r="C1133" t="inlineStr">
        <is>
          <t>NW</t>
        </is>
      </c>
      <c r="D1133" t="inlineStr"/>
      <c r="E1133" t="n">
        <v>1</v>
      </c>
      <c r="F1133" t="n">
        <v>-5.94</v>
      </c>
      <c r="G1133" t="n">
        <v>9200.15</v>
      </c>
      <c r="H1133" t="n">
        <v>-5.94</v>
      </c>
      <c r="I1133" s="7">
        <f>F1133*Summary!$B$5</f>
        <v/>
      </c>
      <c r="J1133" s="7">
        <f>G1133*Summary!$B$5</f>
        <v/>
      </c>
      <c r="K1133" s="7">
        <f>H1133*Summary!$B$5</f>
        <v/>
      </c>
    </row>
    <row r="1134">
      <c r="A1134" s="8" t="n">
        <v>45887</v>
      </c>
      <c r="B1134" t="inlineStr">
        <is>
          <t>FY25-26</t>
        </is>
      </c>
      <c r="C1134" t="inlineStr">
        <is>
          <t>CW</t>
        </is>
      </c>
      <c r="D1134" t="inlineStr">
        <is>
          <t>09:16</t>
        </is>
      </c>
      <c r="E1134" t="n">
        <v>4</v>
      </c>
      <c r="F1134" t="n">
        <v>35.11</v>
      </c>
      <c r="G1134" t="n">
        <v>9235.26</v>
      </c>
      <c r="H1134" t="n">
        <v>0</v>
      </c>
      <c r="I1134" s="7">
        <f>F1134*Summary!$B$5</f>
        <v/>
      </c>
      <c r="J1134" s="7">
        <f>G1134*Summary!$B$5</f>
        <v/>
      </c>
      <c r="K1134" s="7">
        <f>H1134*Summary!$B$5</f>
        <v/>
      </c>
    </row>
    <row r="1135">
      <c r="A1135" s="8" t="n">
        <v>45891</v>
      </c>
      <c r="B1135" t="inlineStr">
        <is>
          <t>FY25-26</t>
        </is>
      </c>
      <c r="C1135" t="inlineStr"/>
      <c r="D1135" t="inlineStr"/>
      <c r="E1135" t="n">
        <v>0</v>
      </c>
      <c r="F1135" t="n">
        <v>0</v>
      </c>
      <c r="G1135" t="n">
        <v>9235.26</v>
      </c>
      <c r="H1135" t="n">
        <v>0</v>
      </c>
      <c r="I1135" s="7">
        <f>F1135*Summary!$B$5</f>
        <v/>
      </c>
      <c r="J1135" s="7">
        <f>G1135*Summary!$B$5</f>
        <v/>
      </c>
      <c r="K1135" s="7">
        <f>H1135*Summary!$B$5</f>
        <v/>
      </c>
    </row>
    <row r="1136">
      <c r="A1136" s="8" t="n">
        <v>45894</v>
      </c>
      <c r="B1136" t="inlineStr">
        <is>
          <t>FY25-26</t>
        </is>
      </c>
      <c r="C1136" t="inlineStr"/>
      <c r="D1136" t="inlineStr"/>
      <c r="E1136" t="n">
        <v>0</v>
      </c>
      <c r="F1136" t="n">
        <v>0</v>
      </c>
      <c r="G1136" t="n">
        <v>9235.26</v>
      </c>
      <c r="H1136" t="n">
        <v>0</v>
      </c>
      <c r="I1136" s="7">
        <f>F1136*Summary!$B$5</f>
        <v/>
      </c>
      <c r="J1136" s="7">
        <f>G1136*Summary!$B$5</f>
        <v/>
      </c>
      <c r="K1136" s="7">
        <f>H1136*Summary!$B$5</f>
        <v/>
      </c>
    </row>
    <row r="1137">
      <c r="A1137" s="8" t="n">
        <v>45895</v>
      </c>
      <c r="B1137" t="inlineStr">
        <is>
          <t>FY25-26</t>
        </is>
      </c>
      <c r="C1137" t="inlineStr"/>
      <c r="D1137" t="inlineStr"/>
      <c r="E1137" t="n">
        <v>0</v>
      </c>
      <c r="F1137" t="n">
        <v>0</v>
      </c>
      <c r="G1137" t="n">
        <v>9235.26</v>
      </c>
      <c r="H1137" t="n">
        <v>0</v>
      </c>
      <c r="I1137" s="7">
        <f>F1137*Summary!$B$5</f>
        <v/>
      </c>
      <c r="J1137" s="7">
        <f>G1137*Summary!$B$5</f>
        <v/>
      </c>
      <c r="K1137" s="7">
        <f>H1137*Summary!$B$5</f>
        <v/>
      </c>
    </row>
    <row r="1138">
      <c r="A1138" s="8" t="n">
        <v>45897</v>
      </c>
      <c r="B1138" t="inlineStr">
        <is>
          <t>FY25-26</t>
        </is>
      </c>
      <c r="C1138" t="inlineStr"/>
      <c r="D1138" t="inlineStr"/>
      <c r="E1138" t="n">
        <v>0</v>
      </c>
      <c r="F1138" t="n">
        <v>0</v>
      </c>
      <c r="G1138" t="n">
        <v>9235.26</v>
      </c>
      <c r="H1138" t="n">
        <v>0</v>
      </c>
      <c r="I1138" s="7">
        <f>F1138*Summary!$B$5</f>
        <v/>
      </c>
      <c r="J1138" s="7">
        <f>G1138*Summary!$B$5</f>
        <v/>
      </c>
      <c r="K1138" s="7">
        <f>H1138*Summary!$B$5</f>
        <v/>
      </c>
    </row>
    <row r="1139">
      <c r="A1139" s="8" t="n">
        <v>45898</v>
      </c>
      <c r="B1139" t="inlineStr">
        <is>
          <t>FY25-26</t>
        </is>
      </c>
      <c r="C1139" t="inlineStr">
        <is>
          <t>n/a</t>
        </is>
      </c>
      <c r="D1139" t="inlineStr"/>
      <c r="E1139" t="n">
        <v>0</v>
      </c>
      <c r="F1139" t="n">
        <v>18.5</v>
      </c>
      <c r="G1139" t="n">
        <v>9253.75</v>
      </c>
      <c r="H1139" t="n">
        <v>0</v>
      </c>
      <c r="I1139" s="7">
        <f>F1139*Summary!$B$5</f>
        <v/>
      </c>
      <c r="J1139" s="7">
        <f>G1139*Summary!$B$5</f>
        <v/>
      </c>
      <c r="K1139" s="7">
        <f>H1139*Summary!$B$5</f>
        <v/>
      </c>
    </row>
    <row r="1140">
      <c r="A1140" s="8" t="n">
        <v>45901</v>
      </c>
      <c r="B1140" t="inlineStr">
        <is>
          <t>FY25-26</t>
        </is>
      </c>
      <c r="C1140" t="inlineStr"/>
      <c r="D1140" t="inlineStr"/>
      <c r="E1140" t="n">
        <v>0</v>
      </c>
      <c r="F1140" t="n">
        <v>0</v>
      </c>
      <c r="G1140" t="n">
        <v>9253.75</v>
      </c>
      <c r="H1140" t="n">
        <v>0</v>
      </c>
      <c r="I1140" s="7">
        <f>F1140*Summary!$B$5</f>
        <v/>
      </c>
      <c r="J1140" s="7">
        <f>G1140*Summary!$B$5</f>
        <v/>
      </c>
      <c r="K1140" s="7">
        <f>H1140*Summary!$B$5</f>
        <v/>
      </c>
    </row>
    <row r="1141">
      <c r="A1141" s="8" t="n">
        <v>45902</v>
      </c>
      <c r="B1141" t="inlineStr">
        <is>
          <t>FY25-26</t>
        </is>
      </c>
      <c r="C1141" t="inlineStr"/>
      <c r="D1141" t="inlineStr"/>
      <c r="E1141" t="n">
        <v>0</v>
      </c>
      <c r="F1141" t="n">
        <v>0</v>
      </c>
      <c r="G1141" t="n">
        <v>9253.75</v>
      </c>
      <c r="H1141" t="n">
        <v>0</v>
      </c>
      <c r="I1141" s="7">
        <f>F1141*Summary!$B$5</f>
        <v/>
      </c>
      <c r="J1141" s="7">
        <f>G1141*Summary!$B$5</f>
        <v/>
      </c>
      <c r="K1141" s="7">
        <f>H1141*Summary!$B$5</f>
        <v/>
      </c>
    </row>
    <row r="1142">
      <c r="A1142" s="8" t="n">
        <v>45903</v>
      </c>
      <c r="B1142" t="inlineStr">
        <is>
          <t>FY25-26</t>
        </is>
      </c>
      <c r="C1142" t="inlineStr">
        <is>
          <t>CW</t>
        </is>
      </c>
      <c r="D1142" t="inlineStr">
        <is>
          <t>09:18</t>
        </is>
      </c>
      <c r="E1142" t="n">
        <v>6</v>
      </c>
      <c r="F1142" t="n">
        <v>23.82</v>
      </c>
      <c r="G1142" t="n">
        <v>9277.58</v>
      </c>
      <c r="H1142" t="n">
        <v>0</v>
      </c>
      <c r="I1142" s="7">
        <f>F1142*Summary!$B$5</f>
        <v/>
      </c>
      <c r="J1142" s="7">
        <f>G1142*Summary!$B$5</f>
        <v/>
      </c>
      <c r="K1142" s="7">
        <f>H1142*Summary!$B$5</f>
        <v/>
      </c>
    </row>
    <row r="1143">
      <c r="A1143" s="8" t="n">
        <v>45904</v>
      </c>
      <c r="B1143" t="inlineStr">
        <is>
          <t>FY25-26</t>
        </is>
      </c>
      <c r="C1143" t="inlineStr"/>
      <c r="D1143" t="inlineStr"/>
      <c r="E1143" t="n">
        <v>0</v>
      </c>
      <c r="F1143" t="n">
        <v>0</v>
      </c>
      <c r="G1143" t="n">
        <v>9277.58</v>
      </c>
      <c r="H1143" t="n">
        <v>0</v>
      </c>
      <c r="I1143" s="7">
        <f>F1143*Summary!$B$5</f>
        <v/>
      </c>
      <c r="J1143" s="7">
        <f>G1143*Summary!$B$5</f>
        <v/>
      </c>
      <c r="K1143" s="7">
        <f>H1143*Summary!$B$5</f>
        <v/>
      </c>
    </row>
    <row r="1144">
      <c r="A1144" s="8" t="n">
        <v>45905</v>
      </c>
      <c r="B1144" t="inlineStr">
        <is>
          <t>FY25-26</t>
        </is>
      </c>
      <c r="C1144" t="inlineStr"/>
      <c r="D1144" t="inlineStr"/>
      <c r="E1144" t="n">
        <v>0</v>
      </c>
      <c r="F1144" t="n">
        <v>0</v>
      </c>
      <c r="G1144" t="n">
        <v>9277.58</v>
      </c>
      <c r="H1144" t="n">
        <v>0</v>
      </c>
      <c r="I1144" s="7">
        <f>F1144*Summary!$B$5</f>
        <v/>
      </c>
      <c r="J1144" s="7">
        <f>G1144*Summary!$B$5</f>
        <v/>
      </c>
      <c r="K1144" s="7">
        <f>H1144*Summary!$B$5</f>
        <v/>
      </c>
    </row>
    <row r="1145">
      <c r="A1145" s="8" t="n">
        <v>45908</v>
      </c>
      <c r="B1145" t="inlineStr">
        <is>
          <t>FY25-26</t>
        </is>
      </c>
      <c r="C1145" t="inlineStr">
        <is>
          <t>NW</t>
        </is>
      </c>
      <c r="D1145" t="inlineStr"/>
      <c r="E1145" t="n">
        <v>0</v>
      </c>
      <c r="F1145" t="n">
        <v>11.34</v>
      </c>
      <c r="G1145" t="n">
        <v>9288.92</v>
      </c>
      <c r="H1145" t="n">
        <v>0</v>
      </c>
      <c r="I1145" s="7">
        <f>F1145*Summary!$B$5</f>
        <v/>
      </c>
      <c r="J1145" s="7">
        <f>G1145*Summary!$B$5</f>
        <v/>
      </c>
      <c r="K1145" s="7">
        <f>H1145*Summary!$B$5</f>
        <v/>
      </c>
    </row>
    <row r="1146">
      <c r="A1146" s="8" t="n">
        <v>45909</v>
      </c>
      <c r="B1146" t="inlineStr">
        <is>
          <t>FY25-26</t>
        </is>
      </c>
      <c r="C1146" t="inlineStr">
        <is>
          <t>NW</t>
        </is>
      </c>
      <c r="D1146" t="inlineStr"/>
      <c r="E1146" t="n">
        <v>1</v>
      </c>
      <c r="F1146" t="n">
        <v>11.98</v>
      </c>
      <c r="G1146" t="n">
        <v>9300.9</v>
      </c>
      <c r="H1146" t="n">
        <v>0</v>
      </c>
      <c r="I1146" s="7">
        <f>F1146*Summary!$B$5</f>
        <v/>
      </c>
      <c r="J1146" s="7">
        <f>G1146*Summary!$B$5</f>
        <v/>
      </c>
      <c r="K1146" s="7">
        <f>H1146*Summary!$B$5</f>
        <v/>
      </c>
    </row>
    <row r="1147">
      <c r="A1147" s="8" t="n">
        <v>45910</v>
      </c>
      <c r="B1147" t="inlineStr">
        <is>
          <t>FY25-26</t>
        </is>
      </c>
      <c r="C1147" t="inlineStr"/>
      <c r="D1147" t="inlineStr"/>
      <c r="E1147" t="n">
        <v>0</v>
      </c>
      <c r="F1147" t="n">
        <v>0</v>
      </c>
      <c r="G1147" t="n">
        <v>9300.9</v>
      </c>
      <c r="H1147" t="n">
        <v>0</v>
      </c>
      <c r="I1147" s="7">
        <f>F1147*Summary!$B$5</f>
        <v/>
      </c>
      <c r="J1147" s="7">
        <f>G1147*Summary!$B$5</f>
        <v/>
      </c>
      <c r="K1147" s="7">
        <f>H1147*Summary!$B$5</f>
        <v/>
      </c>
    </row>
    <row r="1148">
      <c r="A1148" s="8" t="n">
        <v>45911</v>
      </c>
      <c r="B1148" t="inlineStr">
        <is>
          <t>FY25-26</t>
        </is>
      </c>
      <c r="C1148" t="inlineStr"/>
      <c r="D1148" t="inlineStr"/>
      <c r="E1148" t="n">
        <v>0</v>
      </c>
      <c r="F1148" t="n">
        <v>0</v>
      </c>
      <c r="G1148" t="n">
        <v>9300.9</v>
      </c>
      <c r="H1148" t="n">
        <v>0</v>
      </c>
      <c r="I1148" s="7">
        <f>F1148*Summary!$B$5</f>
        <v/>
      </c>
      <c r="J1148" s="7">
        <f>G1148*Summary!$B$5</f>
        <v/>
      </c>
      <c r="K1148" s="7">
        <f>H1148*Summary!$B$5</f>
        <v/>
      </c>
    </row>
    <row r="1149">
      <c r="A1149" s="8" t="n">
        <v>45912</v>
      </c>
      <c r="B1149" t="inlineStr">
        <is>
          <t>FY25-26</t>
        </is>
      </c>
      <c r="C1149" t="inlineStr">
        <is>
          <t>CW</t>
        </is>
      </c>
      <c r="D1149" t="inlineStr">
        <is>
          <t>09:18</t>
        </is>
      </c>
      <c r="E1149" t="n">
        <v>4</v>
      </c>
      <c r="F1149" t="n">
        <v>16.16</v>
      </c>
      <c r="G1149" t="n">
        <v>9317.049999999999</v>
      </c>
      <c r="H1149" t="n">
        <v>0</v>
      </c>
      <c r="I1149" s="7">
        <f>F1149*Summary!$B$5</f>
        <v/>
      </c>
      <c r="J1149" s="7">
        <f>G1149*Summary!$B$5</f>
        <v/>
      </c>
      <c r="K1149" s="7">
        <f>H1149*Summary!$B$5</f>
        <v/>
      </c>
    </row>
    <row r="1150">
      <c r="A1150" s="8" t="n">
        <v>45915</v>
      </c>
      <c r="B1150" t="inlineStr">
        <is>
          <t>FY25-26</t>
        </is>
      </c>
      <c r="C1150" t="inlineStr"/>
      <c r="D1150" t="inlineStr"/>
      <c r="E1150" t="n">
        <v>0</v>
      </c>
      <c r="F1150" t="n">
        <v>0</v>
      </c>
      <c r="G1150" t="n">
        <v>9317.049999999999</v>
      </c>
      <c r="H1150" t="n">
        <v>0</v>
      </c>
      <c r="I1150" s="7">
        <f>F1150*Summary!$B$5</f>
        <v/>
      </c>
      <c r="J1150" s="7">
        <f>G1150*Summary!$B$5</f>
        <v/>
      </c>
      <c r="K1150" s="7">
        <f>H1150*Summary!$B$5</f>
        <v/>
      </c>
    </row>
    <row r="1151">
      <c r="A1151" s="8" t="n">
        <v>45916</v>
      </c>
      <c r="B1151" t="inlineStr">
        <is>
          <t>FY25-26</t>
        </is>
      </c>
      <c r="C1151" t="inlineStr"/>
      <c r="D1151" t="inlineStr"/>
      <c r="E1151" t="n">
        <v>0</v>
      </c>
      <c r="F1151" t="n">
        <v>0</v>
      </c>
      <c r="G1151" t="n">
        <v>9317.049999999999</v>
      </c>
      <c r="H1151" t="n">
        <v>0</v>
      </c>
      <c r="I1151" s="7">
        <f>F1151*Summary!$B$5</f>
        <v/>
      </c>
      <c r="J1151" s="7">
        <f>G1151*Summary!$B$5</f>
        <v/>
      </c>
      <c r="K1151" s="7">
        <f>H1151*Summary!$B$5</f>
        <v/>
      </c>
    </row>
    <row r="1152">
      <c r="A1152" s="8" t="n">
        <v>45917</v>
      </c>
      <c r="B1152" t="inlineStr">
        <is>
          <t>FY25-26</t>
        </is>
      </c>
      <c r="C1152" t="inlineStr">
        <is>
          <t>CW</t>
        </is>
      </c>
      <c r="D1152" t="inlineStr">
        <is>
          <t>09:18</t>
        </is>
      </c>
      <c r="E1152" t="n">
        <v>6</v>
      </c>
      <c r="F1152" t="n">
        <v>2.58</v>
      </c>
      <c r="G1152" t="n">
        <v>9319.629999999999</v>
      </c>
      <c r="H1152" t="n">
        <v>0</v>
      </c>
      <c r="I1152" s="7">
        <f>F1152*Summary!$B$5</f>
        <v/>
      </c>
      <c r="J1152" s="7">
        <f>G1152*Summary!$B$5</f>
        <v/>
      </c>
      <c r="K1152" s="7">
        <f>H1152*Summary!$B$5</f>
        <v/>
      </c>
    </row>
    <row r="1153">
      <c r="A1153" s="8" t="n">
        <v>45918</v>
      </c>
      <c r="B1153" t="inlineStr">
        <is>
          <t>FY25-26</t>
        </is>
      </c>
      <c r="C1153" t="inlineStr"/>
      <c r="D1153" t="inlineStr"/>
      <c r="E1153" t="n">
        <v>0</v>
      </c>
      <c r="F1153" t="n">
        <v>0</v>
      </c>
      <c r="G1153" t="n">
        <v>9319.629999999999</v>
      </c>
      <c r="H1153" t="n">
        <v>0</v>
      </c>
      <c r="I1153" s="7">
        <f>F1153*Summary!$B$5</f>
        <v/>
      </c>
      <c r="J1153" s="7">
        <f>G1153*Summary!$B$5</f>
        <v/>
      </c>
      <c r="K1153" s="7">
        <f>H1153*Summary!$B$5</f>
        <v/>
      </c>
    </row>
    <row r="1154">
      <c r="A1154" s="8" t="n">
        <v>45919</v>
      </c>
      <c r="B1154" t="inlineStr">
        <is>
          <t>FY25-26</t>
        </is>
      </c>
      <c r="C1154" t="inlineStr"/>
      <c r="D1154" t="inlineStr"/>
      <c r="E1154" t="n">
        <v>0</v>
      </c>
      <c r="F1154" t="n">
        <v>0</v>
      </c>
      <c r="G1154" t="n">
        <v>9319.629999999999</v>
      </c>
      <c r="H1154" t="n">
        <v>0</v>
      </c>
      <c r="I1154" s="7">
        <f>F1154*Summary!$B$5</f>
        <v/>
      </c>
      <c r="J1154" s="7">
        <f>G1154*Summary!$B$5</f>
        <v/>
      </c>
      <c r="K1154" s="7">
        <f>H1154*Summary!$B$5</f>
        <v/>
      </c>
    </row>
    <row r="1155">
      <c r="A1155" s="8" t="n">
        <v>45922</v>
      </c>
      <c r="B1155" t="inlineStr">
        <is>
          <t>FY25-26</t>
        </is>
      </c>
      <c r="C1155" t="inlineStr"/>
      <c r="D1155" t="inlineStr"/>
      <c r="E1155" t="n">
        <v>0</v>
      </c>
      <c r="F1155" t="n">
        <v>0</v>
      </c>
      <c r="G1155" t="n">
        <v>9319.629999999999</v>
      </c>
      <c r="H1155" t="n">
        <v>0</v>
      </c>
      <c r="I1155" s="7">
        <f>F1155*Summary!$B$5</f>
        <v/>
      </c>
      <c r="J1155" s="7">
        <f>G1155*Summary!$B$5</f>
        <v/>
      </c>
      <c r="K1155" s="7">
        <f>H1155*Summary!$B$5</f>
        <v/>
      </c>
    </row>
    <row r="1156">
      <c r="A1156" s="8" t="n">
        <v>45923</v>
      </c>
      <c r="B1156" t="inlineStr">
        <is>
          <t>FY25-26</t>
        </is>
      </c>
      <c r="C1156" t="inlineStr"/>
      <c r="D1156" t="inlineStr"/>
      <c r="E1156" t="n">
        <v>0</v>
      </c>
      <c r="F1156" t="n">
        <v>0</v>
      </c>
      <c r="G1156" t="n">
        <v>9319.629999999999</v>
      </c>
      <c r="H1156" t="n">
        <v>0</v>
      </c>
      <c r="I1156" s="7">
        <f>F1156*Summary!$B$5</f>
        <v/>
      </c>
      <c r="J1156" s="7">
        <f>G1156*Summary!$B$5</f>
        <v/>
      </c>
      <c r="K1156" s="7">
        <f>H1156*Summary!$B$5</f>
        <v/>
      </c>
    </row>
    <row r="1157">
      <c r="A1157" s="8" t="n">
        <v>45924</v>
      </c>
      <c r="B1157" t="inlineStr">
        <is>
          <t>FY25-26</t>
        </is>
      </c>
      <c r="C1157" t="inlineStr"/>
      <c r="D1157" t="inlineStr"/>
      <c r="E1157" t="n">
        <v>0</v>
      </c>
      <c r="F1157" t="n">
        <v>0</v>
      </c>
      <c r="G1157" t="n">
        <v>9319.629999999999</v>
      </c>
      <c r="H1157" t="n">
        <v>0</v>
      </c>
      <c r="I1157" s="7">
        <f>F1157*Summary!$B$5</f>
        <v/>
      </c>
      <c r="J1157" s="7">
        <f>G1157*Summary!$B$5</f>
        <v/>
      </c>
      <c r="K1157" s="7">
        <f>H1157*Summary!$B$5</f>
        <v/>
      </c>
    </row>
    <row r="1158">
      <c r="A1158" s="8" t="n">
        <v>45925</v>
      </c>
      <c r="B1158" t="inlineStr">
        <is>
          <t>FY25-26</t>
        </is>
      </c>
      <c r="C1158" t="inlineStr"/>
      <c r="D1158" t="inlineStr"/>
      <c r="E1158" t="n">
        <v>0</v>
      </c>
      <c r="F1158" t="n">
        <v>0</v>
      </c>
      <c r="G1158" t="n">
        <v>9319.629999999999</v>
      </c>
      <c r="H1158" t="n">
        <v>0</v>
      </c>
      <c r="I1158" s="7">
        <f>F1158*Summary!$B$5</f>
        <v/>
      </c>
      <c r="J1158" s="7">
        <f>G1158*Summary!$B$5</f>
        <v/>
      </c>
      <c r="K1158" s="7">
        <f>H1158*Summary!$B$5</f>
        <v/>
      </c>
    </row>
    <row r="1159">
      <c r="A1159" s="8" t="n">
        <v>45926</v>
      </c>
      <c r="B1159" t="inlineStr">
        <is>
          <t>FY25-26</t>
        </is>
      </c>
      <c r="C1159" t="inlineStr"/>
      <c r="D1159" t="inlineStr"/>
      <c r="E1159" t="n">
        <v>0</v>
      </c>
      <c r="F1159" t="n">
        <v>0</v>
      </c>
      <c r="G1159" t="n">
        <v>9319.629999999999</v>
      </c>
      <c r="H1159" t="n">
        <v>0</v>
      </c>
      <c r="I1159" s="7">
        <f>F1159*Summary!$B$5</f>
        <v/>
      </c>
      <c r="J1159" s="7">
        <f>G1159*Summary!$B$5</f>
        <v/>
      </c>
      <c r="K1159" s="7">
        <f>H1159*Summary!$B$5</f>
        <v/>
      </c>
    </row>
    <row r="1160">
      <c r="A1160" s="8" t="n">
        <v>45929</v>
      </c>
      <c r="B1160" t="inlineStr">
        <is>
          <t>FY25-26</t>
        </is>
      </c>
      <c r="C1160" t="inlineStr">
        <is>
          <t>NW</t>
        </is>
      </c>
      <c r="D1160" t="inlineStr"/>
      <c r="E1160" t="n">
        <v>0</v>
      </c>
      <c r="F1160" t="n">
        <v>-2.47</v>
      </c>
      <c r="G1160" t="n">
        <v>9317.16</v>
      </c>
      <c r="H1160" t="n">
        <v>-2.47</v>
      </c>
      <c r="I1160" s="7">
        <f>F1160*Summary!$B$5</f>
        <v/>
      </c>
      <c r="J1160" s="7">
        <f>G1160*Summary!$B$5</f>
        <v/>
      </c>
      <c r="K1160" s="7">
        <f>H1160*Summary!$B$5</f>
        <v/>
      </c>
    </row>
    <row r="1161">
      <c r="A1161" s="8" t="n">
        <v>45930</v>
      </c>
      <c r="B1161" t="inlineStr">
        <is>
          <t>FY25-26</t>
        </is>
      </c>
      <c r="C1161" t="inlineStr">
        <is>
          <t>NW</t>
        </is>
      </c>
      <c r="D1161" t="inlineStr"/>
      <c r="E1161" t="n">
        <v>1</v>
      </c>
      <c r="F1161" t="n">
        <v>16.1</v>
      </c>
      <c r="G1161" t="n">
        <v>9333.26</v>
      </c>
      <c r="H1161" t="n">
        <v>0</v>
      </c>
      <c r="I1161" s="7">
        <f>F1161*Summary!$B$5</f>
        <v/>
      </c>
      <c r="J1161" s="7">
        <f>G1161*Summary!$B$5</f>
        <v/>
      </c>
      <c r="K1161" s="7">
        <f>H1161*Summary!$B$5</f>
        <v/>
      </c>
    </row>
    <row r="1162">
      <c r="A1162" s="8" t="n">
        <v>45931</v>
      </c>
      <c r="B1162" t="inlineStr">
        <is>
          <t>FY25-26</t>
        </is>
      </c>
      <c r="C1162" t="inlineStr"/>
      <c r="D1162" t="inlineStr"/>
      <c r="E1162" t="n">
        <v>0</v>
      </c>
      <c r="F1162" t="n">
        <v>0</v>
      </c>
      <c r="G1162" t="n">
        <v>9333.26</v>
      </c>
      <c r="H1162" t="n">
        <v>0</v>
      </c>
      <c r="I1162" s="7">
        <f>F1162*Summary!$B$5</f>
        <v/>
      </c>
      <c r="J1162" s="7">
        <f>G1162*Summary!$B$5</f>
        <v/>
      </c>
      <c r="K1162" s="7">
        <f>H1162*Summary!$B$5</f>
        <v/>
      </c>
    </row>
    <row r="1163">
      <c r="A1163" s="8" t="n">
        <v>45933</v>
      </c>
      <c r="B1163" t="inlineStr">
        <is>
          <t>FY25-26</t>
        </is>
      </c>
      <c r="C1163" t="inlineStr"/>
      <c r="D1163" t="inlineStr"/>
      <c r="E1163" t="n">
        <v>0</v>
      </c>
      <c r="F1163" t="n">
        <v>0</v>
      </c>
      <c r="G1163" t="n">
        <v>9333.26</v>
      </c>
      <c r="H1163" t="n">
        <v>0</v>
      </c>
      <c r="I1163" s="7">
        <f>F1163*Summary!$B$5</f>
        <v/>
      </c>
      <c r="J1163" s="7">
        <f>G1163*Summary!$B$5</f>
        <v/>
      </c>
      <c r="K1163" s="7">
        <f>H1163*Summary!$B$5</f>
        <v/>
      </c>
    </row>
    <row r="1164">
      <c r="A1164" s="8" t="n">
        <v>45936</v>
      </c>
      <c r="B1164" t="inlineStr">
        <is>
          <t>FY25-26</t>
        </is>
      </c>
      <c r="C1164" t="inlineStr"/>
      <c r="D1164" t="inlineStr"/>
      <c r="E1164" t="n">
        <v>0</v>
      </c>
      <c r="F1164" t="n">
        <v>0</v>
      </c>
      <c r="G1164" t="n">
        <v>9333.26</v>
      </c>
      <c r="H1164" t="n">
        <v>0</v>
      </c>
      <c r="I1164" s="7">
        <f>F1164*Summary!$B$5</f>
        <v/>
      </c>
      <c r="J1164" s="7">
        <f>G1164*Summary!$B$5</f>
        <v/>
      </c>
      <c r="K1164" s="7">
        <f>H1164*Summary!$B$5</f>
        <v/>
      </c>
    </row>
    <row r="1165">
      <c r="A1165" s="8" t="n">
        <v>45937</v>
      </c>
      <c r="B1165" t="inlineStr">
        <is>
          <t>FY25-26</t>
        </is>
      </c>
      <c r="C1165" t="inlineStr">
        <is>
          <t>CW</t>
        </is>
      </c>
      <c r="D1165" t="inlineStr">
        <is>
          <t>09:18</t>
        </is>
      </c>
      <c r="E1165" t="n">
        <v>1</v>
      </c>
      <c r="F1165" t="n">
        <v>-14.83</v>
      </c>
      <c r="G1165" t="n">
        <v>9318.43</v>
      </c>
      <c r="H1165" t="n">
        <v>-14.83</v>
      </c>
      <c r="I1165" s="7">
        <f>F1165*Summary!$B$5</f>
        <v/>
      </c>
      <c r="J1165" s="7">
        <f>G1165*Summary!$B$5</f>
        <v/>
      </c>
      <c r="K1165" s="7">
        <f>H1165*Summary!$B$5</f>
        <v/>
      </c>
    </row>
    <row r="1166">
      <c r="A1166" s="8" t="n">
        <v>45938</v>
      </c>
      <c r="B1166" t="inlineStr">
        <is>
          <t>FY25-26</t>
        </is>
      </c>
      <c r="C1166" t="inlineStr"/>
      <c r="D1166" t="inlineStr"/>
      <c r="E1166" t="n">
        <v>0</v>
      </c>
      <c r="F1166" t="n">
        <v>0</v>
      </c>
      <c r="G1166" t="n">
        <v>9318.43</v>
      </c>
      <c r="H1166" t="n">
        <v>-14.83</v>
      </c>
      <c r="I1166" s="7">
        <f>F1166*Summary!$B$5</f>
        <v/>
      </c>
      <c r="J1166" s="7">
        <f>G1166*Summary!$B$5</f>
        <v/>
      </c>
      <c r="K1166" s="7">
        <f>H1166*Summary!$B$5</f>
        <v/>
      </c>
    </row>
    <row r="1167">
      <c r="A1167" s="8" t="n">
        <v>45939</v>
      </c>
      <c r="B1167" t="inlineStr">
        <is>
          <t>FY25-26</t>
        </is>
      </c>
      <c r="C1167" t="inlineStr">
        <is>
          <t>CW</t>
        </is>
      </c>
      <c r="D1167" t="inlineStr">
        <is>
          <t>09:18</t>
        </is>
      </c>
      <c r="E1167" t="n">
        <v>5</v>
      </c>
      <c r="F1167" t="n">
        <v>5.65</v>
      </c>
      <c r="G1167" t="n">
        <v>9324.09</v>
      </c>
      <c r="H1167" t="n">
        <v>-9.18</v>
      </c>
      <c r="I1167" s="7">
        <f>F1167*Summary!$B$5</f>
        <v/>
      </c>
      <c r="J1167" s="7">
        <f>G1167*Summary!$B$5</f>
        <v/>
      </c>
      <c r="K1167" s="7">
        <f>H1167*Summary!$B$5</f>
        <v/>
      </c>
    </row>
    <row r="1168">
      <c r="A1168" s="8" t="n">
        <v>45940</v>
      </c>
      <c r="B1168" t="inlineStr">
        <is>
          <t>FY25-26</t>
        </is>
      </c>
      <c r="C1168" t="inlineStr"/>
      <c r="D1168" t="inlineStr"/>
      <c r="E1168" t="n">
        <v>0</v>
      </c>
      <c r="F1168" t="n">
        <v>0</v>
      </c>
      <c r="G1168" t="n">
        <v>9324.09</v>
      </c>
      <c r="H1168" t="n">
        <v>-9.18</v>
      </c>
      <c r="I1168" s="7">
        <f>F1168*Summary!$B$5</f>
        <v/>
      </c>
      <c r="J1168" s="7">
        <f>G1168*Summary!$B$5</f>
        <v/>
      </c>
      <c r="K1168" s="7">
        <f>H1168*Summary!$B$5</f>
        <v/>
      </c>
    </row>
    <row r="1169">
      <c r="A1169" s="8" t="n">
        <v>45943</v>
      </c>
      <c r="B1169" t="inlineStr">
        <is>
          <t>FY25-26</t>
        </is>
      </c>
      <c r="C1169" t="inlineStr">
        <is>
          <t>CW</t>
        </is>
      </c>
      <c r="D1169" t="inlineStr">
        <is>
          <t>09:17</t>
        </is>
      </c>
      <c r="E1169" t="n">
        <v>2</v>
      </c>
      <c r="F1169" t="n">
        <v>40.58</v>
      </c>
      <c r="G1169" t="n">
        <v>9364.67</v>
      </c>
      <c r="H1169" t="n">
        <v>0</v>
      </c>
      <c r="I1169" s="7">
        <f>F1169*Summary!$B$5</f>
        <v/>
      </c>
      <c r="J1169" s="7">
        <f>G1169*Summary!$B$5</f>
        <v/>
      </c>
      <c r="K1169" s="7">
        <f>H1169*Summary!$B$5</f>
        <v/>
      </c>
    </row>
    <row r="1170">
      <c r="A1170" s="8" t="n">
        <v>45944</v>
      </c>
      <c r="B1170" t="inlineStr">
        <is>
          <t>FY25-26</t>
        </is>
      </c>
      <c r="C1170" t="inlineStr"/>
      <c r="D1170" t="inlineStr"/>
      <c r="E1170" t="n">
        <v>0</v>
      </c>
      <c r="F1170" t="n">
        <v>0</v>
      </c>
      <c r="G1170" t="n">
        <v>9364.67</v>
      </c>
      <c r="H1170" t="n">
        <v>0</v>
      </c>
      <c r="I1170" s="7">
        <f>F1170*Summary!$B$5</f>
        <v/>
      </c>
      <c r="J1170" s="7">
        <f>G1170*Summary!$B$5</f>
        <v/>
      </c>
      <c r="K1170" s="7">
        <f>H1170*Summary!$B$5</f>
        <v/>
      </c>
    </row>
    <row r="1171">
      <c r="A1171" s="8" t="n">
        <v>45945</v>
      </c>
      <c r="B1171" t="inlineStr">
        <is>
          <t>FY25-26</t>
        </is>
      </c>
      <c r="C1171" t="inlineStr"/>
      <c r="D1171" t="inlineStr"/>
      <c r="E1171" t="n">
        <v>0</v>
      </c>
      <c r="F1171" t="n">
        <v>0</v>
      </c>
      <c r="G1171" t="n">
        <v>9364.67</v>
      </c>
      <c r="H1171" t="n">
        <v>0</v>
      </c>
      <c r="I1171" s="7">
        <f>F1171*Summary!$B$5</f>
        <v/>
      </c>
      <c r="J1171" s="7">
        <f>G1171*Summary!$B$5</f>
        <v/>
      </c>
      <c r="K1171" s="7">
        <f>H1171*Summary!$B$5</f>
        <v/>
      </c>
    </row>
    <row r="1172">
      <c r="A1172" s="8" t="n">
        <v>45946</v>
      </c>
      <c r="B1172" t="inlineStr">
        <is>
          <t>FY25-26</t>
        </is>
      </c>
      <c r="C1172" t="inlineStr"/>
      <c r="D1172" t="inlineStr"/>
      <c r="E1172" t="n">
        <v>0</v>
      </c>
      <c r="F1172" t="n">
        <v>0</v>
      </c>
      <c r="G1172" t="n">
        <v>9364.67</v>
      </c>
      <c r="H1172" t="n">
        <v>0</v>
      </c>
      <c r="I1172" s="7">
        <f>F1172*Summary!$B$5</f>
        <v/>
      </c>
      <c r="J1172" s="7">
        <f>G1172*Summary!$B$5</f>
        <v/>
      </c>
      <c r="K1172" s="7">
        <f>H1172*Summary!$B$5</f>
        <v/>
      </c>
    </row>
    <row r="1173">
      <c r="A1173" s="8" t="n">
        <v>45947</v>
      </c>
      <c r="B1173" t="inlineStr">
        <is>
          <t>FY25-26</t>
        </is>
      </c>
      <c r="C1173" t="inlineStr">
        <is>
          <t>CW</t>
        </is>
      </c>
      <c r="D1173" t="inlineStr">
        <is>
          <t>09:18</t>
        </is>
      </c>
      <c r="E1173" t="n">
        <v>3</v>
      </c>
      <c r="F1173" t="n">
        <v>-39.43</v>
      </c>
      <c r="G1173" t="n">
        <v>9325.24</v>
      </c>
      <c r="H1173" t="n">
        <v>-39.43</v>
      </c>
      <c r="I1173" s="7">
        <f>F1173*Summary!$B$5</f>
        <v/>
      </c>
      <c r="J1173" s="7">
        <f>G1173*Summary!$B$5</f>
        <v/>
      </c>
      <c r="K1173" s="7">
        <f>H1173*Summary!$B$5</f>
        <v/>
      </c>
    </row>
    <row r="1174">
      <c r="A1174" s="8" t="n">
        <v>45950</v>
      </c>
      <c r="B1174" t="inlineStr">
        <is>
          <t>FY25-26</t>
        </is>
      </c>
      <c r="C1174" t="inlineStr">
        <is>
          <t>CW</t>
        </is>
      </c>
      <c r="D1174" t="inlineStr">
        <is>
          <t>09:18</t>
        </is>
      </c>
      <c r="E1174" t="n">
        <v>1</v>
      </c>
      <c r="F1174" t="n">
        <v>0.54</v>
      </c>
      <c r="G1174" t="n">
        <v>9325.780000000001</v>
      </c>
      <c r="H1174" t="n">
        <v>-38.89</v>
      </c>
      <c r="I1174" s="7">
        <f>F1174*Summary!$B$5</f>
        <v/>
      </c>
      <c r="J1174" s="7">
        <f>G1174*Summary!$B$5</f>
        <v/>
      </c>
      <c r="K1174" s="7">
        <f>H1174*Summary!$B$5</f>
        <v/>
      </c>
    </row>
    <row r="1175">
      <c r="A1175" s="8" t="n">
        <v>45953</v>
      </c>
      <c r="B1175" t="inlineStr">
        <is>
          <t>FY25-26</t>
        </is>
      </c>
      <c r="C1175" t="inlineStr"/>
      <c r="D1175" t="inlineStr"/>
      <c r="E1175" t="n">
        <v>0</v>
      </c>
      <c r="F1175" t="n">
        <v>0</v>
      </c>
      <c r="G1175" t="n">
        <v>9325.780000000001</v>
      </c>
      <c r="H1175" t="n">
        <v>-38.89</v>
      </c>
      <c r="I1175" s="7">
        <f>F1175*Summary!$B$5</f>
        <v/>
      </c>
      <c r="J1175" s="7">
        <f>G1175*Summary!$B$5</f>
        <v/>
      </c>
      <c r="K1175" s="7">
        <f>H1175*Summary!$B$5</f>
        <v/>
      </c>
    </row>
    <row r="1176">
      <c r="A1176" s="8" t="n">
        <v>45954</v>
      </c>
      <c r="B1176" t="inlineStr">
        <is>
          <t>FY25-26</t>
        </is>
      </c>
      <c r="C1176" t="inlineStr">
        <is>
          <t>n/a</t>
        </is>
      </c>
      <c r="D1176" t="inlineStr"/>
      <c r="E1176" t="n">
        <v>0</v>
      </c>
      <c r="F1176" t="n">
        <v>-3.02</v>
      </c>
      <c r="G1176" t="n">
        <v>9322.76</v>
      </c>
      <c r="H1176" t="n">
        <v>-41.91</v>
      </c>
      <c r="I1176" s="7">
        <f>F1176*Summary!$B$5</f>
        <v/>
      </c>
      <c r="J1176" s="7">
        <f>G1176*Summary!$B$5</f>
        <v/>
      </c>
      <c r="K1176" s="7">
        <f>H1176*Summary!$B$5</f>
        <v/>
      </c>
    </row>
    <row r="1177">
      <c r="A1177" s="8" t="n">
        <v>45957</v>
      </c>
      <c r="B1177" t="inlineStr">
        <is>
          <t>FY25-26</t>
        </is>
      </c>
      <c r="C1177" t="inlineStr"/>
      <c r="D1177" t="inlineStr"/>
      <c r="E1177" t="n">
        <v>0</v>
      </c>
      <c r="F1177" t="n">
        <v>0</v>
      </c>
      <c r="G1177" t="n">
        <v>9322.76</v>
      </c>
      <c r="H1177" t="n">
        <v>-41.91</v>
      </c>
      <c r="I1177" s="7">
        <f>F1177*Summary!$B$5</f>
        <v/>
      </c>
      <c r="J1177" s="7">
        <f>G1177*Summary!$B$5</f>
        <v/>
      </c>
      <c r="K1177" s="7">
        <f>H1177*Summary!$B$5</f>
        <v/>
      </c>
    </row>
    <row r="1178">
      <c r="A1178" s="8" t="n">
        <v>45958</v>
      </c>
      <c r="B1178" t="inlineStr">
        <is>
          <t>FY25-26</t>
        </is>
      </c>
      <c r="C1178" t="inlineStr">
        <is>
          <t>CW</t>
        </is>
      </c>
      <c r="D1178" t="inlineStr">
        <is>
          <t>09:16</t>
        </is>
      </c>
      <c r="E1178" t="n">
        <v>1</v>
      </c>
      <c r="F1178" t="n">
        <v>2.77</v>
      </c>
      <c r="G1178" t="n">
        <v>9325.530000000001</v>
      </c>
      <c r="H1178" t="n">
        <v>-39.14</v>
      </c>
      <c r="I1178" s="7">
        <f>F1178*Summary!$B$5</f>
        <v/>
      </c>
      <c r="J1178" s="7">
        <f>G1178*Summary!$B$5</f>
        <v/>
      </c>
      <c r="K1178" s="7">
        <f>H1178*Summary!$B$5</f>
        <v/>
      </c>
    </row>
    <row r="1179">
      <c r="A1179" s="8" t="n">
        <v>45959</v>
      </c>
      <c r="B1179" t="inlineStr">
        <is>
          <t>FY25-26</t>
        </is>
      </c>
      <c r="C1179" t="inlineStr">
        <is>
          <t>n/a</t>
        </is>
      </c>
      <c r="D1179" t="inlineStr"/>
      <c r="E1179" t="n">
        <v>0</v>
      </c>
      <c r="F1179" t="n">
        <v>17.38</v>
      </c>
      <c r="G1179" t="n">
        <v>9342.9</v>
      </c>
      <c r="H1179" t="n">
        <v>-21.77</v>
      </c>
      <c r="I1179" s="7">
        <f>F1179*Summary!$B$5</f>
        <v/>
      </c>
      <c r="J1179" s="7">
        <f>G1179*Summary!$B$5</f>
        <v/>
      </c>
      <c r="K1179" s="7">
        <f>H1179*Summary!$B$5</f>
        <v/>
      </c>
    </row>
    <row r="1180">
      <c r="A1180" s="8" t="n">
        <v>45960</v>
      </c>
      <c r="B1180" t="inlineStr">
        <is>
          <t>FY25-26</t>
        </is>
      </c>
      <c r="C1180" t="inlineStr">
        <is>
          <t>n/a</t>
        </is>
      </c>
      <c r="D1180" t="inlineStr"/>
      <c r="E1180" t="n">
        <v>0</v>
      </c>
      <c r="F1180" t="n">
        <v>1.14</v>
      </c>
      <c r="G1180" t="n">
        <v>9344.040000000001</v>
      </c>
      <c r="H1180" t="n">
        <v>-20.62</v>
      </c>
      <c r="I1180" s="7">
        <f>F1180*Summary!$B$5</f>
        <v/>
      </c>
      <c r="J1180" s="7">
        <f>G1180*Summary!$B$5</f>
        <v/>
      </c>
      <c r="K1180" s="7">
        <f>H1180*Summary!$B$5</f>
        <v/>
      </c>
    </row>
    <row r="1181">
      <c r="A1181" s="8" t="n">
        <v>45961</v>
      </c>
      <c r="B1181" t="inlineStr">
        <is>
          <t>FY25-26</t>
        </is>
      </c>
      <c r="C1181" t="inlineStr">
        <is>
          <t>n/a</t>
        </is>
      </c>
      <c r="D1181" t="inlineStr"/>
      <c r="E1181" t="n">
        <v>0</v>
      </c>
      <c r="F1181" t="n">
        <v>-0.5</v>
      </c>
      <c r="G1181" t="n">
        <v>9343.540000000001</v>
      </c>
      <c r="H1181" t="n">
        <v>-21.12</v>
      </c>
      <c r="I1181" s="7">
        <f>F1181*Summary!$B$5</f>
        <v/>
      </c>
      <c r="J1181" s="7">
        <f>G1181*Summary!$B$5</f>
        <v/>
      </c>
      <c r="K1181" s="7">
        <f>H1181*Summary!$B$5</f>
        <v/>
      </c>
    </row>
    <row r="1182">
      <c r="A1182" s="8" t="n">
        <v>45964</v>
      </c>
      <c r="B1182" t="inlineStr">
        <is>
          <t>FY25-26</t>
        </is>
      </c>
      <c r="C1182" t="inlineStr">
        <is>
          <t>CW</t>
        </is>
      </c>
      <c r="D1182" t="inlineStr">
        <is>
          <t>09:17</t>
        </is>
      </c>
      <c r="E1182" t="n">
        <v>2</v>
      </c>
      <c r="F1182" t="n">
        <v>20.92</v>
      </c>
      <c r="G1182" t="n">
        <v>9364.459999999999</v>
      </c>
      <c r="H1182" t="n">
        <v>-0.2</v>
      </c>
      <c r="I1182" s="7">
        <f>F1182*Summary!$B$5</f>
        <v/>
      </c>
      <c r="J1182" s="7">
        <f>G1182*Summary!$B$5</f>
        <v/>
      </c>
      <c r="K1182" s="7">
        <f>H1182*Summary!$B$5</f>
        <v/>
      </c>
    </row>
    <row r="1183">
      <c r="A1183" s="8" t="n">
        <v>45965</v>
      </c>
      <c r="B1183" t="inlineStr">
        <is>
          <t>FY25-26</t>
        </is>
      </c>
      <c r="C1183" t="inlineStr">
        <is>
          <t>CW</t>
        </is>
      </c>
      <c r="D1183" t="inlineStr">
        <is>
          <t>09:16</t>
        </is>
      </c>
      <c r="E1183" t="n">
        <v>1</v>
      </c>
      <c r="F1183" t="n">
        <v>27.88</v>
      </c>
      <c r="G1183" t="n">
        <v>9392.35</v>
      </c>
      <c r="H1183" t="n">
        <v>0</v>
      </c>
      <c r="I1183" s="7">
        <f>F1183*Summary!$B$5</f>
        <v/>
      </c>
      <c r="J1183" s="7">
        <f>G1183*Summary!$B$5</f>
        <v/>
      </c>
      <c r="K1183" s="7">
        <f>H1183*Summary!$B$5</f>
        <v/>
      </c>
    </row>
    <row r="1184">
      <c r="A1184" s="8" t="n">
        <v>45967</v>
      </c>
      <c r="B1184" t="inlineStr">
        <is>
          <t>FY25-26</t>
        </is>
      </c>
      <c r="C1184" t="inlineStr">
        <is>
          <t>CW</t>
        </is>
      </c>
      <c r="D1184" t="inlineStr">
        <is>
          <t>09:18</t>
        </is>
      </c>
      <c r="E1184" t="n">
        <v>5</v>
      </c>
      <c r="F1184" t="n">
        <v>22.49</v>
      </c>
      <c r="G1184" t="n">
        <v>9414.84</v>
      </c>
      <c r="H1184" t="n">
        <v>0</v>
      </c>
      <c r="I1184" s="7">
        <f>F1184*Summary!$B$5</f>
        <v/>
      </c>
      <c r="J1184" s="7">
        <f>G1184*Summary!$B$5</f>
        <v/>
      </c>
      <c r="K1184" s="7">
        <f>H1184*Summary!$B$5</f>
        <v/>
      </c>
    </row>
    <row r="1185">
      <c r="A1185" s="8" t="n">
        <v>45968</v>
      </c>
      <c r="B1185" t="inlineStr">
        <is>
          <t>FY25-26</t>
        </is>
      </c>
      <c r="C1185" t="inlineStr">
        <is>
          <t>n/a</t>
        </is>
      </c>
      <c r="D1185" t="inlineStr"/>
      <c r="E1185" t="n">
        <v>0</v>
      </c>
      <c r="F1185" t="n">
        <v>7.61</v>
      </c>
      <c r="G1185" t="n">
        <v>9422.440000000001</v>
      </c>
      <c r="H1185" t="n">
        <v>0</v>
      </c>
      <c r="I1185" s="7">
        <f>F1185*Summary!$B$5</f>
        <v/>
      </c>
      <c r="J1185" s="7">
        <f>G1185*Summary!$B$5</f>
        <v/>
      </c>
      <c r="K1185" s="7">
        <f>H1185*Summary!$B$5</f>
        <v/>
      </c>
    </row>
    <row r="1186">
      <c r="A1186" s="8" t="n">
        <v>45971</v>
      </c>
      <c r="B1186" t="inlineStr">
        <is>
          <t>FY25-26</t>
        </is>
      </c>
      <c r="C1186" t="inlineStr">
        <is>
          <t>NW</t>
        </is>
      </c>
      <c r="D1186" t="inlineStr"/>
      <c r="E1186" t="n">
        <v>0</v>
      </c>
      <c r="F1186" t="n">
        <v>18.64</v>
      </c>
      <c r="G1186" t="n">
        <v>9441.08</v>
      </c>
      <c r="H1186" t="n">
        <v>0</v>
      </c>
      <c r="I1186" s="7">
        <f>F1186*Summary!$B$5</f>
        <v/>
      </c>
      <c r="J1186" s="7">
        <f>G1186*Summary!$B$5</f>
        <v/>
      </c>
      <c r="K1186" s="7">
        <f>H1186*Summary!$B$5</f>
        <v/>
      </c>
    </row>
    <row r="1187">
      <c r="A1187" s="8" t="n">
        <v>45972</v>
      </c>
      <c r="B1187" t="inlineStr">
        <is>
          <t>FY25-26</t>
        </is>
      </c>
      <c r="C1187" t="inlineStr">
        <is>
          <t>NW</t>
        </is>
      </c>
      <c r="D1187" t="inlineStr"/>
      <c r="E1187" t="n">
        <v>1</v>
      </c>
      <c r="F1187" t="n">
        <v>0.55</v>
      </c>
      <c r="G1187" t="n">
        <v>9441.639999999999</v>
      </c>
      <c r="H1187" t="n">
        <v>0</v>
      </c>
      <c r="I1187" s="7">
        <f>F1187*Summary!$B$5</f>
        <v/>
      </c>
      <c r="J1187" s="7">
        <f>G1187*Summary!$B$5</f>
        <v/>
      </c>
      <c r="K1187" s="7">
        <f>H1187*Summary!$B$5</f>
        <v/>
      </c>
    </row>
    <row r="1188">
      <c r="A1188" s="8" t="n">
        <v>45973</v>
      </c>
      <c r="B1188" t="inlineStr">
        <is>
          <t>FY25-26</t>
        </is>
      </c>
      <c r="C1188" t="inlineStr"/>
      <c r="D1188" t="inlineStr"/>
      <c r="E1188" t="n">
        <v>0</v>
      </c>
      <c r="F1188" t="n">
        <v>0</v>
      </c>
      <c r="G1188" t="n">
        <v>9441.639999999999</v>
      </c>
      <c r="H1188" t="n">
        <v>0</v>
      </c>
      <c r="I1188" s="7">
        <f>F1188*Summary!$B$5</f>
        <v/>
      </c>
      <c r="J1188" s="7">
        <f>G1188*Summary!$B$5</f>
        <v/>
      </c>
      <c r="K1188" s="7">
        <f>H1188*Summary!$B$5</f>
        <v/>
      </c>
    </row>
    <row r="1189">
      <c r="A1189" s="8" t="n">
        <v>45974</v>
      </c>
      <c r="B1189" t="inlineStr">
        <is>
          <t>FY25-26</t>
        </is>
      </c>
      <c r="C1189" t="inlineStr">
        <is>
          <t>CW</t>
        </is>
      </c>
      <c r="D1189" t="inlineStr">
        <is>
          <t>09:18</t>
        </is>
      </c>
      <c r="E1189" t="n">
        <v>5</v>
      </c>
      <c r="F1189" t="n">
        <v>-38.13</v>
      </c>
      <c r="G1189" t="n">
        <v>9403.5</v>
      </c>
      <c r="H1189" t="n">
        <v>-38.13</v>
      </c>
      <c r="I1189" s="7">
        <f>F1189*Summary!$B$5</f>
        <v/>
      </c>
      <c r="J1189" s="7">
        <f>G1189*Summary!$B$5</f>
        <v/>
      </c>
      <c r="K1189" s="7">
        <f>H1189*Summary!$B$5</f>
        <v/>
      </c>
    </row>
    <row r="1190">
      <c r="A1190" s="8" t="n">
        <v>45975</v>
      </c>
      <c r="B1190" t="inlineStr">
        <is>
          <t>FY25-26</t>
        </is>
      </c>
      <c r="C1190" t="inlineStr">
        <is>
          <t>CW</t>
        </is>
      </c>
      <c r="D1190" t="inlineStr">
        <is>
          <t>09:18</t>
        </is>
      </c>
      <c r="E1190" t="n">
        <v>4</v>
      </c>
      <c r="F1190" t="n">
        <v>3.3</v>
      </c>
      <c r="G1190" t="n">
        <v>9406.809999999999</v>
      </c>
      <c r="H1190" t="n">
        <v>-34.83</v>
      </c>
      <c r="I1190" s="7">
        <f>F1190*Summary!$B$5</f>
        <v/>
      </c>
      <c r="J1190" s="7">
        <f>G1190*Summary!$B$5</f>
        <v/>
      </c>
      <c r="K1190" s="7">
        <f>H1190*Summary!$B$5</f>
        <v/>
      </c>
    </row>
    <row r="1191">
      <c r="A1191" s="8" t="n">
        <v>45978</v>
      </c>
      <c r="B1191" t="inlineStr">
        <is>
          <t>FY25-26</t>
        </is>
      </c>
      <c r="C1191" t="inlineStr"/>
      <c r="D1191" t="inlineStr"/>
      <c r="E1191" t="n">
        <v>0</v>
      </c>
      <c r="F1191" t="n">
        <v>0</v>
      </c>
      <c r="G1191" t="n">
        <v>9406.809999999999</v>
      </c>
      <c r="H1191" t="n">
        <v>-34.83</v>
      </c>
      <c r="I1191" s="7">
        <f>F1191*Summary!$B$5</f>
        <v/>
      </c>
      <c r="J1191" s="7">
        <f>G1191*Summary!$B$5</f>
        <v/>
      </c>
      <c r="K1191" s="7">
        <f>H1191*Summary!$B$5</f>
        <v/>
      </c>
    </row>
    <row r="1192">
      <c r="A1192" s="8" t="n">
        <v>45979</v>
      </c>
      <c r="B1192" t="inlineStr">
        <is>
          <t>FY25-26</t>
        </is>
      </c>
      <c r="C1192" t="inlineStr">
        <is>
          <t>CW</t>
        </is>
      </c>
      <c r="D1192" t="inlineStr">
        <is>
          <t>09:16</t>
        </is>
      </c>
      <c r="E1192" t="n">
        <v>1</v>
      </c>
      <c r="F1192" t="n">
        <v>31.99</v>
      </c>
      <c r="G1192" t="n">
        <v>9438.790000000001</v>
      </c>
      <c r="H1192" t="n">
        <v>-2.84</v>
      </c>
      <c r="I1192" s="7">
        <f>F1192*Summary!$B$5</f>
        <v/>
      </c>
      <c r="J1192" s="7">
        <f>G1192*Summary!$B$5</f>
        <v/>
      </c>
      <c r="K1192" s="7">
        <f>H1192*Summary!$B$5</f>
        <v/>
      </c>
    </row>
    <row r="1193">
      <c r="A1193" s="8" t="n">
        <v>45980</v>
      </c>
      <c r="B1193" t="inlineStr">
        <is>
          <t>FY25-26</t>
        </is>
      </c>
      <c r="C1193" t="inlineStr"/>
      <c r="D1193" t="inlineStr"/>
      <c r="E1193" t="n">
        <v>0</v>
      </c>
      <c r="F1193" t="n">
        <v>0</v>
      </c>
      <c r="G1193" t="n">
        <v>9438.790000000001</v>
      </c>
      <c r="H1193" t="n">
        <v>-2.84</v>
      </c>
      <c r="I1193" s="7">
        <f>F1193*Summary!$B$5</f>
        <v/>
      </c>
      <c r="J1193" s="7">
        <f>G1193*Summary!$B$5</f>
        <v/>
      </c>
      <c r="K1193" s="7">
        <f>H1193*Summary!$B$5</f>
        <v/>
      </c>
    </row>
    <row r="1194">
      <c r="A1194" s="8" t="n">
        <v>45981</v>
      </c>
      <c r="B1194" t="inlineStr">
        <is>
          <t>FY25-26</t>
        </is>
      </c>
      <c r="C1194" t="inlineStr">
        <is>
          <t>CW</t>
        </is>
      </c>
      <c r="D1194" t="inlineStr">
        <is>
          <t>09:18</t>
        </is>
      </c>
      <c r="E1194" t="n">
        <v>5</v>
      </c>
      <c r="F1194" t="n">
        <v>5.32</v>
      </c>
      <c r="G1194" t="n">
        <v>9444.120000000001</v>
      </c>
      <c r="H1194" t="n">
        <v>0</v>
      </c>
      <c r="I1194" s="7">
        <f>F1194*Summary!$B$5</f>
        <v/>
      </c>
      <c r="J1194" s="7">
        <f>G1194*Summary!$B$5</f>
        <v/>
      </c>
      <c r="K1194" s="7">
        <f>H1194*Summary!$B$5</f>
        <v/>
      </c>
    </row>
    <row r="1195">
      <c r="A1195" s="8" t="n">
        <v>45982</v>
      </c>
      <c r="B1195" t="inlineStr">
        <is>
          <t>FY25-26</t>
        </is>
      </c>
      <c r="C1195" t="inlineStr">
        <is>
          <t>CW</t>
        </is>
      </c>
      <c r="D1195" t="inlineStr">
        <is>
          <t>09:18</t>
        </is>
      </c>
      <c r="E1195" t="n">
        <v>4</v>
      </c>
      <c r="F1195" t="n">
        <v>-1.41</v>
      </c>
      <c r="G1195" t="n">
        <v>9442.709999999999</v>
      </c>
      <c r="H1195" t="n">
        <v>-1.41</v>
      </c>
      <c r="I1195" s="7">
        <f>F1195*Summary!$B$5</f>
        <v/>
      </c>
      <c r="J1195" s="7">
        <f>G1195*Summary!$B$5</f>
        <v/>
      </c>
      <c r="K1195" s="7">
        <f>H1195*Summary!$B$5</f>
        <v/>
      </c>
    </row>
    <row r="1196">
      <c r="A1196" s="8" t="n">
        <v>45985</v>
      </c>
      <c r="B1196" t="inlineStr">
        <is>
          <t>FY25-26</t>
        </is>
      </c>
      <c r="C1196" t="inlineStr">
        <is>
          <t>NW</t>
        </is>
      </c>
      <c r="D1196" t="inlineStr"/>
      <c r="E1196" t="n">
        <v>2</v>
      </c>
      <c r="F1196" t="n">
        <v>12.5</v>
      </c>
      <c r="G1196" t="n">
        <v>9455.200000000001</v>
      </c>
      <c r="H1196" t="n">
        <v>0</v>
      </c>
      <c r="I1196" s="7">
        <f>F1196*Summary!$B$5</f>
        <v/>
      </c>
      <c r="J1196" s="7">
        <f>G1196*Summary!$B$5</f>
        <v/>
      </c>
      <c r="K1196" s="7">
        <f>H1196*Summary!$B$5</f>
        <v/>
      </c>
    </row>
    <row r="1197">
      <c r="A1197" s="8" t="n">
        <v>45986</v>
      </c>
      <c r="B1197" t="inlineStr">
        <is>
          <t>FY25-26</t>
        </is>
      </c>
      <c r="C1197" t="inlineStr">
        <is>
          <t>CW</t>
        </is>
      </c>
      <c r="D1197" t="inlineStr">
        <is>
          <t>09:16</t>
        </is>
      </c>
      <c r="E1197" t="n">
        <v>1</v>
      </c>
      <c r="F1197" t="n">
        <v>31.5</v>
      </c>
      <c r="G1197" t="n">
        <v>9486.700000000001</v>
      </c>
      <c r="H1197" t="n">
        <v>0</v>
      </c>
      <c r="I1197" s="7">
        <f>F1197*Summary!$B$5</f>
        <v/>
      </c>
      <c r="J1197" s="7">
        <f>G1197*Summary!$B$5</f>
        <v/>
      </c>
      <c r="K1197" s="7">
        <f>H1197*Summary!$B$5</f>
        <v/>
      </c>
    </row>
    <row r="1198">
      <c r="A1198" s="8" t="n">
        <v>45987</v>
      </c>
      <c r="B1198" t="inlineStr">
        <is>
          <t>FY25-26</t>
        </is>
      </c>
      <c r="C1198" t="inlineStr"/>
      <c r="D1198" t="inlineStr"/>
      <c r="E1198" t="n">
        <v>0</v>
      </c>
      <c r="F1198" t="n">
        <v>0</v>
      </c>
      <c r="G1198" t="n">
        <v>9486.700000000001</v>
      </c>
      <c r="H1198" t="n">
        <v>0</v>
      </c>
      <c r="I1198" s="7">
        <f>F1198*Summary!$B$5</f>
        <v/>
      </c>
      <c r="J1198" s="7">
        <f>G1198*Summary!$B$5</f>
        <v/>
      </c>
      <c r="K1198" s="7">
        <f>H1198*Summary!$B$5</f>
        <v/>
      </c>
    </row>
    <row r="1199">
      <c r="A1199" s="8" t="n">
        <v>45988</v>
      </c>
      <c r="B1199" t="inlineStr">
        <is>
          <t>FY25-26</t>
        </is>
      </c>
      <c r="C1199" t="inlineStr"/>
      <c r="D1199" t="inlineStr"/>
      <c r="E1199" t="n">
        <v>0</v>
      </c>
      <c r="F1199" t="n">
        <v>0</v>
      </c>
      <c r="G1199" t="n">
        <v>9486.700000000001</v>
      </c>
      <c r="H1199" t="n">
        <v>0</v>
      </c>
      <c r="I1199" s="7">
        <f>F1199*Summary!$B$5</f>
        <v/>
      </c>
      <c r="J1199" s="7">
        <f>G1199*Summary!$B$5</f>
        <v/>
      </c>
      <c r="K1199" s="7">
        <f>H1199*Summary!$B$5</f>
        <v/>
      </c>
    </row>
    <row r="1200">
      <c r="A1200" s="8" t="n">
        <v>45992</v>
      </c>
      <c r="B1200" t="inlineStr">
        <is>
          <t>FY25-26</t>
        </is>
      </c>
      <c r="C1200" t="inlineStr">
        <is>
          <t>CW</t>
        </is>
      </c>
      <c r="D1200" t="inlineStr">
        <is>
          <t>09:18</t>
        </is>
      </c>
      <c r="E1200" t="n">
        <v>2</v>
      </c>
      <c r="F1200" t="n">
        <v>0.88</v>
      </c>
      <c r="G1200" t="n">
        <v>9487.58</v>
      </c>
      <c r="H1200" t="n">
        <v>0</v>
      </c>
      <c r="I1200" s="7">
        <f>F1200*Summary!$B$5</f>
        <v/>
      </c>
      <c r="J1200" s="7">
        <f>G1200*Summary!$B$5</f>
        <v/>
      </c>
      <c r="K1200" s="7">
        <f>H1200*Summary!$B$5</f>
        <v/>
      </c>
    </row>
    <row r="1201">
      <c r="A1201" s="8" t="n">
        <v>45993</v>
      </c>
      <c r="B1201" t="inlineStr">
        <is>
          <t>FY25-26</t>
        </is>
      </c>
      <c r="C1201" t="inlineStr">
        <is>
          <t>NW</t>
        </is>
      </c>
      <c r="D1201" t="inlineStr"/>
      <c r="E1201" t="n">
        <v>1</v>
      </c>
      <c r="F1201" t="n">
        <v>15.98</v>
      </c>
      <c r="G1201" t="n">
        <v>9503.559999999999</v>
      </c>
      <c r="H1201" t="n">
        <v>0</v>
      </c>
      <c r="I1201" s="7">
        <f>F1201*Summary!$B$5</f>
        <v/>
      </c>
      <c r="J1201" s="7">
        <f>G1201*Summary!$B$5</f>
        <v/>
      </c>
      <c r="K1201" s="7">
        <f>H1201*Summary!$B$5</f>
        <v/>
      </c>
    </row>
    <row r="1202">
      <c r="A1202" s="8" t="n">
        <v>45994</v>
      </c>
      <c r="B1202" t="inlineStr">
        <is>
          <t>FY25-26</t>
        </is>
      </c>
      <c r="C1202" t="inlineStr">
        <is>
          <t>CW</t>
        </is>
      </c>
      <c r="D1202" t="inlineStr">
        <is>
          <t>09:18</t>
        </is>
      </c>
      <c r="E1202" t="n">
        <v>6</v>
      </c>
      <c r="F1202" t="n">
        <v>8.130000000000001</v>
      </c>
      <c r="G1202" t="n">
        <v>9511.690000000001</v>
      </c>
      <c r="H1202" t="n">
        <v>0</v>
      </c>
      <c r="I1202" s="7">
        <f>F1202*Summary!$B$5</f>
        <v/>
      </c>
      <c r="J1202" s="7">
        <f>G1202*Summary!$B$5</f>
        <v/>
      </c>
      <c r="K1202" s="7">
        <f>H1202*Summary!$B$5</f>
        <v/>
      </c>
    </row>
    <row r="1203">
      <c r="A1203" s="8" t="n">
        <v>45995</v>
      </c>
      <c r="B1203" t="inlineStr">
        <is>
          <t>FY25-26</t>
        </is>
      </c>
      <c r="C1203" t="inlineStr">
        <is>
          <t>CW</t>
        </is>
      </c>
      <c r="D1203" t="inlineStr">
        <is>
          <t>09:18</t>
        </is>
      </c>
      <c r="E1203" t="n">
        <v>5</v>
      </c>
      <c r="F1203" t="n">
        <v>6.42</v>
      </c>
      <c r="G1203" t="n">
        <v>9518.120000000001</v>
      </c>
      <c r="H1203" t="n">
        <v>0</v>
      </c>
      <c r="I1203" s="7">
        <f>F1203*Summary!$B$5</f>
        <v/>
      </c>
      <c r="J1203" s="7">
        <f>G1203*Summary!$B$5</f>
        <v/>
      </c>
      <c r="K1203" s="7">
        <f>H1203*Summary!$B$5</f>
        <v/>
      </c>
    </row>
    <row r="1204">
      <c r="A1204" s="8" t="n">
        <v>45996</v>
      </c>
      <c r="B1204" t="inlineStr">
        <is>
          <t>FY25-26</t>
        </is>
      </c>
      <c r="C1204" t="inlineStr"/>
      <c r="D1204" t="inlineStr"/>
      <c r="E1204" t="n">
        <v>0</v>
      </c>
      <c r="F1204" t="n">
        <v>0</v>
      </c>
      <c r="G1204" t="n">
        <v>9518.120000000001</v>
      </c>
      <c r="H1204" t="n">
        <v>0</v>
      </c>
      <c r="I1204" s="7">
        <f>F1204*Summary!$B$5</f>
        <v/>
      </c>
      <c r="J1204" s="7">
        <f>G1204*Summary!$B$5</f>
        <v/>
      </c>
      <c r="K1204" s="7">
        <f>H1204*Summary!$B$5</f>
        <v/>
      </c>
    </row>
    <row r="1205">
      <c r="A1205" s="8" t="n">
        <v>45999</v>
      </c>
      <c r="B1205" t="inlineStr">
        <is>
          <t>FY25-26</t>
        </is>
      </c>
      <c r="C1205" t="inlineStr"/>
      <c r="D1205" t="inlineStr"/>
      <c r="E1205" t="n">
        <v>0</v>
      </c>
      <c r="F1205" t="n">
        <v>0</v>
      </c>
      <c r="G1205" t="n">
        <v>9518.120000000001</v>
      </c>
      <c r="H1205" t="n">
        <v>0</v>
      </c>
      <c r="I1205" s="7">
        <f>F1205*Summary!$B$5</f>
        <v/>
      </c>
      <c r="J1205" s="7">
        <f>G1205*Summary!$B$5</f>
        <v/>
      </c>
      <c r="K1205" s="7">
        <f>H1205*Summary!$B$5</f>
        <v/>
      </c>
    </row>
    <row r="1206">
      <c r="A1206" s="8" t="n">
        <v>46000</v>
      </c>
      <c r="B1206" t="inlineStr">
        <is>
          <t>FY25-26</t>
        </is>
      </c>
      <c r="C1206" t="inlineStr">
        <is>
          <t>CW</t>
        </is>
      </c>
      <c r="D1206" t="inlineStr">
        <is>
          <t>09:18</t>
        </is>
      </c>
      <c r="E1206" t="n">
        <v>1</v>
      </c>
      <c r="F1206" t="n">
        <v>-34.43</v>
      </c>
      <c r="G1206" t="n">
        <v>9483.68</v>
      </c>
      <c r="H1206" t="n">
        <v>-34.43</v>
      </c>
      <c r="I1206" s="7">
        <f>F1206*Summary!$B$5</f>
        <v/>
      </c>
      <c r="J1206" s="7">
        <f>G1206*Summary!$B$5</f>
        <v/>
      </c>
      <c r="K1206" s="7">
        <f>H1206*Summary!$B$5</f>
        <v/>
      </c>
    </row>
    <row r="1207">
      <c r="A1207" s="8" t="n">
        <v>46001</v>
      </c>
      <c r="B1207" t="inlineStr">
        <is>
          <t>FY25-26</t>
        </is>
      </c>
      <c r="C1207" t="inlineStr"/>
      <c r="D1207" t="inlineStr"/>
      <c r="E1207" t="n">
        <v>0</v>
      </c>
      <c r="F1207" t="n">
        <v>0</v>
      </c>
      <c r="G1207" t="n">
        <v>9483.68</v>
      </c>
      <c r="H1207" t="n">
        <v>-34.43</v>
      </c>
      <c r="I1207" s="7">
        <f>F1207*Summary!$B$5</f>
        <v/>
      </c>
      <c r="J1207" s="7">
        <f>G1207*Summary!$B$5</f>
        <v/>
      </c>
      <c r="K1207" s="7">
        <f>H1207*Summary!$B$5</f>
        <v/>
      </c>
    </row>
    <row r="1208">
      <c r="A1208" s="8" t="n">
        <v>46002</v>
      </c>
      <c r="B1208" t="inlineStr">
        <is>
          <t>FY25-26</t>
        </is>
      </c>
      <c r="C1208" t="inlineStr">
        <is>
          <t>CW</t>
        </is>
      </c>
      <c r="D1208" t="inlineStr">
        <is>
          <t>09:18</t>
        </is>
      </c>
      <c r="E1208" t="n">
        <v>5</v>
      </c>
      <c r="F1208" t="n">
        <v>3.22</v>
      </c>
      <c r="G1208" t="n">
        <v>9486.9</v>
      </c>
      <c r="H1208" t="n">
        <v>-31.21</v>
      </c>
      <c r="I1208" s="7">
        <f>F1208*Summary!$B$5</f>
        <v/>
      </c>
      <c r="J1208" s="7">
        <f>G1208*Summary!$B$5</f>
        <v/>
      </c>
      <c r="K1208" s="7">
        <f>H1208*Summary!$B$5</f>
        <v/>
      </c>
    </row>
    <row r="1209">
      <c r="A1209" s="8" t="n">
        <v>46003</v>
      </c>
      <c r="B1209" t="inlineStr">
        <is>
          <t>FY25-26</t>
        </is>
      </c>
      <c r="C1209" t="inlineStr"/>
      <c r="D1209" t="inlineStr"/>
      <c r="E1209" t="n">
        <v>0</v>
      </c>
      <c r="F1209" t="n">
        <v>0</v>
      </c>
      <c r="G1209" t="n">
        <v>9486.9</v>
      </c>
      <c r="H1209" t="n">
        <v>-31.21</v>
      </c>
      <c r="I1209" s="7">
        <f>F1209*Summary!$B$5</f>
        <v/>
      </c>
      <c r="J1209" s="7">
        <f>G1209*Summary!$B$5</f>
        <v/>
      </c>
      <c r="K1209" s="7">
        <f>H1209*Summary!$B$5</f>
        <v/>
      </c>
    </row>
    <row r="1210">
      <c r="A1210" s="8" t="n">
        <v>46006</v>
      </c>
      <c r="B1210" t="inlineStr">
        <is>
          <t>FY25-26</t>
        </is>
      </c>
      <c r="C1210" t="inlineStr">
        <is>
          <t>CW</t>
        </is>
      </c>
      <c r="D1210" t="inlineStr">
        <is>
          <t>09:18</t>
        </is>
      </c>
      <c r="E1210" t="n">
        <v>2</v>
      </c>
      <c r="F1210" t="n">
        <v>9</v>
      </c>
      <c r="G1210" t="n">
        <v>9495.9</v>
      </c>
      <c r="H1210" t="n">
        <v>-22.21</v>
      </c>
      <c r="I1210" s="7">
        <f>F1210*Summary!$B$5</f>
        <v/>
      </c>
      <c r="J1210" s="7">
        <f>G1210*Summary!$B$5</f>
        <v/>
      </c>
      <c r="K1210" s="7">
        <f>H1210*Summary!$B$5</f>
        <v/>
      </c>
    </row>
    <row r="1211">
      <c r="A1211" s="8" t="n">
        <v>46007</v>
      </c>
      <c r="B1211" t="inlineStr">
        <is>
          <t>FY25-26</t>
        </is>
      </c>
      <c r="C1211" t="inlineStr">
        <is>
          <t>NW</t>
        </is>
      </c>
      <c r="D1211" t="inlineStr"/>
      <c r="E1211" t="n">
        <v>1</v>
      </c>
      <c r="F1211" t="n">
        <v>15.66</v>
      </c>
      <c r="G1211" t="n">
        <v>9511.57</v>
      </c>
      <c r="H1211" t="n">
        <v>-6.55</v>
      </c>
      <c r="I1211" s="7">
        <f>F1211*Summary!$B$5</f>
        <v/>
      </c>
      <c r="J1211" s="7">
        <f>G1211*Summary!$B$5</f>
        <v/>
      </c>
      <c r="K1211" s="7">
        <f>H1211*Summary!$B$5</f>
        <v/>
      </c>
    </row>
    <row r="1212">
      <c r="A1212" s="8" t="n">
        <v>46008</v>
      </c>
      <c r="B1212" t="inlineStr">
        <is>
          <t>FY25-26</t>
        </is>
      </c>
      <c r="C1212" t="inlineStr"/>
      <c r="D1212" t="inlineStr"/>
      <c r="E1212" t="n">
        <v>0</v>
      </c>
      <c r="F1212" t="n">
        <v>0</v>
      </c>
      <c r="G1212" t="n">
        <v>9511.57</v>
      </c>
      <c r="H1212" t="n">
        <v>-6.55</v>
      </c>
      <c r="I1212" s="7">
        <f>F1212*Summary!$B$5</f>
        <v/>
      </c>
      <c r="J1212" s="7">
        <f>G1212*Summary!$B$5</f>
        <v/>
      </c>
      <c r="K1212" s="7">
        <f>H1212*Summary!$B$5</f>
        <v/>
      </c>
    </row>
    <row r="1213">
      <c r="A1213" s="8" t="n">
        <v>46009</v>
      </c>
      <c r="B1213" t="inlineStr">
        <is>
          <t>FY25-26</t>
        </is>
      </c>
      <c r="C1213" t="inlineStr">
        <is>
          <t>CW</t>
        </is>
      </c>
      <c r="D1213" t="inlineStr">
        <is>
          <t>09:18</t>
        </is>
      </c>
      <c r="E1213" t="n">
        <v>5</v>
      </c>
      <c r="F1213" t="n">
        <v>-4.54</v>
      </c>
      <c r="G1213" t="n">
        <v>9507.02</v>
      </c>
      <c r="H1213" t="n">
        <v>-11.09</v>
      </c>
      <c r="I1213" s="7">
        <f>F1213*Summary!$B$5</f>
        <v/>
      </c>
      <c r="J1213" s="7">
        <f>G1213*Summary!$B$5</f>
        <v/>
      </c>
      <c r="K1213" s="7">
        <f>H1213*Summary!$B$5</f>
        <v/>
      </c>
    </row>
    <row r="1214">
      <c r="A1214" s="8" t="n">
        <v>46010</v>
      </c>
      <c r="B1214" t="inlineStr">
        <is>
          <t>FY25-26</t>
        </is>
      </c>
      <c r="C1214" t="inlineStr"/>
      <c r="D1214" t="inlineStr"/>
      <c r="E1214" t="n">
        <v>0</v>
      </c>
      <c r="F1214" t="n">
        <v>0</v>
      </c>
      <c r="G1214" t="n">
        <v>9507.02</v>
      </c>
      <c r="H1214" t="n">
        <v>-11.09</v>
      </c>
      <c r="I1214" s="7">
        <f>F1214*Summary!$B$5</f>
        <v/>
      </c>
      <c r="J1214" s="7">
        <f>G1214*Summary!$B$5</f>
        <v/>
      </c>
      <c r="K1214" s="7">
        <f>H1214*Summary!$B$5</f>
        <v/>
      </c>
    </row>
    <row r="1215">
      <c r="A1215" s="8" t="n">
        <v>46013</v>
      </c>
      <c r="B1215" t="inlineStr">
        <is>
          <t>FY25-26</t>
        </is>
      </c>
      <c r="C1215" t="inlineStr"/>
      <c r="D1215" t="inlineStr"/>
      <c r="E1215" t="n">
        <v>0</v>
      </c>
      <c r="F1215" t="n">
        <v>0</v>
      </c>
      <c r="G1215" t="n">
        <v>9507.02</v>
      </c>
      <c r="H1215" t="n">
        <v>-11.09</v>
      </c>
      <c r="I1215" s="7">
        <f>F1215*Summary!$B$5</f>
        <v/>
      </c>
      <c r="J1215" s="7">
        <f>G1215*Summary!$B$5</f>
        <v/>
      </c>
      <c r="K1215" s="7">
        <f>H1215*Summary!$B$5</f>
        <v/>
      </c>
    </row>
    <row r="1216">
      <c r="A1216" s="8" t="n">
        <v>46014</v>
      </c>
      <c r="B1216" t="inlineStr">
        <is>
          <t>FY25-26</t>
        </is>
      </c>
      <c r="C1216" t="inlineStr">
        <is>
          <t>CW</t>
        </is>
      </c>
      <c r="D1216" t="inlineStr">
        <is>
          <t>09:18</t>
        </is>
      </c>
      <c r="E1216" t="n">
        <v>1</v>
      </c>
      <c r="F1216" t="n">
        <v>40.69</v>
      </c>
      <c r="G1216" t="n">
        <v>9547.719999999999</v>
      </c>
      <c r="H1216" t="n">
        <v>0</v>
      </c>
      <c r="I1216" s="7">
        <f>F1216*Summary!$B$5</f>
        <v/>
      </c>
      <c r="J1216" s="7">
        <f>G1216*Summary!$B$5</f>
        <v/>
      </c>
      <c r="K1216" s="7">
        <f>H1216*Summary!$B$5</f>
        <v/>
      </c>
    </row>
    <row r="1217">
      <c r="A1217" s="8" t="n">
        <v>46015</v>
      </c>
      <c r="B1217" t="inlineStr">
        <is>
          <t>FY25-26</t>
        </is>
      </c>
      <c r="C1217" t="inlineStr"/>
      <c r="D1217" t="inlineStr"/>
      <c r="E1217" t="n">
        <v>0</v>
      </c>
      <c r="F1217" t="n">
        <v>0</v>
      </c>
      <c r="G1217" t="n">
        <v>9547.719999999999</v>
      </c>
      <c r="H1217" t="n">
        <v>0</v>
      </c>
      <c r="I1217" s="7">
        <f>F1217*Summary!$B$5</f>
        <v/>
      </c>
      <c r="J1217" s="7">
        <f>G1217*Summary!$B$5</f>
        <v/>
      </c>
      <c r="K1217" s="7">
        <f>H1217*Summary!$B$5</f>
        <v/>
      </c>
    </row>
    <row r="1218">
      <c r="A1218" s="8" t="n">
        <v>46017</v>
      </c>
      <c r="B1218" t="inlineStr">
        <is>
          <t>FY25-26</t>
        </is>
      </c>
      <c r="C1218" t="inlineStr"/>
      <c r="D1218" t="inlineStr"/>
      <c r="E1218" t="n">
        <v>0</v>
      </c>
      <c r="F1218" t="n">
        <v>0</v>
      </c>
      <c r="G1218" t="n">
        <v>9547.719999999999</v>
      </c>
      <c r="H1218" t="n">
        <v>0</v>
      </c>
      <c r="I1218" s="7">
        <f>F1218*Summary!$B$5</f>
        <v/>
      </c>
      <c r="J1218" s="7">
        <f>G1218*Summary!$B$5</f>
        <v/>
      </c>
      <c r="K1218" s="7">
        <f>H1218*Summary!$B$5</f>
        <v/>
      </c>
    </row>
    <row r="1219">
      <c r="A1219" s="8" t="n">
        <v>46020</v>
      </c>
      <c r="B1219" t="inlineStr">
        <is>
          <t>FY25-26</t>
        </is>
      </c>
      <c r="C1219" t="inlineStr"/>
      <c r="D1219" t="inlineStr"/>
      <c r="E1219" t="n">
        <v>0</v>
      </c>
      <c r="F1219" t="n">
        <v>0</v>
      </c>
      <c r="G1219" t="n">
        <v>9547.719999999999</v>
      </c>
      <c r="H1219" t="n">
        <v>0</v>
      </c>
      <c r="I1219" s="7">
        <f>F1219*Summary!$B$5</f>
        <v/>
      </c>
      <c r="J1219" s="7">
        <f>G1219*Summary!$B$5</f>
        <v/>
      </c>
      <c r="K1219" s="7">
        <f>H1219*Summary!$B$5</f>
        <v/>
      </c>
    </row>
    <row r="1220">
      <c r="A1220" s="8" t="n">
        <v>46021</v>
      </c>
      <c r="B1220" t="inlineStr">
        <is>
          <t>FY25-26</t>
        </is>
      </c>
      <c r="C1220" t="inlineStr"/>
      <c r="D1220" t="inlineStr"/>
      <c r="E1220" t="n">
        <v>0</v>
      </c>
      <c r="F1220" t="n">
        <v>0</v>
      </c>
      <c r="G1220" t="n">
        <v>9547.719999999999</v>
      </c>
      <c r="H1220" t="n">
        <v>0</v>
      </c>
      <c r="I1220" s="7">
        <f>F1220*Summary!$B$5</f>
        <v/>
      </c>
      <c r="J1220" s="7">
        <f>G1220*Summary!$B$5</f>
        <v/>
      </c>
      <c r="K1220" s="7">
        <f>H1220*Summary!$B$5</f>
        <v/>
      </c>
    </row>
    <row r="1221">
      <c r="A1221" s="8" t="n">
        <v>46022</v>
      </c>
      <c r="B1221" t="inlineStr">
        <is>
          <t>FY25-26</t>
        </is>
      </c>
      <c r="C1221" t="inlineStr"/>
      <c r="D1221" t="inlineStr"/>
      <c r="E1221" t="n">
        <v>0</v>
      </c>
      <c r="F1221" t="n">
        <v>0</v>
      </c>
      <c r="G1221" t="n">
        <v>9547.719999999999</v>
      </c>
      <c r="H1221" t="n">
        <v>0</v>
      </c>
      <c r="I1221" s="7">
        <f>F1221*Summary!$B$5</f>
        <v/>
      </c>
      <c r="J1221" s="7">
        <f>G1221*Summary!$B$5</f>
        <v/>
      </c>
      <c r="K1221" s="7">
        <f>H1221*Summary!$B$5</f>
        <v/>
      </c>
    </row>
    <row r="1222">
      <c r="A1222" s="8" t="n">
        <v>46023</v>
      </c>
      <c r="B1222" t="inlineStr">
        <is>
          <t>FY25-26</t>
        </is>
      </c>
      <c r="C1222" t="inlineStr"/>
      <c r="D1222" t="inlineStr"/>
      <c r="E1222" t="n">
        <v>0</v>
      </c>
      <c r="F1222" t="n">
        <v>0</v>
      </c>
      <c r="G1222" t="n">
        <v>9547.719999999999</v>
      </c>
      <c r="H1222" t="n">
        <v>0</v>
      </c>
      <c r="I1222" s="7">
        <f>F1222*Summary!$B$5</f>
        <v/>
      </c>
      <c r="J1222" s="7">
        <f>G1222*Summary!$B$5</f>
        <v/>
      </c>
      <c r="K1222" s="7">
        <f>H1222*Summary!$B$5</f>
        <v/>
      </c>
    </row>
    <row r="1223">
      <c r="A1223" s="8" t="n">
        <v>46024</v>
      </c>
      <c r="B1223" t="inlineStr">
        <is>
          <t>FY25-26</t>
        </is>
      </c>
      <c r="C1223" t="inlineStr"/>
      <c r="D1223" t="inlineStr"/>
      <c r="E1223" t="n">
        <v>0</v>
      </c>
      <c r="F1223" t="n">
        <v>0</v>
      </c>
      <c r="G1223" t="n">
        <v>9547.719999999999</v>
      </c>
      <c r="H1223" t="n">
        <v>0</v>
      </c>
      <c r="I1223" s="7">
        <f>F1223*Summary!$B$5</f>
        <v/>
      </c>
      <c r="J1223" s="7">
        <f>G1223*Summary!$B$5</f>
        <v/>
      </c>
      <c r="K1223" s="7">
        <f>H1223*Summary!$B$5</f>
        <v/>
      </c>
    </row>
    <row r="1224">
      <c r="A1224" s="8" t="n">
        <v>46027</v>
      </c>
      <c r="B1224" t="inlineStr">
        <is>
          <t>FY25-26</t>
        </is>
      </c>
      <c r="C1224" t="inlineStr">
        <is>
          <t>CW</t>
        </is>
      </c>
      <c r="D1224" t="inlineStr">
        <is>
          <t>09:18</t>
        </is>
      </c>
      <c r="E1224" t="n">
        <v>2</v>
      </c>
      <c r="F1224" t="n">
        <v>-5.12</v>
      </c>
      <c r="G1224" t="n">
        <v>9542.59</v>
      </c>
      <c r="H1224" t="n">
        <v>-5.12</v>
      </c>
      <c r="I1224" s="7">
        <f>F1224*Summary!$B$5</f>
        <v/>
      </c>
      <c r="J1224" s="7">
        <f>G1224*Summary!$B$5</f>
        <v/>
      </c>
      <c r="K1224" s="7">
        <f>H1224*Summary!$B$5</f>
        <v/>
      </c>
    </row>
    <row r="1225">
      <c r="A1225" s="8" t="n">
        <v>46028</v>
      </c>
      <c r="B1225" t="inlineStr">
        <is>
          <t>FY25-26</t>
        </is>
      </c>
      <c r="C1225" t="inlineStr">
        <is>
          <t>NW</t>
        </is>
      </c>
      <c r="D1225" t="inlineStr"/>
      <c r="E1225" t="n">
        <v>0</v>
      </c>
      <c r="F1225" t="n">
        <v>24.12</v>
      </c>
      <c r="G1225" t="n">
        <v>9566.719999999999</v>
      </c>
      <c r="H1225" t="n">
        <v>0</v>
      </c>
      <c r="I1225" s="7">
        <f>F1225*Summary!$B$5</f>
        <v/>
      </c>
      <c r="J1225" s="7">
        <f>G1225*Summary!$B$5</f>
        <v/>
      </c>
      <c r="K1225" s="7">
        <f>H1225*Summary!$B$5</f>
        <v/>
      </c>
    </row>
    <row r="1226">
      <c r="A1226" s="8" t="n">
        <v>46029</v>
      </c>
      <c r="B1226" t="inlineStr">
        <is>
          <t>FY25-26</t>
        </is>
      </c>
      <c r="C1226" t="inlineStr"/>
      <c r="D1226" t="inlineStr"/>
      <c r="E1226" t="n">
        <v>0</v>
      </c>
      <c r="F1226" t="n">
        <v>0</v>
      </c>
      <c r="G1226" t="n">
        <v>9566.719999999999</v>
      </c>
      <c r="H1226" t="n">
        <v>0</v>
      </c>
      <c r="I1226" s="7">
        <f>F1226*Summary!$B$5</f>
        <v/>
      </c>
      <c r="J1226" s="7">
        <f>G1226*Summary!$B$5</f>
        <v/>
      </c>
      <c r="K1226" s="7">
        <f>H1226*Summary!$B$5</f>
        <v/>
      </c>
    </row>
    <row r="1227">
      <c r="A1227" s="8" t="n">
        <v>46030</v>
      </c>
      <c r="B1227" t="inlineStr">
        <is>
          <t>FY25-26</t>
        </is>
      </c>
      <c r="C1227" t="inlineStr"/>
      <c r="D1227" t="inlineStr"/>
      <c r="E1227" t="n">
        <v>0</v>
      </c>
      <c r="F1227" t="n">
        <v>0</v>
      </c>
      <c r="G1227" t="n">
        <v>9566.719999999999</v>
      </c>
      <c r="H1227" t="n">
        <v>0</v>
      </c>
      <c r="I1227" s="7">
        <f>F1227*Summary!$B$5</f>
        <v/>
      </c>
      <c r="J1227" s="7">
        <f>G1227*Summary!$B$5</f>
        <v/>
      </c>
      <c r="K1227" s="7">
        <f>H1227*Summary!$B$5</f>
        <v/>
      </c>
    </row>
    <row r="1228">
      <c r="A1228" s="8" t="n">
        <v>46031</v>
      </c>
      <c r="B1228" t="inlineStr">
        <is>
          <t>FY25-26</t>
        </is>
      </c>
      <c r="C1228" t="inlineStr"/>
      <c r="D1228" t="inlineStr"/>
      <c r="E1228" t="n">
        <v>0</v>
      </c>
      <c r="F1228" t="n">
        <v>0</v>
      </c>
      <c r="G1228" t="n">
        <v>9566.719999999999</v>
      </c>
      <c r="H1228" t="n">
        <v>0</v>
      </c>
      <c r="I1228" s="7">
        <f>F1228*Summary!$B$5</f>
        <v/>
      </c>
      <c r="J1228" s="7">
        <f>G1228*Summary!$B$5</f>
        <v/>
      </c>
      <c r="K1228" s="7">
        <f>H1228*Summary!$B$5</f>
        <v/>
      </c>
    </row>
    <row r="1229">
      <c r="A1229" s="8" t="n">
        <v>46034</v>
      </c>
      <c r="B1229" t="inlineStr">
        <is>
          <t>FY25-26</t>
        </is>
      </c>
      <c r="C1229" t="inlineStr">
        <is>
          <t>NW</t>
        </is>
      </c>
      <c r="D1229" t="inlineStr"/>
      <c r="E1229" t="n">
        <v>0</v>
      </c>
      <c r="F1229" t="n">
        <v>-11.28</v>
      </c>
      <c r="G1229" t="n">
        <v>9555.43</v>
      </c>
      <c r="H1229" t="n">
        <v>-11.28</v>
      </c>
      <c r="I1229" s="7">
        <f>F1229*Summary!$B$5</f>
        <v/>
      </c>
      <c r="J1229" s="7">
        <f>G1229*Summary!$B$5</f>
        <v/>
      </c>
      <c r="K1229" s="7">
        <f>H1229*Summary!$B$5</f>
        <v/>
      </c>
    </row>
    <row r="1230">
      <c r="A1230" s="8" t="n">
        <v>46035</v>
      </c>
      <c r="B1230" t="inlineStr">
        <is>
          <t>FY25-26</t>
        </is>
      </c>
      <c r="C1230" t="inlineStr">
        <is>
          <t>NW</t>
        </is>
      </c>
      <c r="D1230" t="inlineStr"/>
      <c r="E1230" t="n">
        <v>0</v>
      </c>
      <c r="F1230" t="n">
        <v>-0.71</v>
      </c>
      <c r="G1230" t="n">
        <v>9554.719999999999</v>
      </c>
      <c r="H1230" t="n">
        <v>-11.99</v>
      </c>
      <c r="I1230" s="7">
        <f>F1230*Summary!$B$5</f>
        <v/>
      </c>
      <c r="J1230" s="7">
        <f>G1230*Summary!$B$5</f>
        <v/>
      </c>
      <c r="K1230" s="7">
        <f>H1230*Summary!$B$5</f>
        <v/>
      </c>
    </row>
    <row r="1231">
      <c r="A1231" s="8" t="n">
        <v>46036</v>
      </c>
      <c r="B1231" t="inlineStr">
        <is>
          <t>FY25-26</t>
        </is>
      </c>
      <c r="C1231" t="inlineStr"/>
      <c r="D1231" t="inlineStr"/>
      <c r="E1231" t="n">
        <v>0</v>
      </c>
      <c r="F1231" t="n">
        <v>0</v>
      </c>
      <c r="G1231" t="n">
        <v>9554.719999999999</v>
      </c>
      <c r="H1231" t="n">
        <v>-11.99</v>
      </c>
      <c r="I1231" s="7">
        <f>F1231*Summary!$B$5</f>
        <v/>
      </c>
      <c r="J1231" s="7">
        <f>G1231*Summary!$B$5</f>
        <v/>
      </c>
      <c r="K1231" s="7">
        <f>H1231*Summary!$B$5</f>
        <v/>
      </c>
    </row>
    <row r="1232">
      <c r="A1232" s="8" t="n">
        <v>46038</v>
      </c>
      <c r="B1232" t="inlineStr">
        <is>
          <t>FY25-26</t>
        </is>
      </c>
      <c r="C1232" t="inlineStr"/>
      <c r="D1232" t="inlineStr"/>
      <c r="E1232" t="n">
        <v>0</v>
      </c>
      <c r="F1232" t="n">
        <v>0</v>
      </c>
      <c r="G1232" t="n">
        <v>9554.719999999999</v>
      </c>
      <c r="H1232" t="n">
        <v>-11.99</v>
      </c>
      <c r="I1232" s="7">
        <f>F1232*Summary!$B$5</f>
        <v/>
      </c>
      <c r="J1232" s="7">
        <f>G1232*Summary!$B$5</f>
        <v/>
      </c>
      <c r="K1232" s="7">
        <f>H1232*Summary!$B$5</f>
        <v/>
      </c>
    </row>
    <row r="1233">
      <c r="A1233" s="8" t="n">
        <v>46041</v>
      </c>
      <c r="B1233" t="inlineStr">
        <is>
          <t>FY25-26</t>
        </is>
      </c>
      <c r="C1233" t="inlineStr"/>
      <c r="D1233" t="inlineStr"/>
      <c r="E1233" t="n">
        <v>0</v>
      </c>
      <c r="F1233" t="n">
        <v>0</v>
      </c>
      <c r="G1233" t="n">
        <v>9554.719999999999</v>
      </c>
      <c r="H1233" t="n">
        <v>-11.99</v>
      </c>
      <c r="I1233" s="7">
        <f>F1233*Summary!$B$5</f>
        <v/>
      </c>
      <c r="J1233" s="7">
        <f>G1233*Summary!$B$5</f>
        <v/>
      </c>
      <c r="K1233" s="7">
        <f>H1233*Summary!$B$5</f>
        <v/>
      </c>
    </row>
    <row r="1234">
      <c r="A1234" s="8" t="n">
        <v>46042</v>
      </c>
      <c r="B1234" t="inlineStr">
        <is>
          <t>FY25-26</t>
        </is>
      </c>
      <c r="C1234" t="inlineStr"/>
      <c r="D1234" t="inlineStr"/>
      <c r="E1234" t="n">
        <v>0</v>
      </c>
      <c r="F1234" t="n">
        <v>0</v>
      </c>
      <c r="G1234" t="n">
        <v>9554.719999999999</v>
      </c>
      <c r="H1234" t="n">
        <v>-11.99</v>
      </c>
      <c r="I1234" s="7">
        <f>F1234*Summary!$B$5</f>
        <v/>
      </c>
      <c r="J1234" s="7">
        <f>G1234*Summary!$B$5</f>
        <v/>
      </c>
      <c r="K1234" s="7">
        <f>H1234*Summary!$B$5</f>
        <v/>
      </c>
    </row>
    <row r="1235">
      <c r="A1235" s="8" t="n">
        <v>46043</v>
      </c>
      <c r="B1235" t="inlineStr">
        <is>
          <t>FY25-26</t>
        </is>
      </c>
      <c r="C1235" t="inlineStr">
        <is>
          <t>CW</t>
        </is>
      </c>
      <c r="D1235" t="inlineStr">
        <is>
          <t>09:18</t>
        </is>
      </c>
      <c r="E1235" t="n">
        <v>6</v>
      </c>
      <c r="F1235" t="n">
        <v>26.14</v>
      </c>
      <c r="G1235" t="n">
        <v>9580.860000000001</v>
      </c>
      <c r="H1235" t="n">
        <v>0</v>
      </c>
      <c r="I1235" s="7">
        <f>F1235*Summary!$B$5</f>
        <v/>
      </c>
      <c r="J1235" s="7">
        <f>G1235*Summary!$B$5</f>
        <v/>
      </c>
      <c r="K1235" s="7">
        <f>H1235*Summary!$B$5</f>
        <v/>
      </c>
    </row>
    <row r="1236">
      <c r="A1236" s="8" t="n">
        <v>46044</v>
      </c>
      <c r="B1236" t="inlineStr">
        <is>
          <t>FY25-26</t>
        </is>
      </c>
      <c r="C1236" t="inlineStr"/>
      <c r="D1236" t="inlineStr"/>
      <c r="E1236" t="n">
        <v>0</v>
      </c>
      <c r="F1236" t="n">
        <v>0</v>
      </c>
      <c r="G1236" t="n">
        <v>9580.860000000001</v>
      </c>
      <c r="H1236" t="n">
        <v>0</v>
      </c>
      <c r="I1236" s="7">
        <f>F1236*Summary!$B$5</f>
        <v/>
      </c>
      <c r="J1236" s="7">
        <f>G1236*Summary!$B$5</f>
        <v/>
      </c>
      <c r="K1236" s="7">
        <f>H1236*Summary!$B$5</f>
        <v/>
      </c>
    </row>
    <row r="1237">
      <c r="A1237" s="8" t="n">
        <v>46045</v>
      </c>
      <c r="B1237" t="inlineStr">
        <is>
          <t>FY25-26</t>
        </is>
      </c>
      <c r="C1237" t="inlineStr">
        <is>
          <t>CW</t>
        </is>
      </c>
      <c r="D1237" t="inlineStr">
        <is>
          <t>09:18</t>
        </is>
      </c>
      <c r="E1237" t="n">
        <v>4</v>
      </c>
      <c r="F1237" t="n">
        <v>31.68</v>
      </c>
      <c r="G1237" t="n">
        <v>9612.540000000001</v>
      </c>
      <c r="H1237" t="n">
        <v>0</v>
      </c>
      <c r="I1237" s="7">
        <f>F1237*Summary!$B$5</f>
        <v/>
      </c>
      <c r="J1237" s="7">
        <f>G1237*Summary!$B$5</f>
        <v/>
      </c>
      <c r="K1237" s="7">
        <f>H1237*Summary!$B$5</f>
        <v/>
      </c>
    </row>
    <row r="1238">
      <c r="A1238" s="8" t="n">
        <v>46049</v>
      </c>
      <c r="B1238" t="inlineStr">
        <is>
          <t>FY25-26</t>
        </is>
      </c>
      <c r="C1238" t="inlineStr">
        <is>
          <t>CW</t>
        </is>
      </c>
      <c r="D1238" t="inlineStr">
        <is>
          <t>09:16</t>
        </is>
      </c>
      <c r="E1238" t="n">
        <v>1</v>
      </c>
      <c r="F1238" t="n">
        <v>-36.97</v>
      </c>
      <c r="G1238" t="n">
        <v>9575.57</v>
      </c>
      <c r="H1238" t="n">
        <v>-36.97</v>
      </c>
      <c r="I1238" s="7">
        <f>F1238*Summary!$B$5</f>
        <v/>
      </c>
      <c r="J1238" s="7">
        <f>G1238*Summary!$B$5</f>
        <v/>
      </c>
      <c r="K1238" s="7">
        <f>H1238*Summary!$B$5</f>
        <v/>
      </c>
    </row>
    <row r="1239">
      <c r="A1239" s="8" t="n">
        <v>46050</v>
      </c>
      <c r="B1239" t="inlineStr">
        <is>
          <t>FY25-26</t>
        </is>
      </c>
      <c r="C1239" t="inlineStr">
        <is>
          <t>CW</t>
        </is>
      </c>
      <c r="D1239" t="inlineStr">
        <is>
          <t>09:18</t>
        </is>
      </c>
      <c r="E1239" t="n">
        <v>6</v>
      </c>
      <c r="F1239" t="n">
        <v>35.41</v>
      </c>
      <c r="G1239" t="n">
        <v>9610.98</v>
      </c>
      <c r="H1239" t="n">
        <v>-1.56</v>
      </c>
      <c r="I1239" s="7">
        <f>F1239*Summary!$B$5</f>
        <v/>
      </c>
      <c r="J1239" s="7">
        <f>G1239*Summary!$B$5</f>
        <v/>
      </c>
      <c r="K1239" s="7">
        <f>H1239*Summary!$B$5</f>
        <v/>
      </c>
    </row>
    <row r="1240">
      <c r="A1240" s="8" t="n">
        <v>46051</v>
      </c>
      <c r="B1240" t="inlineStr">
        <is>
          <t>FY25-26</t>
        </is>
      </c>
      <c r="C1240" t="inlineStr">
        <is>
          <t>CW</t>
        </is>
      </c>
      <c r="D1240" t="inlineStr">
        <is>
          <t>09:17</t>
        </is>
      </c>
      <c r="E1240" t="n">
        <v>5</v>
      </c>
      <c r="F1240" t="n">
        <v>9.619999999999999</v>
      </c>
      <c r="G1240" t="n">
        <v>9620.610000000001</v>
      </c>
      <c r="H1240" t="n">
        <v>0</v>
      </c>
      <c r="I1240" s="7">
        <f>F1240*Summary!$B$5</f>
        <v/>
      </c>
      <c r="J1240" s="7">
        <f>G1240*Summary!$B$5</f>
        <v/>
      </c>
      <c r="K1240" s="7">
        <f>H1240*Summary!$B$5</f>
        <v/>
      </c>
    </row>
    <row r="1241">
      <c r="A1241" s="8" t="n">
        <v>46052</v>
      </c>
      <c r="B1241" t="inlineStr">
        <is>
          <t>FY25-26</t>
        </is>
      </c>
      <c r="C1241" t="inlineStr">
        <is>
          <t>CW</t>
        </is>
      </c>
      <c r="D1241" t="inlineStr">
        <is>
          <t>09:17</t>
        </is>
      </c>
      <c r="E1241" t="n">
        <v>4</v>
      </c>
      <c r="F1241" t="n">
        <v>-2.82</v>
      </c>
      <c r="G1241" t="n">
        <v>9617.780000000001</v>
      </c>
      <c r="H1241" t="n">
        <v>-2.82</v>
      </c>
      <c r="I1241" s="7">
        <f>F1241*Summary!$B$5</f>
        <v/>
      </c>
      <c r="J1241" s="7">
        <f>G1241*Summary!$B$5</f>
        <v/>
      </c>
      <c r="K1241" s="7">
        <f>H1241*Summary!$B$5</f>
        <v/>
      </c>
    </row>
    <row r="1242">
      <c r="A1242" s="8" t="n">
        <v>46054</v>
      </c>
      <c r="B1242" t="inlineStr">
        <is>
          <t>FY25-26</t>
        </is>
      </c>
      <c r="C1242" t="inlineStr">
        <is>
          <t>CW</t>
        </is>
      </c>
      <c r="D1242" t="inlineStr">
        <is>
          <t>09:18</t>
        </is>
      </c>
      <c r="E1242" t="n">
        <v>2</v>
      </c>
      <c r="F1242" t="n">
        <v>-13.38</v>
      </c>
      <c r="G1242" t="n">
        <v>9604.4</v>
      </c>
      <c r="H1242" t="n">
        <v>-16.2</v>
      </c>
      <c r="I1242" s="7">
        <f>F1242*Summary!$B$5</f>
        <v/>
      </c>
      <c r="J1242" s="7">
        <f>G1242*Summary!$B$5</f>
        <v/>
      </c>
      <c r="K1242" s="7">
        <f>H1242*Summary!$B$5</f>
        <v/>
      </c>
    </row>
    <row r="1243">
      <c r="A1243" s="8" t="n">
        <v>46055</v>
      </c>
      <c r="B1243" t="inlineStr">
        <is>
          <t>FY25-26</t>
        </is>
      </c>
      <c r="C1243" t="inlineStr">
        <is>
          <t>CW</t>
        </is>
      </c>
      <c r="D1243" t="inlineStr">
        <is>
          <t>09:16</t>
        </is>
      </c>
      <c r="E1243" t="n">
        <v>2</v>
      </c>
      <c r="F1243" t="n">
        <v>68.70999999999999</v>
      </c>
      <c r="G1243" t="n">
        <v>9673.120000000001</v>
      </c>
      <c r="H1243" t="n">
        <v>0</v>
      </c>
      <c r="I1243" s="7">
        <f>F1243*Summary!$B$5</f>
        <v/>
      </c>
      <c r="J1243" s="7">
        <f>G1243*Summary!$B$5</f>
        <v/>
      </c>
      <c r="K1243" s="7">
        <f>H1243*Summary!$B$5</f>
        <v/>
      </c>
    </row>
    <row r="1244">
      <c r="A1244" s="8" t="n">
        <v>46056</v>
      </c>
      <c r="B1244" t="inlineStr">
        <is>
          <t>FY25-26</t>
        </is>
      </c>
      <c r="C1244" t="inlineStr">
        <is>
          <t>CW</t>
        </is>
      </c>
      <c r="D1244" t="inlineStr">
        <is>
          <t>09:17</t>
        </is>
      </c>
      <c r="E1244" t="n">
        <v>1</v>
      </c>
      <c r="F1244" t="n">
        <v>103.7</v>
      </c>
      <c r="G1244" t="n">
        <v>9776.809999999999</v>
      </c>
      <c r="H1244" t="n">
        <v>0</v>
      </c>
      <c r="I1244" s="7">
        <f>F1244*Summary!$B$5</f>
        <v/>
      </c>
      <c r="J1244" s="7">
        <f>G1244*Summary!$B$5</f>
        <v/>
      </c>
      <c r="K1244" s="7">
        <f>H1244*Summary!$B$5</f>
        <v/>
      </c>
    </row>
    <row r="1245">
      <c r="A1245" s="8" t="n">
        <v>46057</v>
      </c>
      <c r="B1245" t="inlineStr">
        <is>
          <t>FY25-26</t>
        </is>
      </c>
      <c r="C1245" t="inlineStr"/>
      <c r="D1245" t="inlineStr"/>
      <c r="E1245" t="n">
        <v>0</v>
      </c>
      <c r="F1245" t="n">
        <v>0</v>
      </c>
      <c r="G1245" t="n">
        <v>9776.809999999999</v>
      </c>
      <c r="H1245" t="n">
        <v>0</v>
      </c>
      <c r="I1245" s="7">
        <f>F1245*Summary!$B$5</f>
        <v/>
      </c>
      <c r="J1245" s="7">
        <f>G1245*Summary!$B$5</f>
        <v/>
      </c>
      <c r="K1245" s="7">
        <f>H1245*Summary!$B$5</f>
        <v/>
      </c>
    </row>
    <row r="1246">
      <c r="A1246" s="8" t="n">
        <v>46058</v>
      </c>
      <c r="B1246" t="inlineStr">
        <is>
          <t>FY25-26</t>
        </is>
      </c>
      <c r="C1246" t="inlineStr"/>
      <c r="D1246" t="inlineStr"/>
      <c r="E1246" t="n">
        <v>0</v>
      </c>
      <c r="F1246" t="n">
        <v>0</v>
      </c>
      <c r="G1246" t="n">
        <v>9776.809999999999</v>
      </c>
      <c r="H1246" t="n">
        <v>0</v>
      </c>
      <c r="I1246" s="7">
        <f>F1246*Summary!$B$5</f>
        <v/>
      </c>
      <c r="J1246" s="7">
        <f>G1246*Summary!$B$5</f>
        <v/>
      </c>
      <c r="K1246" s="7">
        <f>H1246*Summary!$B$5</f>
        <v/>
      </c>
    </row>
    <row r="1247">
      <c r="A1247" s="8" t="n">
        <v>46059</v>
      </c>
      <c r="B1247" t="inlineStr">
        <is>
          <t>FY25-26</t>
        </is>
      </c>
      <c r="C1247" t="inlineStr">
        <is>
          <t>CW</t>
        </is>
      </c>
      <c r="D1247" t="inlineStr">
        <is>
          <t>09:18</t>
        </is>
      </c>
      <c r="E1247" t="n">
        <v>4</v>
      </c>
      <c r="F1247" t="n">
        <v>12.6</v>
      </c>
      <c r="G1247" t="n">
        <v>9789.41</v>
      </c>
      <c r="H1247" t="n">
        <v>0</v>
      </c>
      <c r="I1247" s="7">
        <f>F1247*Summary!$B$5</f>
        <v/>
      </c>
      <c r="J1247" s="7">
        <f>G1247*Summary!$B$5</f>
        <v/>
      </c>
      <c r="K1247" s="7">
        <f>H1247*Summary!$B$5</f>
        <v/>
      </c>
    </row>
    <row r="1248">
      <c r="A1248" s="8" t="n">
        <v>46062</v>
      </c>
      <c r="B1248" t="inlineStr">
        <is>
          <t>FY25-26</t>
        </is>
      </c>
      <c r="C1248" t="inlineStr"/>
      <c r="D1248" t="inlineStr"/>
      <c r="E1248" t="n">
        <v>0</v>
      </c>
      <c r="F1248" t="n">
        <v>0</v>
      </c>
      <c r="G1248" t="n">
        <v>9789.41</v>
      </c>
      <c r="H1248" t="n">
        <v>0</v>
      </c>
      <c r="I1248" s="7">
        <f>F1248*Summary!$B$5</f>
        <v/>
      </c>
      <c r="J1248" s="7">
        <f>G1248*Summary!$B$5</f>
        <v/>
      </c>
      <c r="K1248" s="7">
        <f>H1248*Summary!$B$5</f>
        <v/>
      </c>
    </row>
    <row r="1249">
      <c r="A1249" s="8" t="n">
        <v>46063</v>
      </c>
      <c r="B1249" t="inlineStr">
        <is>
          <t>FY25-26</t>
        </is>
      </c>
      <c r="C1249" t="inlineStr">
        <is>
          <t>CW</t>
        </is>
      </c>
      <c r="D1249" t="inlineStr">
        <is>
          <t>09:18</t>
        </is>
      </c>
      <c r="E1249" t="n">
        <v>1</v>
      </c>
      <c r="F1249" t="n">
        <v>21.78</v>
      </c>
      <c r="G1249" t="n">
        <v>9811.190000000001</v>
      </c>
      <c r="H1249" t="n">
        <v>0</v>
      </c>
      <c r="I1249" s="7">
        <f>F1249*Summary!$B$5</f>
        <v/>
      </c>
      <c r="J1249" s="7">
        <f>G1249*Summary!$B$5</f>
        <v/>
      </c>
      <c r="K1249" s="7">
        <f>H1249*Summary!$B$5</f>
        <v/>
      </c>
    </row>
    <row r="1250">
      <c r="A1250" s="8" t="n">
        <v>46064</v>
      </c>
      <c r="B1250" t="inlineStr">
        <is>
          <t>FY25-26</t>
        </is>
      </c>
      <c r="C1250" t="inlineStr"/>
      <c r="D1250" t="inlineStr"/>
      <c r="E1250" t="n">
        <v>0</v>
      </c>
      <c r="F1250" t="n">
        <v>0</v>
      </c>
      <c r="G1250" t="n">
        <v>9811.190000000001</v>
      </c>
      <c r="H1250" t="n">
        <v>0</v>
      </c>
      <c r="I1250" s="7">
        <f>F1250*Summary!$B$5</f>
        <v/>
      </c>
      <c r="J1250" s="7">
        <f>G1250*Summary!$B$5</f>
        <v/>
      </c>
      <c r="K1250" s="7">
        <f>H1250*Summary!$B$5</f>
        <v/>
      </c>
    </row>
    <row r="1251">
      <c r="A1251" s="8" t="n">
        <v>46065</v>
      </c>
      <c r="B1251" t="inlineStr">
        <is>
          <t>FY25-26</t>
        </is>
      </c>
      <c r="C1251" t="inlineStr">
        <is>
          <t>CW</t>
        </is>
      </c>
      <c r="D1251" t="inlineStr">
        <is>
          <t>09:18</t>
        </is>
      </c>
      <c r="E1251" t="n">
        <v>5</v>
      </c>
      <c r="F1251" t="n">
        <v>4.16</v>
      </c>
      <c r="G1251" t="n">
        <v>9815.35</v>
      </c>
      <c r="H1251" t="n">
        <v>0</v>
      </c>
      <c r="I1251" s="7">
        <f>F1251*Summary!$B$5</f>
        <v/>
      </c>
      <c r="J1251" s="7">
        <f>G1251*Summary!$B$5</f>
        <v/>
      </c>
      <c r="K1251" s="7">
        <f>H1251*Summary!$B$5</f>
        <v/>
      </c>
    </row>
    <row r="1252">
      <c r="A1252" s="8" t="n">
        <v>46066</v>
      </c>
      <c r="B1252" t="inlineStr">
        <is>
          <t>FY25-26</t>
        </is>
      </c>
      <c r="C1252" t="inlineStr"/>
      <c r="D1252" t="inlineStr"/>
      <c r="E1252" t="n">
        <v>0</v>
      </c>
      <c r="F1252" t="n">
        <v>0</v>
      </c>
      <c r="G1252" t="n">
        <v>9815.35</v>
      </c>
      <c r="H1252" t="n">
        <v>0</v>
      </c>
      <c r="I1252" s="7">
        <f>F1252*Summary!$B$5</f>
        <v/>
      </c>
      <c r="J1252" s="7">
        <f>G1252*Summary!$B$5</f>
        <v/>
      </c>
      <c r="K1252" s="7">
        <f>H1252*Summary!$B$5</f>
        <v/>
      </c>
    </row>
    <row r="1253">
      <c r="A1253" s="8" t="n">
        <v>46069</v>
      </c>
      <c r="B1253" t="inlineStr">
        <is>
          <t>FY25-26</t>
        </is>
      </c>
      <c r="C1253" t="inlineStr">
        <is>
          <t>NW</t>
        </is>
      </c>
      <c r="D1253" t="inlineStr"/>
      <c r="E1253" t="n">
        <v>0</v>
      </c>
      <c r="F1253" t="n">
        <v>-14.67</v>
      </c>
      <c r="G1253" t="n">
        <v>9800.68</v>
      </c>
      <c r="H1253" t="n">
        <v>-14.67</v>
      </c>
      <c r="I1253" s="7">
        <f>F1253*Summary!$B$5</f>
        <v/>
      </c>
      <c r="J1253" s="7">
        <f>G1253*Summary!$B$5</f>
        <v/>
      </c>
      <c r="K1253" s="7">
        <f>H1253*Summary!$B$5</f>
        <v/>
      </c>
    </row>
    <row r="1254">
      <c r="A1254" s="8" t="n">
        <v>46070</v>
      </c>
      <c r="B1254" t="inlineStr">
        <is>
          <t>FY25-26</t>
        </is>
      </c>
      <c r="C1254" t="inlineStr">
        <is>
          <t>NW</t>
        </is>
      </c>
      <c r="D1254" t="inlineStr"/>
      <c r="E1254" t="n">
        <v>1</v>
      </c>
      <c r="F1254" t="n">
        <v>-4.4</v>
      </c>
      <c r="G1254" t="n">
        <v>9796.290000000001</v>
      </c>
      <c r="H1254" t="n">
        <v>-19.06</v>
      </c>
      <c r="I1254" s="7">
        <f>F1254*Summary!$B$5</f>
        <v/>
      </c>
      <c r="J1254" s="7">
        <f>G1254*Summary!$B$5</f>
        <v/>
      </c>
      <c r="K1254" s="7">
        <f>H1254*Summary!$B$5</f>
        <v/>
      </c>
    </row>
    <row r="1255">
      <c r="A1255" s="8" t="n">
        <v>46071</v>
      </c>
      <c r="B1255" t="inlineStr">
        <is>
          <t>FY25-26</t>
        </is>
      </c>
      <c r="C1255" t="inlineStr">
        <is>
          <t>n/a</t>
        </is>
      </c>
      <c r="D1255" t="inlineStr"/>
      <c r="E1255" t="n">
        <v>0</v>
      </c>
      <c r="F1255" t="n">
        <v>-0.28</v>
      </c>
      <c r="G1255" t="n">
        <v>9796.01</v>
      </c>
      <c r="H1255" t="n">
        <v>-19.34</v>
      </c>
      <c r="I1255" s="7">
        <f>F1255*Summary!$B$5</f>
        <v/>
      </c>
      <c r="J1255" s="7">
        <f>G1255*Summary!$B$5</f>
        <v/>
      </c>
      <c r="K1255" s="7">
        <f>H1255*Summary!$B$5</f>
        <v/>
      </c>
    </row>
    <row r="1256">
      <c r="A1256" s="8" t="n">
        <v>46072</v>
      </c>
      <c r="B1256" t="inlineStr">
        <is>
          <t>FY25-26</t>
        </is>
      </c>
      <c r="C1256" t="inlineStr"/>
      <c r="D1256" t="inlineStr"/>
      <c r="E1256" t="n">
        <v>0</v>
      </c>
      <c r="F1256" t="n">
        <v>0</v>
      </c>
      <c r="G1256" t="n">
        <v>9796.01</v>
      </c>
      <c r="H1256" t="n">
        <v>-19.34</v>
      </c>
      <c r="I1256" s="7">
        <f>F1256*Summary!$B$5</f>
        <v/>
      </c>
      <c r="J1256" s="7">
        <f>G1256*Summary!$B$5</f>
        <v/>
      </c>
      <c r="K1256" s="7">
        <f>H1256*Summary!$B$5</f>
        <v/>
      </c>
    </row>
    <row r="1257">
      <c r="A1257" s="8" t="n">
        <v>46073</v>
      </c>
      <c r="B1257" t="inlineStr">
        <is>
          <t>FY25-26</t>
        </is>
      </c>
      <c r="C1257" t="inlineStr">
        <is>
          <t>n/a</t>
        </is>
      </c>
      <c r="D1257" t="inlineStr"/>
      <c r="E1257" t="n">
        <v>0</v>
      </c>
      <c r="F1257" t="n">
        <v>-38.35</v>
      </c>
      <c r="G1257" t="n">
        <v>9757.66</v>
      </c>
      <c r="H1257" t="n">
        <v>-57.69</v>
      </c>
      <c r="I1257" s="7">
        <f>F1257*Summary!$B$5</f>
        <v/>
      </c>
      <c r="J1257" s="7">
        <f>G1257*Summary!$B$5</f>
        <v/>
      </c>
      <c r="K1257" s="7">
        <f>H1257*Summary!$B$5</f>
        <v/>
      </c>
    </row>
    <row r="1258">
      <c r="A1258" s="8" t="n">
        <v>46076</v>
      </c>
      <c r="B1258" t="inlineStr">
        <is>
          <t>FY25-26</t>
        </is>
      </c>
      <c r="C1258" t="inlineStr">
        <is>
          <t>NW</t>
        </is>
      </c>
      <c r="D1258" t="inlineStr"/>
      <c r="E1258" t="n">
        <v>0</v>
      </c>
      <c r="F1258" t="n">
        <v>7.52</v>
      </c>
      <c r="G1258" t="n">
        <v>9765.18</v>
      </c>
      <c r="H1258" t="n">
        <v>-50.17</v>
      </c>
      <c r="I1258" s="7">
        <f>F1258*Summary!$B$5</f>
        <v/>
      </c>
      <c r="J1258" s="7">
        <f>G1258*Summary!$B$5</f>
        <v/>
      </c>
      <c r="K1258" s="7">
        <f>H1258*Summary!$B$5</f>
        <v/>
      </c>
    </row>
    <row r="1259">
      <c r="A1259" s="8" t="n">
        <v>46077</v>
      </c>
      <c r="B1259" t="inlineStr">
        <is>
          <t>FY25-26</t>
        </is>
      </c>
      <c r="C1259" t="inlineStr">
        <is>
          <t>CW</t>
        </is>
      </c>
      <c r="D1259" t="inlineStr">
        <is>
          <t>09:18</t>
        </is>
      </c>
      <c r="E1259" t="n">
        <v>1</v>
      </c>
      <c r="F1259" t="n">
        <v>-12.36</v>
      </c>
      <c r="G1259" t="n">
        <v>9752.82</v>
      </c>
      <c r="H1259" t="n">
        <v>-62.53</v>
      </c>
      <c r="I1259" s="7">
        <f>F1259*Summary!$B$5</f>
        <v/>
      </c>
      <c r="J1259" s="7">
        <f>G1259*Summary!$B$5</f>
        <v/>
      </c>
      <c r="K1259" s="7">
        <f>H1259*Summary!$B$5</f>
        <v/>
      </c>
    </row>
    <row r="1260">
      <c r="A1260" s="8" t="n">
        <v>46078</v>
      </c>
      <c r="B1260" t="inlineStr">
        <is>
          <t>FY25-26</t>
        </is>
      </c>
      <c r="C1260" t="inlineStr"/>
      <c r="D1260" t="inlineStr"/>
      <c r="E1260" t="n">
        <v>0</v>
      </c>
      <c r="F1260" t="n">
        <v>0</v>
      </c>
      <c r="G1260" t="n">
        <v>9752.82</v>
      </c>
      <c r="H1260" t="n">
        <v>-62.53</v>
      </c>
      <c r="I1260" s="7">
        <f>F1260*Summary!$B$5</f>
        <v/>
      </c>
      <c r="J1260" s="7">
        <f>G1260*Summary!$B$5</f>
        <v/>
      </c>
      <c r="K1260" s="7">
        <f>H1260*Summary!$B$5</f>
        <v/>
      </c>
    </row>
    <row r="1261">
      <c r="A1261" s="8" t="n">
        <v>46079</v>
      </c>
      <c r="B1261" t="inlineStr">
        <is>
          <t>FY25-26</t>
        </is>
      </c>
      <c r="C1261" t="inlineStr">
        <is>
          <t>n/a</t>
        </is>
      </c>
      <c r="D1261" t="inlineStr"/>
      <c r="E1261" t="n">
        <v>0</v>
      </c>
      <c r="F1261" t="n">
        <v>8.18</v>
      </c>
      <c r="G1261" t="n">
        <v>9761.01</v>
      </c>
      <c r="H1261" t="n">
        <v>-54.34</v>
      </c>
      <c r="I1261" s="7">
        <f>F1261*Summary!$B$5</f>
        <v/>
      </c>
      <c r="J1261" s="7">
        <f>G1261*Summary!$B$5</f>
        <v/>
      </c>
      <c r="K1261" s="7">
        <f>H1261*Summary!$B$5</f>
        <v/>
      </c>
    </row>
    <row r="1262">
      <c r="A1262" s="8" t="n">
        <v>46080</v>
      </c>
      <c r="B1262" t="inlineStr">
        <is>
          <t>FY25-26</t>
        </is>
      </c>
      <c r="C1262" t="inlineStr"/>
      <c r="D1262" t="inlineStr"/>
      <c r="E1262" t="n">
        <v>0</v>
      </c>
      <c r="F1262" t="n">
        <v>0</v>
      </c>
      <c r="G1262" t="n">
        <v>9761.01</v>
      </c>
      <c r="H1262" t="n">
        <v>-54.34</v>
      </c>
      <c r="I1262" s="7">
        <f>F1262*Summary!$B$5</f>
        <v/>
      </c>
      <c r="J1262" s="7">
        <f>G1262*Summary!$B$5</f>
        <v/>
      </c>
      <c r="K1262" s="7">
        <f>H1262*Summary!$B$5</f>
        <v/>
      </c>
    </row>
    <row r="1263">
      <c r="A1263" s="8" t="n">
        <v>46083</v>
      </c>
      <c r="B1263" t="inlineStr">
        <is>
          <t>FY25-26</t>
        </is>
      </c>
      <c r="C1263" t="inlineStr">
        <is>
          <t>CW</t>
        </is>
      </c>
      <c r="D1263" t="inlineStr">
        <is>
          <t>09:18</t>
        </is>
      </c>
      <c r="E1263" t="n">
        <v>1</v>
      </c>
      <c r="F1263" t="n">
        <v>25.85</v>
      </c>
      <c r="G1263" t="n">
        <v>9786.85</v>
      </c>
      <c r="H1263" t="n">
        <v>-28.5</v>
      </c>
      <c r="I1263" s="7">
        <f>F1263*Summary!$B$5</f>
        <v/>
      </c>
      <c r="J1263" s="7">
        <f>G1263*Summary!$B$5</f>
        <v/>
      </c>
      <c r="K1263" s="7">
        <f>H1263*Summary!$B$5</f>
        <v/>
      </c>
    </row>
    <row r="1264">
      <c r="A1264" s="8" t="n">
        <v>46085</v>
      </c>
      <c r="B1264" t="inlineStr">
        <is>
          <t>FY25-26</t>
        </is>
      </c>
      <c r="C1264" t="inlineStr"/>
      <c r="D1264" t="inlineStr"/>
      <c r="E1264" t="n">
        <v>0</v>
      </c>
      <c r="F1264" t="n">
        <v>0</v>
      </c>
      <c r="G1264" t="n">
        <v>9786.85</v>
      </c>
      <c r="H1264" t="n">
        <v>-28.5</v>
      </c>
      <c r="I1264" s="7">
        <f>F1264*Summary!$B$5</f>
        <v/>
      </c>
      <c r="J1264" s="7">
        <f>G1264*Summary!$B$5</f>
        <v/>
      </c>
      <c r="K1264" s="7">
        <f>H1264*Summary!$B$5</f>
        <v/>
      </c>
    </row>
    <row r="1265">
      <c r="A1265" s="8" t="n">
        <v>46086</v>
      </c>
      <c r="B1265" t="inlineStr">
        <is>
          <t>FY25-26</t>
        </is>
      </c>
      <c r="C1265" t="inlineStr">
        <is>
          <t>n/a</t>
        </is>
      </c>
      <c r="D1265" t="inlineStr"/>
      <c r="E1265" t="n">
        <v>0</v>
      </c>
      <c r="F1265" t="n">
        <v>20.32</v>
      </c>
      <c r="G1265" t="n">
        <v>9807.18</v>
      </c>
      <c r="H1265" t="n">
        <v>-8.18</v>
      </c>
      <c r="I1265" s="7">
        <f>F1265*Summary!$B$5</f>
        <v/>
      </c>
      <c r="J1265" s="7">
        <f>G1265*Summary!$B$5</f>
        <v/>
      </c>
      <c r="K1265" s="7">
        <f>H1265*Summary!$B$5</f>
        <v/>
      </c>
    </row>
    <row r="1266">
      <c r="A1266" s="8" t="n">
        <v>46087</v>
      </c>
      <c r="B1266" t="inlineStr">
        <is>
          <t>FY25-26</t>
        </is>
      </c>
      <c r="C1266" t="inlineStr">
        <is>
          <t>CW</t>
        </is>
      </c>
      <c r="D1266" t="inlineStr">
        <is>
          <t>09:18</t>
        </is>
      </c>
      <c r="E1266" t="n">
        <v>4</v>
      </c>
      <c r="F1266" t="n">
        <v>-15.67</v>
      </c>
      <c r="G1266" t="n">
        <v>9791.51</v>
      </c>
      <c r="H1266" t="n">
        <v>-23.85</v>
      </c>
      <c r="I1266" s="7">
        <f>F1266*Summary!$B$5</f>
        <v/>
      </c>
      <c r="J1266" s="7">
        <f>G1266*Summary!$B$5</f>
        <v/>
      </c>
      <c r="K1266" s="7">
        <f>H1266*Summary!$B$5</f>
        <v/>
      </c>
    </row>
    <row r="1267">
      <c r="A1267" s="8" t="n">
        <v>46090</v>
      </c>
      <c r="B1267" t="inlineStr">
        <is>
          <t>FY25-26</t>
        </is>
      </c>
      <c r="C1267" t="inlineStr">
        <is>
          <t>CW</t>
        </is>
      </c>
      <c r="D1267" t="inlineStr">
        <is>
          <t>09:18</t>
        </is>
      </c>
      <c r="E1267" t="n">
        <v>2</v>
      </c>
      <c r="F1267" t="n">
        <v>23.4</v>
      </c>
      <c r="G1267" t="n">
        <v>9814.91</v>
      </c>
      <c r="H1267" t="n">
        <v>-0.44</v>
      </c>
      <c r="I1267" s="7">
        <f>F1267*Summary!$B$5</f>
        <v/>
      </c>
      <c r="J1267" s="7">
        <f>G1267*Summary!$B$5</f>
        <v/>
      </c>
      <c r="K1267" s="7">
        <f>H1267*Summary!$B$5</f>
        <v/>
      </c>
    </row>
    <row r="1268">
      <c r="A1268" s="8" t="n">
        <v>46091</v>
      </c>
      <c r="B1268" t="inlineStr">
        <is>
          <t>FY25-26</t>
        </is>
      </c>
      <c r="C1268" t="inlineStr"/>
      <c r="D1268" t="inlineStr"/>
      <c r="E1268" t="n">
        <v>0</v>
      </c>
      <c r="F1268" t="n">
        <v>0</v>
      </c>
      <c r="G1268" t="n">
        <v>9814.91</v>
      </c>
      <c r="H1268" t="n">
        <v>-0.44</v>
      </c>
      <c r="I1268" s="7">
        <f>F1268*Summary!$B$5</f>
        <v/>
      </c>
      <c r="J1268" s="7">
        <f>G1268*Summary!$B$5</f>
        <v/>
      </c>
      <c r="K1268" s="7">
        <f>H1268*Summary!$B$5</f>
        <v/>
      </c>
    </row>
    <row r="1269">
      <c r="A1269" s="8" t="n">
        <v>46092</v>
      </c>
      <c r="B1269" t="inlineStr">
        <is>
          <t>FY25-26</t>
        </is>
      </c>
      <c r="C1269" t="inlineStr"/>
      <c r="D1269" t="inlineStr"/>
      <c r="E1269" t="n">
        <v>0</v>
      </c>
      <c r="F1269" t="n">
        <v>0</v>
      </c>
      <c r="G1269" t="n">
        <v>9814.91</v>
      </c>
      <c r="H1269" t="n">
        <v>-0.44</v>
      </c>
      <c r="I1269" s="7">
        <f>F1269*Summary!$B$5</f>
        <v/>
      </c>
      <c r="J1269" s="7">
        <f>G1269*Summary!$B$5</f>
        <v/>
      </c>
      <c r="K1269" s="7">
        <f>H1269*Summary!$B$5</f>
        <v/>
      </c>
    </row>
    <row r="1270">
      <c r="A1270" s="8" t="n">
        <v>46093</v>
      </c>
      <c r="B1270" t="inlineStr">
        <is>
          <t>FY25-26</t>
        </is>
      </c>
      <c r="C1270" t="inlineStr">
        <is>
          <t>CW</t>
        </is>
      </c>
      <c r="D1270" t="inlineStr">
        <is>
          <t>09:18</t>
        </is>
      </c>
      <c r="E1270" t="n">
        <v>5</v>
      </c>
      <c r="F1270" t="n">
        <v>15.82</v>
      </c>
      <c r="G1270" t="n">
        <v>9830.73</v>
      </c>
      <c r="H1270" t="n">
        <v>0</v>
      </c>
      <c r="I1270" s="7">
        <f>F1270*Summary!$B$5</f>
        <v/>
      </c>
      <c r="J1270" s="7">
        <f>G1270*Summary!$B$5</f>
        <v/>
      </c>
      <c r="K1270" s="7">
        <f>H1270*Summary!$B$5</f>
        <v/>
      </c>
    </row>
    <row r="1271">
      <c r="A1271" s="8" t="n">
        <v>46094</v>
      </c>
      <c r="B1271" t="inlineStr">
        <is>
          <t>FY25-26</t>
        </is>
      </c>
      <c r="C1271" t="inlineStr">
        <is>
          <t>CW</t>
        </is>
      </c>
      <c r="D1271" t="inlineStr">
        <is>
          <t>09:18</t>
        </is>
      </c>
      <c r="E1271" t="n">
        <v>4</v>
      </c>
      <c r="F1271" t="n">
        <v>-13.22</v>
      </c>
      <c r="G1271" t="n">
        <v>9817.5</v>
      </c>
      <c r="H1271" t="n">
        <v>-13.22</v>
      </c>
      <c r="I1271" s="7">
        <f>F1271*Summary!$B$5</f>
        <v/>
      </c>
      <c r="J1271" s="7">
        <f>G1271*Summary!$B$5</f>
        <v/>
      </c>
      <c r="K1271" s="7">
        <f>H1271*Summary!$B$5</f>
        <v/>
      </c>
    </row>
    <row r="1272">
      <c r="A1272" s="8" t="n">
        <v>46097</v>
      </c>
      <c r="B1272" t="inlineStr">
        <is>
          <t>FY25-26</t>
        </is>
      </c>
      <c r="C1272" t="inlineStr">
        <is>
          <t>n/a</t>
        </is>
      </c>
      <c r="D1272" t="inlineStr"/>
      <c r="E1272" t="n">
        <v>0</v>
      </c>
      <c r="F1272" t="n">
        <v>-39.01</v>
      </c>
      <c r="G1272" t="n">
        <v>9778.5</v>
      </c>
      <c r="H1272" t="n">
        <v>-52.23</v>
      </c>
      <c r="I1272" s="7">
        <f>F1272*Summary!$B$5</f>
        <v/>
      </c>
      <c r="J1272" s="7">
        <f>G1272*Summary!$B$5</f>
        <v/>
      </c>
      <c r="K1272" s="7">
        <f>H1272*Summary!$B$5</f>
        <v/>
      </c>
    </row>
    <row r="1273">
      <c r="A1273" s="8" t="n">
        <v>46098</v>
      </c>
      <c r="B1273" t="inlineStr">
        <is>
          <t>FY25-26</t>
        </is>
      </c>
      <c r="C1273" t="inlineStr">
        <is>
          <t>n/a</t>
        </is>
      </c>
      <c r="D1273" t="inlineStr"/>
      <c r="E1273" t="n">
        <v>0</v>
      </c>
      <c r="F1273" t="n">
        <v>50.36</v>
      </c>
      <c r="G1273" t="n">
        <v>9828.860000000001</v>
      </c>
      <c r="H1273" t="n">
        <v>-1.87</v>
      </c>
      <c r="I1273" s="7">
        <f>F1273*Summary!$B$5</f>
        <v/>
      </c>
      <c r="J1273" s="7">
        <f>G1273*Summary!$B$5</f>
        <v/>
      </c>
      <c r="K1273" s="7">
        <f>H1273*Summary!$B$5</f>
        <v/>
      </c>
    </row>
    <row r="1274">
      <c r="A1274" s="8" t="n">
        <v>46099</v>
      </c>
      <c r="B1274" t="inlineStr">
        <is>
          <t>FY25-26</t>
        </is>
      </c>
      <c r="C1274" t="inlineStr">
        <is>
          <t>n/a</t>
        </is>
      </c>
      <c r="D1274" t="inlineStr"/>
      <c r="E1274" t="n">
        <v>0</v>
      </c>
      <c r="F1274" t="n">
        <v>-0.48</v>
      </c>
      <c r="G1274" t="n">
        <v>9828.379999999999</v>
      </c>
      <c r="H1274" t="n">
        <v>-2.35</v>
      </c>
      <c r="I1274" s="7">
        <f>F1274*Summary!$B$5</f>
        <v/>
      </c>
      <c r="J1274" s="7">
        <f>G1274*Summary!$B$5</f>
        <v/>
      </c>
      <c r="K1274" s="7">
        <f>H1274*Summary!$B$5</f>
        <v/>
      </c>
    </row>
    <row r="1275">
      <c r="A1275" s="8" t="n">
        <v>46100</v>
      </c>
      <c r="B1275" t="inlineStr">
        <is>
          <t>FY25-26</t>
        </is>
      </c>
      <c r="C1275" t="inlineStr">
        <is>
          <t>CW</t>
        </is>
      </c>
      <c r="D1275" t="inlineStr">
        <is>
          <t>09:18</t>
        </is>
      </c>
      <c r="E1275" t="n">
        <v>5</v>
      </c>
      <c r="F1275" t="n">
        <v>-12.42</v>
      </c>
      <c r="G1275" t="n">
        <v>9815.959999999999</v>
      </c>
      <c r="H1275" t="n">
        <v>-14.77</v>
      </c>
      <c r="I1275" s="7">
        <f>F1275*Summary!$B$5</f>
        <v/>
      </c>
      <c r="J1275" s="7">
        <f>G1275*Summary!$B$5</f>
        <v/>
      </c>
      <c r="K1275" s="7">
        <f>H1275*Summary!$B$5</f>
        <v/>
      </c>
    </row>
    <row r="1276">
      <c r="A1276" s="8" t="n">
        <v>46101</v>
      </c>
      <c r="B1276" t="inlineStr">
        <is>
          <t>FY25-26</t>
        </is>
      </c>
      <c r="C1276" t="inlineStr">
        <is>
          <t>n/a</t>
        </is>
      </c>
      <c r="D1276" t="inlineStr"/>
      <c r="E1276" t="n">
        <v>0</v>
      </c>
      <c r="F1276" t="n">
        <v>-38.3</v>
      </c>
      <c r="G1276" t="n">
        <v>9777.66</v>
      </c>
      <c r="H1276" t="n">
        <v>-53.06</v>
      </c>
      <c r="I1276" s="7">
        <f>F1276*Summary!$B$5</f>
        <v/>
      </c>
      <c r="J1276" s="7">
        <f>G1276*Summary!$B$5</f>
        <v/>
      </c>
      <c r="K1276" s="7">
        <f>H1276*Summary!$B$5</f>
        <v/>
      </c>
    </row>
    <row r="1277">
      <c r="A1277" s="8" t="n">
        <v>46104</v>
      </c>
      <c r="B1277" t="inlineStr">
        <is>
          <t>FY25-26</t>
        </is>
      </c>
      <c r="C1277" t="inlineStr">
        <is>
          <t>CW</t>
        </is>
      </c>
      <c r="D1277" t="inlineStr">
        <is>
          <t>09:18</t>
        </is>
      </c>
      <c r="E1277" t="n">
        <v>2</v>
      </c>
      <c r="F1277" t="n">
        <v>-31.9</v>
      </c>
      <c r="G1277" t="n">
        <v>9745.77</v>
      </c>
      <c r="H1277" t="n">
        <v>-84.95999999999999</v>
      </c>
      <c r="I1277" s="7">
        <f>F1277*Summary!$B$5</f>
        <v/>
      </c>
      <c r="J1277" s="7">
        <f>G1277*Summary!$B$5</f>
        <v/>
      </c>
      <c r="K1277" s="7">
        <f>H1277*Summary!$B$5</f>
        <v/>
      </c>
    </row>
    <row r="1278">
      <c r="A1278" s="8" t="n">
        <v>46105</v>
      </c>
      <c r="B1278" t="inlineStr">
        <is>
          <t>FY25-26</t>
        </is>
      </c>
      <c r="C1278" t="inlineStr">
        <is>
          <t>NW</t>
        </is>
      </c>
      <c r="D1278" t="inlineStr"/>
      <c r="E1278" t="n">
        <v>0</v>
      </c>
      <c r="F1278" t="n">
        <v>41.06</v>
      </c>
      <c r="G1278" t="n">
        <v>9786.83</v>
      </c>
      <c r="H1278" t="n">
        <v>-43.9</v>
      </c>
      <c r="I1278" s="7">
        <f>F1278*Summary!$B$5</f>
        <v/>
      </c>
      <c r="J1278" s="7">
        <f>G1278*Summary!$B$5</f>
        <v/>
      </c>
      <c r="K1278" s="7">
        <f>H1278*Summary!$B$5</f>
        <v/>
      </c>
    </row>
    <row r="1279">
      <c r="A1279" s="8" t="n">
        <v>46106</v>
      </c>
      <c r="B1279" t="inlineStr">
        <is>
          <t>FY25-26</t>
        </is>
      </c>
      <c r="C1279" t="inlineStr"/>
      <c r="D1279" t="inlineStr"/>
      <c r="E1279" t="n">
        <v>0</v>
      </c>
      <c r="F1279" t="n">
        <v>0</v>
      </c>
      <c r="G1279" t="n">
        <v>9786.83</v>
      </c>
      <c r="H1279" t="n">
        <v>-43.9</v>
      </c>
      <c r="I1279" s="7">
        <f>F1279*Summary!$B$5</f>
        <v/>
      </c>
      <c r="J1279" s="7">
        <f>G1279*Summary!$B$5</f>
        <v/>
      </c>
      <c r="K1279" s="7">
        <f>H1279*Summary!$B$5</f>
        <v/>
      </c>
    </row>
    <row r="1280">
      <c r="A1280" s="8" t="n">
        <v>46108</v>
      </c>
      <c r="B1280" t="inlineStr">
        <is>
          <t>FY25-26</t>
        </is>
      </c>
      <c r="C1280" t="inlineStr">
        <is>
          <t>CW</t>
        </is>
      </c>
      <c r="D1280" t="inlineStr">
        <is>
          <t>09:16</t>
        </is>
      </c>
      <c r="E1280" t="n">
        <v>3</v>
      </c>
      <c r="F1280" t="n">
        <v>77.48999999999999</v>
      </c>
      <c r="G1280" t="n">
        <v>9864.309999999999</v>
      </c>
      <c r="H1280" t="n">
        <v>0</v>
      </c>
      <c r="I1280" s="7">
        <f>F1280*Summary!$B$5</f>
        <v/>
      </c>
      <c r="J1280" s="7">
        <f>G1280*Summary!$B$5</f>
        <v/>
      </c>
      <c r="K1280" s="7">
        <f>H1280*Summary!$B$5</f>
        <v/>
      </c>
    </row>
    <row r="1281">
      <c r="A1281" s="8" t="n">
        <v>46113</v>
      </c>
      <c r="B1281" t="inlineStr">
        <is>
          <t>FY26-27</t>
        </is>
      </c>
      <c r="C1281" t="inlineStr"/>
      <c r="D1281" t="inlineStr"/>
      <c r="E1281" t="n">
        <v>0</v>
      </c>
      <c r="F1281" t="n">
        <v>0</v>
      </c>
      <c r="G1281" t="n">
        <v>9864.309999999999</v>
      </c>
      <c r="H1281" t="n">
        <v>0</v>
      </c>
      <c r="I1281" s="7">
        <f>F1281*Summary!$B$5</f>
        <v/>
      </c>
      <c r="J1281" s="7">
        <f>G1281*Summary!$B$5</f>
        <v/>
      </c>
      <c r="K1281" s="7">
        <f>H1281*Summary!$B$5</f>
        <v/>
      </c>
    </row>
    <row r="1282">
      <c r="A1282" s="8" t="n">
        <v>46114</v>
      </c>
      <c r="B1282" t="inlineStr">
        <is>
          <t>FY26-27</t>
        </is>
      </c>
      <c r="C1282" t="inlineStr"/>
      <c r="D1282" t="inlineStr"/>
      <c r="E1282" t="n">
        <v>0</v>
      </c>
      <c r="F1282" t="n">
        <v>0</v>
      </c>
      <c r="G1282" t="n">
        <v>9864.309999999999</v>
      </c>
      <c r="H1282" t="n">
        <v>0</v>
      </c>
      <c r="I1282" s="7">
        <f>F1282*Summary!$B$5</f>
        <v/>
      </c>
      <c r="J1282" s="7">
        <f>G1282*Summary!$B$5</f>
        <v/>
      </c>
      <c r="K1282" s="7">
        <f>H1282*Summary!$B$5</f>
        <v/>
      </c>
    </row>
    <row r="1283">
      <c r="A1283" s="8" t="n">
        <v>46118</v>
      </c>
      <c r="B1283" t="inlineStr">
        <is>
          <t>FY26-27</t>
        </is>
      </c>
      <c r="C1283" t="inlineStr">
        <is>
          <t>CW</t>
        </is>
      </c>
      <c r="D1283" t="inlineStr">
        <is>
          <t>09:17</t>
        </is>
      </c>
      <c r="E1283" t="n">
        <v>2</v>
      </c>
      <c r="F1283" t="n">
        <v>15</v>
      </c>
      <c r="G1283" t="n">
        <v>9879.32</v>
      </c>
      <c r="H1283" t="n">
        <v>0</v>
      </c>
      <c r="I1283" s="7">
        <f>F1283*Summary!$B$5</f>
        <v/>
      </c>
      <c r="J1283" s="7">
        <f>G1283*Summary!$B$5</f>
        <v/>
      </c>
      <c r="K1283" s="7">
        <f>H1283*Summary!$B$5</f>
        <v/>
      </c>
    </row>
    <row r="1284">
      <c r="A1284" s="8" t="n">
        <v>46119</v>
      </c>
      <c r="B1284" t="inlineStr">
        <is>
          <t>FY26-27</t>
        </is>
      </c>
      <c r="C1284" t="inlineStr">
        <is>
          <t>CW</t>
        </is>
      </c>
      <c r="D1284" t="inlineStr">
        <is>
          <t>09:27</t>
        </is>
      </c>
      <c r="E1284" t="n">
        <v>1</v>
      </c>
      <c r="F1284" t="n">
        <v>79.14</v>
      </c>
      <c r="G1284" t="n">
        <v>9958.459999999999</v>
      </c>
      <c r="H1284" t="n">
        <v>0</v>
      </c>
      <c r="I1284" s="7">
        <f>F1284*Summary!$B$5</f>
        <v/>
      </c>
      <c r="J1284" s="7">
        <f>G1284*Summary!$B$5</f>
        <v/>
      </c>
      <c r="K1284" s="7">
        <f>H1284*Summary!$B$5</f>
        <v/>
      </c>
    </row>
    <row r="1285">
      <c r="A1285" s="8" t="n">
        <v>46120</v>
      </c>
      <c r="B1285" t="inlineStr">
        <is>
          <t>FY26-27</t>
        </is>
      </c>
      <c r="C1285" t="inlineStr"/>
      <c r="D1285" t="inlineStr"/>
      <c r="E1285" t="n">
        <v>0</v>
      </c>
      <c r="F1285" t="n">
        <v>0</v>
      </c>
      <c r="G1285" t="n">
        <v>9958.459999999999</v>
      </c>
      <c r="H1285" t="n">
        <v>0</v>
      </c>
      <c r="I1285" s="7">
        <f>F1285*Summary!$B$5</f>
        <v/>
      </c>
      <c r="J1285" s="7">
        <f>G1285*Summary!$B$5</f>
        <v/>
      </c>
      <c r="K1285" s="7">
        <f>H1285*Summary!$B$5</f>
        <v/>
      </c>
    </row>
    <row r="1286">
      <c r="A1286" s="8" t="n">
        <v>46121</v>
      </c>
      <c r="B1286" t="inlineStr">
        <is>
          <t>FY26-27</t>
        </is>
      </c>
      <c r="C1286" t="inlineStr">
        <is>
          <t>n/a</t>
        </is>
      </c>
      <c r="D1286" t="inlineStr"/>
      <c r="E1286" t="n">
        <v>0</v>
      </c>
      <c r="F1286" t="n">
        <v>-41.65</v>
      </c>
      <c r="G1286" t="n">
        <v>9916.809999999999</v>
      </c>
      <c r="H1286" t="n">
        <v>-41.65</v>
      </c>
      <c r="I1286" s="7">
        <f>F1286*Summary!$B$5</f>
        <v/>
      </c>
      <c r="J1286" s="7">
        <f>G1286*Summary!$B$5</f>
        <v/>
      </c>
      <c r="K1286" s="7">
        <f>H1286*Summary!$B$5</f>
        <v/>
      </c>
    </row>
    <row r="1287">
      <c r="A1287" s="8" t="n">
        <v>46122</v>
      </c>
      <c r="B1287" t="inlineStr">
        <is>
          <t>FY26-27</t>
        </is>
      </c>
      <c r="C1287" t="inlineStr">
        <is>
          <t>CW</t>
        </is>
      </c>
      <c r="D1287" t="inlineStr">
        <is>
          <t>09:18</t>
        </is>
      </c>
      <c r="E1287" t="n">
        <v>3</v>
      </c>
      <c r="F1287" t="n">
        <v>10.92</v>
      </c>
      <c r="G1287" t="n">
        <v>9927.73</v>
      </c>
      <c r="H1287" t="n">
        <v>-30.73</v>
      </c>
      <c r="I1287" s="7">
        <f>F1287*Summary!$B$5</f>
        <v/>
      </c>
      <c r="J1287" s="7">
        <f>G1287*Summary!$B$5</f>
        <v/>
      </c>
      <c r="K1287" s="7">
        <f>H1287*Summary!$B$5</f>
        <v/>
      </c>
    </row>
    <row r="1288">
      <c r="A1288" s="8" t="n">
        <v>46125</v>
      </c>
      <c r="B1288" t="inlineStr">
        <is>
          <t>FY26-27</t>
        </is>
      </c>
      <c r="C1288" t="inlineStr">
        <is>
          <t>CW</t>
        </is>
      </c>
      <c r="D1288" t="inlineStr">
        <is>
          <t>09:17</t>
        </is>
      </c>
      <c r="E1288" t="n">
        <v>1</v>
      </c>
      <c r="F1288" t="n">
        <v>65.84999999999999</v>
      </c>
      <c r="G1288" t="n">
        <v>9993.58</v>
      </c>
      <c r="H1288" t="n">
        <v>0</v>
      </c>
      <c r="I1288" s="7">
        <f>F1288*Summary!$B$5</f>
        <v/>
      </c>
      <c r="J1288" s="7">
        <f>G1288*Summary!$B$5</f>
        <v/>
      </c>
      <c r="K1288" s="7">
        <f>H1288*Summary!$B$5</f>
        <v/>
      </c>
    </row>
    <row r="1289">
      <c r="A1289" s="8" t="n">
        <v>46127</v>
      </c>
      <c r="B1289" t="inlineStr">
        <is>
          <t>FY26-27</t>
        </is>
      </c>
      <c r="C1289" t="inlineStr"/>
      <c r="D1289" t="inlineStr"/>
      <c r="E1289" t="n">
        <v>0</v>
      </c>
      <c r="F1289" t="n">
        <v>0</v>
      </c>
      <c r="G1289" t="n">
        <v>9993.58</v>
      </c>
      <c r="H1289" t="n">
        <v>0</v>
      </c>
      <c r="I1289" s="7">
        <f>F1289*Summary!$B$5</f>
        <v/>
      </c>
      <c r="J1289" s="7">
        <f>G1289*Summary!$B$5</f>
        <v/>
      </c>
      <c r="K1289" s="7">
        <f>H1289*Summary!$B$5</f>
        <v/>
      </c>
    </row>
    <row r="1290">
      <c r="A1290" s="8" t="n">
        <v>46128</v>
      </c>
      <c r="B1290" t="inlineStr">
        <is>
          <t>FY26-27</t>
        </is>
      </c>
      <c r="C1290" t="inlineStr">
        <is>
          <t>n/a</t>
        </is>
      </c>
      <c r="D1290" t="inlineStr"/>
      <c r="E1290" t="n">
        <v>0</v>
      </c>
      <c r="F1290" t="n">
        <v>-20.63</v>
      </c>
      <c r="G1290" t="n">
        <v>9972.950000000001</v>
      </c>
      <c r="H1290" t="n">
        <v>-20.63</v>
      </c>
      <c r="I1290" s="7">
        <f>F1290*Summary!$B$5</f>
        <v/>
      </c>
      <c r="J1290" s="7">
        <f>G1290*Summary!$B$5</f>
        <v/>
      </c>
      <c r="K1290" s="7">
        <f>H1290*Summary!$B$5</f>
        <v/>
      </c>
    </row>
    <row r="1291">
      <c r="A1291" s="8" t="n">
        <v>46129</v>
      </c>
      <c r="B1291" t="inlineStr">
        <is>
          <t>FY26-27</t>
        </is>
      </c>
      <c r="C1291" t="inlineStr">
        <is>
          <t>CW</t>
        </is>
      </c>
      <c r="D1291" t="inlineStr">
        <is>
          <t>09:17</t>
        </is>
      </c>
      <c r="E1291" t="n">
        <v>4</v>
      </c>
      <c r="F1291" t="n">
        <v>3.68</v>
      </c>
      <c r="G1291" t="n">
        <v>9976.639999999999</v>
      </c>
      <c r="H1291" t="n">
        <v>-16.95</v>
      </c>
      <c r="I1291" s="7">
        <f>F1291*Summary!$B$5</f>
        <v/>
      </c>
      <c r="J1291" s="7">
        <f>G1291*Summary!$B$5</f>
        <v/>
      </c>
      <c r="K1291" s="7">
        <f>H1291*Summary!$B$5</f>
        <v/>
      </c>
    </row>
    <row r="1292">
      <c r="A1292" s="8" t="n">
        <v>46132</v>
      </c>
      <c r="B1292" t="inlineStr">
        <is>
          <t>FY26-27</t>
        </is>
      </c>
      <c r="C1292" t="inlineStr">
        <is>
          <t>CW</t>
        </is>
      </c>
      <c r="D1292" t="inlineStr">
        <is>
          <t>09:17</t>
        </is>
      </c>
      <c r="E1292" t="n">
        <v>2</v>
      </c>
      <c r="F1292" t="n">
        <v>-40.03</v>
      </c>
      <c r="G1292" t="n">
        <v>9936.610000000001</v>
      </c>
      <c r="H1292" t="n">
        <v>-56.98</v>
      </c>
      <c r="I1292" s="7">
        <f>F1292*Summary!$B$5</f>
        <v/>
      </c>
      <c r="J1292" s="7">
        <f>G1292*Summary!$B$5</f>
        <v/>
      </c>
      <c r="K1292" s="7">
        <f>H1292*Summary!$B$5</f>
        <v/>
      </c>
    </row>
    <row r="1293">
      <c r="A1293" s="8" t="n">
        <v>46133</v>
      </c>
      <c r="B1293" t="inlineStr">
        <is>
          <t>FY26-27</t>
        </is>
      </c>
      <c r="C1293" t="inlineStr">
        <is>
          <t>NW</t>
        </is>
      </c>
      <c r="D1293" t="inlineStr"/>
      <c r="E1293" t="n">
        <v>0</v>
      </c>
      <c r="F1293" t="n">
        <v>19.97</v>
      </c>
      <c r="G1293" t="n">
        <v>9956.58</v>
      </c>
      <c r="H1293" t="n">
        <v>-37.01</v>
      </c>
      <c r="I1293" s="7">
        <f>F1293*Summary!$B$5</f>
        <v/>
      </c>
      <c r="J1293" s="7">
        <f>G1293*Summary!$B$5</f>
        <v/>
      </c>
      <c r="K1293" s="7">
        <f>H1293*Summary!$B$5</f>
        <v/>
      </c>
    </row>
    <row r="1294">
      <c r="A1294" s="8" t="n">
        <v>46134</v>
      </c>
      <c r="B1294" t="inlineStr">
        <is>
          <t>FY26-27</t>
        </is>
      </c>
      <c r="C1294" t="inlineStr">
        <is>
          <t>CW</t>
        </is>
      </c>
      <c r="D1294" t="inlineStr">
        <is>
          <t>09:17</t>
        </is>
      </c>
      <c r="E1294" t="n">
        <v>6</v>
      </c>
      <c r="F1294" t="n">
        <v>10.36</v>
      </c>
      <c r="G1294" t="n">
        <v>9966.93</v>
      </c>
      <c r="H1294" t="n">
        <v>-26.65</v>
      </c>
      <c r="I1294" s="7">
        <f>F1294*Summary!$B$5</f>
        <v/>
      </c>
      <c r="J1294" s="7">
        <f>G1294*Summary!$B$5</f>
        <v/>
      </c>
      <c r="K1294" s="7">
        <f>H1294*Summary!$B$5</f>
        <v/>
      </c>
    </row>
    <row r="1295">
      <c r="A1295" s="8" t="n">
        <v>46135</v>
      </c>
      <c r="B1295" t="inlineStr">
        <is>
          <t>FY26-27</t>
        </is>
      </c>
      <c r="C1295" t="inlineStr">
        <is>
          <t>CW</t>
        </is>
      </c>
      <c r="D1295" t="inlineStr">
        <is>
          <t>09:18</t>
        </is>
      </c>
      <c r="E1295" t="n">
        <v>5</v>
      </c>
      <c r="F1295" t="n">
        <v>35.62</v>
      </c>
      <c r="G1295" t="n">
        <v>10002.55</v>
      </c>
      <c r="H1295" t="n">
        <v>0</v>
      </c>
      <c r="I1295" s="7">
        <f>F1295*Summary!$B$5</f>
        <v/>
      </c>
      <c r="J1295" s="7">
        <f>G1295*Summary!$B$5</f>
        <v/>
      </c>
      <c r="K1295" s="7">
        <f>H1295*Summary!$B$5</f>
        <v/>
      </c>
    </row>
    <row r="1296">
      <c r="A1296" s="8" t="n">
        <v>46136</v>
      </c>
      <c r="B1296" t="inlineStr">
        <is>
          <t>FY26-27</t>
        </is>
      </c>
      <c r="C1296" t="inlineStr">
        <is>
          <t>n/a</t>
        </is>
      </c>
      <c r="D1296" t="inlineStr"/>
      <c r="E1296" t="n">
        <v>0</v>
      </c>
      <c r="F1296" t="n">
        <v>-18.32</v>
      </c>
      <c r="G1296" t="n">
        <v>9984.23</v>
      </c>
      <c r="H1296" t="n">
        <v>-18.32</v>
      </c>
      <c r="I1296" s="7">
        <f>F1296*Summary!$B$5</f>
        <v/>
      </c>
      <c r="J1296" s="7">
        <f>G1296*Summary!$B$5</f>
        <v/>
      </c>
      <c r="K1296" s="7">
        <f>H1296*Summary!$B$5</f>
        <v/>
      </c>
    </row>
    <row r="1297">
      <c r="A1297" s="8" t="n">
        <v>46139</v>
      </c>
      <c r="B1297" t="inlineStr">
        <is>
          <t>FY26-27</t>
        </is>
      </c>
      <c r="C1297" t="inlineStr"/>
      <c r="D1297" t="inlineStr"/>
      <c r="E1297" t="n">
        <v>0</v>
      </c>
      <c r="F1297" t="n">
        <v>0</v>
      </c>
      <c r="G1297" t="n">
        <v>9984.23</v>
      </c>
      <c r="H1297" t="n">
        <v>-18.32</v>
      </c>
      <c r="I1297" s="7">
        <f>F1297*Summary!$B$5</f>
        <v/>
      </c>
      <c r="J1297" s="7">
        <f>G1297*Summary!$B$5</f>
        <v/>
      </c>
      <c r="K1297" s="7">
        <f>H1297*Summary!$B$5</f>
        <v/>
      </c>
    </row>
    <row r="1298">
      <c r="A1298" s="8" t="n">
        <v>46140</v>
      </c>
      <c r="B1298" t="inlineStr">
        <is>
          <t>FY26-27</t>
        </is>
      </c>
      <c r="C1298" t="inlineStr">
        <is>
          <t>NW</t>
        </is>
      </c>
      <c r="D1298" t="inlineStr"/>
      <c r="E1298" t="n">
        <v>0</v>
      </c>
      <c r="F1298" t="n">
        <v>22.14</v>
      </c>
      <c r="G1298" t="n">
        <v>10006.37</v>
      </c>
      <c r="H1298" t="n">
        <v>0</v>
      </c>
      <c r="I1298" s="7">
        <f>F1298*Summary!$B$5</f>
        <v/>
      </c>
      <c r="J1298" s="7">
        <f>G1298*Summary!$B$5</f>
        <v/>
      </c>
      <c r="K1298" s="7">
        <f>H1298*Summary!$B$5</f>
        <v/>
      </c>
    </row>
    <row r="1299">
      <c r="A1299" s="8" t="n">
        <v>46141</v>
      </c>
      <c r="B1299" t="inlineStr">
        <is>
          <t>FY26-27</t>
        </is>
      </c>
      <c r="C1299" t="inlineStr"/>
      <c r="D1299" t="inlineStr"/>
      <c r="E1299" t="n">
        <v>0</v>
      </c>
      <c r="F1299" t="n">
        <v>0</v>
      </c>
      <c r="G1299" t="n">
        <v>10006.37</v>
      </c>
      <c r="H1299" t="n">
        <v>0</v>
      </c>
      <c r="I1299" s="7">
        <f>F1299*Summary!$B$5</f>
        <v/>
      </c>
      <c r="J1299" s="7">
        <f>G1299*Summary!$B$5</f>
        <v/>
      </c>
      <c r="K1299" s="7">
        <f>H1299*Summary!$B$5</f>
        <v/>
      </c>
    </row>
    <row r="1300">
      <c r="A1300" s="8" t="n">
        <v>46142</v>
      </c>
      <c r="B1300" t="inlineStr">
        <is>
          <t>FY26-27</t>
        </is>
      </c>
      <c r="C1300" t="inlineStr"/>
      <c r="D1300" t="inlineStr"/>
      <c r="E1300" t="n">
        <v>0</v>
      </c>
      <c r="F1300" t="n">
        <v>0</v>
      </c>
      <c r="G1300" t="n">
        <v>10006.37</v>
      </c>
      <c r="H1300" t="n">
        <v>0</v>
      </c>
      <c r="I1300" s="7">
        <f>F1300*Summary!$B$5</f>
        <v/>
      </c>
      <c r="J1300" s="7">
        <f>G1300*Summary!$B$5</f>
        <v/>
      </c>
      <c r="K1300" s="7">
        <f>H1300*Summary!$B$5</f>
        <v/>
      </c>
    </row>
    <row r="1301">
      <c r="A1301" s="8" t="n">
        <v>46146</v>
      </c>
      <c r="B1301" t="inlineStr">
        <is>
          <t>FY26-27</t>
        </is>
      </c>
      <c r="C1301" t="inlineStr"/>
      <c r="D1301" t="inlineStr"/>
      <c r="E1301" t="n">
        <v>0</v>
      </c>
      <c r="F1301" t="n">
        <v>0</v>
      </c>
      <c r="G1301" t="n">
        <v>10006.37</v>
      </c>
      <c r="H1301" t="n">
        <v>0</v>
      </c>
      <c r="I1301" s="7">
        <f>F1301*Summary!$B$5</f>
        <v/>
      </c>
      <c r="J1301" s="7">
        <f>G1301*Summary!$B$5</f>
        <v/>
      </c>
      <c r="K1301" s="7">
        <f>H1301*Summary!$B$5</f>
        <v/>
      </c>
    </row>
    <row r="1302">
      <c r="A1302" s="8" t="n">
        <v>46147</v>
      </c>
      <c r="B1302" t="inlineStr">
        <is>
          <t>FY26-27</t>
        </is>
      </c>
      <c r="C1302" t="inlineStr">
        <is>
          <t>CW</t>
        </is>
      </c>
      <c r="D1302" t="inlineStr">
        <is>
          <t>09:18</t>
        </is>
      </c>
      <c r="E1302" t="n">
        <v>1</v>
      </c>
      <c r="F1302" t="n">
        <v>28.95</v>
      </c>
      <c r="G1302" t="n">
        <v>10035.32</v>
      </c>
      <c r="H1302" t="n">
        <v>0</v>
      </c>
      <c r="I1302" s="7">
        <f>F1302*Summary!$B$5</f>
        <v/>
      </c>
      <c r="J1302" s="7">
        <f>G1302*Summary!$B$5</f>
        <v/>
      </c>
      <c r="K1302" s="7">
        <f>H1302*Summary!$B$5</f>
        <v/>
      </c>
    </row>
    <row r="1303">
      <c r="A1303" s="8" t="n">
        <v>46148</v>
      </c>
      <c r="B1303" t="inlineStr">
        <is>
          <t>FY26-27</t>
        </is>
      </c>
      <c r="C1303" t="inlineStr"/>
      <c r="D1303" t="inlineStr"/>
      <c r="E1303" t="n">
        <v>0</v>
      </c>
      <c r="F1303" t="n">
        <v>0</v>
      </c>
      <c r="G1303" t="n">
        <v>10035.32</v>
      </c>
      <c r="H1303" t="n">
        <v>0</v>
      </c>
      <c r="I1303" s="7">
        <f>F1303*Summary!$B$5</f>
        <v/>
      </c>
      <c r="J1303" s="7">
        <f>G1303*Summary!$B$5</f>
        <v/>
      </c>
      <c r="K1303" s="7">
        <f>H1303*Summary!$B$5</f>
        <v/>
      </c>
    </row>
    <row r="1304">
      <c r="A1304" s="8" t="n">
        <v>46149</v>
      </c>
      <c r="B1304" t="inlineStr">
        <is>
          <t>FY26-27</t>
        </is>
      </c>
      <c r="C1304" t="inlineStr">
        <is>
          <t>n/a</t>
        </is>
      </c>
      <c r="D1304" t="inlineStr"/>
      <c r="E1304" t="n">
        <v>0</v>
      </c>
      <c r="F1304" t="n">
        <v>-0.52</v>
      </c>
      <c r="G1304" t="n">
        <v>10034.8</v>
      </c>
      <c r="H1304" t="n">
        <v>-0.52</v>
      </c>
      <c r="I1304" s="7">
        <f>F1304*Summary!$B$5</f>
        <v/>
      </c>
      <c r="J1304" s="7">
        <f>G1304*Summary!$B$5</f>
        <v/>
      </c>
      <c r="K1304" s="7">
        <f>H1304*Summary!$B$5</f>
        <v/>
      </c>
    </row>
    <row r="1305">
      <c r="A1305" s="8" t="n">
        <v>46150</v>
      </c>
      <c r="B1305" t="inlineStr">
        <is>
          <t>FY26-27</t>
        </is>
      </c>
      <c r="C1305" t="inlineStr">
        <is>
          <t>CW</t>
        </is>
      </c>
      <c r="D1305" t="inlineStr">
        <is>
          <t>09:18</t>
        </is>
      </c>
      <c r="E1305" t="n">
        <v>4</v>
      </c>
      <c r="F1305" t="n">
        <v>26.11</v>
      </c>
      <c r="G1305" t="n">
        <v>10060.9</v>
      </c>
      <c r="H1305" t="n">
        <v>0</v>
      </c>
      <c r="I1305" s="7">
        <f>F1305*Summary!$B$5</f>
        <v/>
      </c>
      <c r="J1305" s="7">
        <f>G1305*Summary!$B$5</f>
        <v/>
      </c>
      <c r="K1305" s="7">
        <f>H1305*Summary!$B$5</f>
        <v/>
      </c>
    </row>
    <row r="1306">
      <c r="A1306" s="8" t="n">
        <v>46153</v>
      </c>
      <c r="B1306" t="inlineStr">
        <is>
          <t>FY26-27</t>
        </is>
      </c>
      <c r="C1306" t="inlineStr">
        <is>
          <t>CW</t>
        </is>
      </c>
      <c r="D1306" t="inlineStr">
        <is>
          <t>09:18</t>
        </is>
      </c>
      <c r="E1306" t="n">
        <v>2</v>
      </c>
      <c r="F1306" t="n">
        <v>35.2</v>
      </c>
      <c r="G1306" t="n">
        <v>10096.1</v>
      </c>
      <c r="H1306" t="n">
        <v>0</v>
      </c>
      <c r="I1306" s="7">
        <f>F1306*Summary!$B$5</f>
        <v/>
      </c>
      <c r="J1306" s="7">
        <f>G1306*Summary!$B$5</f>
        <v/>
      </c>
      <c r="K1306" s="7">
        <f>H1306*Summary!$B$5</f>
        <v/>
      </c>
    </row>
    <row r="1307">
      <c r="A1307" s="8" t="n">
        <v>46154</v>
      </c>
      <c r="B1307" t="inlineStr">
        <is>
          <t>FY26-27</t>
        </is>
      </c>
      <c r="C1307" t="inlineStr">
        <is>
          <t>CW</t>
        </is>
      </c>
      <c r="D1307" t="inlineStr">
        <is>
          <t>09:18</t>
        </is>
      </c>
      <c r="E1307" t="n">
        <v>1</v>
      </c>
      <c r="F1307" t="n">
        <v>6.91</v>
      </c>
      <c r="G1307" t="n">
        <v>10103.01</v>
      </c>
      <c r="H1307" t="n">
        <v>0</v>
      </c>
      <c r="I1307" s="7">
        <f>F1307*Summary!$B$5</f>
        <v/>
      </c>
      <c r="J1307" s="7">
        <f>G1307*Summary!$B$5</f>
        <v/>
      </c>
      <c r="K1307" s="7">
        <f>H1307*Summary!$B$5</f>
        <v/>
      </c>
    </row>
    <row r="1308">
      <c r="A1308" s="8" t="n">
        <v>46155</v>
      </c>
      <c r="B1308" t="inlineStr">
        <is>
          <t>FY26-27</t>
        </is>
      </c>
      <c r="C1308" t="inlineStr">
        <is>
          <t>CW</t>
        </is>
      </c>
      <c r="D1308" t="inlineStr">
        <is>
          <t>09:18</t>
        </is>
      </c>
      <c r="E1308" t="n">
        <v>6</v>
      </c>
      <c r="F1308" t="n">
        <v>-35.12</v>
      </c>
      <c r="G1308" t="n">
        <v>10067.89</v>
      </c>
      <c r="H1308" t="n">
        <v>-35.12</v>
      </c>
      <c r="I1308" s="7">
        <f>F1308*Summary!$B$5</f>
        <v/>
      </c>
      <c r="J1308" s="7">
        <f>G1308*Summary!$B$5</f>
        <v/>
      </c>
      <c r="K1308" s="7">
        <f>H1308*Summary!$B$5</f>
        <v/>
      </c>
    </row>
    <row r="1309">
      <c r="A1309" s="8" t="n">
        <v>46156</v>
      </c>
      <c r="B1309" t="inlineStr">
        <is>
          <t>FY26-27</t>
        </is>
      </c>
      <c r="C1309" t="inlineStr">
        <is>
          <t>n/a</t>
        </is>
      </c>
      <c r="D1309" t="inlineStr"/>
      <c r="E1309" t="n">
        <v>0</v>
      </c>
      <c r="F1309" t="n">
        <v>-6.24</v>
      </c>
      <c r="G1309" t="n">
        <v>10061.66</v>
      </c>
      <c r="H1309" t="n">
        <v>-41.35</v>
      </c>
      <c r="I1309" s="7">
        <f>F1309*Summary!$B$5</f>
        <v/>
      </c>
      <c r="J1309" s="7">
        <f>G1309*Summary!$B$5</f>
        <v/>
      </c>
      <c r="K1309" s="7">
        <f>H1309*Summary!$B$5</f>
        <v/>
      </c>
    </row>
    <row r="1310">
      <c r="A1310" s="8" t="n">
        <v>46157</v>
      </c>
      <c r="B1310" t="inlineStr">
        <is>
          <t>FY26-27</t>
        </is>
      </c>
      <c r="C1310" t="inlineStr">
        <is>
          <t>CW</t>
        </is>
      </c>
      <c r="D1310" t="inlineStr">
        <is>
          <t>09:19</t>
        </is>
      </c>
      <c r="E1310" t="n">
        <v>4</v>
      </c>
      <c r="F1310" t="n">
        <v>-8.32</v>
      </c>
      <c r="G1310" t="n">
        <v>10053.34</v>
      </c>
      <c r="H1310" t="n">
        <v>-49.67</v>
      </c>
      <c r="I1310" s="7">
        <f>F1310*Summary!$B$5</f>
        <v/>
      </c>
      <c r="J1310" s="7">
        <f>G1310*Summary!$B$5</f>
        <v/>
      </c>
      <c r="K1310" s="7">
        <f>H1310*Summary!$B$5</f>
        <v/>
      </c>
    </row>
    <row r="1311">
      <c r="A1311" s="8" t="n">
        <v>46160</v>
      </c>
      <c r="B1311" t="inlineStr">
        <is>
          <t>FY26-27</t>
        </is>
      </c>
      <c r="C1311" t="inlineStr">
        <is>
          <t>CW</t>
        </is>
      </c>
      <c r="D1311" t="inlineStr">
        <is>
          <t>09:17</t>
        </is>
      </c>
      <c r="E1311" t="n">
        <v>2</v>
      </c>
      <c r="F1311" t="n">
        <v>6.79</v>
      </c>
      <c r="G1311" t="n">
        <v>10060.13</v>
      </c>
      <c r="H1311" t="n">
        <v>-42.88</v>
      </c>
      <c r="I1311" s="7">
        <f>F1311*Summary!$B$5</f>
        <v/>
      </c>
      <c r="J1311" s="7">
        <f>G1311*Summary!$B$5</f>
        <v/>
      </c>
      <c r="K1311" s="7">
        <f>H1311*Summary!$B$5</f>
        <v/>
      </c>
    </row>
    <row r="1312">
      <c r="A1312" s="8" t="n">
        <v>46161</v>
      </c>
      <c r="B1312" t="inlineStr">
        <is>
          <t>FY26-27</t>
        </is>
      </c>
      <c r="C1312" t="inlineStr">
        <is>
          <t>CW</t>
        </is>
      </c>
      <c r="D1312" t="inlineStr">
        <is>
          <t>09:18</t>
        </is>
      </c>
      <c r="E1312" t="n">
        <v>1</v>
      </c>
      <c r="F1312" t="n">
        <v>7.54</v>
      </c>
      <c r="G1312" t="n">
        <v>10067.66</v>
      </c>
      <c r="H1312" t="n">
        <v>-35.35</v>
      </c>
      <c r="I1312" s="7">
        <f>F1312*Summary!$B$5</f>
        <v/>
      </c>
      <c r="J1312" s="7">
        <f>G1312*Summary!$B$5</f>
        <v/>
      </c>
      <c r="K1312" s="7">
        <f>H1312*Summary!$B$5</f>
        <v/>
      </c>
    </row>
    <row r="1313">
      <c r="A1313" s="8" t="n">
        <v>46162</v>
      </c>
      <c r="B1313" t="inlineStr">
        <is>
          <t>FY26-27</t>
        </is>
      </c>
      <c r="C1313" t="inlineStr"/>
      <c r="D1313" t="inlineStr"/>
      <c r="E1313" t="n">
        <v>0</v>
      </c>
      <c r="F1313" t="n">
        <v>0</v>
      </c>
      <c r="G1313" t="n">
        <v>10067.66</v>
      </c>
      <c r="H1313" t="n">
        <v>-35.35</v>
      </c>
      <c r="I1313" s="7">
        <f>F1313*Summary!$B$5</f>
        <v/>
      </c>
      <c r="J1313" s="7">
        <f>G1313*Summary!$B$5</f>
        <v/>
      </c>
      <c r="K1313" s="7">
        <f>H1313*Summary!$B$5</f>
        <v/>
      </c>
    </row>
    <row r="1314">
      <c r="A1314" s="8" t="n">
        <v>46163</v>
      </c>
      <c r="B1314" t="inlineStr">
        <is>
          <t>FY26-27</t>
        </is>
      </c>
      <c r="C1314" t="inlineStr">
        <is>
          <t>n/a</t>
        </is>
      </c>
      <c r="D1314" t="inlineStr"/>
      <c r="E1314" t="n">
        <v>0</v>
      </c>
      <c r="F1314" t="n">
        <v>10.93</v>
      </c>
      <c r="G1314" t="n">
        <v>10078.6</v>
      </c>
      <c r="H1314" t="n">
        <v>-24.41</v>
      </c>
      <c r="I1314" s="7">
        <f>F1314*Summary!$B$5</f>
        <v/>
      </c>
      <c r="J1314" s="7">
        <f>G1314*Summary!$B$5</f>
        <v/>
      </c>
      <c r="K1314" s="7">
        <f>H1314*Summary!$B$5</f>
        <v/>
      </c>
    </row>
    <row r="1315">
      <c r="A1315" s="8" t="n">
        <v>46164</v>
      </c>
      <c r="B1315" t="inlineStr">
        <is>
          <t>FY26-27</t>
        </is>
      </c>
      <c r="C1315" t="inlineStr">
        <is>
          <t>n/a</t>
        </is>
      </c>
      <c r="D1315" t="inlineStr"/>
      <c r="E1315" t="n">
        <v>0</v>
      </c>
      <c r="F1315" t="n">
        <v>34.5</v>
      </c>
      <c r="G1315" t="n">
        <v>10113.1</v>
      </c>
      <c r="H1315" t="n">
        <v>0</v>
      </c>
      <c r="I1315" s="7">
        <f>F1315*Summary!$B$5</f>
        <v/>
      </c>
      <c r="J1315" s="7">
        <f>G1315*Summary!$B$5</f>
        <v/>
      </c>
      <c r="K1315" s="7">
        <f>H1315*Summary!$B$5</f>
        <v/>
      </c>
    </row>
    <row r="1316">
      <c r="A1316" s="8" t="n">
        <v>46167</v>
      </c>
      <c r="B1316" t="inlineStr">
        <is>
          <t>FY26-27</t>
        </is>
      </c>
      <c r="C1316" t="inlineStr"/>
      <c r="D1316" t="inlineStr"/>
      <c r="E1316" t="n">
        <v>0</v>
      </c>
      <c r="F1316" t="n">
        <v>0</v>
      </c>
      <c r="G1316" t="n">
        <v>10113.1</v>
      </c>
      <c r="H1316" t="n">
        <v>0</v>
      </c>
      <c r="I1316" s="7">
        <f>F1316*Summary!$B$5</f>
        <v/>
      </c>
      <c r="J1316" s="7">
        <f>G1316*Summary!$B$5</f>
        <v/>
      </c>
      <c r="K1316" s="7">
        <f>H1316*Summary!$B$5</f>
        <v/>
      </c>
    </row>
    <row r="1317">
      <c r="A1317" s="8" t="n">
        <v>46168</v>
      </c>
      <c r="B1317" t="inlineStr">
        <is>
          <t>FY26-27</t>
        </is>
      </c>
      <c r="C1317" t="inlineStr">
        <is>
          <t>NW</t>
        </is>
      </c>
      <c r="D1317" t="inlineStr"/>
      <c r="E1317" t="n">
        <v>0</v>
      </c>
      <c r="F1317" t="n">
        <v>12.93</v>
      </c>
      <c r="G1317" t="n">
        <v>10126.03</v>
      </c>
      <c r="H1317" t="n">
        <v>0</v>
      </c>
      <c r="I1317" s="7">
        <f>F1317*Summary!$B$5</f>
        <v/>
      </c>
      <c r="J1317" s="7">
        <f>G1317*Summary!$B$5</f>
        <v/>
      </c>
      <c r="K1317" s="7">
        <f>H1317*Summary!$B$5</f>
        <v/>
      </c>
    </row>
    <row r="1318">
      <c r="A1318" s="8" t="n">
        <v>46169</v>
      </c>
      <c r="B1318" t="inlineStr">
        <is>
          <t>FY26-27</t>
        </is>
      </c>
      <c r="C1318" t="inlineStr">
        <is>
          <t>CW</t>
        </is>
      </c>
      <c r="D1318" t="inlineStr">
        <is>
          <t>09:18</t>
        </is>
      </c>
      <c r="E1318" t="n">
        <v>6</v>
      </c>
      <c r="F1318" t="n">
        <v>29.67</v>
      </c>
      <c r="G1318" t="n">
        <v>10155.69</v>
      </c>
      <c r="H1318" t="n">
        <v>0</v>
      </c>
      <c r="I1318" s="7">
        <f>F1318*Summary!$B$5</f>
        <v/>
      </c>
      <c r="J1318" s="7">
        <f>G1318*Summary!$B$5</f>
        <v/>
      </c>
      <c r="K1318" s="7">
        <f>H1318*Summary!$B$5</f>
        <v/>
      </c>
    </row>
    <row r="1319">
      <c r="A1319" s="8" t="n">
        <v>46171</v>
      </c>
      <c r="B1319" t="inlineStr">
        <is>
          <t>FY26-27</t>
        </is>
      </c>
      <c r="C1319" t="inlineStr"/>
      <c r="D1319" t="inlineStr"/>
      <c r="E1319" t="n">
        <v>0</v>
      </c>
      <c r="F1319" t="n">
        <v>0</v>
      </c>
      <c r="G1319" t="n">
        <v>10155.69</v>
      </c>
      <c r="H1319" t="n">
        <v>0</v>
      </c>
      <c r="I1319" s="7">
        <f>F1319*Summary!$B$5</f>
        <v/>
      </c>
      <c r="J1319" s="7">
        <f>G1319*Summary!$B$5</f>
        <v/>
      </c>
      <c r="K1319" s="7">
        <f>H1319*Summary!$B$5</f>
        <v/>
      </c>
    </row>
    <row r="1320">
      <c r="A1320" s="8" t="n">
        <v>46174</v>
      </c>
      <c r="B1320" t="inlineStr">
        <is>
          <t>FY26-27</t>
        </is>
      </c>
      <c r="C1320" t="inlineStr"/>
      <c r="D1320" t="inlineStr"/>
      <c r="E1320" t="n">
        <v>0</v>
      </c>
      <c r="F1320" t="n">
        <v>0</v>
      </c>
      <c r="G1320" t="n">
        <v>10155.69</v>
      </c>
      <c r="H1320" t="n">
        <v>0</v>
      </c>
      <c r="I1320" s="7">
        <f>F1320*Summary!$B$5</f>
        <v/>
      </c>
      <c r="J1320" s="7">
        <f>G1320*Summary!$B$5</f>
        <v/>
      </c>
      <c r="K1320" s="7">
        <f>H1320*Summary!$B$5</f>
        <v/>
      </c>
    </row>
    <row r="1321">
      <c r="A1321" s="8" t="n">
        <v>46175</v>
      </c>
      <c r="B1321" t="inlineStr">
        <is>
          <t>FY26-27</t>
        </is>
      </c>
      <c r="C1321" t="inlineStr">
        <is>
          <t>CW</t>
        </is>
      </c>
      <c r="D1321" t="inlineStr">
        <is>
          <t>09:18</t>
        </is>
      </c>
      <c r="E1321" t="n">
        <v>1</v>
      </c>
      <c r="F1321" t="n">
        <v>-9.65</v>
      </c>
      <c r="G1321" t="n">
        <v>10146.04</v>
      </c>
      <c r="H1321" t="n">
        <v>-9.65</v>
      </c>
      <c r="I1321" s="7">
        <f>F1321*Summary!$B$5</f>
        <v/>
      </c>
      <c r="J1321" s="7">
        <f>G1321*Summary!$B$5</f>
        <v/>
      </c>
      <c r="K1321" s="7">
        <f>H1321*Summary!$B$5</f>
        <v/>
      </c>
    </row>
    <row r="1322">
      <c r="A1322" s="8" t="n">
        <v>46176</v>
      </c>
      <c r="B1322" t="inlineStr">
        <is>
          <t>FY26-27</t>
        </is>
      </c>
      <c r="C1322" t="inlineStr"/>
      <c r="D1322" t="inlineStr"/>
      <c r="E1322" t="n">
        <v>0</v>
      </c>
      <c r="F1322" t="n">
        <v>0</v>
      </c>
      <c r="G1322" t="n">
        <v>10146.04</v>
      </c>
      <c r="H1322" t="n">
        <v>-9.65</v>
      </c>
      <c r="I1322" s="7">
        <f>F1322*Summary!$B$5</f>
        <v/>
      </c>
      <c r="J1322" s="7">
        <f>G1322*Summary!$B$5</f>
        <v/>
      </c>
      <c r="K1322" s="7">
        <f>H1322*Summary!$B$5</f>
        <v/>
      </c>
    </row>
    <row r="1323">
      <c r="A1323" s="8" t="n">
        <v>46177</v>
      </c>
      <c r="B1323" t="inlineStr">
        <is>
          <t>FY26-27</t>
        </is>
      </c>
      <c r="C1323" t="inlineStr"/>
      <c r="D1323" t="inlineStr"/>
      <c r="E1323" t="n">
        <v>0</v>
      </c>
      <c r="F1323" t="n">
        <v>0</v>
      </c>
      <c r="G1323" t="n">
        <v>10146.04</v>
      </c>
      <c r="H1323" t="n">
        <v>-9.65</v>
      </c>
      <c r="I1323" s="7">
        <f>F1323*Summary!$B$5</f>
        <v/>
      </c>
      <c r="J1323" s="7">
        <f>G1323*Summary!$B$5</f>
        <v/>
      </c>
      <c r="K1323" s="7">
        <f>H1323*Summary!$B$5</f>
        <v/>
      </c>
    </row>
    <row r="1324">
      <c r="A1324" s="8" t="n">
        <v>46178</v>
      </c>
      <c r="B1324" t="inlineStr">
        <is>
          <t>FY26-27</t>
        </is>
      </c>
      <c r="C1324" t="inlineStr">
        <is>
          <t>CW</t>
        </is>
      </c>
      <c r="D1324" t="inlineStr">
        <is>
          <t>09:18</t>
        </is>
      </c>
      <c r="E1324" t="n">
        <v>4</v>
      </c>
      <c r="F1324" t="n">
        <v>6.81</v>
      </c>
      <c r="G1324" t="n">
        <v>10152.86</v>
      </c>
      <c r="H1324" t="n">
        <v>-2.83</v>
      </c>
      <c r="I1324" s="7">
        <f>F1324*Summary!$B$5</f>
        <v/>
      </c>
      <c r="J1324" s="7">
        <f>G1324*Summary!$B$5</f>
        <v/>
      </c>
      <c r="K1324" s="7">
        <f>H1324*Summary!$B$5</f>
        <v/>
      </c>
    </row>
    <row r="1325">
      <c r="A1325" s="8" t="n">
        <v>46181</v>
      </c>
      <c r="B1325" t="inlineStr">
        <is>
          <t>FY26-27</t>
        </is>
      </c>
      <c r="C1325" t="inlineStr">
        <is>
          <t>CW</t>
        </is>
      </c>
      <c r="D1325" t="inlineStr">
        <is>
          <t>09:18</t>
        </is>
      </c>
      <c r="E1325" t="n">
        <v>2</v>
      </c>
      <c r="F1325" t="n">
        <v>32.34</v>
      </c>
      <c r="G1325" t="n">
        <v>10185.2</v>
      </c>
      <c r="H1325" t="n">
        <v>0</v>
      </c>
      <c r="I1325" s="7">
        <f>F1325*Summary!$B$5</f>
        <v/>
      </c>
      <c r="J1325" s="7">
        <f>G1325*Summary!$B$5</f>
        <v/>
      </c>
      <c r="K1325" s="7">
        <f>H1325*Summary!$B$5</f>
        <v/>
      </c>
    </row>
    <row r="1326">
      <c r="A1326" s="8" t="n">
        <v>46182</v>
      </c>
      <c r="B1326" t="inlineStr">
        <is>
          <t>FY26-27</t>
        </is>
      </c>
      <c r="C1326" t="inlineStr">
        <is>
          <t>CW</t>
        </is>
      </c>
      <c r="D1326" t="inlineStr">
        <is>
          <t>09:18</t>
        </is>
      </c>
      <c r="E1326" t="n">
        <v>1</v>
      </c>
      <c r="F1326" t="n">
        <v>51.95</v>
      </c>
      <c r="G1326" t="n">
        <v>10237.16</v>
      </c>
      <c r="H1326" t="n">
        <v>0</v>
      </c>
      <c r="I1326" s="7">
        <f>F1326*Summary!$B$5</f>
        <v/>
      </c>
      <c r="J1326" s="7">
        <f>G1326*Summary!$B$5</f>
        <v/>
      </c>
      <c r="K1326" s="7">
        <f>H1326*Summary!$B$5</f>
        <v/>
      </c>
    </row>
    <row r="1327">
      <c r="A1327" s="8" t="n">
        <v>46185</v>
      </c>
      <c r="B1327" t="inlineStr">
        <is>
          <t>FY26-27</t>
        </is>
      </c>
      <c r="C1327" t="inlineStr"/>
      <c r="D1327" t="inlineStr"/>
      <c r="E1327" t="n">
        <v>0</v>
      </c>
      <c r="F1327" t="n">
        <v>0</v>
      </c>
      <c r="G1327" t="n">
        <v>10237.16</v>
      </c>
      <c r="H1327" t="n">
        <v>0</v>
      </c>
      <c r="I1327" s="7">
        <f>F1327*Summary!$B$5</f>
        <v/>
      </c>
      <c r="J1327" s="7">
        <f>G1327*Summary!$B$5</f>
        <v/>
      </c>
      <c r="K1327" s="7">
        <f>H1327*Summary!$B$5</f>
        <v/>
      </c>
    </row>
    <row r="1328">
      <c r="A1328" s="8" t="n">
        <v>46188</v>
      </c>
      <c r="B1328" t="inlineStr">
        <is>
          <t>FY26-27</t>
        </is>
      </c>
      <c r="C1328" t="inlineStr"/>
      <c r="D1328" t="inlineStr"/>
      <c r="E1328" t="n">
        <v>0</v>
      </c>
      <c r="F1328" t="n">
        <v>0</v>
      </c>
      <c r="G1328" t="n">
        <v>10237.16</v>
      </c>
      <c r="H1328" t="n">
        <v>0</v>
      </c>
      <c r="I1328" s="7">
        <f>F1328*Summary!$B$5</f>
        <v/>
      </c>
      <c r="J1328" s="7">
        <f>G1328*Summary!$B$5</f>
        <v/>
      </c>
      <c r="K1328" s="7">
        <f>H1328*Summary!$B$5</f>
        <v/>
      </c>
    </row>
    <row r="1329">
      <c r="A1329" s="8" t="n">
        <v>46189</v>
      </c>
      <c r="B1329" t="inlineStr">
        <is>
          <t>FY26-27</t>
        </is>
      </c>
      <c r="C1329" t="inlineStr">
        <is>
          <t>NW</t>
        </is>
      </c>
      <c r="D1329" t="inlineStr"/>
      <c r="E1329" t="n">
        <v>0</v>
      </c>
      <c r="F1329" t="n">
        <v>28.73</v>
      </c>
      <c r="G1329" t="n">
        <v>10265.89</v>
      </c>
      <c r="H1329" t="n">
        <v>0</v>
      </c>
      <c r="I1329" s="7">
        <f>F1329*Summary!$B$5</f>
        <v/>
      </c>
      <c r="J1329" s="7">
        <f>G1329*Summary!$B$5</f>
        <v/>
      </c>
      <c r="K1329" s="7">
        <f>H1329*Summary!$B$5</f>
        <v/>
      </c>
    </row>
    <row r="1330">
      <c r="A1330" s="8" t="n">
        <v>46190</v>
      </c>
      <c r="B1330" t="inlineStr">
        <is>
          <t>FY26-27</t>
        </is>
      </c>
      <c r="C1330" t="inlineStr">
        <is>
          <t>CW</t>
        </is>
      </c>
      <c r="D1330" t="inlineStr">
        <is>
          <t>09:18</t>
        </is>
      </c>
      <c r="E1330" t="n">
        <v>6</v>
      </c>
      <c r="F1330" t="n">
        <v>18.38</v>
      </c>
      <c r="G1330" t="n">
        <v>10284.27</v>
      </c>
      <c r="H1330" t="n">
        <v>0</v>
      </c>
      <c r="I1330" s="7">
        <f>F1330*Summary!$B$5</f>
        <v/>
      </c>
      <c r="J1330" s="7">
        <f>G1330*Summary!$B$5</f>
        <v/>
      </c>
      <c r="K1330" s="7">
        <f>H1330*Summary!$B$5</f>
        <v/>
      </c>
    </row>
    <row r="1331">
      <c r="A1331" s="8" t="n">
        <v>46191</v>
      </c>
      <c r="B1331" t="inlineStr">
        <is>
          <t>FY26-27</t>
        </is>
      </c>
      <c r="C1331" t="inlineStr">
        <is>
          <t>CW</t>
        </is>
      </c>
      <c r="D1331" t="inlineStr">
        <is>
          <t>09:18</t>
        </is>
      </c>
      <c r="E1331" t="n">
        <v>5</v>
      </c>
      <c r="F1331" t="n">
        <v>24.35</v>
      </c>
      <c r="G1331" t="n">
        <v>10308.62</v>
      </c>
      <c r="H1331" t="n">
        <v>0</v>
      </c>
      <c r="I1331" s="7">
        <f>F1331*Summary!$B$5</f>
        <v/>
      </c>
      <c r="J1331" s="7">
        <f>G1331*Summary!$B$5</f>
        <v/>
      </c>
      <c r="K1331" s="7">
        <f>H1331*Summary!$B$5</f>
        <v/>
      </c>
    </row>
    <row r="1332">
      <c r="A1332" s="8" t="n">
        <v>46192</v>
      </c>
      <c r="B1332" t="inlineStr">
        <is>
          <t>FY26-27</t>
        </is>
      </c>
      <c r="C1332" t="inlineStr">
        <is>
          <t>CW</t>
        </is>
      </c>
      <c r="D1332" t="inlineStr">
        <is>
          <t>09:17</t>
        </is>
      </c>
      <c r="E1332" t="n">
        <v>4</v>
      </c>
      <c r="F1332" t="n">
        <v>31.01</v>
      </c>
      <c r="G1332" t="n">
        <v>10339.63</v>
      </c>
      <c r="H1332" t="n">
        <v>0</v>
      </c>
      <c r="I1332" s="7">
        <f>F1332*Summary!$B$5</f>
        <v/>
      </c>
      <c r="J1332" s="7">
        <f>G1332*Summary!$B$5</f>
        <v/>
      </c>
      <c r="K1332" s="7">
        <f>H1332*Summary!$B$5</f>
        <v/>
      </c>
    </row>
    <row r="1333">
      <c r="A1333" s="8" t="n">
        <v>46195</v>
      </c>
      <c r="B1333" t="inlineStr">
        <is>
          <t>FY26-27</t>
        </is>
      </c>
      <c r="C1333" t="inlineStr"/>
      <c r="D1333" t="inlineStr"/>
      <c r="E1333" t="n">
        <v>0</v>
      </c>
      <c r="F1333" t="n">
        <v>0</v>
      </c>
      <c r="G1333" t="n">
        <v>10339.63</v>
      </c>
      <c r="H1333" t="n">
        <v>0</v>
      </c>
      <c r="I1333" s="7">
        <f>F1333*Summary!$B$5</f>
        <v/>
      </c>
      <c r="J1333" s="7">
        <f>G1333*Summary!$B$5</f>
        <v/>
      </c>
      <c r="K1333" s="7">
        <f>H1333*Summary!$B$5</f>
        <v/>
      </c>
    </row>
    <row r="1334">
      <c r="A1334" s="8" t="n">
        <v>46196</v>
      </c>
      <c r="B1334" t="inlineStr">
        <is>
          <t>FY26-27</t>
        </is>
      </c>
      <c r="C1334" t="inlineStr"/>
      <c r="D1334" t="inlineStr"/>
      <c r="E1334" t="n">
        <v>0</v>
      </c>
      <c r="F1334" t="n">
        <v>0</v>
      </c>
      <c r="G1334" t="n">
        <v>10339.63</v>
      </c>
      <c r="H1334" t="n">
        <v>0</v>
      </c>
      <c r="I1334" s="7">
        <f>F1334*Summary!$B$5</f>
        <v/>
      </c>
      <c r="J1334" s="7">
        <f>G1334*Summary!$B$5</f>
        <v/>
      </c>
      <c r="K1334" s="7">
        <f>H1334*Summary!$B$5</f>
        <v/>
      </c>
    </row>
    <row r="1335">
      <c r="A1335" s="8" t="n">
        <v>46197</v>
      </c>
      <c r="B1335" t="inlineStr">
        <is>
          <t>FY26-27</t>
        </is>
      </c>
      <c r="C1335" t="inlineStr">
        <is>
          <t>n/a</t>
        </is>
      </c>
      <c r="D1335" t="inlineStr"/>
      <c r="E1335" t="n">
        <v>0</v>
      </c>
      <c r="F1335" t="n">
        <v>11.12</v>
      </c>
      <c r="G1335" t="n">
        <v>10350.75</v>
      </c>
      <c r="H1335" t="n">
        <v>0</v>
      </c>
      <c r="I1335" s="7">
        <f>F1335*Summary!$B$5</f>
        <v/>
      </c>
      <c r="J1335" s="7">
        <f>G1335*Summary!$B$5</f>
        <v/>
      </c>
      <c r="K1335" s="7">
        <f>H1335*Summary!$B$5</f>
        <v/>
      </c>
    </row>
    <row r="1336">
      <c r="A1336" s="8" t="n">
        <v>46198</v>
      </c>
      <c r="B1336" t="inlineStr">
        <is>
          <t>FY26-27</t>
        </is>
      </c>
      <c r="C1336" t="inlineStr">
        <is>
          <t>n/a</t>
        </is>
      </c>
      <c r="D1336" t="inlineStr"/>
      <c r="E1336" t="n">
        <v>0</v>
      </c>
      <c r="F1336" t="n">
        <v>0.96</v>
      </c>
      <c r="G1336" t="n">
        <v>10351.71</v>
      </c>
      <c r="H1336" t="n">
        <v>0</v>
      </c>
      <c r="I1336" s="7">
        <f>F1336*Summary!$B$5</f>
        <v/>
      </c>
      <c r="J1336" s="7">
        <f>G1336*Summary!$B$5</f>
        <v/>
      </c>
      <c r="K1336" s="7">
        <f>H1336*Summary!$B$5</f>
        <v/>
      </c>
    </row>
    <row r="1337">
      <c r="A1337" s="8" t="n">
        <v>46202</v>
      </c>
      <c r="B1337" t="inlineStr">
        <is>
          <t>FY26-27</t>
        </is>
      </c>
      <c r="C1337" t="inlineStr">
        <is>
          <t>NW</t>
        </is>
      </c>
      <c r="D1337" t="inlineStr"/>
      <c r="E1337" t="n">
        <v>0</v>
      </c>
      <c r="F1337" t="n">
        <v>-10.82</v>
      </c>
      <c r="G1337" t="n">
        <v>10340.9</v>
      </c>
      <c r="H1337" t="n">
        <v>-10.82</v>
      </c>
      <c r="I1337" s="7">
        <f>F1337*Summary!$B$5</f>
        <v/>
      </c>
      <c r="J1337" s="7">
        <f>G1337*Summary!$B$5</f>
        <v/>
      </c>
      <c r="K1337" s="7">
        <f>H1337*Summary!$B$5</f>
        <v/>
      </c>
    </row>
    <row r="1338">
      <c r="A1338" s="8" t="n">
        <v>46203</v>
      </c>
      <c r="B1338" t="inlineStr">
        <is>
          <t>FY26-27</t>
        </is>
      </c>
      <c r="C1338" t="inlineStr">
        <is>
          <t>CW</t>
        </is>
      </c>
      <c r="D1338" t="inlineStr">
        <is>
          <t>09:18</t>
        </is>
      </c>
      <c r="E1338" t="n">
        <v>1</v>
      </c>
      <c r="F1338" t="n">
        <v>-42.86</v>
      </c>
      <c r="G1338" t="n">
        <v>10298.03</v>
      </c>
      <c r="H1338" t="n">
        <v>-53.68</v>
      </c>
      <c r="I1338" s="7">
        <f>F1338*Summary!$B$5</f>
        <v/>
      </c>
      <c r="J1338" s="7">
        <f>G1338*Summary!$B$5</f>
        <v/>
      </c>
      <c r="K1338" s="7">
        <f>H1338*Summary!$B$5</f>
        <v/>
      </c>
    </row>
    <row r="1339">
      <c r="A1339" s="8" t="n">
        <v>46204</v>
      </c>
      <c r="B1339" t="inlineStr">
        <is>
          <t>FY26-27</t>
        </is>
      </c>
      <c r="C1339" t="inlineStr">
        <is>
          <t>CW</t>
        </is>
      </c>
      <c r="D1339" t="inlineStr">
        <is>
          <t>09:16</t>
        </is>
      </c>
      <c r="E1339" t="n">
        <v>6</v>
      </c>
      <c r="F1339" t="n">
        <v>30.14</v>
      </c>
      <c r="G1339" t="n">
        <v>10328.18</v>
      </c>
      <c r="H1339" t="n">
        <v>-23.54</v>
      </c>
      <c r="I1339" s="7">
        <f>F1339*Summary!$B$5</f>
        <v/>
      </c>
      <c r="J1339" s="7">
        <f>G1339*Summary!$B$5</f>
        <v/>
      </c>
      <c r="K1339" s="7">
        <f>H1339*Summary!$B$5</f>
        <v/>
      </c>
    </row>
    <row r="1340">
      <c r="A1340" s="8" t="n">
        <v>46205</v>
      </c>
      <c r="B1340" t="inlineStr">
        <is>
          <t>FY26-27</t>
        </is>
      </c>
      <c r="C1340" t="inlineStr">
        <is>
          <t>n/a</t>
        </is>
      </c>
      <c r="D1340" t="inlineStr"/>
      <c r="E1340" t="n">
        <v>0</v>
      </c>
      <c r="F1340" t="n">
        <v>27.69</v>
      </c>
      <c r="G1340" t="n">
        <v>10355.86</v>
      </c>
      <c r="H1340" t="n">
        <v>0</v>
      </c>
      <c r="I1340" s="7">
        <f>F1340*Summary!$B$5</f>
        <v/>
      </c>
      <c r="J1340" s="7">
        <f>G1340*Summary!$B$5</f>
        <v/>
      </c>
      <c r="K1340" s="7">
        <f>H1340*Summary!$B$5</f>
        <v/>
      </c>
    </row>
    <row r="1341">
      <c r="A1341" s="8" t="n">
        <v>46206</v>
      </c>
      <c r="B1341" t="inlineStr">
        <is>
          <t>FY26-27</t>
        </is>
      </c>
      <c r="C1341" t="inlineStr"/>
      <c r="D1341" t="inlineStr"/>
      <c r="E1341" t="n">
        <v>0</v>
      </c>
      <c r="F1341" t="n">
        <v>0</v>
      </c>
      <c r="G1341" t="n">
        <v>10355.86</v>
      </c>
      <c r="H1341" t="n">
        <v>0</v>
      </c>
      <c r="I1341" s="7">
        <f>F1341*Summary!$B$5</f>
        <v/>
      </c>
      <c r="J1341" s="7">
        <f>G1341*Summary!$B$5</f>
        <v/>
      </c>
      <c r="K1341" s="7">
        <f>H1341*Summary!$B$5</f>
        <v/>
      </c>
    </row>
    <row r="1342">
      <c r="A1342" s="8" t="n">
        <v>46209</v>
      </c>
      <c r="B1342" t="inlineStr">
        <is>
          <t>FY26-27</t>
        </is>
      </c>
      <c r="C1342" t="inlineStr">
        <is>
          <t>NW</t>
        </is>
      </c>
      <c r="D1342" t="inlineStr"/>
      <c r="E1342" t="n">
        <v>0</v>
      </c>
      <c r="F1342" t="n">
        <v>6.43</v>
      </c>
      <c r="G1342" t="n">
        <v>10362.29</v>
      </c>
      <c r="H1342" t="n">
        <v>0</v>
      </c>
      <c r="I1342" s="7">
        <f>F1342*Summary!$B$5</f>
        <v/>
      </c>
      <c r="J1342" s="7">
        <f>G1342*Summary!$B$5</f>
        <v/>
      </c>
      <c r="K1342" s="7">
        <f>H1342*Summary!$B$5</f>
        <v/>
      </c>
    </row>
    <row r="1343">
      <c r="A1343" s="8" t="n">
        <v>46210</v>
      </c>
      <c r="B1343" t="inlineStr">
        <is>
          <t>FY26-27</t>
        </is>
      </c>
      <c r="C1343" t="inlineStr">
        <is>
          <t>CW</t>
        </is>
      </c>
      <c r="D1343" t="inlineStr">
        <is>
          <t>09:18</t>
        </is>
      </c>
      <c r="E1343" t="n">
        <v>1</v>
      </c>
      <c r="F1343" t="n">
        <v>18.49</v>
      </c>
      <c r="G1343" t="n">
        <v>10380.78</v>
      </c>
      <c r="H1343" t="n">
        <v>0</v>
      </c>
      <c r="I1343" s="7">
        <f>F1343*Summary!$B$5</f>
        <v/>
      </c>
      <c r="J1343" s="7">
        <f>G1343*Summary!$B$5</f>
        <v/>
      </c>
      <c r="K1343" s="7">
        <f>H1343*Summary!$B$5</f>
        <v/>
      </c>
    </row>
    <row r="1344">
      <c r="A1344" s="8" t="n">
        <v>46211</v>
      </c>
      <c r="B1344" t="inlineStr">
        <is>
          <t>FY26-27</t>
        </is>
      </c>
      <c r="C1344" t="inlineStr"/>
      <c r="D1344" t="inlineStr"/>
      <c r="E1344" t="n">
        <v>0</v>
      </c>
      <c r="F1344" t="n">
        <v>0</v>
      </c>
      <c r="G1344" t="n">
        <v>10380.78</v>
      </c>
      <c r="H1344" t="n">
        <v>0</v>
      </c>
      <c r="I1344" s="7">
        <f>F1344*Summary!$B$5</f>
        <v/>
      </c>
      <c r="J1344" s="7">
        <f>G1344*Summary!$B$5</f>
        <v/>
      </c>
      <c r="K1344" s="7">
        <f>H1344*Summary!$B$5</f>
        <v/>
      </c>
    </row>
    <row r="1345">
      <c r="A1345" s="8" t="n">
        <v>46212</v>
      </c>
      <c r="B1345" t="inlineStr">
        <is>
          <t>FY26-27</t>
        </is>
      </c>
      <c r="C1345" t="inlineStr">
        <is>
          <t>n/a</t>
        </is>
      </c>
      <c r="D1345" t="inlineStr"/>
      <c r="E1345" t="n">
        <v>0</v>
      </c>
      <c r="F1345" t="n">
        <v>3.27</v>
      </c>
      <c r="G1345" t="n">
        <v>10384.05</v>
      </c>
      <c r="H1345" t="n">
        <v>0</v>
      </c>
      <c r="I1345" s="7">
        <f>F1345*Summary!$B$5</f>
        <v/>
      </c>
      <c r="J1345" s="7">
        <f>G1345*Summary!$B$5</f>
        <v/>
      </c>
      <c r="K1345" s="7">
        <f>H1345*Summary!$B$5</f>
        <v/>
      </c>
    </row>
    <row r="1346">
      <c r="A1346" s="8" t="n">
        <v>46213</v>
      </c>
      <c r="B1346" t="inlineStr">
        <is>
          <t>FY26-27</t>
        </is>
      </c>
      <c r="C1346" t="inlineStr"/>
      <c r="D1346" t="inlineStr"/>
      <c r="E1346" t="n">
        <v>0</v>
      </c>
      <c r="F1346" t="n">
        <v>0</v>
      </c>
      <c r="G1346" t="n">
        <v>10384.05</v>
      </c>
      <c r="H1346" t="n">
        <v>0</v>
      </c>
      <c r="I1346" s="7">
        <f>F1346*Summary!$B$5</f>
        <v/>
      </c>
      <c r="J1346" s="7">
        <f>G1346*Summary!$B$5</f>
        <v/>
      </c>
      <c r="K1346" s="7">
        <f>H1346*Summary!$B$5</f>
        <v/>
      </c>
    </row>
    <row r="1347">
      <c r="A1347" s="8" t="n">
        <v>46216</v>
      </c>
      <c r="B1347" t="inlineStr">
        <is>
          <t>FY26-27</t>
        </is>
      </c>
      <c r="C1347" t="inlineStr">
        <is>
          <t>CW</t>
        </is>
      </c>
      <c r="D1347" t="inlineStr">
        <is>
          <t>12:53</t>
        </is>
      </c>
      <c r="E1347" t="n">
        <v>2</v>
      </c>
      <c r="F1347" t="n">
        <v>18.92</v>
      </c>
      <c r="G1347" t="n">
        <v>10402.98</v>
      </c>
      <c r="H1347" t="n">
        <v>0</v>
      </c>
      <c r="I1347" s="7">
        <f>F1347*Summary!$B$5</f>
        <v/>
      </c>
      <c r="J1347" s="7">
        <f>G1347*Summary!$B$5</f>
        <v/>
      </c>
      <c r="K1347" s="7">
        <f>H1347*Summary!$B$5</f>
        <v/>
      </c>
    </row>
    <row r="1348">
      <c r="A1348" s="8" t="n">
        <v>46217</v>
      </c>
      <c r="B1348" t="inlineStr">
        <is>
          <t>FY26-27</t>
        </is>
      </c>
      <c r="C1348" t="inlineStr">
        <is>
          <t>CW</t>
        </is>
      </c>
      <c r="D1348" t="inlineStr">
        <is>
          <t>09:18</t>
        </is>
      </c>
      <c r="E1348" t="n">
        <v>1</v>
      </c>
      <c r="F1348" t="n">
        <v>43.53</v>
      </c>
      <c r="G1348" t="n">
        <v>10446.51</v>
      </c>
      <c r="H1348" t="n">
        <v>0</v>
      </c>
      <c r="I1348" s="7">
        <f>F1348*Summary!$B$5</f>
        <v/>
      </c>
      <c r="J1348" s="7">
        <f>G1348*Summary!$B$5</f>
        <v/>
      </c>
      <c r="K1348" s="7">
        <f>H1348*Summary!$B$5</f>
        <v/>
      </c>
    </row>
    <row r="1349">
      <c r="A1349" s="8" t="n">
        <v>46218</v>
      </c>
      <c r="B1349" t="inlineStr">
        <is>
          <t>FY26-27</t>
        </is>
      </c>
      <c r="C1349" t="inlineStr"/>
      <c r="D1349" t="inlineStr"/>
      <c r="E1349" t="n">
        <v>0</v>
      </c>
      <c r="F1349" t="n">
        <v>0</v>
      </c>
      <c r="G1349" t="n">
        <v>10446.51</v>
      </c>
      <c r="H1349" t="n">
        <v>0</v>
      </c>
      <c r="I1349" s="7">
        <f>F1349*Summary!$B$5</f>
        <v/>
      </c>
      <c r="J1349" s="7">
        <f>G1349*Summary!$B$5</f>
        <v/>
      </c>
      <c r="K1349" s="7">
        <f>H1349*Summary!$B$5</f>
        <v/>
      </c>
    </row>
    <row r="1350">
      <c r="A1350" s="8" t="n">
        <v>46219</v>
      </c>
      <c r="B1350" t="inlineStr">
        <is>
          <t>FY26-27</t>
        </is>
      </c>
      <c r="C1350" t="inlineStr"/>
      <c r="D1350" t="inlineStr"/>
      <c r="E1350" t="n">
        <v>0</v>
      </c>
      <c r="F1350" t="n">
        <v>0</v>
      </c>
      <c r="G1350" t="n">
        <v>10446.51</v>
      </c>
      <c r="H1350" t="n">
        <v>0</v>
      </c>
      <c r="I1350" s="7">
        <f>F1350*Summary!$B$5</f>
        <v/>
      </c>
      <c r="J1350" s="7">
        <f>G1350*Summary!$B$5</f>
        <v/>
      </c>
      <c r="K1350" s="7">
        <f>H1350*Summary!$B$5</f>
        <v/>
      </c>
    </row>
    <row r="1351">
      <c r="A1351" s="8" t="n">
        <v>46220</v>
      </c>
      <c r="B1351" t="inlineStr">
        <is>
          <t>FY26-27</t>
        </is>
      </c>
      <c r="C1351" t="inlineStr">
        <is>
          <t>CW</t>
        </is>
      </c>
      <c r="D1351" t="inlineStr">
        <is>
          <t>09:18</t>
        </is>
      </c>
      <c r="E1351" t="n">
        <v>4</v>
      </c>
      <c r="F1351" t="n">
        <v>-43.47</v>
      </c>
      <c r="G1351" t="n">
        <v>10403.03</v>
      </c>
      <c r="H1351" t="n">
        <v>-43.47</v>
      </c>
      <c r="I1351" s="7">
        <f>F1351*Summary!$B$5</f>
        <v/>
      </c>
      <c r="J1351" s="7">
        <f>G1351*Summary!$B$5</f>
        <v/>
      </c>
      <c r="K1351" s="7">
        <f>H1351*Summary!$B$5</f>
        <v/>
      </c>
    </row>
    <row r="1352">
      <c r="A1352" s="8" t="n">
        <v>46223</v>
      </c>
      <c r="B1352" t="inlineStr">
        <is>
          <t>FY26-27</t>
        </is>
      </c>
      <c r="C1352" t="inlineStr"/>
      <c r="D1352" t="inlineStr"/>
      <c r="E1352" t="n">
        <v>0</v>
      </c>
      <c r="F1352" t="n">
        <v>0</v>
      </c>
      <c r="G1352" t="n">
        <v>10403.03</v>
      </c>
      <c r="H1352" t="n">
        <v>-43.47</v>
      </c>
      <c r="I1352" s="7">
        <f>F1352*Summary!$B$5</f>
        <v/>
      </c>
      <c r="J1352" s="7">
        <f>G1352*Summary!$B$5</f>
        <v/>
      </c>
      <c r="K1352" s="7">
        <f>H1352*Summary!$B$5</f>
        <v/>
      </c>
    </row>
    <row r="1353">
      <c r="A1353" s="8" t="n">
        <v>46224</v>
      </c>
      <c r="B1353" t="inlineStr">
        <is>
          <t>FY26-27</t>
        </is>
      </c>
      <c r="C1353" t="inlineStr"/>
      <c r="D1353" t="inlineStr"/>
      <c r="E1353" t="n">
        <v>0</v>
      </c>
      <c r="F1353" t="n">
        <v>0</v>
      </c>
      <c r="G1353" t="n">
        <v>10403.03</v>
      </c>
      <c r="H1353" t="n">
        <v>-43.47</v>
      </c>
      <c r="I1353" s="7">
        <f>F1353*Summary!$B$5</f>
        <v/>
      </c>
      <c r="J1353" s="7">
        <f>G1353*Summary!$B$5</f>
        <v/>
      </c>
      <c r="K1353" s="7">
        <f>H1353*Summary!$B$5</f>
        <v/>
      </c>
    </row>
    <row r="1354">
      <c r="A1354" s="8" t="n">
        <v>46225</v>
      </c>
      <c r="B1354" t="inlineStr">
        <is>
          <t>FY26-27</t>
        </is>
      </c>
      <c r="C1354" t="inlineStr">
        <is>
          <t>CW</t>
        </is>
      </c>
      <c r="D1354" t="inlineStr">
        <is>
          <t>09:16</t>
        </is>
      </c>
      <c r="E1354" t="n">
        <v>6</v>
      </c>
      <c r="F1354" t="n">
        <v>14.09</v>
      </c>
      <c r="G1354" t="n">
        <v>10417.12</v>
      </c>
      <c r="H1354" t="n">
        <v>-29.38</v>
      </c>
      <c r="I1354" s="7">
        <f>F1354*Summary!$B$5</f>
        <v/>
      </c>
      <c r="J1354" s="7">
        <f>G1354*Summary!$B$5</f>
        <v/>
      </c>
      <c r="K1354" s="7">
        <f>H1354*Summary!$B$5</f>
        <v/>
      </c>
    </row>
    <row r="1355">
      <c r="A1355" s="8" t="n">
        <v>46226</v>
      </c>
      <c r="B1355" t="inlineStr">
        <is>
          <t>FY26-27</t>
        </is>
      </c>
      <c r="C1355" t="inlineStr">
        <is>
          <t>n/a</t>
        </is>
      </c>
      <c r="D1355" t="inlineStr"/>
      <c r="E1355" t="n">
        <v>0</v>
      </c>
      <c r="F1355" t="n">
        <v>5.45</v>
      </c>
      <c r="G1355" t="n">
        <v>10422.57</v>
      </c>
      <c r="H1355" t="n">
        <v>-23.93</v>
      </c>
      <c r="I1355" s="7">
        <f>F1355*Summary!$B$5</f>
        <v/>
      </c>
      <c r="J1355" s="7">
        <f>G1355*Summary!$B$5</f>
        <v/>
      </c>
      <c r="K1355" s="7">
        <f>H1355*Summary!$B$5</f>
        <v/>
      </c>
    </row>
    <row r="1356">
      <c r="A1356" s="8" t="n">
        <v>46227</v>
      </c>
      <c r="B1356" t="inlineStr">
        <is>
          <t>FY26-27</t>
        </is>
      </c>
      <c r="C1356" t="inlineStr">
        <is>
          <t>CW</t>
        </is>
      </c>
      <c r="D1356" t="inlineStr">
        <is>
          <t>09:18</t>
        </is>
      </c>
      <c r="E1356" t="n">
        <v>4</v>
      </c>
      <c r="F1356" t="n">
        <v>0.08</v>
      </c>
      <c r="G1356" t="n">
        <v>10422.65</v>
      </c>
      <c r="H1356" t="n">
        <v>-23.85</v>
      </c>
      <c r="I1356" s="7">
        <f>F1356*Summary!$B$5</f>
        <v/>
      </c>
      <c r="J1356" s="7">
        <f>G1356*Summary!$B$5</f>
        <v/>
      </c>
      <c r="K1356" s="7">
        <f>H1356*Summary!$B$5</f>
        <v/>
      </c>
    </row>
    <row r="1357">
      <c r="A1357" s="8" t="n">
        <v>46230</v>
      </c>
      <c r="B1357" t="inlineStr">
        <is>
          <t>FY26-27</t>
        </is>
      </c>
      <c r="C1357" t="inlineStr"/>
      <c r="D1357" t="inlineStr"/>
      <c r="E1357" t="n">
        <v>0</v>
      </c>
      <c r="F1357" t="n">
        <v>0</v>
      </c>
      <c r="G1357" t="n">
        <v>10422.65</v>
      </c>
      <c r="H1357" t="n">
        <v>-23.85</v>
      </c>
      <c r="I1357" s="7">
        <f>F1357*Summary!$B$5</f>
        <v/>
      </c>
      <c r="J1357" s="7">
        <f>G1357*Summary!$B$5</f>
        <v/>
      </c>
      <c r="K1357" s="7">
        <f>H1357*Summary!$B$5</f>
        <v/>
      </c>
    </row>
    <row r="1358">
      <c r="A1358" s="8" t="n">
        <v>46231</v>
      </c>
      <c r="B1358" t="inlineStr">
        <is>
          <t>FY26-27</t>
        </is>
      </c>
      <c r="C1358" t="inlineStr">
        <is>
          <t>NW</t>
        </is>
      </c>
      <c r="D1358" t="inlineStr"/>
      <c r="E1358" t="n">
        <v>0</v>
      </c>
      <c r="F1358" t="n">
        <v>7.01</v>
      </c>
      <c r="G1358" t="n">
        <v>10429.67</v>
      </c>
      <c r="H1358" t="n">
        <v>-16.84</v>
      </c>
      <c r="I1358" s="7">
        <f>F1358*Summary!$B$5</f>
        <v/>
      </c>
      <c r="J1358" s="7">
        <f>G1358*Summary!$B$5</f>
        <v/>
      </c>
      <c r="K1358" s="7">
        <f>H1358*Summary!$B$5</f>
        <v/>
      </c>
    </row>
    <row r="1359">
      <c r="A1359" s="8" t="n">
        <v>46232</v>
      </c>
      <c r="B1359" t="inlineStr">
        <is>
          <t>FY26-27</t>
        </is>
      </c>
      <c r="C1359" t="inlineStr"/>
      <c r="D1359" t="inlineStr"/>
      <c r="E1359" t="n">
        <v>0</v>
      </c>
      <c r="F1359" t="n">
        <v>0</v>
      </c>
      <c r="G1359" t="n">
        <v>10429.67</v>
      </c>
      <c r="H1359" t="n">
        <v>-16.84</v>
      </c>
      <c r="I1359" s="7">
        <f>F1359*Summary!$B$5</f>
        <v/>
      </c>
      <c r="J1359" s="7">
        <f>G1359*Summary!$B$5</f>
        <v/>
      </c>
      <c r="K1359" s="7">
        <f>H1359*Summary!$B$5</f>
        <v/>
      </c>
    </row>
    <row r="1360">
      <c r="A1360" s="8" t="n">
        <v>46233</v>
      </c>
      <c r="B1360" t="inlineStr">
        <is>
          <t>FY26-27</t>
        </is>
      </c>
      <c r="C1360" t="inlineStr">
        <is>
          <t>n/a</t>
        </is>
      </c>
      <c r="D1360" t="inlineStr"/>
      <c r="E1360" t="n">
        <v>0</v>
      </c>
      <c r="F1360" t="n">
        <v>-3.55</v>
      </c>
      <c r="G1360" t="n">
        <v>10426.11</v>
      </c>
      <c r="H1360" t="n">
        <v>-20.39</v>
      </c>
      <c r="I1360" s="7">
        <f>F1360*Summary!$B$5</f>
        <v/>
      </c>
      <c r="J1360" s="7">
        <f>G1360*Summary!$B$5</f>
        <v/>
      </c>
      <c r="K1360" s="7">
        <f>H1360*Summary!$B$5</f>
        <v/>
      </c>
    </row>
    <row r="1361">
      <c r="A1361" s="8" t="n">
        <v>46234</v>
      </c>
      <c r="B1361" t="inlineStr">
        <is>
          <t>FY26-27</t>
        </is>
      </c>
      <c r="C1361" t="inlineStr">
        <is>
          <t>n/a</t>
        </is>
      </c>
      <c r="D1361" t="inlineStr"/>
      <c r="E1361" t="n">
        <v>0</v>
      </c>
      <c r="F1361" t="n">
        <v>7.19</v>
      </c>
      <c r="G1361" t="n">
        <v>10433.3</v>
      </c>
      <c r="H1361" t="n">
        <v>-13.21</v>
      </c>
      <c r="I1361" s="7">
        <f>F1361*Summary!$B$5</f>
        <v/>
      </c>
      <c r="J1361" s="7">
        <f>G1361*Summary!$B$5</f>
        <v/>
      </c>
      <c r="K1361" s="7">
        <f>H1361*Summary!$B$5</f>
        <v/>
      </c>
    </row>
    <row r="1362">
      <c r="A1362" s="8" t="n">
        <v>46237</v>
      </c>
      <c r="B1362" t="inlineStr">
        <is>
          <t>FY26-27</t>
        </is>
      </c>
      <c r="C1362" t="inlineStr"/>
      <c r="D1362" t="inlineStr"/>
      <c r="E1362" t="n">
        <v>0</v>
      </c>
      <c r="F1362" t="n">
        <v>0</v>
      </c>
      <c r="G1362" t="n">
        <v>10433.3</v>
      </c>
      <c r="H1362" t="n">
        <v>-13.21</v>
      </c>
      <c r="I1362" s="7">
        <f>F1362*Summary!$B$5</f>
        <v/>
      </c>
      <c r="J1362" s="7">
        <f>G1362*Summary!$B$5</f>
        <v/>
      </c>
      <c r="K1362" s="7">
        <f>H1362*Summary!$B$5</f>
        <v/>
      </c>
    </row>
    <row r="1363">
      <c r="A1363" s="8" t="n">
        <v>46238</v>
      </c>
      <c r="B1363" t="inlineStr">
        <is>
          <t>FY26-27</t>
        </is>
      </c>
      <c r="C1363" t="inlineStr">
        <is>
          <t>NW</t>
        </is>
      </c>
      <c r="D1363" t="inlineStr"/>
      <c r="E1363" t="n">
        <v>1</v>
      </c>
      <c r="F1363" t="n">
        <v>-21.69</v>
      </c>
      <c r="G1363" t="n">
        <v>10411.61</v>
      </c>
      <c r="H1363" t="n">
        <v>-34.89</v>
      </c>
      <c r="I1363" s="7">
        <f>F1363*Summary!$B$5</f>
        <v/>
      </c>
      <c r="J1363" s="7">
        <f>G1363*Summary!$B$5</f>
        <v/>
      </c>
      <c r="K1363" s="7">
        <f>H1363*Summary!$B$5</f>
        <v/>
      </c>
    </row>
    <row r="1364">
      <c r="A1364" s="8" t="n">
        <v>46239</v>
      </c>
      <c r="B1364" t="inlineStr">
        <is>
          <t>FY26-27</t>
        </is>
      </c>
      <c r="C1364" t="inlineStr"/>
      <c r="D1364" t="inlineStr"/>
      <c r="E1364" t="n">
        <v>0</v>
      </c>
      <c r="F1364" t="n">
        <v>0</v>
      </c>
      <c r="G1364" t="n">
        <v>10411.61</v>
      </c>
      <c r="H1364" t="n">
        <v>-34.89</v>
      </c>
      <c r="I1364" s="7">
        <f>F1364*Summary!$B$5</f>
        <v/>
      </c>
      <c r="J1364" s="7">
        <f>G1364*Summary!$B$5</f>
        <v/>
      </c>
      <c r="K1364" s="7">
        <f>H1364*Summary!$B$5</f>
        <v/>
      </c>
    </row>
    <row r="1365">
      <c r="A1365" s="8" t="n">
        <v>46240</v>
      </c>
      <c r="B1365" t="inlineStr">
        <is>
          <t>FY26-27</t>
        </is>
      </c>
      <c r="C1365" t="inlineStr">
        <is>
          <t>n/a</t>
        </is>
      </c>
      <c r="D1365" t="inlineStr"/>
      <c r="E1365" t="n">
        <v>0</v>
      </c>
      <c r="F1365" t="n">
        <v>-5.52</v>
      </c>
      <c r="G1365" t="n">
        <v>10406.09</v>
      </c>
      <c r="H1365" t="n">
        <v>-40.41</v>
      </c>
      <c r="I1365" s="7">
        <f>F1365*Summary!$B$5</f>
        <v/>
      </c>
      <c r="J1365" s="7">
        <f>G1365*Summary!$B$5</f>
        <v/>
      </c>
      <c r="K1365" s="7">
        <f>H1365*Summary!$B$5</f>
        <v/>
      </c>
    </row>
    <row r="1366">
      <c r="A1366" s="8" t="n">
        <v>46241</v>
      </c>
      <c r="B1366" t="inlineStr">
        <is>
          <t>FY26-27</t>
        </is>
      </c>
      <c r="C1366" t="inlineStr">
        <is>
          <t>CW</t>
        </is>
      </c>
      <c r="D1366" t="inlineStr">
        <is>
          <t>09:16</t>
        </is>
      </c>
      <c r="E1366" t="n">
        <v>4</v>
      </c>
      <c r="F1366" t="n">
        <v>25.65</v>
      </c>
      <c r="G1366" t="n">
        <v>10431.74</v>
      </c>
      <c r="H1366" t="n">
        <v>-14.77</v>
      </c>
      <c r="I1366" s="7">
        <f>F1366*Summary!$B$5</f>
        <v/>
      </c>
      <c r="J1366" s="7">
        <f>G1366*Summary!$B$5</f>
        <v/>
      </c>
      <c r="K1366" s="7">
        <f>H1366*Summary!$B$5</f>
        <v/>
      </c>
    </row>
    <row r="1367">
      <c r="A1367" s="8" t="n">
        <v>46244</v>
      </c>
      <c r="B1367" t="inlineStr">
        <is>
          <t>FY26-27</t>
        </is>
      </c>
      <c r="C1367" t="inlineStr">
        <is>
          <t>CW</t>
        </is>
      </c>
      <c r="D1367" t="inlineStr">
        <is>
          <t>09:17</t>
        </is>
      </c>
      <c r="E1367" t="n">
        <v>2</v>
      </c>
      <c r="F1367" t="n">
        <v>47.27</v>
      </c>
      <c r="G1367" t="n">
        <v>10479.01</v>
      </c>
      <c r="H1367" t="n">
        <v>0</v>
      </c>
      <c r="I1367" s="7">
        <f>F1367*Summary!$B$5</f>
        <v/>
      </c>
      <c r="J1367" s="7">
        <f>G1367*Summary!$B$5</f>
        <v/>
      </c>
      <c r="K1367" s="7">
        <f>H1367*Summary!$B$5</f>
        <v/>
      </c>
    </row>
    <row r="1368">
      <c r="A1368" s="8" t="n">
        <v>46245</v>
      </c>
      <c r="B1368" t="inlineStr">
        <is>
          <t>FY26-27</t>
        </is>
      </c>
      <c r="C1368" t="inlineStr">
        <is>
          <t>CW</t>
        </is>
      </c>
      <c r="D1368" t="inlineStr">
        <is>
          <t>09:16</t>
        </is>
      </c>
      <c r="E1368" t="n">
        <v>1</v>
      </c>
      <c r="F1368" t="n">
        <v>50.97</v>
      </c>
      <c r="G1368" t="n">
        <v>10529.98</v>
      </c>
      <c r="H1368" t="n">
        <v>0</v>
      </c>
      <c r="I1368" s="7">
        <f>F1368*Summary!$B$5</f>
        <v/>
      </c>
      <c r="J1368" s="7">
        <f>G1368*Summary!$B$5</f>
        <v/>
      </c>
      <c r="K1368" s="7">
        <f>H1368*Summary!$B$5</f>
        <v/>
      </c>
    </row>
    <row r="1369">
      <c r="A1369" s="8" t="n">
        <v>46246</v>
      </c>
      <c r="B1369" t="inlineStr">
        <is>
          <t>FY26-27</t>
        </is>
      </c>
      <c r="C1369" t="inlineStr">
        <is>
          <t>CW</t>
        </is>
      </c>
      <c r="D1369" t="inlineStr">
        <is>
          <t>09:18</t>
        </is>
      </c>
      <c r="E1369" t="n">
        <v>6</v>
      </c>
      <c r="F1369" t="n">
        <v>14.05</v>
      </c>
      <c r="G1369" t="n">
        <v>10544.03</v>
      </c>
      <c r="H1369" t="n">
        <v>0</v>
      </c>
      <c r="I1369" s="7">
        <f>F1369*Summary!$B$5</f>
        <v/>
      </c>
      <c r="J1369" s="7">
        <f>G1369*Summary!$B$5</f>
        <v/>
      </c>
      <c r="K1369" s="7">
        <f>H1369*Summary!$B$5</f>
        <v/>
      </c>
    </row>
    <row r="1370">
      <c r="A1370" s="8" t="n">
        <v>46247</v>
      </c>
      <c r="B1370" t="inlineStr">
        <is>
          <t>FY26-27</t>
        </is>
      </c>
      <c r="C1370" t="inlineStr">
        <is>
          <t>CW</t>
        </is>
      </c>
      <c r="D1370" t="inlineStr">
        <is>
          <t>09:18</t>
        </is>
      </c>
      <c r="E1370" t="n">
        <v>5</v>
      </c>
      <c r="F1370" t="n">
        <v>21.91</v>
      </c>
      <c r="G1370" t="n">
        <v>10565.94</v>
      </c>
      <c r="H1370" t="n">
        <v>0</v>
      </c>
      <c r="I1370" s="7">
        <f>F1370*Summary!$B$5</f>
        <v/>
      </c>
      <c r="J1370" s="7">
        <f>G1370*Summary!$B$5</f>
        <v/>
      </c>
      <c r="K1370" s="7">
        <f>H1370*Summary!$B$5</f>
        <v/>
      </c>
    </row>
    <row r="1371">
      <c r="A1371" s="8" t="n">
        <v>46248</v>
      </c>
      <c r="B1371" t="inlineStr">
        <is>
          <t>FY26-27</t>
        </is>
      </c>
      <c r="C1371" t="inlineStr"/>
      <c r="D1371" t="inlineStr"/>
      <c r="E1371" t="n">
        <v>0</v>
      </c>
      <c r="F1371" t="n">
        <v>0</v>
      </c>
      <c r="G1371" t="n">
        <v>10565.94</v>
      </c>
      <c r="H1371" t="n">
        <v>0</v>
      </c>
      <c r="I1371" s="7">
        <f>F1371*Summary!$B$5</f>
        <v/>
      </c>
      <c r="J1371" s="7">
        <f>G1371*Summary!$B$5</f>
        <v/>
      </c>
      <c r="K1371" s="7">
        <f>H1371*Summary!$B$5</f>
        <v/>
      </c>
    </row>
    <row r="1372">
      <c r="A1372" s="8" t="n">
        <v>46251</v>
      </c>
      <c r="B1372" t="inlineStr">
        <is>
          <t>FY26-27</t>
        </is>
      </c>
      <c r="C1372" t="inlineStr"/>
      <c r="D1372" t="inlineStr"/>
      <c r="E1372" t="n">
        <v>0</v>
      </c>
      <c r="F1372" t="n">
        <v>0</v>
      </c>
      <c r="G1372" t="n">
        <v>10565.94</v>
      </c>
      <c r="H1372" t="n">
        <v>0</v>
      </c>
      <c r="I1372" s="7">
        <f>F1372*Summary!$B$5</f>
        <v/>
      </c>
      <c r="J1372" s="7">
        <f>G1372*Summary!$B$5</f>
        <v/>
      </c>
      <c r="K1372" s="7">
        <f>H1372*Summary!$B$5</f>
        <v/>
      </c>
    </row>
    <row r="1373">
      <c r="A1373" s="8" t="n">
        <v>46252</v>
      </c>
      <c r="B1373" t="inlineStr">
        <is>
          <t>FY26-27</t>
        </is>
      </c>
      <c r="C1373" t="inlineStr">
        <is>
          <t>CW</t>
        </is>
      </c>
      <c r="D1373" t="inlineStr">
        <is>
          <t>09:18</t>
        </is>
      </c>
      <c r="E1373" t="n">
        <v>1</v>
      </c>
      <c r="F1373" t="n">
        <v>14.61</v>
      </c>
      <c r="G1373" t="n">
        <v>10580.55</v>
      </c>
      <c r="H1373" t="n">
        <v>0</v>
      </c>
      <c r="I1373" s="7">
        <f>F1373*Summary!$B$5</f>
        <v/>
      </c>
      <c r="J1373" s="7">
        <f>G1373*Summary!$B$5</f>
        <v/>
      </c>
      <c r="K1373" s="7">
        <f>H1373*Summary!$B$5</f>
        <v/>
      </c>
    </row>
    <row r="1374">
      <c r="A1374" s="8" t="n">
        <v>46253</v>
      </c>
      <c r="B1374" t="inlineStr">
        <is>
          <t>FY26-27</t>
        </is>
      </c>
      <c r="C1374" t="inlineStr">
        <is>
          <t>CW</t>
        </is>
      </c>
      <c r="D1374" t="inlineStr">
        <is>
          <t>09:18</t>
        </is>
      </c>
      <c r="E1374" t="n">
        <v>6</v>
      </c>
      <c r="F1374" t="n">
        <v>19.7</v>
      </c>
      <c r="G1374" t="n">
        <v>10600.25</v>
      </c>
      <c r="H1374" t="n">
        <v>0</v>
      </c>
      <c r="I1374" s="7">
        <f>F1374*Summary!$B$5</f>
        <v/>
      </c>
      <c r="J1374" s="7">
        <f>G1374*Summary!$B$5</f>
        <v/>
      </c>
      <c r="K1374" s="7">
        <f>H1374*Summary!$B$5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2026-10-13T07:49:25Z</dcterms:created>
  <dcterms:modified xsi:type="dcterms:W3CDTF">2026-10-13T07:49:25Z</dcterms:modified>
</cp:coreProperties>
</file>