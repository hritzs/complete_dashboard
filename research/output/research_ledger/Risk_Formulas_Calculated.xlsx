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sk_Inputs" sheetId="1" state="visible" r:id="rId3"/>
    <sheet name="Risk_Coefs" sheetId="2" state="visible" r:id="rId4"/>
    <sheet name="Risk_Rank_Keys" sheetId="3" state="visible" r:id="rId5"/>
    <sheet name="Risk_Excel_Formulas" sheetId="4" state="visible" r:id="rId6"/>
    <sheet name="Risk_Trade_Replay" sheetId="5" state="visible" r:id="rId7"/>
    <sheet name="Formula_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<sst xmlns="http://schemas.openxmlformats.org/spreadsheetml/2006/main" count="8181" uniqueCount="3146">
  <si>
    <t xml:space="preserve">Date</t>
  </si>
  <si>
    <t xml:space="preserve">Intercept</t>
  </si>
  <si>
    <t xml:space="preserve">IV</t>
  </si>
  <si>
    <t xml:space="preserve">RV10</t>
  </si>
  <si>
    <t xml:space="preserve">RV20</t>
  </si>
  <si>
    <t xml:space="preserve">VRP10</t>
  </si>
  <si>
    <t xml:space="preserve">VRP20</t>
  </si>
  <si>
    <t xml:space="preserve">SPREAD20</t>
  </si>
  <si>
    <t xml:space="preserve">RV_TREND</t>
  </si>
  <si>
    <t xml:space="preserve">IV_Ratio</t>
  </si>
  <si>
    <t xml:space="preserve">Str_Ratio</t>
  </si>
  <si>
    <t xml:space="preserve">Norm_OG</t>
  </si>
  <si>
    <t xml:space="preserve">Adj_IV_Chg</t>
  </si>
  <si>
    <t xml:space="preserve">Fixed_IDV</t>
  </si>
  <si>
    <t xml:space="preserve">u_range_bps</t>
  </si>
  <si>
    <t xml:space="preserve">str_range_pct</t>
  </si>
  <si>
    <t xml:space="preserve">str_chg_abs</t>
  </si>
  <si>
    <t xml:space="preserve">spread_pct</t>
  </si>
  <si>
    <t xml:space="preserve">CW Stage=09:17</t>
  </si>
  <si>
    <t xml:space="preserve">CW Stage=09:18</t>
  </si>
  <si>
    <t xml:space="preserve">CW Stage=09:19</t>
  </si>
  <si>
    <t xml:space="preserve">CW Stage=09:20+</t>
  </si>
  <si>
    <t xml:space="preserve">CW DTE=2.0</t>
  </si>
  <si>
    <t xml:space="preserve">CW DTE=3.0</t>
  </si>
  <si>
    <t xml:space="preserve">CW DTE=4.0</t>
  </si>
  <si>
    <t xml:space="preserve">CW DTE=5.0</t>
  </si>
  <si>
    <t xml:space="preserve">CW Weekday=1</t>
  </si>
  <si>
    <t xml:space="preserve">CW Weekday=2</t>
  </si>
  <si>
    <t xml:space="preserve">CW Weekday=3</t>
  </si>
  <si>
    <t xml:space="preserve">CW Weekday=4</t>
  </si>
  <si>
    <t xml:space="preserve">CW Weekday=5</t>
  </si>
  <si>
    <t xml:space="preserve">CW Weekday=6</t>
  </si>
  <si>
    <t xml:space="preserve">CW Event</t>
  </si>
  <si>
    <t xml:space="preserve">NW</t>
  </si>
  <si>
    <t xml:space="preserve">Prev_flat_DD</t>
  </si>
  <si>
    <t xml:space="preserve">Prev_flat_loss_streak</t>
  </si>
  <si>
    <t xml:space="preserve">2021-01-01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</si>
  <si>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</si>
  <si>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</si>
  <si>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</si>
  <si>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</si>
  <si>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</si>
  <si>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</si>
  <si>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</si>
  <si>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</si>
  <si>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</si>
  <si>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</si>
  <si>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</si>
  <si>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</si>
  <si>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</si>
  <si>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</si>
  <si>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</si>
  <si>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</si>
  <si>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</si>
  <si>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</si>
  <si>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</si>
  <si>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</si>
  <si>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</si>
  <si>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</si>
  <si>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</si>
  <si>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</si>
  <si>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</si>
  <si>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</si>
  <si>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</si>
  <si>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</si>
  <si>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</si>
  <si>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</si>
  <si>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</si>
  <si>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</si>
  <si>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</si>
  <si>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</si>
  <si>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</si>
  <si>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</si>
  <si>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</si>
  <si>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</si>
  <si>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</si>
  <si>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</si>
  <si>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</si>
  <si>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</si>
  <si>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</si>
  <si>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</si>
  <si>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</si>
  <si>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</si>
  <si>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</si>
  <si>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</si>
  <si>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</si>
  <si>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</si>
  <si>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</si>
  <si>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</si>
  <si>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</si>
  <si>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</si>
  <si>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</si>
  <si>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</si>
  <si>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</si>
  <si>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</si>
  <si>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</si>
  <si>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</si>
  <si>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2021-04-15</t>
  </si>
  <si>
    <t xml:space="preserve">2021-04-16</t>
  </si>
  <si>
    <t xml:space="preserve">2021-04-19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</si>
  <si>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</si>
  <si>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</si>
  <si>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</si>
  <si>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</si>
  <si>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</si>
  <si>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2021-04-30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</si>
  <si>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</si>
  <si>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</si>
  <si>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</si>
  <si>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</si>
  <si>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2021-05-12</t>
  </si>
  <si>
    <t xml:space="preserve">2021-05-14</t>
  </si>
  <si>
    <t xml:space="preserve">2021-05-19</t>
  </si>
  <si>
    <t xml:space="preserve">2021-05-20</t>
  </si>
  <si>
    <t xml:space="preserve">2021-05-24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</si>
  <si>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</si>
  <si>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</si>
  <si>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</si>
  <si>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</si>
  <si>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</si>
  <si>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</si>
  <si>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</si>
  <si>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</si>
  <si>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</si>
  <si>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</si>
  <si>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</si>
  <si>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</si>
  <si>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</si>
  <si>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</si>
  <si>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</si>
  <si>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</si>
  <si>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</si>
  <si>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</si>
  <si>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2021-06-23</t>
  </si>
  <si>
    <t xml:space="preserve">2021-06-24</t>
  </si>
  <si>
    <t xml:space="preserve">2021-06-25</t>
  </si>
  <si>
    <t xml:space="preserve">2021-06-29</t>
  </si>
  <si>
    <t xml:space="preserve">2021-07-02</t>
  </si>
  <si>
    <t xml:space="preserve">2021-07-09</t>
  </si>
  <si>
    <t xml:space="preserve">2021-07-16</t>
  </si>
  <si>
    <t xml:space="preserve">2021-07-19</t>
  </si>
  <si>
    <t xml:space="preserve">2021-07-20</t>
  </si>
  <si>
    <t xml:space="preserve">2021-07-26</t>
  </si>
  <si>
    <t xml:space="preserve">2021-07-28</t>
  </si>
  <si>
    <t xml:space="preserve">2021-07-29</t>
  </si>
  <si>
    <t xml:space="preserve">2021-08-03</t>
  </si>
  <si>
    <t xml:space="preserve">2021-08-04</t>
  </si>
  <si>
    <t xml:space="preserve">2021-08-05</t>
  </si>
  <si>
    <t xml:space="preserve">2021-08-11</t>
  </si>
  <si>
    <t xml:space="preserve">2021-08-12</t>
  </si>
  <si>
    <t xml:space="preserve">2021-08-16</t>
  </si>
  <si>
    <t xml:space="preserve">2021-08-17</t>
  </si>
  <si>
    <t xml:space="preserve">2021-08-30</t>
  </si>
  <si>
    <t xml:space="preserve">2021-08-31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</si>
  <si>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</si>
  <si>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</si>
  <si>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</si>
  <si>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</si>
  <si>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</si>
  <si>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</si>
  <si>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2021-09-13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</si>
  <si>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</si>
  <si>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</si>
  <si>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</si>
  <si>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</si>
  <si>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</si>
  <si>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</si>
  <si>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</si>
  <si>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</si>
  <si>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2021-10-05</t>
  </si>
  <si>
    <t xml:space="preserve">2021-10-06</t>
  </si>
  <si>
    <t xml:space="preserve">2021-10-07</t>
  </si>
  <si>
    <t xml:space="preserve">2021-10-11</t>
  </si>
  <si>
    <t xml:space="preserve">2021-10-12</t>
  </si>
  <si>
    <t xml:space="preserve">2021-10-13</t>
  </si>
  <si>
    <t xml:space="preserve">2021-10-19</t>
  </si>
  <si>
    <t xml:space="preserve">2021-10-20</t>
  </si>
  <si>
    <t xml:space="preserve">2021-10-21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</si>
  <si>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</si>
  <si>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</si>
  <si>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</si>
  <si>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</si>
  <si>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</si>
  <si>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2021-11-02</t>
  </si>
  <si>
    <t xml:space="preserve">2021-11-03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</si>
  <si>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</si>
  <si>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</si>
  <si>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</si>
  <si>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</si>
  <si>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2021-11-16</t>
  </si>
  <si>
    <t xml:space="preserve">2021-11-17</t>
  </si>
  <si>
    <t xml:space="preserve">2021-11-18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</si>
  <si>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</si>
  <si>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</si>
  <si>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</si>
  <si>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</si>
  <si>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</si>
  <si>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</si>
  <si>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</si>
  <si>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</si>
  <si>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</si>
  <si>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</si>
  <si>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</si>
  <si>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</si>
  <si>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</si>
  <si>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</si>
  <si>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</si>
  <si>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</si>
  <si>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2021-12-15</t>
  </si>
  <si>
    <t xml:space="preserve">2021-12-16</t>
  </si>
  <si>
    <t xml:space="preserve">2021-12-20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</si>
  <si>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</si>
  <si>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</si>
  <si>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</si>
  <si>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</si>
  <si>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</si>
  <si>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</si>
  <si>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</si>
  <si>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</si>
  <si>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</si>
  <si>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</si>
  <si>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</si>
  <si>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</si>
  <si>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</si>
  <si>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</si>
  <si>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</si>
  <si>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</si>
  <si>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</si>
  <si>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</si>
  <si>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</si>
  <si>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</si>
  <si>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</si>
  <si>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2022-01-27</t>
  </si>
  <si>
    <t xml:space="preserve">2022-01-31</t>
  </si>
  <si>
    <t xml:space="preserve">2022-02-01</t>
  </si>
  <si>
    <t xml:space="preserve">2022-02-03</t>
  </si>
  <si>
    <t xml:space="preserve">2022-02-04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</si>
  <si>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</si>
  <si>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</si>
  <si>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</si>
  <si>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</si>
  <si>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</si>
  <si>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</si>
  <si>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</si>
  <si>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</si>
  <si>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</si>
  <si>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</si>
  <si>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</si>
  <si>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2022-03-02</t>
  </si>
  <si>
    <t xml:space="preserve">2022-03-03</t>
  </si>
  <si>
    <t xml:space="preserve">2022-03-09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</si>
  <si>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</si>
  <si>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</si>
  <si>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</si>
  <si>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</si>
  <si>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</si>
  <si>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</si>
  <si>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</si>
  <si>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</si>
  <si>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</si>
  <si>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</si>
  <si>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</si>
  <si>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</si>
  <si>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</si>
  <si>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</si>
  <si>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</si>
  <si>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</si>
  <si>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</si>
  <si>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</si>
  <si>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</si>
  <si>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</si>
  <si>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2022-04-13</t>
  </si>
  <si>
    <t xml:space="preserve">2022-04-18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</si>
  <si>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</si>
  <si>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</si>
  <si>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</si>
  <si>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</si>
  <si>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2022-04-27</t>
  </si>
  <si>
    <t xml:space="preserve">2022-04-28</t>
  </si>
  <si>
    <t xml:space="preserve">2022-05-02</t>
  </si>
  <si>
    <t xml:space="preserve">2022-05-04</t>
  </si>
  <si>
    <t xml:space="preserve">2022-05-05</t>
  </si>
  <si>
    <t xml:space="preserve">2022-05-06</t>
  </si>
  <si>
    <t xml:space="preserve">2022-05-10</t>
  </si>
  <si>
    <t xml:space="preserve">2022-05-11</t>
  </si>
  <si>
    <t xml:space="preserve">2022-05-12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</si>
  <si>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</si>
  <si>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</si>
  <si>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</si>
  <si>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</si>
  <si>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</si>
  <si>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</si>
  <si>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</si>
  <si>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</si>
  <si>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</si>
  <si>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</si>
  <si>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</si>
  <si>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</si>
  <si>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</si>
  <si>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</si>
  <si>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</si>
  <si>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</si>
  <si>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</si>
  <si>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2022-06-13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</si>
  <si>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</si>
  <si>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</si>
  <si>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</si>
  <si>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</si>
  <si>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</si>
  <si>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</si>
  <si>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</si>
  <si>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</si>
  <si>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</si>
  <si>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</si>
  <si>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</si>
  <si>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</si>
  <si>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</si>
  <si>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</si>
  <si>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</si>
  <si>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</si>
  <si>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2022-07-12</t>
  </si>
  <si>
    <t xml:space="preserve">2022-07-13</t>
  </si>
  <si>
    <t xml:space="preserve">2022-07-14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</si>
  <si>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</si>
  <si>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</si>
  <si>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</si>
  <si>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</si>
  <si>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</si>
  <si>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</si>
  <si>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</si>
  <si>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2022-08-02</t>
  </si>
  <si>
    <t xml:space="preserve">2022-08-03</t>
  </si>
  <si>
    <t xml:space="preserve">2022-08-04</t>
  </si>
  <si>
    <t xml:space="preserve">2022-08-10</t>
  </si>
  <si>
    <t xml:space="preserve">2022-08-11</t>
  </si>
  <si>
    <t xml:space="preserve">2022-08-16</t>
  </si>
  <si>
    <t xml:space="preserve">2022-08-18</t>
  </si>
  <si>
    <t xml:space="preserve">2022-08-19</t>
  </si>
  <si>
    <t xml:space="preserve">2022-08-23</t>
  </si>
  <si>
    <t xml:space="preserve">2022-08-24</t>
  </si>
  <si>
    <t xml:space="preserve">2022-08-25</t>
  </si>
  <si>
    <t xml:space="preserve">2022-08-29</t>
  </si>
  <si>
    <t xml:space="preserve">2022-09-01</t>
  </si>
  <si>
    <t xml:space="preserve">2022-09-06</t>
  </si>
  <si>
    <t xml:space="preserve">2022-09-07</t>
  </si>
  <si>
    <t xml:space="preserve">2022-09-08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</si>
  <si>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</si>
  <si>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</si>
  <si>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</si>
  <si>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</si>
  <si>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</si>
  <si>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</si>
  <si>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</si>
  <si>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</si>
  <si>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</si>
  <si>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</si>
  <si>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</si>
  <si>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</si>
  <si>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</si>
  <si>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</si>
  <si>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2022-10-06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</si>
  <si>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</si>
  <si>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</si>
  <si>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</si>
  <si>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</si>
  <si>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2022-10-18</t>
  </si>
  <si>
    <t xml:space="preserve">2022-10-19</t>
  </si>
  <si>
    <t xml:space="preserve">2022-10-20</t>
  </si>
  <si>
    <t xml:space="preserve">2022-10-27</t>
  </si>
  <si>
    <t xml:space="preserve">2022-11-01</t>
  </si>
  <si>
    <t xml:space="preserve">2022-11-02</t>
  </si>
  <si>
    <t xml:space="preserve">2022-11-03</t>
  </si>
  <si>
    <t xml:space="preserve">2022-11-10</t>
  </si>
  <si>
    <t xml:space="preserve">2022-11-15</t>
  </si>
  <si>
    <t xml:space="preserve">2022-11-16</t>
  </si>
  <si>
    <t xml:space="preserve">2022-11-17</t>
  </si>
  <si>
    <t xml:space="preserve">2022-11-22</t>
  </si>
  <si>
    <t xml:space="preserve">2022-11-25</t>
  </si>
  <si>
    <t xml:space="preserve">2022-11-28</t>
  </si>
  <si>
    <t xml:space="preserve">2022-11-29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</si>
  <si>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</si>
  <si>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</si>
  <si>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</si>
  <si>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</si>
  <si>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</si>
  <si>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2022-12-12</t>
  </si>
  <si>
    <t xml:space="preserve">2022-12-16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</si>
  <si>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</si>
  <si>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</si>
  <si>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</si>
  <si>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</si>
  <si>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2022-12-28</t>
  </si>
  <si>
    <t xml:space="preserve">2022-12-29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</si>
  <si>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</si>
  <si>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</si>
  <si>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</si>
  <si>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</si>
  <si>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</si>
  <si>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</si>
  <si>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</si>
  <si>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</si>
  <si>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</si>
  <si>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</si>
  <si>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</si>
  <si>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</si>
  <si>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</si>
  <si>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</si>
  <si>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</si>
  <si>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</si>
  <si>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</si>
  <si>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</si>
  <si>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</si>
  <si>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</si>
  <si>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2023-02-14</t>
  </si>
  <si>
    <t xml:space="preserve">2023-02-15</t>
  </si>
  <si>
    <t xml:space="preserve">2023-02-21</t>
  </si>
  <si>
    <t xml:space="preserve">2023-02-22</t>
  </si>
  <si>
    <t xml:space="preserve">2023-02-23</t>
  </si>
  <si>
    <t xml:space="preserve">2023-02-28</t>
  </si>
  <si>
    <t xml:space="preserve">2023-03-01</t>
  </si>
  <si>
    <t xml:space="preserve">2023-03-02</t>
  </si>
  <si>
    <t xml:space="preserve">2023-03-08</t>
  </si>
  <si>
    <t xml:space="preserve">2023-03-09</t>
  </si>
  <si>
    <t xml:space="preserve">2023-03-10</t>
  </si>
  <si>
    <t xml:space="preserve">2023-03-16</t>
  </si>
  <si>
    <t xml:space="preserve">2023-03-22</t>
  </si>
  <si>
    <t xml:space="preserve">2023-03-23</t>
  </si>
  <si>
    <t xml:space="preserve">2023-03-27</t>
  </si>
  <si>
    <t xml:space="preserve">2023-03-28</t>
  </si>
  <si>
    <t xml:space="preserve">2023-03-29</t>
  </si>
  <si>
    <t xml:space="preserve">2023-04-05</t>
  </si>
  <si>
    <t xml:space="preserve">2023-04-17</t>
  </si>
  <si>
    <t xml:space="preserve">2023-05-10</t>
  </si>
  <si>
    <t xml:space="preserve">2023-05-15</t>
  </si>
  <si>
    <t xml:space="preserve">2023-05-16</t>
  </si>
  <si>
    <t xml:space="preserve">2023-05-23</t>
  </si>
  <si>
    <t xml:space="preserve">2023-05-29</t>
  </si>
  <si>
    <t xml:space="preserve">2023-05-31</t>
  </si>
  <si>
    <t xml:space="preserve">2023-06-06</t>
  </si>
  <si>
    <t xml:space="preserve">2023-06-12</t>
  </si>
  <si>
    <t xml:space="preserve">2023-06-13</t>
  </si>
  <si>
    <t xml:space="preserve">2023-06-20</t>
  </si>
  <si>
    <t xml:space="preserve">2023-06-27</t>
  </si>
  <si>
    <t xml:space="preserve">2023-06-30</t>
  </si>
  <si>
    <t xml:space="preserve">2023-07-04</t>
  </si>
  <si>
    <t xml:space="preserve">2023-07-07</t>
  </si>
  <si>
    <t xml:space="preserve">2023-07-18</t>
  </si>
  <si>
    <t xml:space="preserve">2023-07-25</t>
  </si>
  <si>
    <t xml:space="preserve">2023-07-28</t>
  </si>
  <si>
    <t xml:space="preserve">2023-08-01</t>
  </si>
  <si>
    <t xml:space="preserve">2023-08-02</t>
  </si>
  <si>
    <t xml:space="preserve">2023-08-03</t>
  </si>
  <si>
    <t xml:space="preserve">2023-08-08</t>
  </si>
  <si>
    <t xml:space="preserve">2023-08-10</t>
  </si>
  <si>
    <t xml:space="preserve">2023-09-11</t>
  </si>
  <si>
    <t xml:space="preserve">2023-09-12</t>
  </si>
  <si>
    <t xml:space="preserve">2023-09-18</t>
  </si>
  <si>
    <t xml:space="preserve">2023-09-25</t>
  </si>
  <si>
    <t xml:space="preserve">2023-09-26</t>
  </si>
  <si>
    <t xml:space="preserve">2023-10-17</t>
  </si>
  <si>
    <t xml:space="preserve">2023-10-18</t>
  </si>
  <si>
    <t xml:space="preserve">2023-10-25</t>
  </si>
  <si>
    <t xml:space="preserve">2023-10-26</t>
  </si>
  <si>
    <t xml:space="preserve">2023-11-13</t>
  </si>
  <si>
    <t xml:space="preserve">2023-11-20</t>
  </si>
  <si>
    <t xml:space="preserve">2023-11-21</t>
  </si>
  <si>
    <t xml:space="preserve">2023-12-05</t>
  </si>
  <si>
    <t xml:space="preserve">2023-12-06</t>
  </si>
  <si>
    <t xml:space="preserve">2023-12-07</t>
  </si>
  <si>
    <t xml:space="preserve">2023-12-12</t>
  </si>
  <si>
    <t xml:space="preserve">2023-12-18</t>
  </si>
  <si>
    <t xml:space="preserve">2023-12-19</t>
  </si>
  <si>
    <t xml:space="preserve">2023-12-21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</si>
  <si>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</si>
  <si>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</si>
  <si>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</si>
  <si>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</si>
  <si>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</si>
  <si>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2024-01-08</t>
  </si>
  <si>
    <t xml:space="preserve">2024-01-10</t>
  </si>
  <si>
    <t xml:space="preserve">2024-01-11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</si>
  <si>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</si>
  <si>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</si>
  <si>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</si>
  <si>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</si>
  <si>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2024-01-23</t>
  </si>
  <si>
    <t xml:space="preserve">2024-01-24</t>
  </si>
  <si>
    <t xml:space="preserve">2024-01-25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</si>
  <si>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</si>
  <si>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</si>
  <si>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</si>
  <si>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</si>
  <si>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</si>
  <si>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</si>
  <si>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</si>
  <si>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</si>
  <si>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</si>
  <si>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2024-02-13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</si>
  <si>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</si>
  <si>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</si>
  <si>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</si>
  <si>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</si>
  <si>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</si>
  <si>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</si>
  <si>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</si>
  <si>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</si>
  <si>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</si>
  <si>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</si>
  <si>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2024-03-02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</si>
  <si>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</si>
  <si>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</si>
  <si>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</si>
  <si>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</si>
  <si>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</si>
  <si>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</si>
  <si>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</si>
  <si>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</si>
  <si>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</si>
  <si>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</si>
  <si>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</si>
  <si>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</si>
  <si>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</si>
  <si>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</si>
  <si>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</si>
  <si>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</si>
  <si>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</si>
  <si>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</si>
  <si>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2024-04-05</t>
  </si>
  <si>
    <t xml:space="preserve">2024-04-08</t>
  </si>
  <si>
    <t xml:space="preserve">2024-04-09</t>
  </si>
  <si>
    <t xml:space="preserve">2024-04-12</t>
  </si>
  <si>
    <t xml:space="preserve">2024-04-15</t>
  </si>
  <si>
    <t xml:space="preserve">2024-04-25</t>
  </si>
  <si>
    <t xml:space="preserve">2024-04-29</t>
  </si>
  <si>
    <t xml:space="preserve">2024-05-02</t>
  </si>
  <si>
    <t xml:space="preserve">2024-05-07</t>
  </si>
  <si>
    <t xml:space="preserve">2024-05-08</t>
  </si>
  <si>
    <t xml:space="preserve">2024-05-09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</si>
  <si>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</si>
  <si>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</si>
  <si>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</si>
  <si>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</si>
  <si>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</si>
  <si>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</si>
  <si>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</si>
  <si>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</si>
  <si>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</si>
  <si>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</si>
  <si>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</si>
  <si>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</si>
  <si>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</si>
  <si>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</si>
  <si>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</si>
  <si>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2024-06-04</t>
  </si>
  <si>
    <t xml:space="preserve">2024-06-05</t>
  </si>
  <si>
    <t xml:space="preserve">2024-06-06</t>
  </si>
  <si>
    <t xml:space="preserve">2024-06-10</t>
  </si>
  <si>
    <t xml:space="preserve">2024-06-11</t>
  </si>
  <si>
    <t xml:space="preserve">2024-06-13</t>
  </si>
  <si>
    <t xml:space="preserve">2024-06-18</t>
  </si>
  <si>
    <t xml:space="preserve">2024-06-19</t>
  </si>
  <si>
    <t xml:space="preserve">2024-06-20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</si>
  <si>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</si>
  <si>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</si>
  <si>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</si>
  <si>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</si>
  <si>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</si>
  <si>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</si>
  <si>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</si>
  <si>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</si>
  <si>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</si>
  <si>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2024-07-10</t>
  </si>
  <si>
    <t xml:space="preserve">2024-07-15</t>
  </si>
  <si>
    <t xml:space="preserve">2024-07-16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</si>
  <si>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</si>
  <si>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</si>
  <si>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</si>
  <si>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</si>
  <si>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</si>
  <si>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</si>
  <si>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</si>
  <si>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2024-07-31</t>
  </si>
  <si>
    <t xml:space="preserve">2024-08-01</t>
  </si>
  <si>
    <t xml:space="preserve">2024-08-05</t>
  </si>
  <si>
    <t xml:space="preserve">2024-08-08</t>
  </si>
  <si>
    <t xml:space="preserve">2024-08-12</t>
  </si>
  <si>
    <t xml:space="preserve">2024-08-13</t>
  </si>
  <si>
    <t xml:space="preserve">2024-08-14</t>
  </si>
  <si>
    <t xml:space="preserve">2024-08-23</t>
  </si>
  <si>
    <t xml:space="preserve">2024-08-26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</si>
  <si>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</si>
  <si>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</si>
  <si>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</si>
  <si>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</si>
  <si>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2024-09-16</t>
  </si>
  <si>
    <t xml:space="preserve">2024-09-17</t>
  </si>
  <si>
    <t xml:space="preserve">2024-09-18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</si>
  <si>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</si>
  <si>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</si>
  <si>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</si>
  <si>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</si>
  <si>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</si>
  <si>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2024-10-03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</si>
  <si>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</si>
  <si>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</si>
  <si>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</si>
  <si>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</si>
  <si>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2024-10-17</t>
  </si>
  <si>
    <t xml:space="preserve">2024-10-18</t>
  </si>
  <si>
    <t xml:space="preserve">2024-10-22</t>
  </si>
  <si>
    <t xml:space="preserve">2024-10-23</t>
  </si>
  <si>
    <t xml:space="preserve">2024-10-24</t>
  </si>
  <si>
    <t xml:space="preserve">2024-10-28</t>
  </si>
  <si>
    <t xml:space="preserve">2024-10-30</t>
  </si>
  <si>
    <t xml:space="preserve">2024-10-31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</si>
  <si>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</si>
  <si>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</si>
  <si>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</si>
  <si>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</si>
  <si>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</si>
  <si>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2024-11-13</t>
  </si>
  <si>
    <t xml:space="preserve">2024-11-14</t>
  </si>
  <si>
    <t xml:space="preserve">2024-11-21</t>
  </si>
  <si>
    <t xml:space="preserve">2024-11-22</t>
  </si>
  <si>
    <t xml:space="preserve">2024-11-27</t>
  </si>
  <si>
    <t xml:space="preserve">2024-11-28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</si>
  <si>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</si>
  <si>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</si>
  <si>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</si>
  <si>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</si>
  <si>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</si>
  <si>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</si>
  <si>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</si>
  <si>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2024-12-13</t>
  </si>
  <si>
    <t xml:space="preserve">2024-12-17</t>
  </si>
  <si>
    <t xml:space="preserve">2024-12-18</t>
  </si>
  <si>
    <t xml:space="preserve">2024-12-19</t>
  </si>
  <si>
    <t xml:space="preserve">2024-12-26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</si>
  <si>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</si>
  <si>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</si>
  <si>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</si>
  <si>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</si>
  <si>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2025-01-06</t>
  </si>
  <si>
    <t xml:space="preserve">2025-01-09</t>
  </si>
  <si>
    <t xml:space="preserve">2025-01-10</t>
  </si>
  <si>
    <t xml:space="preserve">2025-01-13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</si>
  <si>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</si>
  <si>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</si>
  <si>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</si>
  <si>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</si>
  <si>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</si>
  <si>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</si>
  <si>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</si>
  <si>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</si>
  <si>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</si>
  <si>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</si>
  <si>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</si>
  <si>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</si>
  <si>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</si>
  <si>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</si>
  <si>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</si>
  <si>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</si>
  <si>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</si>
  <si>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</si>
  <si>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</si>
  <si>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</si>
  <si>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</si>
  <si>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</si>
  <si>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</si>
  <si>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</si>
  <si>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</si>
  <si>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</si>
  <si>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2025-02-24</t>
  </si>
  <si>
    <t xml:space="preserve">2025-02-28</t>
  </si>
  <si>
    <t xml:space="preserve">2025-03-06</t>
  </si>
  <si>
    <t xml:space="preserve">2025-03-07</t>
  </si>
  <si>
    <t xml:space="preserve">2025-03-11</t>
  </si>
  <si>
    <t xml:space="preserve">2025-03-12</t>
  </si>
  <si>
    <t xml:space="preserve">2025-03-13</t>
  </si>
  <si>
    <t xml:space="preserve">2025-03-18</t>
  </si>
  <si>
    <t xml:space="preserve">2025-03-19</t>
  </si>
  <si>
    <t xml:space="preserve">2025-03-20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</si>
  <si>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</si>
  <si>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</si>
  <si>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</si>
  <si>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</si>
  <si>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</si>
  <si>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</si>
  <si>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</si>
  <si>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</si>
  <si>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</si>
  <si>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</si>
  <si>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</si>
  <si>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2025-04-16</t>
  </si>
  <si>
    <t xml:space="preserve">2025-04-17</t>
  </si>
  <si>
    <t xml:space="preserve">2025-04-21</t>
  </si>
  <si>
    <t xml:space="preserve">2025-04-24</t>
  </si>
  <si>
    <t xml:space="preserve">2025-04-25</t>
  </si>
  <si>
    <t xml:space="preserve">2025-05-07</t>
  </si>
  <si>
    <t xml:space="preserve">2025-05-09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</si>
  <si>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</si>
  <si>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</si>
  <si>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</si>
  <si>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</si>
  <si>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</si>
  <si>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</si>
  <si>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</si>
  <si>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</si>
  <si>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</si>
  <si>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</si>
  <si>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</si>
  <si>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</si>
  <si>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</si>
  <si>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</si>
  <si>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</si>
  <si>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</si>
  <si>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</si>
  <si>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2025-06-09</t>
  </si>
  <si>
    <t xml:space="preserve">2025-06-10</t>
  </si>
  <si>
    <t xml:space="preserve">2025-06-12</t>
  </si>
  <si>
    <t xml:space="preserve">2025-06-13</t>
  </si>
  <si>
    <t xml:space="preserve">2025-06-17</t>
  </si>
  <si>
    <t xml:space="preserve">2025-06-18</t>
  </si>
  <si>
    <t xml:space="preserve">2025-06-25</t>
  </si>
  <si>
    <t xml:space="preserve">2025-06-26</t>
  </si>
  <si>
    <t xml:space="preserve">2025-06-27</t>
  </si>
  <si>
    <t xml:space="preserve">2025-07-01</t>
  </si>
  <si>
    <t xml:space="preserve">2025-07-04</t>
  </si>
  <si>
    <t xml:space="preserve">2025-07-07</t>
  </si>
  <si>
    <t xml:space="preserve">2025-07-08</t>
  </si>
  <si>
    <t xml:space="preserve">2025-07-14</t>
  </si>
  <si>
    <t xml:space="preserve">2025-07-15</t>
  </si>
  <si>
    <t xml:space="preserve">2025-07-18</t>
  </si>
  <si>
    <t xml:space="preserve">2025-07-21</t>
  </si>
  <si>
    <t xml:space="preserve">2025-07-29</t>
  </si>
  <si>
    <t xml:space="preserve">2025-07-31</t>
  </si>
  <si>
    <t xml:space="preserve">2025-08-06</t>
  </si>
  <si>
    <t xml:space="preserve">2025-08-11</t>
  </si>
  <si>
    <t xml:space="preserve">2025-08-18</t>
  </si>
  <si>
    <t xml:space="preserve">2025-08-25</t>
  </si>
  <si>
    <t xml:space="preserve">2025-09-03</t>
  </si>
  <si>
    <t xml:space="preserve">2025-09-11</t>
  </si>
  <si>
    <t xml:space="preserve">2025-09-17</t>
  </si>
  <si>
    <t xml:space="preserve">2025-10-09</t>
  </si>
  <si>
    <t xml:space="preserve">2025-10-17</t>
  </si>
  <si>
    <t xml:space="preserve">2025-10-28</t>
  </si>
  <si>
    <t xml:space="preserve">2025-10-30</t>
  </si>
  <si>
    <t xml:space="preserve">2025-10-31</t>
  </si>
  <si>
    <t xml:space="preserve">2025-11-04</t>
  </si>
  <si>
    <t xml:space="preserve">2025-11-14</t>
  </si>
  <si>
    <t xml:space="preserve">2025-11-20</t>
  </si>
  <si>
    <t xml:space="preserve">2025-12-03</t>
  </si>
  <si>
    <t xml:space="preserve">2025-12-04</t>
  </si>
  <si>
    <t xml:space="preserve">2025-12-11</t>
  </si>
  <si>
    <t xml:space="preserve">2025-12-18</t>
  </si>
  <si>
    <t xml:space="preserve">2026-01-01</t>
  </si>
  <si>
    <t xml:space="preserve">2026-01-08</t>
  </si>
  <si>
    <t xml:space="preserve">2026-01-21</t>
  </si>
  <si>
    <t xml:space="preserve">2026-01-23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</si>
  <si>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</si>
  <si>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</si>
  <si>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</si>
  <si>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</si>
  <si>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2026-02-01</t>
  </si>
  <si>
    <t xml:space="preserve">2026-02-02</t>
  </si>
  <si>
    <t xml:space="preserve">2026-02-03</t>
  </si>
  <si>
    <t xml:space="preserve">2026-02-06</t>
  </si>
  <si>
    <t xml:space="preserve">2026-02-12</t>
  </si>
  <si>
    <t xml:space="preserve">2026-02-17</t>
  </si>
  <si>
    <t xml:space="preserve">2026-02-23</t>
  </si>
  <si>
    <t xml:space="preserve">2026-02-24</t>
  </si>
  <si>
    <t xml:space="preserve">2026-03-02</t>
  </si>
  <si>
    <t xml:space="preserve">2026-03-06</t>
  </si>
  <si>
    <t xml:space="preserve">2026-03-09</t>
  </si>
  <si>
    <t xml:space="preserve">2026-03-10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</si>
  <si>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</si>
  <si>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</si>
  <si>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</si>
  <si>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</si>
  <si>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2026-03-19</t>
  </si>
  <si>
    <t xml:space="preserve">2026-03-23</t>
  </si>
  <si>
    <t xml:space="preserve">2026-03-24</t>
  </si>
  <si>
    <t xml:space="preserve">2026-03-27</t>
  </si>
  <si>
    <t xml:space="preserve">2026-04-06</t>
  </si>
  <si>
    <t xml:space="preserve">2026-04-07</t>
  </si>
  <si>
    <t xml:space="preserve">2026-04-13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</si>
  <si>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</si>
  <si>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</si>
  <si>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</si>
  <si>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</si>
  <si>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</si>
  <si>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2026-04-27</t>
  </si>
  <si>
    <t xml:space="preserve">2026-04-28</t>
  </si>
  <si>
    <t xml:space="preserve">2026-04-30</t>
  </si>
  <si>
    <t xml:space="preserve">2026-05-04</t>
  </si>
  <si>
    <t xml:space="preserve">2026-05-05</t>
  </si>
  <si>
    <t xml:space="preserve">2026-05-08</t>
  </si>
  <si>
    <t xml:space="preserve">2026-05-12</t>
  </si>
  <si>
    <t xml:space="preserve">2026-05-13</t>
  </si>
  <si>
    <t xml:space="preserve">2026-05-15</t>
  </si>
  <si>
    <t xml:space="preserve">2026-05-18</t>
  </si>
  <si>
    <t xml:space="preserve">2026-05-19</t>
  </si>
  <si>
    <t xml:space="preserve">2026-05-26</t>
  </si>
  <si>
    <t xml:space="preserve">2026-05-27</t>
  </si>
  <si>
    <t xml:space="preserve">2026-06-01</t>
  </si>
  <si>
    <t xml:space="preserve">2026-06-02</t>
  </si>
  <si>
    <t xml:space="preserve">2026-06-05</t>
  </si>
  <si>
    <t xml:space="preserve">2026-06-09</t>
  </si>
  <si>
    <t xml:space="preserve">2026-06-11</t>
  </si>
  <si>
    <t xml:space="preserve">2026-06-16</t>
  </si>
  <si>
    <t xml:space="preserve">2026-06-18</t>
  </si>
  <si>
    <t xml:space="preserve">2026-06-19</t>
  </si>
  <si>
    <t xml:space="preserve">2026-06-30</t>
  </si>
  <si>
    <t xml:space="preserve">2026-07-01</t>
  </si>
  <si>
    <t xml:space="preserve">2026-07-02</t>
  </si>
  <si>
    <t xml:space="preserve">2026-07-13</t>
  </si>
  <si>
    <t xml:space="preserve">2026-07-14</t>
  </si>
  <si>
    <t xml:space="preserve">2026-07-21</t>
  </si>
  <si>
    <t xml:space="preserve">2026-07-22</t>
  </si>
  <si>
    <t xml:space="preserve">2026-07-28</t>
  </si>
  <si>
    <t xml:space="preserve">2026-08-07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</si>
  <si>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</si>
  <si>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</si>
  <si>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</si>
  <si>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</si>
  <si>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2026-08-19</t>
  </si>
  <si>
    <t xml:space="preserve">2026-08-27</t>
  </si>
  <si>
    <t xml:space="preserve">2026-09-15</t>
  </si>
  <si>
    <t xml:space="preserve">2026-09-29</t>
  </si>
  <si>
    <t xml:space="preserve">2026-10-01</t>
  </si>
  <si>
    <t xml:space="preserve">2026-10-05</t>
  </si>
  <si>
    <t xml:space="preserve">2026-10-06</t>
  </si>
  <si>
    <t xml:space="preserve">2026-10-08</t>
  </si>
  <si>
    <t xml:space="preserve">2026-10-12</t>
  </si>
  <si>
    <t xml:space="preserve">2026-10-13</t>
  </si>
  <si>
    <t xml:space="preserve">Model</t>
  </si>
  <si>
    <t xml:space="preserve">Logistic</t>
  </si>
  <si>
    <t xml:space="preserve">Downside</t>
  </si>
  <si>
    <t xml:space="preserve">U_order_key</t>
  </si>
  <si>
    <t xml:space="preserve">Straddle_order_key</t>
  </si>
  <si>
    <t xml:space="preserve">Spread_order_key</t>
  </si>
  <si>
    <t xml:space="preserve">U_raw_17digits</t>
  </si>
  <si>
    <t xml:space="preserve">Straddle_raw_17digits</t>
  </si>
  <si>
    <t xml:space="preserve">Spread_raw_17digits</t>
  </si>
  <si>
    <t xml:space="preserve">6.7846238997304011</t>
  </si>
  <si>
    <t xml:space="preserve">1.4535454724022965</t>
  </si>
  <si>
    <t xml:space="preserve">0.31428010214103208</t>
  </si>
  <si>
    <t xml:space="preserve">39.395248997260289</t>
  </si>
  <si>
    <t xml:space="preserve">3.6389083275017535</t>
  </si>
  <si>
    <t xml:space="preserve">0.3265686960578506</t>
  </si>
  <si>
    <t xml:space="preserve">8.5577827885583311</t>
  </si>
  <si>
    <t xml:space="preserve">3.7188872620790758</t>
  </si>
  <si>
    <t xml:space="preserve">0.38067349926793892</t>
  </si>
  <si>
    <t xml:space="preserve">9.3975038540327365</t>
  </si>
  <si>
    <t xml:space="preserve">1.6491228070175601</t>
  </si>
  <si>
    <t xml:space="preserve">0.31578947368421251</t>
  </si>
  <si>
    <t xml:space="preserve">5.8006271708420538</t>
  </si>
  <si>
    <t xml:space="preserve">2.8500619578686459</t>
  </si>
  <si>
    <t xml:space="preserve">0.30978934324658791</t>
  </si>
  <si>
    <t xml:space="preserve">10.382917842991466</t>
  </si>
  <si>
    <t xml:space="preserve">2.8862077123255241</t>
  </si>
  <si>
    <t xml:space="preserve">0.260231842914602</t>
  </si>
  <si>
    <t xml:space="preserve">6.1259240800733474</t>
  </si>
  <si>
    <t xml:space="preserve">1.7466110531803931</t>
  </si>
  <si>
    <t xml:space="preserve">0.31282586027112019</t>
  </si>
  <si>
    <t xml:space="preserve">4.0768782760634004</t>
  </si>
  <si>
    <t xml:space="preserve">2.7191413237924742</t>
  </si>
  <si>
    <t xml:space="preserve">0.3220035778175333</t>
  </si>
  <si>
    <t xml:space="preserve">6.4240637871747959</t>
  </si>
  <si>
    <t xml:space="preserve">3.3197437390797999</t>
  </si>
  <si>
    <t xml:space="preserve">0.46592894583575839</t>
  </si>
  <si>
    <t xml:space="preserve">14.895066822351504</t>
  </si>
  <si>
    <t xml:space="preserve">1.7880670054583101</t>
  </si>
  <si>
    <t xml:space="preserve">0.33879164313947141</t>
  </si>
  <si>
    <t xml:space="preserve">5.10773143756479</t>
  </si>
  <si>
    <t xml:space="preserve">1.1741682974559726</t>
  </si>
  <si>
    <t xml:space="preserve">0.2490660024906661</t>
  </si>
  <si>
    <t xml:space="preserve">10.614307390343289</t>
  </si>
  <si>
    <t xml:space="preserve">5.2358490566037839</t>
  </si>
  <si>
    <t xml:space="preserve">0.56603773584906458</t>
  </si>
  <si>
    <t xml:space="preserve">8.4278745932260524</t>
  </si>
  <si>
    <t xml:space="preserve">7.4086603518268044</t>
  </si>
  <si>
    <t xml:space="preserve">0.47361299052773248</t>
  </si>
  <si>
    <t xml:space="preserve">7.4583317507392879</t>
  </si>
  <si>
    <t xml:space="preserve">1.6354746248524583</t>
  </si>
  <si>
    <t xml:space="preserve">0.28662957342775058</t>
  </si>
  <si>
    <t xml:space="preserve">16.728850325378602</t>
  </si>
  <si>
    <t xml:space="preserve">2.268620758883749</t>
  </si>
  <si>
    <t xml:space="preserve">0.32122063842601772</t>
  </si>
  <si>
    <t xml:space="preserve">37.435211680069074</t>
  </si>
  <si>
    <t xml:space="preserve">9.6825396825396712</t>
  </si>
  <si>
    <t xml:space="preserve">1.3756613756613727</t>
  </si>
  <si>
    <t xml:space="preserve">24.560100115768659</t>
  </si>
  <si>
    <t xml:space="preserve">4.7879616963064295</t>
  </si>
  <si>
    <t xml:space="preserve">0.4559963520291837</t>
  </si>
  <si>
    <t xml:space="preserve">59.808182765185535</t>
  </si>
  <si>
    <t xml:space="preserve">8.0519182173213899</t>
  </si>
  <si>
    <t xml:space="preserve">0.32161727544222501</t>
  </si>
  <si>
    <t xml:space="preserve">11.383308360368233</t>
  </si>
  <si>
    <t xml:space="preserve">1.623073330219521</t>
  </si>
  <si>
    <t xml:space="preserve">0.45539467538533129</t>
  </si>
  <si>
    <t xml:space="preserve">35.667553800269026</t>
  </si>
  <si>
    <t xml:space="preserve">3.1544136352073204</t>
  </si>
  <si>
    <t xml:space="preserve">0.6359704909692262</t>
  </si>
  <si>
    <t xml:space="preserve">26.100975816715422</t>
  </si>
  <si>
    <t xml:space="preserve">12.252811167119049</t>
  </si>
  <si>
    <t xml:space="preserve">0.387747188832892</t>
  </si>
  <si>
    <t xml:space="preserve">18.371403521688112</t>
  </si>
  <si>
    <t xml:space="preserve">8.5873433390066527</t>
  </si>
  <si>
    <t xml:space="preserve">0.61890762803651556</t>
  </si>
  <si>
    <t xml:space="preserve">27.113598001036213</t>
  </si>
  <si>
    <t xml:space="preserve">6.0065213660545922</t>
  </si>
  <si>
    <t xml:space="preserve">0.5148446885189536</t>
  </si>
  <si>
    <t xml:space="preserve">12.9522550801258</t>
  </si>
  <si>
    <t xml:space="preserve">9.4184027777777715</t>
  </si>
  <si>
    <t xml:space="preserve">0.41232638888889012</t>
  </si>
  <si>
    <t xml:space="preserve">10.214775606584974</t>
  </si>
  <si>
    <t xml:space="preserve">4.7881355932203444</t>
  </si>
  <si>
    <t xml:space="preserve">0.3813559322034043</t>
  </si>
  <si>
    <t xml:space="preserve">5.8863571341654763</t>
  </si>
  <si>
    <t xml:space="preserve">1.4448257178977786</t>
  </si>
  <si>
    <t xml:space="preserve">0.50568900126421423</t>
  </si>
  <si>
    <t xml:space="preserve">7.2777366239104371</t>
  </si>
  <si>
    <t xml:space="preserve">2.2838499184339405</t>
  </si>
  <si>
    <t xml:space="preserve">0.29907558455682282</t>
  </si>
  <si>
    <t xml:space="preserve">9.2322500171879405</t>
  </si>
  <si>
    <t xml:space="preserve">2.3499523658304518</t>
  </si>
  <si>
    <t xml:space="preserve">0.47634169577643698</t>
  </si>
  <si>
    <t xml:space="preserve">13.27776828322448</t>
  </si>
  <si>
    <t xml:space="preserve">4.6783625730994132</t>
  </si>
  <si>
    <t xml:space="preserve">0.4385964912280661</t>
  </si>
  <si>
    <t xml:space="preserve">24.591662097271204</t>
  </si>
  <si>
    <t xml:space="preserve">3.9421587192287793</t>
  </si>
  <si>
    <t xml:space="preserve">0.91237734549836658</t>
  </si>
  <si>
    <t xml:space="preserve">23.928002112081369</t>
  </si>
  <si>
    <t xml:space="preserve">4.4529019980970457</t>
  </si>
  <si>
    <t xml:space="preserve">0.60894386298763414</t>
  </si>
  <si>
    <t xml:space="preserve">9.4079469882634328</t>
  </si>
  <si>
    <t xml:space="preserve">1.6845651716150771</t>
  </si>
  <si>
    <t xml:space="preserve">0.42114129290376928</t>
  </si>
  <si>
    <t xml:space="preserve">18.363758562400179</t>
  </si>
  <si>
    <t xml:space="preserve">10.077734591893396</t>
  </si>
  <si>
    <t xml:space="preserve">0.44419766796224941</t>
  </si>
  <si>
    <t xml:space="preserve">30.73736591692688</t>
  </si>
  <si>
    <t xml:space="preserve">23.69158878504674</t>
  </si>
  <si>
    <t xml:space="preserve">0.46728971962616161</t>
  </si>
  <si>
    <t xml:space="preserve">19.738240563602684</t>
  </si>
  <si>
    <t xml:space="preserve">3.4904493610004241</t>
  </si>
  <si>
    <t xml:space="preserve">0.39851587192524851</t>
  </si>
  <si>
    <t xml:space="preserve">20.563695117051477</t>
  </si>
  <si>
    <t xml:space="preserve">6.883468834688351</t>
  </si>
  <si>
    <t xml:space="preserve">0.41553748870822238</t>
  </si>
  <si>
    <t xml:space="preserve">14.249035948091596</t>
  </si>
  <si>
    <t xml:space="preserve">5.5443140428976072</t>
  </si>
  <si>
    <t xml:space="preserve">0.48563334682314963</t>
  </si>
  <si>
    <t xml:space="preserve">52.152024154621465</t>
  </si>
  <si>
    <t xml:space="preserve">9.9749202006383939</t>
  </si>
  <si>
    <t xml:space="preserve">0.75239398084814935</t>
  </si>
  <si>
    <t xml:space="preserve">34.625577647857881</t>
  </si>
  <si>
    <t xml:space="preserve">3.3057851239669631</t>
  </si>
  <si>
    <t xml:space="preserve">0.26017753290480389</t>
  </si>
  <si>
    <t xml:space="preserve">11.663082698546001</t>
  </si>
  <si>
    <t xml:space="preserve">2.7582869586257042</t>
  </si>
  <si>
    <t xml:space="preserve">0.29034599564481411</t>
  </si>
  <si>
    <t xml:space="preserve">4.4736400627632564</t>
  </si>
  <si>
    <t xml:space="preserve">3.2189973614775691</t>
  </si>
  <si>
    <t xml:space="preserve">0.36939313984168259</t>
  </si>
  <si>
    <t xml:space="preserve">12.804097311140049</t>
  </si>
  <si>
    <t xml:space="preserve">2.4607113316790685</t>
  </si>
  <si>
    <t xml:space="preserve">0.37220843672456222</t>
  </si>
  <si>
    <t xml:space="preserve">53.071322352057287</t>
  </si>
  <si>
    <t xml:space="preserve">9.8265895953757294</t>
  </si>
  <si>
    <t xml:space="preserve">0.45237496858506732</t>
  </si>
  <si>
    <t xml:space="preserve">40.447243458053599</t>
  </si>
  <si>
    <t xml:space="preserve">19.061032863849764</t>
  </si>
  <si>
    <t xml:space="preserve">0.37558685446009921</t>
  </si>
  <si>
    <t xml:space="preserve">21.081032591070123</t>
  </si>
  <si>
    <t xml:space="preserve">5.3749680061428213</t>
  </si>
  <si>
    <t xml:space="preserve">0.2687484003071367</t>
  </si>
  <si>
    <t xml:space="preserve">48.012630962873473</t>
  </si>
  <si>
    <t xml:space="preserve">7.3976833976833936</t>
  </si>
  <si>
    <t xml:space="preserve">0.43243243243243418</t>
  </si>
  <si>
    <t xml:space="preserve">34.467814239474421</t>
  </si>
  <si>
    <t xml:space="preserve">14.920757634325458</t>
  </si>
  <si>
    <t xml:space="preserve">0.3478933127174299</t>
  </si>
  <si>
    <t xml:space="preserve">24.055320460913489</t>
  </si>
  <si>
    <t xml:space="preserve">17.182389937106919</t>
  </si>
  <si>
    <t xml:space="preserve">0.3018867924528344</t>
  </si>
  <si>
    <t xml:space="preserve">39.380523350961873</t>
  </si>
  <si>
    <t xml:space="preserve">9.0745408714440003</t>
  </si>
  <si>
    <t xml:space="preserve">0.43212099387828179</t>
  </si>
  <si>
    <t xml:space="preserve">31.777871985495601</t>
  </si>
  <si>
    <t xml:space="preserve">9.6135198780994724</t>
  </si>
  <si>
    <t xml:space="preserve">0.47097936002216062</t>
  </si>
  <si>
    <t xml:space="preserve">27.892635329995237</t>
  </si>
  <si>
    <t xml:space="preserve">5.1494599346897765</t>
  </si>
  <si>
    <t xml:space="preserve">0.2763124843004327</t>
  </si>
  <si>
    <t xml:space="preserve">12.043912918450591</t>
  </si>
  <si>
    <t xml:space="preserve">10.557860765329661</t>
  </si>
  <si>
    <t xml:space="preserve">0.50714615029966159</t>
  </si>
  <si>
    <t xml:space="preserve">61.797847718479488</t>
  </si>
  <si>
    <t xml:space="preserve">14.216784421850766</t>
  </si>
  <si>
    <t xml:space="preserve">0.24125452352231211</t>
  </si>
  <si>
    <t xml:space="preserve">18.183433934661689</t>
  </si>
  <si>
    <t xml:space="preserve">2.1359223300970878</t>
  </si>
  <si>
    <t xml:space="preserve">0.446601941747575</t>
  </si>
  <si>
    <t xml:space="preserve">45.603049278518917</t>
  </si>
  <si>
    <t xml:space="preserve">9.0930902111324325</t>
  </si>
  <si>
    <t xml:space="preserve">0.88771593090211531</t>
  </si>
  <si>
    <t xml:space="preserve">42.891807262073947</t>
  </si>
  <si>
    <t xml:space="preserve">7.9492003762934988</t>
  </si>
  <si>
    <t xml:space="preserve">0.56444026340545095</t>
  </si>
  <si>
    <t xml:space="preserve">35.041567595823963</t>
  </si>
  <si>
    <t xml:space="preserve">4.9970167064439144</t>
  </si>
  <si>
    <t xml:space="preserve">0.52207637231503579</t>
  </si>
  <si>
    <t xml:space="preserve">3.461381605326602</t>
  </si>
  <si>
    <t xml:space="preserve">3.3925686591276212</t>
  </si>
  <si>
    <t xml:space="preserve">0.26925148088314482</t>
  </si>
  <si>
    <t xml:space="preserve">25.700475768860581</t>
  </si>
  <si>
    <t xml:space="preserve">26.576728499156811</t>
  </si>
  <si>
    <t xml:space="preserve">0.43844856661045911</t>
  </si>
  <si>
    <t xml:space="preserve">43.269016989502553</t>
  </si>
  <si>
    <t xml:space="preserve">3.6055808120395039</t>
  </si>
  <si>
    <t xml:space="preserve">0.4232638344568096</t>
  </si>
  <si>
    <t xml:space="preserve">37.324886978845633</t>
  </si>
  <si>
    <t xml:space="preserve">9.1492234976367381</t>
  </si>
  <si>
    <t xml:space="preserve">0.89466576637407325</t>
  </si>
  <si>
    <t xml:space="preserve">31.42355778227487</t>
  </si>
  <si>
    <t xml:space="preserve">15.845896147403709</t>
  </si>
  <si>
    <t xml:space="preserve">0.73701842546062324</t>
  </si>
  <si>
    <t xml:space="preserve">35.501639207187367</t>
  </si>
  <si>
    <t xml:space="preserve">4.6237288135593095</t>
  </si>
  <si>
    <t xml:space="preserve">0.36610169491525268</t>
  </si>
  <si>
    <t xml:space="preserve">13.086467623109479</t>
  </si>
  <si>
    <t xml:space="preserve">2.742324939634353</t>
  </si>
  <si>
    <t xml:space="preserve">0.3966885132804337</t>
  </si>
  <si>
    <t xml:space="preserve">39.307743143518266</t>
  </si>
  <si>
    <t xml:space="preserve">5.8154235145385638</t>
  </si>
  <si>
    <t xml:space="preserve">0.44247787610619949</t>
  </si>
  <si>
    <t xml:space="preserve">10.695659260065341</t>
  </si>
  <si>
    <t xml:space="preserve">2.609478104379138</t>
  </si>
  <si>
    <t xml:space="preserve">0.389922015596884</t>
  </si>
  <si>
    <t xml:space="preserve">22.243062162080051</t>
  </si>
  <si>
    <t xml:space="preserve">2.2077403910094451</t>
  </si>
  <si>
    <t xml:space="preserve">0.42558850911025248</t>
  </si>
  <si>
    <t xml:space="preserve">20.39940244174716</t>
  </si>
  <si>
    <t xml:space="preserve">13.889595522767731</t>
  </si>
  <si>
    <t xml:space="preserve">0.58509285169167713</t>
  </si>
  <si>
    <t xml:space="preserve">24.879436974933121</t>
  </si>
  <si>
    <t xml:space="preserve">26.365688487584656</t>
  </si>
  <si>
    <t xml:space="preserve">0.58690744920993099</t>
  </si>
  <si>
    <t xml:space="preserve">7.5190251567035347</t>
  </si>
  <si>
    <t xml:space="preserve">1.4681286006318486</t>
  </si>
  <si>
    <t xml:space="preserve">0.33451031406801918</t>
  </si>
  <si>
    <t xml:space="preserve">6.867096558077213</t>
  </si>
  <si>
    <t xml:space="preserve">1.8168778388716149</t>
  </si>
  <si>
    <t xml:space="preserve">0.33468802295003719</t>
  </si>
  <si>
    <t xml:space="preserve">24.712058876227463</t>
  </si>
  <si>
    <t xml:space="preserve">22.255639097744364</t>
  </si>
  <si>
    <t xml:space="preserve">0.45112781954887499</t>
  </si>
  <si>
    <t xml:space="preserve">17.991350573346999</t>
  </si>
  <si>
    <t xml:space="preserve">2.4900757849151844</t>
  </si>
  <si>
    <t xml:space="preserve">0.3789245759653595</t>
  </si>
  <si>
    <t xml:space="preserve">5.0779784999063757</t>
  </si>
  <si>
    <t xml:space="preserve">1.4074836937864823</t>
  </si>
  <si>
    <t xml:space="preserve">0.34328870580157911</t>
  </si>
  <si>
    <t xml:space="preserve">9.066002490659784</t>
  </si>
  <si>
    <t xml:space="preserve">5.7549857549857677</t>
  </si>
  <si>
    <t xml:space="preserve">0.56980056980056981</t>
  </si>
  <si>
    <t xml:space="preserve">12.946387497864652</t>
  </si>
  <si>
    <t xml:space="preserve">2.1262309758281108</t>
  </si>
  <si>
    <t xml:space="preserve">0.38048343777977101</t>
  </si>
  <si>
    <t xml:space="preserve">15.779517989631554</t>
  </si>
  <si>
    <t xml:space="preserve">28.497409326424872</t>
  </si>
  <si>
    <t xml:space="preserve">0.51813471502590192</t>
  </si>
  <si>
    <t xml:space="preserve">6.3524165110979904</t>
  </si>
  <si>
    <t xml:space="preserve">2.306733167082299</t>
  </si>
  <si>
    <t xml:space="preserve">0.27015793848711789</t>
  </si>
  <si>
    <t xml:space="preserve">4.2348411934554786</t>
  </si>
  <si>
    <t xml:space="preserve">2.6654411764706025</t>
  </si>
  <si>
    <t xml:space="preserve">0.39828431372549372</t>
  </si>
  <si>
    <t xml:space="preserve">8.648155113824977</t>
  </si>
  <si>
    <t xml:space="preserve">3.87096774193548</t>
  </si>
  <si>
    <t xml:space="preserve">0.37950664136622392</t>
  </si>
  <si>
    <t xml:space="preserve">20.813943110680221</t>
  </si>
  <si>
    <t xml:space="preserve">8.75494940607126</t>
  </si>
  <si>
    <t xml:space="preserve">0.4179498460184789</t>
  </si>
  <si>
    <t xml:space="preserve">6.2351676178473854</t>
  </si>
  <si>
    <t xml:space="preserve">1.3245033112582971</t>
  </si>
  <si>
    <t xml:space="preserve">0.13796909492273729</t>
  </si>
  <si>
    <t xml:space="preserve">5.9093768466809582</t>
  </si>
  <si>
    <t xml:space="preserve">1.7647058823529338</t>
  </si>
  <si>
    <t xml:space="preserve">0.35947712418301397</t>
  </si>
  <si>
    <t xml:space="preserve">5.7460682290041669</t>
  </si>
  <si>
    <t xml:space="preserve">2.5719267654751432</t>
  </si>
  <si>
    <t xml:space="preserve">0.26155187445510403</t>
  </si>
  <si>
    <t xml:space="preserve">7.01660383616752</t>
  </si>
  <si>
    <t xml:space="preserve">4.5454545454545459</t>
  </si>
  <si>
    <t xml:space="preserve">0.36363636363637741</t>
  </si>
  <si>
    <t xml:space="preserve">5.8534486304512212</t>
  </si>
  <si>
    <t xml:space="preserve">1.2275963663147558</t>
  </si>
  <si>
    <t xml:space="preserve">0.2209673459366574</t>
  </si>
  <si>
    <t xml:space="preserve">24.36115734629124</t>
  </si>
  <si>
    <t xml:space="preserve">6.2662506500259925</t>
  </si>
  <si>
    <t xml:space="preserve">0.33801352054081718</t>
  </si>
  <si>
    <t xml:space="preserve">5.0770385413454413</t>
  </si>
  <si>
    <t xml:space="preserve">1.1830201809324905</t>
  </si>
  <si>
    <t xml:space="preserve">0.27835768963118002</t>
  </si>
  <si>
    <t xml:space="preserve">7.3566557211414718</t>
  </si>
  <si>
    <t xml:space="preserve">2.4650780608052592</t>
  </si>
  <si>
    <t xml:space="preserve">0.2875924404272755</t>
  </si>
  <si>
    <t xml:space="preserve">11.639550235023243</t>
  </si>
  <si>
    <t xml:space="preserve">6.6192560175054664</t>
  </si>
  <si>
    <t xml:space="preserve">0.49234135667396361</t>
  </si>
  <si>
    <t xml:space="preserve">16.485930829654496</t>
  </si>
  <si>
    <t xml:space="preserve">4.826144784343537</t>
  </si>
  <si>
    <t xml:space="preserve">0.28500855025650768</t>
  </si>
  <si>
    <t xml:space="preserve">10.859337741515771</t>
  </si>
  <si>
    <t xml:space="preserve">1.9259900454447163</t>
  </si>
  <si>
    <t xml:space="preserve">0.25968405107120041</t>
  </si>
  <si>
    <t xml:space="preserve">8.6281549654555452</t>
  </si>
  <si>
    <t xml:space="preserve">1.6920473773265652</t>
  </si>
  <si>
    <t xml:space="preserve">0.29610829103214409</t>
  </si>
  <si>
    <t xml:space="preserve">10.049771812935004</t>
  </si>
  <si>
    <t xml:space="preserve">6.380753138075308</t>
  </si>
  <si>
    <t xml:space="preserve">0.4707112970711253</t>
  </si>
  <si>
    <t xml:space="preserve">7.8330053788740281</t>
  </si>
  <si>
    <t xml:space="preserve">0.91538289796828898</t>
  </si>
  <si>
    <t xml:space="preserve">0.26791694574682229</t>
  </si>
  <si>
    <t xml:space="preserve">6.9871038928597313</t>
  </si>
  <si>
    <t xml:space="preserve">1.1009751494180562</t>
  </si>
  <si>
    <t xml:space="preserve">0.2516514627241217</t>
  </si>
  <si>
    <t xml:space="preserve">4.6834229130892844</t>
  </si>
  <si>
    <t xml:space="preserve">1.8151354370287629</t>
  </si>
  <si>
    <t xml:space="preserve">0.33510192683608397</t>
  </si>
  <si>
    <t xml:space="preserve">4.1139533177921956</t>
  </si>
  <si>
    <t xml:space="preserve">1.1572980632971268</t>
  </si>
  <si>
    <t xml:space="preserve">0.18894662257912409</t>
  </si>
  <si>
    <t xml:space="preserve">5.2642958534267343</t>
  </si>
  <si>
    <t xml:space="preserve">1.8305284912902069</t>
  </si>
  <si>
    <t xml:space="preserve">0.413345143194569</t>
  </si>
  <si>
    <t xml:space="preserve">8.4872373565595627</t>
  </si>
  <si>
    <t xml:space="preserve">5.2168447517284626</t>
  </si>
  <si>
    <t xml:space="preserve">0.25141420490258048</t>
  </si>
  <si>
    <t xml:space="preserve">10.220181024956403</t>
  </si>
  <si>
    <t xml:space="preserve">5.2273540995345602</t>
  </si>
  <si>
    <t xml:space="preserve">0.25062656641604619</t>
  </si>
  <si>
    <t xml:space="preserve">2.2149936081601518</t>
  </si>
  <si>
    <t xml:space="preserve">4.2784163473818575</t>
  </si>
  <si>
    <t xml:space="preserve">0.31928480204342269</t>
  </si>
  <si>
    <t xml:space="preserve">3.759482338398942</t>
  </si>
  <si>
    <t xml:space="preserve">3.7813399095766496</t>
  </si>
  <si>
    <t xml:space="preserve">0.32881216605014851</t>
  </si>
  <si>
    <t xml:space="preserve">2.004033116646569</t>
  </si>
  <si>
    <t xml:space="preserve">0.92867756315009542</t>
  </si>
  <si>
    <t xml:space="preserve">0.18573551263000959</t>
  </si>
  <si>
    <t xml:space="preserve">33.745642987136499</t>
  </si>
  <si>
    <t xml:space="preserve">21.806167400881041</t>
  </si>
  <si>
    <t xml:space="preserve">0.58737151248164787</t>
  </si>
  <si>
    <t xml:space="preserve">7.6155147688792333</t>
  </si>
  <si>
    <t xml:space="preserve">4.890604890604906</t>
  </si>
  <si>
    <t xml:space="preserve">0.25740025740026717</t>
  </si>
  <si>
    <t xml:space="preserve">8.5192820761576957</t>
  </si>
  <si>
    <t xml:space="preserve">1.980830670926514</t>
  </si>
  <si>
    <t xml:space="preserve">0.19169329073482241</t>
  </si>
  <si>
    <t xml:space="preserve">11.651308124137191</t>
  </si>
  <si>
    <t xml:space="preserve">8.0796692972566913</t>
  </si>
  <si>
    <t xml:space="preserve">0.30063885757234549</t>
  </si>
  <si>
    <t xml:space="preserve">7.2375925920418984</t>
  </si>
  <si>
    <t xml:space="preserve">1.4523449319213519</t>
  </si>
  <si>
    <t xml:space="preserve">0.21180030257185739</t>
  </si>
  <si>
    <t xml:space="preserve">6.9609332369810026</t>
  </si>
  <si>
    <t xml:space="preserve">3.9737274220032921</t>
  </si>
  <si>
    <t xml:space="preserve">0.22988505747126989</t>
  </si>
  <si>
    <t xml:space="preserve">14.548378419807673</t>
  </si>
  <si>
    <t xml:space="preserve">7.9282782458414438</t>
  </si>
  <si>
    <t xml:space="preserve">0.38885288399221918</t>
  </si>
  <si>
    <t xml:space="preserve">6.9019661976205464</t>
  </si>
  <si>
    <t xml:space="preserve">4.6926804386636007</t>
  </si>
  <si>
    <t xml:space="preserve">0.28054067839837349</t>
  </si>
  <si>
    <t xml:space="preserve">5.549868298462977</t>
  </si>
  <si>
    <t xml:space="preserve">1.1707595659623136</t>
  </si>
  <si>
    <t xml:space="preserve">0.22844089091947781</t>
  </si>
  <si>
    <t xml:space="preserve">10.31521927044399</t>
  </si>
  <si>
    <t xml:space="preserve">3.2089552238806052</t>
  </si>
  <si>
    <t xml:space="preserve">0.33582089552239019</t>
  </si>
  <si>
    <t xml:space="preserve">21.583626453214499</t>
  </si>
  <si>
    <t xml:space="preserve">3.946706887883356</t>
  </si>
  <si>
    <t xml:space="preserve">0.30165912518854121</t>
  </si>
  <si>
    <t xml:space="preserve">69.572117507027073</t>
  </si>
  <si>
    <t xml:space="preserve">7.9473879214524077</t>
  </si>
  <si>
    <t xml:space="preserve">0.25935531678398988</t>
  </si>
  <si>
    <t xml:space="preserve">9.0414399330267763</t>
  </si>
  <si>
    <t xml:space="preserve">1.054284432480918</t>
  </si>
  <si>
    <t xml:space="preserve">0.26917900403768252</t>
  </si>
  <si>
    <t xml:space="preserve">10.034043076508651</t>
  </si>
  <si>
    <t xml:space="preserve">2.0207253886010541</t>
  </si>
  <si>
    <t xml:space="preserve">0.18134715025907169</t>
  </si>
  <si>
    <t xml:space="preserve">28.146418063595288</t>
  </si>
  <si>
    <t xml:space="preserve">11.673261729790845</t>
  </si>
  <si>
    <t xml:space="preserve">0.42396834369700392</t>
  </si>
  <si>
    <t xml:space="preserve">9.5242670977563897</t>
  </si>
  <si>
    <t xml:space="preserve">4.7486033519553015</t>
  </si>
  <si>
    <t xml:space="preserve">0.2793296089385448</t>
  </si>
  <si>
    <t xml:space="preserve">15.153117968452923</t>
  </si>
  <si>
    <t xml:space="preserve">1.3371827989667158</t>
  </si>
  <si>
    <t xml:space="preserve">0.24312414526667159</t>
  </si>
  <si>
    <t xml:space="preserve">16.094025376425346</t>
  </si>
  <si>
    <t xml:space="preserve">2.6571954748750386</t>
  </si>
  <si>
    <t xml:space="preserve">0.34201525914232639</t>
  </si>
  <si>
    <t xml:space="preserve">10.479742433708395</t>
  </si>
  <si>
    <t xml:space="preserve">1.6779721528025662</t>
  </si>
  <si>
    <t xml:space="preserve">0.32131381649410101</t>
  </si>
  <si>
    <t xml:space="preserve">5.7862443919563846</t>
  </si>
  <si>
    <t xml:space="preserve">2.0867915579796086</t>
  </si>
  <si>
    <t xml:space="preserve">0.21342186388427919</t>
  </si>
  <si>
    <t xml:space="preserve">20.635921003463491</t>
  </si>
  <si>
    <t xml:space="preserve">11.522856370029745</t>
  </si>
  <si>
    <t xml:space="preserve">0.32458750338111669</t>
  </si>
  <si>
    <t xml:space="preserve">4.8735642368991243</t>
  </si>
  <si>
    <t xml:space="preserve">1.4432989690721609</t>
  </si>
  <si>
    <t xml:space="preserve">0.41237113402062431</t>
  </si>
  <si>
    <t xml:space="preserve">6.5512955658790482</t>
  </si>
  <si>
    <t xml:space="preserve">2.3676509710029205</t>
  </si>
  <si>
    <t xml:space="preserve">0.23942537909018499</t>
  </si>
  <si>
    <t xml:space="preserve">13.685276651669374</t>
  </si>
  <si>
    <t xml:space="preserve">4.2484538854530669</t>
  </si>
  <si>
    <t xml:space="preserve">0.24200053777897429</t>
  </si>
  <si>
    <t xml:space="preserve">7.1947347622879958</t>
  </si>
  <si>
    <t xml:space="preserve">4.6027131782945734</t>
  </si>
  <si>
    <t xml:space="preserve">0.19379844961239889</t>
  </si>
  <si>
    <t xml:space="preserve">13.302193898066887</t>
  </si>
  <si>
    <t xml:space="preserve">3.2215523737754381</t>
  </si>
  <si>
    <t xml:space="preserve">0.24491333835719881</t>
  </si>
  <si>
    <t xml:space="preserve">6.7891088401355537</t>
  </si>
  <si>
    <t xml:space="preserve">1.4738231412230507</t>
  </si>
  <si>
    <t xml:space="preserve">0.21997360316761361</t>
  </si>
  <si>
    <t xml:space="preserve">22.6107022167776</t>
  </si>
  <si>
    <t xml:space="preserve">8.195266272189345</t>
  </si>
  <si>
    <t xml:space="preserve">0.2071005917159813</t>
  </si>
  <si>
    <t xml:space="preserve">25.051962174290079</t>
  </si>
  <si>
    <t xml:space="preserve">6.2877871825876523</t>
  </si>
  <si>
    <t xml:space="preserve">0.60459492140265436</t>
  </si>
  <si>
    <t xml:space="preserve">21.140876390535983</t>
  </si>
  <si>
    <t xml:space="preserve">2.5486626522895857</t>
  </si>
  <si>
    <t xml:space="preserve">0.14003640946645329</t>
  </si>
  <si>
    <t xml:space="preserve">11.243066775488449</t>
  </si>
  <si>
    <t xml:space="preserve">4.2285714285714153</t>
  </si>
  <si>
    <t xml:space="preserve">0.25714285714285878</t>
  </si>
  <si>
    <t xml:space="preserve">7.9342763522393502</t>
  </si>
  <si>
    <t xml:space="preserve">3.0843373493975794</t>
  </si>
  <si>
    <t xml:space="preserve">0.33734939759036969</t>
  </si>
  <si>
    <t xml:space="preserve">9.9384761003324975</t>
  </si>
  <si>
    <t xml:space="preserve">4.9788135593220337</t>
  </si>
  <si>
    <t xml:space="preserve">0.23305084745763191</t>
  </si>
  <si>
    <t xml:space="preserve">11.030021562446557</t>
  </si>
  <si>
    <t xml:space="preserve">3.2225579053373505</t>
  </si>
  <si>
    <t xml:space="preserve">0.1510574018126945</t>
  </si>
  <si>
    <t xml:space="preserve">10.56254615888451</t>
  </si>
  <si>
    <t xml:space="preserve">1.7680551393467461</t>
  </si>
  <si>
    <t xml:space="preserve">0.2397362900809144</t>
  </si>
  <si>
    <t xml:space="preserve">8.3280644631167515</t>
  </si>
  <si>
    <t xml:space="preserve">2.4649589173513888</t>
  </si>
  <si>
    <t xml:space="preserve">0.38666022232962649</t>
  </si>
  <si>
    <t xml:space="preserve">26.092935027211208</t>
  </si>
  <si>
    <t xml:space="preserve">27.514278619319601</t>
  </si>
  <si>
    <t xml:space="preserve">0.47181524708218953</t>
  </si>
  <si>
    <t xml:space="preserve">5.856286723800026</t>
  </si>
  <si>
    <t xml:space="preserve">2.5722451571927669</t>
  </si>
  <si>
    <t xml:space="preserve">0.28580501746586401</t>
  </si>
  <si>
    <t xml:space="preserve">10.324323268511296</t>
  </si>
  <si>
    <t xml:space="preserve">5.4314720812182822</t>
  </si>
  <si>
    <t xml:space="preserve">0.35532994923858729</t>
  </si>
  <si>
    <t xml:space="preserve">17.697866094615662</t>
  </si>
  <si>
    <t xml:space="preserve">2.7735562310030222</t>
  </si>
  <si>
    <t xml:space="preserve">0.45592705167173903</t>
  </si>
  <si>
    <t xml:space="preserve">17.601868283688201</t>
  </si>
  <si>
    <t xml:space="preserve">1.8541409147095185</t>
  </si>
  <si>
    <t xml:space="preserve">0.18541409147095289</t>
  </si>
  <si>
    <t xml:space="preserve">9.0717438002627144</t>
  </si>
  <si>
    <t xml:space="preserve">2.6546003016591286</t>
  </si>
  <si>
    <t xml:space="preserve">0.36199095022624089</t>
  </si>
  <si>
    <t xml:space="preserve">22.2601213090336</t>
  </si>
  <si>
    <t xml:space="preserve">31.284442560406951</t>
  </si>
  <si>
    <t xml:space="preserve">0.93259855871131359</t>
  </si>
  <si>
    <t xml:space="preserve">20.803938032541438</t>
  </si>
  <si>
    <t xml:space="preserve">5.5546175924362622</t>
  </si>
  <si>
    <t xml:space="preserve">0.28701671450278388</t>
  </si>
  <si>
    <t xml:space="preserve">22.701475595915451</t>
  </si>
  <si>
    <t xml:space="preserve">3.1938762043024851</t>
  </si>
  <si>
    <t xml:space="preserve">0.3167480533192526</t>
  </si>
  <si>
    <t xml:space="preserve">22.409128337843889</t>
  </si>
  <si>
    <t xml:space="preserve">4.3840579710144798</t>
  </si>
  <si>
    <t xml:space="preserve">0.2536231884057929</t>
  </si>
  <si>
    <t xml:space="preserve">57.50040801100338</t>
  </si>
  <si>
    <t xml:space="preserve">13.975609756097564</t>
  </si>
  <si>
    <t xml:space="preserve">0.75609756097561531</t>
  </si>
  <si>
    <t xml:space="preserve">31.216753865661808</t>
  </si>
  <si>
    <t xml:space="preserve">14.433370247323737</t>
  </si>
  <si>
    <t xml:space="preserve">0.84902177925434164</t>
  </si>
  <si>
    <t xml:space="preserve">31.551792754539392</t>
  </si>
  <si>
    <t xml:space="preserve">7.2442955161959439</t>
  </si>
  <si>
    <t xml:space="preserve">0.4627413435455614</t>
  </si>
  <si>
    <t xml:space="preserve">28.26910790397298</t>
  </si>
  <si>
    <t xml:space="preserve">1.9777297656639672</t>
  </si>
  <si>
    <t xml:space="preserve">0.33239155725444569</t>
  </si>
  <si>
    <t xml:space="preserve">21.823685738925786</t>
  </si>
  <si>
    <t xml:space="preserve">2.866923406076173</t>
  </si>
  <si>
    <t xml:space="preserve">0.21394950791613779</t>
  </si>
  <si>
    <t xml:space="preserve">11.723599577143039</t>
  </si>
  <si>
    <t xml:space="preserve">2.2425494246090363</t>
  </si>
  <si>
    <t xml:space="preserve">0.29507229271171431</t>
  </si>
  <si>
    <t xml:space="preserve">5.0487619123695708</t>
  </si>
  <si>
    <t xml:space="preserve">3.5300050428643468</t>
  </si>
  <si>
    <t xml:space="preserve">0.30257186081694831</t>
  </si>
  <si>
    <t xml:space="preserve">28.242438130155403</t>
  </si>
  <si>
    <t xml:space="preserve">6.1294765840220231</t>
  </si>
  <si>
    <t xml:space="preserve">0.58539944903581853</t>
  </si>
  <si>
    <t xml:space="preserve">19.79479679627153</t>
  </si>
  <si>
    <t xml:space="preserve">3.8461538461538463</t>
  </si>
  <si>
    <t xml:space="preserve">0.27777777777778018</t>
  </si>
  <si>
    <t xml:space="preserve">10.72379876157337</t>
  </si>
  <si>
    <t xml:space="preserve">1.8065591995553083</t>
  </si>
  <si>
    <t xml:space="preserve">0.2779321845469705</t>
  </si>
  <si>
    <t xml:space="preserve">6.8045255861711924</t>
  </si>
  <si>
    <t xml:space="preserve">2.4649589173513751</t>
  </si>
  <si>
    <t xml:space="preserve">0.28999516674721809</t>
  </si>
  <si>
    <t xml:space="preserve">10.373351218422508</t>
  </si>
  <si>
    <t xml:space="preserve">2.2513767411726562</t>
  </si>
  <si>
    <t xml:space="preserve">0.21056041464204911</t>
  </si>
  <si>
    <t xml:space="preserve">8.2889283599763175</t>
  </si>
  <si>
    <t xml:space="preserve">1.5086206896551784</t>
  </si>
  <si>
    <t xml:space="preserve">0.18857758620689341</t>
  </si>
  <si>
    <t xml:space="preserve">8.9766870157791825</t>
  </si>
  <si>
    <t xml:space="preserve">3.1648800408371565</t>
  </si>
  <si>
    <t xml:space="preserve">0.35732516590097141</t>
  </si>
  <si>
    <t xml:space="preserve">20.784064965549479</t>
  </si>
  <si>
    <t xml:space="preserve">4.2695009908124737</t>
  </si>
  <si>
    <t xml:space="preserve">0.36029544226266558</t>
  </si>
  <si>
    <t xml:space="preserve">42.260945792268167</t>
  </si>
  <si>
    <t xml:space="preserve">15.583679637325274</t>
  </si>
  <si>
    <t xml:space="preserve">0.3211182470721658</t>
  </si>
  <si>
    <t xml:space="preserve">12.122974053346056</t>
  </si>
  <si>
    <t xml:space="preserve">3.3041788143828743</t>
  </si>
  <si>
    <t xml:space="preserve">0.2591512795594465</t>
  </si>
  <si>
    <t xml:space="preserve">27.320574023319452</t>
  </si>
  <si>
    <t xml:space="preserve">7.5362318840579823</t>
  </si>
  <si>
    <t xml:space="preserve">0.77294685990338574</t>
  </si>
  <si>
    <t xml:space="preserve">13.154927459973536</t>
  </si>
  <si>
    <t xml:space="preserve">2.0479704797047802</t>
  </si>
  <si>
    <t xml:space="preserve">0.2398523985239768</t>
  </si>
  <si>
    <t xml:space="preserve">18.132699678931225</t>
  </si>
  <si>
    <t xml:space="preserve">11.01343101343102</t>
  </si>
  <si>
    <t xml:space="preserve">0.34188034188034327</t>
  </si>
  <si>
    <t xml:space="preserve">12.83733107111575</t>
  </si>
  <si>
    <t xml:space="preserve">2.4316109422492169</t>
  </si>
  <si>
    <t xml:space="preserve">0.20263424518742509</t>
  </si>
  <si>
    <t xml:space="preserve">16.308122288423203</t>
  </si>
  <si>
    <t xml:space="preserve">5.712731229597388</t>
  </si>
  <si>
    <t xml:space="preserve">0.38084874863981971</t>
  </si>
  <si>
    <t xml:space="preserve">8.3950494144253298</t>
  </si>
  <si>
    <t xml:space="preserve">3.7080497535789743</t>
  </si>
  <si>
    <t xml:space="preserve">0.23468669326449179</t>
  </si>
  <si>
    <t xml:space="preserve">10.441691829583174</t>
  </si>
  <si>
    <t xml:space="preserve">5.004781638508125</t>
  </si>
  <si>
    <t xml:space="preserve">0.60567421102964802</t>
  </si>
  <si>
    <t xml:space="preserve">24.490087280254201</t>
  </si>
  <si>
    <t xml:space="preserve">30.492135971588024</t>
  </si>
  <si>
    <t xml:space="preserve">0.50735667174024068</t>
  </si>
  <si>
    <t xml:space="preserve">8.9344065651326989</t>
  </si>
  <si>
    <t xml:space="preserve">1.1165135962542647</t>
  </si>
  <si>
    <t xml:space="preserve">0.1440662704844248</t>
  </si>
  <si>
    <t xml:space="preserve">13.888888888887694</t>
  </si>
  <si>
    <t xml:space="preserve">3.1263475636050022</t>
  </si>
  <si>
    <t xml:space="preserve">0.17248814144027841</t>
  </si>
  <si>
    <t xml:space="preserve">11.693292302323171</t>
  </si>
  <si>
    <t xml:space="preserve">1.8463209340211812</t>
  </si>
  <si>
    <t xml:space="preserve">0.16291067064893369</t>
  </si>
  <si>
    <t xml:space="preserve">13.185887775908004</t>
  </si>
  <si>
    <t xml:space="preserve">4.7349612864800577</t>
  </si>
  <si>
    <t xml:space="preserve">0.2382370458606346</t>
  </si>
  <si>
    <t xml:space="preserve">8.9621996197363316</t>
  </si>
  <si>
    <t xml:space="preserve">3.9577836411609648</t>
  </si>
  <si>
    <t xml:space="preserve">0.26385224274406333</t>
  </si>
  <si>
    <t xml:space="preserve">66.110494508770216</t>
  </si>
  <si>
    <t xml:space="preserve">7.6226415094339446</t>
  </si>
  <si>
    <t xml:space="preserve">0.3924528301886826</t>
  </si>
  <si>
    <t xml:space="preserve">13.486587371335718</t>
  </si>
  <si>
    <t xml:space="preserve">4.0509915014164175</t>
  </si>
  <si>
    <t xml:space="preserve">0.19830028328611571</t>
  </si>
  <si>
    <t xml:space="preserve">14.15614314550135</t>
  </si>
  <si>
    <t xml:space="preserve">1.5166835187057637</t>
  </si>
  <si>
    <t xml:space="preserve">0.3033367037411478</t>
  </si>
  <si>
    <t xml:space="preserve">11.783490151948106</t>
  </si>
  <si>
    <t xml:space="preserve">2.3608349900596424</t>
  </si>
  <si>
    <t xml:space="preserve">0.29821073558648531</t>
  </si>
  <si>
    <t xml:space="preserve">27.20848465221674</t>
  </si>
  <si>
    <t xml:space="preserve">9.4665500655881107</t>
  </si>
  <si>
    <t xml:space="preserve">0.28421512898994561</t>
  </si>
  <si>
    <t xml:space="preserve">8.9850601913171637</t>
  </si>
  <si>
    <t xml:space="preserve">1.4386082301773142</t>
  </si>
  <si>
    <t xml:space="preserve">0.21188803390208921</t>
  </si>
  <si>
    <t xml:space="preserve">13.417899929527428</t>
  </si>
  <si>
    <t xml:space="preserve">3.3826638477801154</t>
  </si>
  <si>
    <t xml:space="preserve">0.42283298097250688</t>
  </si>
  <si>
    <t xml:space="preserve">7.6455870983558087</t>
  </si>
  <si>
    <t xml:space="preserve">1.4283588751673892</t>
  </si>
  <si>
    <t xml:space="preserve">0.23805981252789249</t>
  </si>
  <si>
    <t xml:space="preserve">14.444019433771189</t>
  </si>
  <si>
    <t xml:space="preserve">5.7859209257473347</t>
  </si>
  <si>
    <t xml:space="preserve">0.24108003857281299</t>
  </si>
  <si>
    <t xml:space="preserve">11.632215204599831</t>
  </si>
  <si>
    <t xml:space="preserve">1.3361577317907845</t>
  </si>
  <si>
    <t xml:space="preserve">0.1955352778230387</t>
  </si>
  <si>
    <t xml:space="preserve">22.122657190009821</t>
  </si>
  <si>
    <t xml:space="preserve">7.1185157137447774</t>
  </si>
  <si>
    <t xml:space="preserve">0.17670074466742111</t>
  </si>
  <si>
    <t xml:space="preserve">12.410084342611508</t>
  </si>
  <si>
    <t xml:space="preserve">2.4321796071094424</t>
  </si>
  <si>
    <t xml:space="preserve">0.2338634237605238</t>
  </si>
  <si>
    <t xml:space="preserve">35.410477795343922</t>
  </si>
  <si>
    <t xml:space="preserve">21.375921375921369</t>
  </si>
  <si>
    <t xml:space="preserve">0.29037301764574108</t>
  </si>
  <si>
    <t xml:space="preserve">38.316513574910807</t>
  </si>
  <si>
    <t xml:space="preserve">4.6723804257672192</t>
  </si>
  <si>
    <t xml:space="preserve">0.27647221454243848</t>
  </si>
  <si>
    <t xml:space="preserve">131.82218179885135</t>
  </si>
  <si>
    <t xml:space="preserve">31.692624155157223</t>
  </si>
  <si>
    <t xml:space="preserve">0.455480458419037</t>
  </si>
  <si>
    <t xml:space="preserve">16.557927294828609</t>
  </si>
  <si>
    <t xml:space="preserve">6.8176914778856581</t>
  </si>
  <si>
    <t xml:space="preserve">0.3236245954692557</t>
  </si>
  <si>
    <t xml:space="preserve">28.95933050362876</t>
  </si>
  <si>
    <t xml:space="preserve">1.5982884470173444</t>
  </si>
  <si>
    <t xml:space="preserve">0.12584948401712259</t>
  </si>
  <si>
    <t xml:space="preserve">18.220325785654214</t>
  </si>
  <si>
    <t xml:space="preserve">4.6183762761302862</t>
  </si>
  <si>
    <t xml:space="preserve">0.22686760654675639</t>
  </si>
  <si>
    <t xml:space="preserve">9.0199887778070433</t>
  </si>
  <si>
    <t xml:space="preserve">1.8103270931907041</t>
  </si>
  <si>
    <t xml:space="preserve">0.2468627854350933</t>
  </si>
  <si>
    <t xml:space="preserve">14.539240961688352</t>
  </si>
  <si>
    <t xml:space="preserve">1.1542991755005969</t>
  </si>
  <si>
    <t xml:space="preserve">0.1766784452296819</t>
  </si>
  <si>
    <t xml:space="preserve">7.717509580356289</t>
  </si>
  <si>
    <t xml:space="preserve">0.80645161290321365</t>
  </si>
  <si>
    <t xml:space="preserve">0.1057641459545153</t>
  </si>
  <si>
    <t xml:space="preserve">15.928170023821668</t>
  </si>
  <si>
    <t xml:space="preserve">1.8850754030161203</t>
  </si>
  <si>
    <t xml:space="preserve">0.15600624024960849</t>
  </si>
  <si>
    <t xml:space="preserve">15.30601812770052</t>
  </si>
  <si>
    <t xml:space="preserve">1.2840859904775612</t>
  </si>
  <si>
    <t xml:space="preserve">0.18756312220458971</t>
  </si>
  <si>
    <t xml:space="preserve">9.0987109681077527</t>
  </si>
  <si>
    <t xml:space="preserve">1.2606005042402018</t>
  </si>
  <si>
    <t xml:space="preserve">0.20628008251203431</t>
  </si>
  <si>
    <t xml:space="preserve">5.7140524876531407</t>
  </si>
  <si>
    <t xml:space="preserve">2.5699168556311451</t>
  </si>
  <si>
    <t xml:space="preserve">0.226757369614521</t>
  </si>
  <si>
    <t xml:space="preserve">15.066786428302381</t>
  </si>
  <si>
    <t xml:space="preserve">1.6902515723270557</t>
  </si>
  <si>
    <t xml:space="preserve">0.2096436058700239</t>
  </si>
  <si>
    <t xml:space="preserve">12.259791088502247</t>
  </si>
  <si>
    <t xml:space="preserve">3.2341723874904722</t>
  </si>
  <si>
    <t xml:space="preserve">0.2288329519450801</t>
  </si>
  <si>
    <t xml:space="preserve">5.083854717296818</t>
  </si>
  <si>
    <t xml:space="preserve">4.0811775200713676</t>
  </si>
  <si>
    <t xml:space="preserve">0.11150758251561101</t>
  </si>
  <si>
    <t xml:space="preserve">24.326806258235724</t>
  </si>
  <si>
    <t xml:space="preserve">15.307150050352467</t>
  </si>
  <si>
    <t xml:space="preserve">0.4531722054380693</t>
  </si>
  <si>
    <t xml:space="preserve">19.955793765316741</t>
  </si>
  <si>
    <t xml:space="preserve">8.2166333238067857</t>
  </si>
  <si>
    <t xml:space="preserve">0.31437553586739719</t>
  </si>
  <si>
    <t xml:space="preserve">11.688099465171703</t>
  </si>
  <si>
    <t xml:space="preserve">3.6321839080459792</t>
  </si>
  <si>
    <t xml:space="preserve">0.29885057471264631</t>
  </si>
  <si>
    <t xml:space="preserve">15.016192834812305</t>
  </si>
  <si>
    <t xml:space="preserve">3.6066584463625295</t>
  </si>
  <si>
    <t xml:space="preserve">0.21578298397040341</t>
  </si>
  <si>
    <t xml:space="preserve">13.648797270240957</t>
  </si>
  <si>
    <t xml:space="preserve">4.1469816272965909</t>
  </si>
  <si>
    <t xml:space="preserve">0.31496062992126428</t>
  </si>
  <si>
    <t xml:space="preserve">10.051670101928044</t>
  </si>
  <si>
    <t xml:space="preserve">2.3160315374507268</t>
  </si>
  <si>
    <t xml:space="preserve">0.14783180026280829</t>
  </si>
  <si>
    <t xml:space="preserve">9.9136498566455504</t>
  </si>
  <si>
    <t xml:space="preserve">4.2648949849978512</t>
  </si>
  <si>
    <t xml:space="preserve">0.25717959708529542</t>
  </si>
  <si>
    <t xml:space="preserve">20.212975744428267</t>
  </si>
  <si>
    <t xml:space="preserve">22.98221614227085</t>
  </si>
  <si>
    <t xml:space="preserve">0.34199726402188779</t>
  </si>
  <si>
    <t xml:space="preserve">12.690467427311246</t>
  </si>
  <si>
    <t xml:space="preserve">5.9386973180076756</t>
  </si>
  <si>
    <t xml:space="preserve">0.2189381499726358</t>
  </si>
  <si>
    <t xml:space="preserve">4.5006983341608811</t>
  </si>
  <si>
    <t xml:space="preserve">2.6961964371689864</t>
  </si>
  <si>
    <t xml:space="preserve">0.12839030653184949</t>
  </si>
  <si>
    <t xml:space="preserve">9.6139667934762283</t>
  </si>
  <si>
    <t xml:space="preserve">1.2186865267433873</t>
  </si>
  <si>
    <t xml:space="preserve">0.20311442112388819</t>
  </si>
  <si>
    <t xml:space="preserve">11.368664094067761</t>
  </si>
  <si>
    <t xml:space="preserve">3.072702331961588</t>
  </si>
  <si>
    <t xml:space="preserve">0.24691358024691509</t>
  </si>
  <si>
    <t xml:space="preserve">15.548762565399288</t>
  </si>
  <si>
    <t xml:space="preserve">1.6666666666666703</t>
  </si>
  <si>
    <t xml:space="preserve">0.1909722222222261</t>
  </si>
  <si>
    <t xml:space="preserve">5.8536353452596215</t>
  </si>
  <si>
    <t xml:space="preserve">4.3372517227401772</t>
  </si>
  <si>
    <t xml:space="preserve">0.2026753141467369</t>
  </si>
  <si>
    <t xml:space="preserve">18.807936522453492</t>
  </si>
  <si>
    <t xml:space="preserve">4.2447418738049798</t>
  </si>
  <si>
    <t xml:space="preserve">0.178457616316122</t>
  </si>
  <si>
    <t xml:space="preserve">52.999690579840014</t>
  </si>
  <si>
    <t xml:space="preserve">8.5129118432769282</t>
  </si>
  <si>
    <t xml:space="preserve">0.23152270703472019</t>
  </si>
  <si>
    <t xml:space="preserve">31.470581914085731</t>
  </si>
  <si>
    <t xml:space="preserve">11.499647969960105</t>
  </si>
  <si>
    <t xml:space="preserve">0.39896737854964021</t>
  </si>
  <si>
    <t xml:space="preserve">21.491564717491983</t>
  </si>
  <si>
    <t xml:space="preserve">4.8192771084337354</t>
  </si>
  <si>
    <t xml:space="preserve">0.2409638554216828</t>
  </si>
  <si>
    <t xml:space="preserve">34.265628161036268</t>
  </si>
  <si>
    <t xml:space="preserve">7.0909619296716002</t>
  </si>
  <si>
    <t xml:space="preserve">0.34873583260679702</t>
  </si>
  <si>
    <t xml:space="preserve">26.657372694560458</t>
  </si>
  <si>
    <t xml:space="preserve">6.5652951699463404</t>
  </si>
  <si>
    <t xml:space="preserve">0.23255813953488069</t>
  </si>
  <si>
    <t xml:space="preserve">28.886755943710916</t>
  </si>
  <si>
    <t xml:space="preserve">9.4800483675937084</t>
  </si>
  <si>
    <t xml:space="preserve">0.41112454655380609</t>
  </si>
  <si>
    <t xml:space="preserve">26.170225420804872</t>
  </si>
  <si>
    <t xml:space="preserve">15.153393244499544</t>
  </si>
  <si>
    <t xml:space="preserve">0.65075921908894396</t>
  </si>
  <si>
    <t xml:space="preserve">12.845983100939938</t>
  </si>
  <si>
    <t xml:space="preserve">2.0368303571428448</t>
  </si>
  <si>
    <t xml:space="preserve">0.13950892857143651</t>
  </si>
  <si>
    <t xml:space="preserve">23.634316039554637</t>
  </si>
  <si>
    <t xml:space="preserve">5.8852785145888404</t>
  </si>
  <si>
    <t xml:space="preserve">0.39787798408487679</t>
  </si>
  <si>
    <t xml:space="preserve">39.751982198025139</t>
  </si>
  <si>
    <t xml:space="preserve">29.114213778896762</t>
  </si>
  <si>
    <t xml:space="preserve">0.2746623941405395</t>
  </si>
  <si>
    <t xml:space="preserve">15.56533869369283</t>
  </si>
  <si>
    <t xml:space="preserve">4.4391597304795942</t>
  </si>
  <si>
    <t xml:space="preserve">0.3170828378913923</t>
  </si>
  <si>
    <t xml:space="preserve">14.301409885772417</t>
  </si>
  <si>
    <t xml:space="preserve">2.5300875273522974</t>
  </si>
  <si>
    <t xml:space="preserve">0.2324945295404876</t>
  </si>
  <si>
    <t xml:space="preserve">15.265195053595868</t>
  </si>
  <si>
    <t xml:space="preserve">11.040127770013966</t>
  </si>
  <si>
    <t xml:space="preserve">0.35935316430424891</t>
  </si>
  <si>
    <t xml:space="preserve">16.401336182250443</t>
  </si>
  <si>
    <t xml:space="preserve">6.6113744075829466</t>
  </si>
  <si>
    <t xml:space="preserve">0.23696682464454971</t>
  </si>
  <si>
    <t xml:space="preserve">11.312182795142174</t>
  </si>
  <si>
    <t xml:space="preserve">15.477680433875689</t>
  </si>
  <si>
    <t xml:space="preserve">0.50062578222777998</t>
  </si>
  <si>
    <t xml:space="preserve">9.445262173064938</t>
  </si>
  <si>
    <t xml:space="preserve">1.1506597115679658</t>
  </si>
  <si>
    <t xml:space="preserve">0.1994476833384404</t>
  </si>
  <si>
    <t xml:space="preserve">23.6239002667104</t>
  </si>
  <si>
    <t xml:space="preserve">9.5145972564192594</t>
  </si>
  <si>
    <t xml:space="preserve">0.42208934224411437</t>
  </si>
  <si>
    <t xml:space="preserve">8.2746955550904175</t>
  </si>
  <si>
    <t xml:space="preserve">3.9170984455958497</t>
  </si>
  <si>
    <t xml:space="preserve">0.16580310880829249</t>
  </si>
  <si>
    <t xml:space="preserve">27.387350144689652</t>
  </si>
  <si>
    <t xml:space="preserve">9.8685841805108048</t>
  </si>
  <si>
    <t xml:space="preserve">0.44631787751053392</t>
  </si>
  <si>
    <t xml:space="preserve">12.663713849245584</t>
  </si>
  <si>
    <t xml:space="preserve">3.4236804564907222</t>
  </si>
  <si>
    <t xml:space="preserve">0.1902044698050363</t>
  </si>
  <si>
    <t xml:space="preserve">9.8747515537757238</t>
  </si>
  <si>
    <t xml:space="preserve">1.8012422360248483</t>
  </si>
  <si>
    <t xml:space="preserve">0.20186335403726</t>
  </si>
  <si>
    <t xml:space="preserve">26.44261255548556</t>
  </si>
  <si>
    <t xml:space="preserve">9.1882630113514647</t>
  </si>
  <si>
    <t xml:space="preserve">0.4926108374384261</t>
  </si>
  <si>
    <t xml:space="preserve">59.276298327878031</t>
  </si>
  <si>
    <t xml:space="preserve">4.3999534396461364</t>
  </si>
  <si>
    <t xml:space="preserve">0.44232336165754987</t>
  </si>
  <si>
    <t xml:space="preserve">21.084927214569667</t>
  </si>
  <si>
    <t xml:space="preserve">1.8957345971563719</t>
  </si>
  <si>
    <t xml:space="preserve">0.1436162573603332</t>
  </si>
  <si>
    <t xml:space="preserve">14.427307075202677</t>
  </si>
  <si>
    <t xml:space="preserve">3.5670607419486342</t>
  </si>
  <si>
    <t xml:space="preserve">0.18344883815735369</t>
  </si>
  <si>
    <t xml:space="preserve">36.591925940002952</t>
  </si>
  <si>
    <t xml:space="preserve">8.3746412731541948</t>
  </si>
  <si>
    <t xml:space="preserve">0.4435168275502262</t>
  </si>
  <si>
    <t xml:space="preserve">9.9518292564320863</t>
  </si>
  <si>
    <t xml:space="preserve">2.9532403609515958</t>
  </si>
  <si>
    <t xml:space="preserve">0.24610336341261929</t>
  </si>
  <si>
    <t xml:space="preserve">41.570909276106647</t>
  </si>
  <si>
    <t xml:space="preserve">17.21170395869191</t>
  </si>
  <si>
    <t xml:space="preserve">0.50200803212851408</t>
  </si>
  <si>
    <t xml:space="preserve">27.229257758764515</t>
  </si>
  <si>
    <t xml:space="preserve">5.2904378909740881</t>
  </si>
  <si>
    <t xml:space="preserve">0.2144772117962446</t>
  </si>
  <si>
    <t xml:space="preserve">17.323873948194059</t>
  </si>
  <si>
    <t xml:space="preserve">4.7988264878457736</t>
  </si>
  <si>
    <t xml:space="preserve">0.209555741827326</t>
  </si>
  <si>
    <t xml:space="preserve">49.185610129013739</t>
  </si>
  <si>
    <t xml:space="preserve">20.782483847810472</t>
  </si>
  <si>
    <t xml:space="preserve">0.50251256281407231</t>
  </si>
  <si>
    <t xml:space="preserve">20.28436442857188</t>
  </si>
  <si>
    <t xml:space="preserve">3.1288766368021963</t>
  </si>
  <si>
    <t xml:space="preserve">0.23432115782219781</t>
  </si>
  <si>
    <t xml:space="preserve">51.368832016630243</t>
  </si>
  <si>
    <t xml:space="preserve">13.782329456691542</t>
  </si>
  <si>
    <t xml:space="preserve">0.2082971706300969</t>
  </si>
  <si>
    <t xml:space="preserve">5.3459287607811223</t>
  </si>
  <si>
    <t xml:space="preserve">1.1475786091347255</t>
  </si>
  <si>
    <t xml:space="preserve">0.20656414964424541</t>
  </si>
  <si>
    <t xml:space="preserve">7.8570955252425616</t>
  </si>
  <si>
    <t xml:space="preserve">2.0488352511928025</t>
  </si>
  <si>
    <t xml:space="preserve">0.19646365422396539</t>
  </si>
  <si>
    <t xml:space="preserve">31.695426182531147</t>
  </si>
  <si>
    <t xml:space="preserve">15.726495726495733</t>
  </si>
  <si>
    <t xml:space="preserve">0.512820512820514</t>
  </si>
  <si>
    <t xml:space="preserve">5.7784612516899454</t>
  </si>
  <si>
    <t xml:space="preserve">1.231586573291481</t>
  </si>
  <si>
    <t xml:space="preserve">0.12074378169524259</t>
  </si>
  <si>
    <t xml:space="preserve">4.839520267042924</t>
  </si>
  <si>
    <t xml:space="preserve">1.2023460410557083</t>
  </si>
  <si>
    <t xml:space="preserve">0.1466275659824047</t>
  </si>
  <si>
    <t xml:space="preserve">9.9393946971139098</t>
  </si>
  <si>
    <t xml:space="preserve">6.1171366594360181</t>
  </si>
  <si>
    <t xml:space="preserve">0.1735357917570523</t>
  </si>
  <si>
    <t xml:space="preserve">8.3302788977374966</t>
  </si>
  <si>
    <t xml:space="preserve">3.2189600282985369</t>
  </si>
  <si>
    <t xml:space="preserve">0.21223912274495721</t>
  </si>
  <si>
    <t xml:space="preserve">5.3655712211364373</t>
  </si>
  <si>
    <t xml:space="preserve">5.764840182648383</t>
  </si>
  <si>
    <t xml:space="preserve">0.2853881278538894</t>
  </si>
  <si>
    <t xml:space="preserve">6.81429982318756</t>
  </si>
  <si>
    <t xml:space="preserve">1.4788869429850209</t>
  </si>
  <si>
    <t xml:space="preserve">0.19459038723487049</t>
  </si>
  <si>
    <t xml:space="preserve">9.562321455869192</t>
  </si>
  <si>
    <t xml:space="preserve">1.4553891584053948</t>
  </si>
  <si>
    <t xml:space="preserve">0.1476481754904124</t>
  </si>
  <si>
    <t xml:space="preserve">6.3321292236787636</t>
  </si>
  <si>
    <t xml:space="preserve">3.2299084435401806</t>
  </si>
  <si>
    <t xml:space="preserve">0.15259409969480309</t>
  </si>
  <si>
    <t xml:space="preserve">12.73263586783524</t>
  </si>
  <si>
    <t xml:space="preserve">2.6372944461681667</t>
  </si>
  <si>
    <t xml:space="preserve">0.24821594787465451</t>
  </si>
  <si>
    <t xml:space="preserve">4.1708499298403465</t>
  </si>
  <si>
    <t xml:space="preserve">4.7691527143581824</t>
  </si>
  <si>
    <t xml:space="preserve">0.15220700152206129</t>
  </si>
  <si>
    <t xml:space="preserve">9.4369935938441127</t>
  </si>
  <si>
    <t xml:space="preserve">2.4513338139870195</t>
  </si>
  <si>
    <t xml:space="preserve">0.19226147560682799</t>
  </si>
  <si>
    <t xml:space="preserve">19.202312338420484</t>
  </si>
  <si>
    <t xml:space="preserve">4.251126126126116</t>
  </si>
  <si>
    <t xml:space="preserve">0.22522522522522839</t>
  </si>
  <si>
    <t xml:space="preserve">2.9473961329005625</t>
  </si>
  <si>
    <t xml:space="preserve">2.8666985188724321</t>
  </si>
  <si>
    <t xml:space="preserve">0.23889154323936929</t>
  </si>
  <si>
    <t xml:space="preserve">18.33122990560398</t>
  </si>
  <si>
    <t xml:space="preserve">2.3995958575397687</t>
  </si>
  <si>
    <t xml:space="preserve">0.20207123010861611</t>
  </si>
  <si>
    <t xml:space="preserve">7.0041406003854183</t>
  </si>
  <si>
    <t xml:space="preserve">2.2671401256487171</t>
  </si>
  <si>
    <t xml:space="preserve">0.163889647637256</t>
  </si>
  <si>
    <t xml:space="preserve">14.5526661266441</t>
  </si>
  <si>
    <t xml:space="preserve">31.637168141592912</t>
  </si>
  <si>
    <t xml:space="preserve">0.27654867256637161</t>
  </si>
  <si>
    <t xml:space="preserve">9.6021909694852727</t>
  </si>
  <si>
    <t xml:space="preserve">1.5462868769074309</t>
  </si>
  <si>
    <t xml:space="preserve">0.16276703967446821</t>
  </si>
  <si>
    <t xml:space="preserve">14.552204601705848</t>
  </si>
  <si>
    <t xml:space="preserve">8.2461977186311888</t>
  </si>
  <si>
    <t xml:space="preserve">0.1901140684410538</t>
  </si>
  <si>
    <t xml:space="preserve">12.361958134168452</t>
  </si>
  <si>
    <t xml:space="preserve">6.4776119402985044</t>
  </si>
  <si>
    <t xml:space="preserve">0.23880597014925711</t>
  </si>
  <si>
    <t xml:space="preserve">6.4241525495670313</t>
  </si>
  <si>
    <t xml:space="preserve">4.5309168443496803</t>
  </si>
  <si>
    <t xml:space="preserve">0.37313432835821048</t>
  </si>
  <si>
    <t xml:space="preserve">20.98050440387307</t>
  </si>
  <si>
    <t xml:space="preserve">5.2902782548952167</t>
  </si>
  <si>
    <t xml:space="preserve">0.17176228100309171</t>
  </si>
  <si>
    <t xml:space="preserve">43.928950687404921</t>
  </si>
  <si>
    <t xml:space="preserve">39.525691699604721</t>
  </si>
  <si>
    <t xml:space="preserve">0.46113306982872382</t>
  </si>
  <si>
    <t xml:space="preserve">9.1587736824751804</t>
  </si>
  <si>
    <t xml:space="preserve">3.7458193979933134</t>
  </si>
  <si>
    <t xml:space="preserve">0.089186176142692794</t>
  </si>
  <si>
    <t xml:space="preserve">13.06846391334742</t>
  </si>
  <si>
    <t xml:space="preserve">4.4073705179282978</t>
  </si>
  <si>
    <t xml:space="preserve">0.1245019920318725</t>
  </si>
  <si>
    <t xml:space="preserve">6.708155764503041</t>
  </si>
  <si>
    <t xml:space="preserve">1.965484180249278</t>
  </si>
  <si>
    <t xml:space="preserve">0.2876318312559964</t>
  </si>
  <si>
    <t xml:space="preserve">7.0380445407688139</t>
  </si>
  <si>
    <t xml:space="preserve">2.3908523908523911</t>
  </si>
  <si>
    <t xml:space="preserve">0.1455301455301431</t>
  </si>
  <si>
    <t xml:space="preserve">6.2676450848901348</t>
  </si>
  <si>
    <t xml:space="preserve">3.8250000000000028</t>
  </si>
  <si>
    <t xml:space="preserve">0.27499999999999858</t>
  </si>
  <si>
    <t xml:space="preserve">6.2893081761006284</t>
  </si>
  <si>
    <t xml:space="preserve">1.5778019586506948</t>
  </si>
  <si>
    <t xml:space="preserve">0.16322089227420181</t>
  </si>
  <si>
    <t xml:space="preserve">23.635674186936072</t>
  </si>
  <si>
    <t xml:space="preserve">2.1866582158136518</t>
  </si>
  <si>
    <t xml:space="preserve">0.1267627951196342</t>
  </si>
  <si>
    <t xml:space="preserve">11.105456856002991</t>
  </si>
  <si>
    <t xml:space="preserve">4.2780748663101633</t>
  </si>
  <si>
    <t xml:space="preserve">0.2262443438914073</t>
  </si>
  <si>
    <t xml:space="preserve">43.820643955866373</t>
  </si>
  <si>
    <t xml:space="preserve">11.668126094570916</t>
  </si>
  <si>
    <t xml:space="preserve">0.2845884413310007</t>
  </si>
  <si>
    <t xml:space="preserve">15.568196641351337</t>
  </si>
  <si>
    <t xml:space="preserve">23.002350176263224</t>
  </si>
  <si>
    <t xml:space="preserve">0.35252643948296619</t>
  </si>
  <si>
    <t xml:space="preserve">9.6618921546036471</t>
  </si>
  <si>
    <t xml:space="preserve">1.5698356807511638</t>
  </si>
  <si>
    <t xml:space="preserve">0.1467136150234741</t>
  </si>
  <si>
    <t xml:space="preserve">3.2951740410909278</t>
  </si>
  <si>
    <t xml:space="preserve">1.0604052262829051</t>
  </si>
  <si>
    <t xml:space="preserve">0.20829388373414551</t>
  </si>
  <si>
    <t xml:space="preserve">35.097384134205285</t>
  </si>
  <si>
    <t xml:space="preserve">7.0245040840140076</t>
  </si>
  <si>
    <t xml:space="preserve">0.28004667444573828</t>
  </si>
  <si>
    <t xml:space="preserve">7.0580346902405013</t>
  </si>
  <si>
    <t xml:space="preserve">6.5949485500467837</t>
  </si>
  <si>
    <t xml:space="preserve">0.2806361085126326</t>
  </si>
  <si>
    <t xml:space="preserve">25.064969472533345</t>
  </si>
  <si>
    <t xml:space="preserve">7.5822603719599346</t>
  </si>
  <si>
    <t xml:space="preserve">0.18207829366627351</t>
  </si>
  <si>
    <t xml:space="preserve">42.41088438564217</t>
  </si>
  <si>
    <t xml:space="preserve">30.13407455853498</t>
  </si>
  <si>
    <t xml:space="preserve">0.2616088947024236</t>
  </si>
  <si>
    <t xml:space="preserve">10.810064860386651</t>
  </si>
  <si>
    <t xml:space="preserve">5.6140350877193033</t>
  </si>
  <si>
    <t xml:space="preserve">0.21929824561403499</t>
  </si>
  <si>
    <t xml:space="preserve">12.051223550196005</t>
  </si>
  <si>
    <t xml:space="preserve">1.850813236118918</t>
  </si>
  <si>
    <t xml:space="preserve">0.13086558235184989</t>
  </si>
  <si>
    <t xml:space="preserve">3.8848109732774398</t>
  </si>
  <si>
    <t xml:space="preserve">1.3910355486862469</t>
  </si>
  <si>
    <t xml:space="preserve">0.15455950540958019</t>
  </si>
  <si>
    <t xml:space="preserve">11.200940761428354</t>
  </si>
  <si>
    <t xml:space="preserve">2.502406159769003</t>
  </si>
  <si>
    <t xml:space="preserve">0.21655437921078091</t>
  </si>
  <si>
    <t xml:space="preserve">8.7167891794818804</t>
  </si>
  <si>
    <t xml:space="preserve">3.8006756756756759</t>
  </si>
  <si>
    <t xml:space="preserve">0.29560810810810928</t>
  </si>
  <si>
    <t xml:space="preserve">5.555714653911676</t>
  </si>
  <si>
    <t xml:space="preserve">3.8518518518518579</t>
  </si>
  <si>
    <t xml:space="preserve">0.074074074074069796</t>
  </si>
  <si>
    <t xml:space="preserve">12.771685317151862</t>
  </si>
  <si>
    <t xml:space="preserve">32.378969286829793</t>
  </si>
  <si>
    <t xml:space="preserve">0.41644976574700521</t>
  </si>
  <si>
    <t xml:space="preserve">26.345343544968216</t>
  </si>
  <si>
    <t xml:space="preserve">15.266772319070244</t>
  </si>
  <si>
    <t xml:space="preserve">0.5282620179609161</t>
  </si>
  <si>
    <t xml:space="preserve">3.0345413566626882</t>
  </si>
  <si>
    <t xml:space="preserve">0.57426259462282581</t>
  </si>
  <si>
    <t xml:space="preserve">0.18271991647089969</t>
  </si>
  <si>
    <t xml:space="preserve">6.420873073392408</t>
  </si>
  <si>
    <t xml:space="preserve">2.2857142857142927</t>
  </si>
  <si>
    <t xml:space="preserve">0.2105263157894702</t>
  </si>
  <si>
    <t xml:space="preserve">8.3858140903882727</t>
  </si>
  <si>
    <t xml:space="preserve">6.7947516401124659</t>
  </si>
  <si>
    <t xml:space="preserve">0.32802249297094788</t>
  </si>
  <si>
    <t xml:space="preserve">13.122073396492729</t>
  </si>
  <si>
    <t xml:space="preserve">1.7981072555205011</t>
  </si>
  <si>
    <t xml:space="preserve">0.22082018927445329</t>
  </si>
  <si>
    <t xml:space="preserve">5.5680950867691941</t>
  </si>
  <si>
    <t xml:space="preserve">3.4792368125701287</t>
  </si>
  <si>
    <t xml:space="preserve">0.224466891133561</t>
  </si>
  <si>
    <t xml:space="preserve">6.3209735398551112</t>
  </si>
  <si>
    <t xml:space="preserve">1.7377049180328092</t>
  </si>
  <si>
    <t xml:space="preserve">0.1311475409836084</t>
  </si>
  <si>
    <t xml:space="preserve">6.6185627723403524</t>
  </si>
  <si>
    <t xml:space="preserve">2.740396378761925</t>
  </si>
  <si>
    <t xml:space="preserve">0.14680694886223769</t>
  </si>
  <si>
    <t xml:space="preserve">6.2957999178561943</t>
  </si>
  <si>
    <t xml:space="preserve">2.9377545084351437</t>
  </si>
  <si>
    <t xml:space="preserve">0.23269342641070709</t>
  </si>
  <si>
    <t xml:space="preserve">7.336244541485498</t>
  </si>
  <si>
    <t xml:space="preserve">3.4253408713003037</t>
  </si>
  <si>
    <t xml:space="preserve">0.1330229464582659</t>
  </si>
  <si>
    <t xml:space="preserve">7.1321930695316738</t>
  </si>
  <si>
    <t xml:space="preserve">2.2277227722772355</t>
  </si>
  <si>
    <t xml:space="preserve">0.24752475247524619</t>
  </si>
  <si>
    <t xml:space="preserve">5.6638151672687833</t>
  </si>
  <si>
    <t xml:space="preserve">1.5269151138716299</t>
  </si>
  <si>
    <t xml:space="preserve">0.129399585921325</t>
  </si>
  <si>
    <t xml:space="preserve">12.333299372072242</t>
  </si>
  <si>
    <t xml:space="preserve">2.371998842927407</t>
  </si>
  <si>
    <t xml:space="preserve">0.26034133641885371</t>
  </si>
  <si>
    <t xml:space="preserve">7.3215866119566897</t>
  </si>
  <si>
    <t xml:space="preserve">1.4352469959946443</t>
  </si>
  <si>
    <t xml:space="preserve">0.16688918558077431</t>
  </si>
  <si>
    <t xml:space="preserve">6.6783039279825118</t>
  </si>
  <si>
    <t xml:space="preserve">1.6133369185264856</t>
  </si>
  <si>
    <t xml:space="preserve">0.18822264049474591</t>
  </si>
  <si>
    <t xml:space="preserve">12.596621815057896</t>
  </si>
  <si>
    <t xml:space="preserve">2.6604068857589933</t>
  </si>
  <si>
    <t xml:space="preserve">0.17885088307623129</t>
  </si>
  <si>
    <t xml:space="preserve">4.7108927822595152</t>
  </si>
  <si>
    <t xml:space="preserve">2.106390574794728</t>
  </si>
  <si>
    <t xml:space="preserve">0.21420921099607079</t>
  </si>
  <si>
    <t xml:space="preserve">12.83468704161872</t>
  </si>
  <si>
    <t xml:space="preserve">4.5172719220549116</t>
  </si>
  <si>
    <t xml:space="preserve">0.17714791851195369</t>
  </si>
  <si>
    <t xml:space="preserve">7.8174636059785394</t>
  </si>
  <si>
    <t xml:space="preserve">1.8343722172751475</t>
  </si>
  <si>
    <t xml:space="preserve">0.2137132680320549</t>
  </si>
  <si>
    <t xml:space="preserve">14.751409361405916</t>
  </si>
  <si>
    <t xml:space="preserve">1.8221003134796367</t>
  </si>
  <si>
    <t xml:space="preserve">0.13714733542319529</t>
  </si>
  <si>
    <t xml:space="preserve">20.672920132882361</t>
  </si>
  <si>
    <t xml:space="preserve">10.012961762799732</t>
  </si>
  <si>
    <t xml:space="preserve">0.12961762799740939</t>
  </si>
  <si>
    <t xml:space="preserve">17.594462870141779</t>
  </si>
  <si>
    <t xml:space="preserve">16.229244777718272</t>
  </si>
  <si>
    <t xml:space="preserve">0.42849491162292291</t>
  </si>
  <si>
    <t xml:space="preserve">9.8109193327468471</t>
  </si>
  <si>
    <t xml:space="preserve">3.1982942430703627</t>
  </si>
  <si>
    <t xml:space="preserve">0.2132196162046921</t>
  </si>
  <si>
    <t xml:space="preserve">5.9687862734411246</t>
  </si>
  <si>
    <t xml:space="preserve">1.6844469399213926</t>
  </si>
  <si>
    <t xml:space="preserve">0.1122964626614197</t>
  </si>
  <si>
    <t xml:space="preserve">6.3669096337921234</t>
  </si>
  <si>
    <t xml:space="preserve">1.4409221902017291</t>
  </si>
  <si>
    <t xml:space="preserve">0.32420749279539107</t>
  </si>
  <si>
    <t xml:space="preserve">5.3424570319732592</t>
  </si>
  <si>
    <t xml:space="preserve">2.2760290556900946</t>
  </si>
  <si>
    <t xml:space="preserve">0.24213075060532679</t>
  </si>
  <si>
    <t xml:space="preserve">8.1593190880575968</t>
  </si>
  <si>
    <t xml:space="preserve">2.903703703703707</t>
  </si>
  <si>
    <t xml:space="preserve">0.2074074074074124</t>
  </si>
  <si>
    <t xml:space="preserve">11.91236738075898</t>
  </si>
  <si>
    <t xml:space="preserve">2.460077686663785</t>
  </si>
  <si>
    <t xml:space="preserve">0.34527406128614468</t>
  </si>
  <si>
    <t xml:space="preserve">19.212349675966227</t>
  </si>
  <si>
    <t xml:space="preserve">3.5688665710186478</t>
  </si>
  <si>
    <t xml:space="preserve">0.32281205164993038</t>
  </si>
  <si>
    <t xml:space="preserve">18.154700391582921</t>
  </si>
  <si>
    <t xml:space="preserve">5.0965665236051514</t>
  </si>
  <si>
    <t xml:space="preserve">0.1341201716738197</t>
  </si>
  <si>
    <t xml:space="preserve">13.560072504877477</t>
  </si>
  <si>
    <t xml:space="preserve">3.4579112818721538</t>
  </si>
  <si>
    <t xml:space="preserve">0.209570380719523</t>
  </si>
  <si>
    <t xml:space="preserve">16.89254464655507</t>
  </si>
  <si>
    <t xml:space="preserve">15.839493136219639</t>
  </si>
  <si>
    <t xml:space="preserve">0.47518479408658471</t>
  </si>
  <si>
    <t xml:space="preserve">6.7059456625254059</t>
  </si>
  <si>
    <t xml:space="preserve">1.3561741613133584</t>
  </si>
  <si>
    <t xml:space="preserve">0.1903402331667815</t>
  </si>
  <si>
    <t xml:space="preserve">41.608837593488069</t>
  </si>
  <si>
    <t xml:space="preserve">9.512074913750622</t>
  </si>
  <si>
    <t xml:space="preserve">0.2094627895515018</t>
  </si>
  <si>
    <t xml:space="preserve">56.914056914056914</t>
  </si>
  <si>
    <t xml:space="preserve">13.650668764752153</t>
  </si>
  <si>
    <t xml:space="preserve">0.26226068712300021</t>
  </si>
  <si>
    <t xml:space="preserve">25.811553070417379</t>
  </si>
  <si>
    <t xml:space="preserve">6.4687168610816608</t>
  </si>
  <si>
    <t xml:space="preserve">0.25753673685805001</t>
  </si>
  <si>
    <t xml:space="preserve">9.5897499353200395</t>
  </si>
  <si>
    <t xml:space="preserve">1.9144532597447239</t>
  </si>
  <si>
    <t xml:space="preserve">0.17247326664367019</t>
  </si>
  <si>
    <t xml:space="preserve">39.306470581517992</t>
  </si>
  <si>
    <t xml:space="preserve">29.829210836277991</t>
  </si>
  <si>
    <t xml:space="preserve">0.73616018845700815</t>
  </si>
  <si>
    <t xml:space="preserve">7.5641688974876446</t>
  </si>
  <si>
    <t xml:space="preserve">2.3076923076922964</t>
  </si>
  <si>
    <t xml:space="preserve">0.2233250620347409</t>
  </si>
  <si>
    <t xml:space="preserve">7.9123280265354552</t>
  </si>
  <si>
    <t xml:space="preserve">1.823899371069168</t>
  </si>
  <si>
    <t xml:space="preserve">0.1572327044025067</t>
  </si>
  <si>
    <t xml:space="preserve">20.992740827938409</t>
  </si>
  <si>
    <t xml:space="preserve">14.867517173699696</t>
  </si>
  <si>
    <t xml:space="preserve">0.53974484789009247</t>
  </si>
  <si>
    <t xml:space="preserve">8.5945767380933926</t>
  </si>
  <si>
    <t xml:space="preserve">1.93213949104618</t>
  </si>
  <si>
    <t xml:space="preserve">0.2120640904806799</t>
  </si>
  <si>
    <t xml:space="preserve">9.5097566175567092</t>
  </si>
  <si>
    <t xml:space="preserve">1.8541409147095176</t>
  </si>
  <si>
    <t xml:space="preserve">0.2163164400494402</t>
  </si>
  <si>
    <t xml:space="preserve">6.5941864981253575</t>
  </si>
  <si>
    <t xml:space="preserve">3.145377828922149</t>
  </si>
  <si>
    <t xml:space="preserve">0.1917913310318482</t>
  </si>
  <si>
    <t xml:space="preserve">4.5852450170392673</t>
  </si>
  <si>
    <t xml:space="preserve">2.4176488365064976</t>
  </si>
  <si>
    <t xml:space="preserve">0.24176488365065321</t>
  </si>
  <si>
    <t xml:space="preserve">10.580968327448838</t>
  </si>
  <si>
    <t xml:space="preserve">3.6273386788850712</t>
  </si>
  <si>
    <t xml:space="preserve">0.34364261168385102</t>
  </si>
  <si>
    <t xml:space="preserve">11.169013964117935</t>
  </si>
  <si>
    <t xml:space="preserve">4.1982802225594398</t>
  </si>
  <si>
    <t xml:space="preserve">0.40465351542742101</t>
  </si>
  <si>
    <t xml:space="preserve">18.206201020581467</t>
  </si>
  <si>
    <t xml:space="preserve">3.5600578871201187</t>
  </si>
  <si>
    <t xml:space="preserve">0.1157742402315583</t>
  </si>
  <si>
    <t xml:space="preserve">9.3488591515242163</t>
  </si>
  <si>
    <t xml:space="preserve">2.3774145616642031</t>
  </si>
  <si>
    <t xml:space="preserve">0.2600297176820271</t>
  </si>
  <si>
    <t xml:space="preserve">5.9876501169148408</t>
  </si>
  <si>
    <t xml:space="preserve">1.8518518518518343</t>
  </si>
  <si>
    <t xml:space="preserve">0.19290123456789021</t>
  </si>
  <si>
    <t xml:space="preserve">60.057128913260051</t>
  </si>
  <si>
    <t xml:space="preserve">6.6087693285321008</t>
  </si>
  <si>
    <t xml:space="preserve">0.31772929464096589</t>
  </si>
  <si>
    <t xml:space="preserve">9.9473117168697236</t>
  </si>
  <si>
    <t xml:space="preserve">5.7307863171923614</t>
  </si>
  <si>
    <t xml:space="preserve">0.13327410039982099</t>
  </si>
  <si>
    <t xml:space="preserve">7.0050290270890292</t>
  </si>
  <si>
    <t xml:space="preserve">1.8211382113821211</t>
  </si>
  <si>
    <t xml:space="preserve">0.1951219512195011</t>
  </si>
  <si>
    <t xml:space="preserve">5.3276661016990241</t>
  </si>
  <si>
    <t xml:space="preserve">3.9999999999999942</t>
  </si>
  <si>
    <t xml:space="preserve">0.27586206896552767</t>
  </si>
  <si>
    <t xml:space="preserve">6.8837094368600455</t>
  </si>
  <si>
    <t xml:space="preserve">2.4648755237860489</t>
  </si>
  <si>
    <t xml:space="preserve">0.12324377618930241</t>
  </si>
  <si>
    <t xml:space="preserve">12.998432541957319</t>
  </si>
  <si>
    <t xml:space="preserve">18.97211591033351</t>
  </si>
  <si>
    <t xml:space="preserve">0.32804811372335069</t>
  </si>
  <si>
    <t xml:space="preserve">11.585026639826529</t>
  </si>
  <si>
    <t xml:space="preserve">1.6237623762376214</t>
  </si>
  <si>
    <t xml:space="preserve">0.2772277227722727</t>
  </si>
  <si>
    <t xml:space="preserve">18.700393187752969</t>
  </si>
  <si>
    <t xml:space="preserve">6.0237709346299333</t>
  </si>
  <si>
    <t xml:space="preserve">0.24311183144246501</t>
  </si>
  <si>
    <t xml:space="preserve">3.0937205685863161</t>
  </si>
  <si>
    <t xml:space="preserve">2.6556776556776609</t>
  </si>
  <si>
    <t xml:space="preserve">0.13736263736264251</t>
  </si>
  <si>
    <t xml:space="preserve">6.3776726945671101</t>
  </si>
  <si>
    <t xml:space="preserve">2.1758306380476262</t>
  </si>
  <si>
    <t xml:space="preserve">0.20582181711261061</t>
  </si>
  <si>
    <t xml:space="preserve">8.5261677319854723</t>
  </si>
  <si>
    <t xml:space="preserve">2.9474431818181857</t>
  </si>
  <si>
    <t xml:space="preserve">0.3196022727272696</t>
  </si>
  <si>
    <t xml:space="preserve">4.6259258654563062</t>
  </si>
  <si>
    <t xml:space="preserve">2.0213577421815447</t>
  </si>
  <si>
    <t xml:space="preserve">0.3432494279176222</t>
  </si>
  <si>
    <t xml:space="preserve">5.745706829336787</t>
  </si>
  <si>
    <t xml:space="preserve">1.8524142119647808</t>
  </si>
  <si>
    <t xml:space="preserve">0.2429395687822602</t>
  </si>
  <si>
    <t xml:space="preserve">3.675010200857094</t>
  </si>
  <si>
    <t xml:space="preserve">4.6088794926004129</t>
  </si>
  <si>
    <t xml:space="preserve">0.2114164904862639</t>
  </si>
  <si>
    <t xml:space="preserve">3.6011921558494322</t>
  </si>
  <si>
    <t xml:space="preserve">1.1270890011659671</t>
  </si>
  <si>
    <t xml:space="preserve">0.19432568985620449</t>
  </si>
  <si>
    <t xml:space="preserve">3.8686902065703737</t>
  </si>
  <si>
    <t xml:space="preserve">1.3286934514394142</t>
  </si>
  <si>
    <t xml:space="preserve">0.22144890857324159</t>
  </si>
  <si>
    <t xml:space="preserve">3.076527964303521</t>
  </si>
  <si>
    <t xml:space="preserve">1.1961722488038278</t>
  </si>
  <si>
    <t xml:space="preserve">0.1993620414673046</t>
  </si>
  <si>
    <t xml:space="preserve">5.709422414550537</t>
  </si>
  <si>
    <t xml:space="preserve">1.6084739113377662</t>
  </si>
  <si>
    <t xml:space="preserve">0.11769321302470891</t>
  </si>
  <si>
    <t xml:space="preserve">2.5590719099202808</t>
  </si>
  <si>
    <t xml:space="preserve">1.5948275862068917</t>
  </si>
  <si>
    <t xml:space="preserve">0.2155172413793103</t>
  </si>
  <si>
    <t xml:space="preserve">11.686161069886008</t>
  </si>
  <si>
    <t xml:space="preserve">1.601708489054992</t>
  </si>
  <si>
    <t xml:space="preserve">0.1067805659370009</t>
  </si>
  <si>
    <t xml:space="preserve">10.130954836047543</t>
  </si>
  <si>
    <t xml:space="preserve">4.8499651081646808</t>
  </si>
  <si>
    <t xml:space="preserve">0.20935101186323191</t>
  </si>
  <si>
    <t xml:space="preserve">5.7327804499302957</t>
  </si>
  <si>
    <t xml:space="preserve">2.5088757396449624</t>
  </si>
  <si>
    <t xml:space="preserve">0.16568047337277839</t>
  </si>
  <si>
    <t xml:space="preserve">5.3099896075917687</t>
  </si>
  <si>
    <t xml:space="preserve">4.2636830964620565</t>
  </si>
  <si>
    <t xml:space="preserve">0.1511944360447621</t>
  </si>
  <si>
    <t xml:space="preserve">3.4757018000068727</t>
  </si>
  <si>
    <t xml:space="preserve">2.0328849028400637</t>
  </si>
  <si>
    <t xml:space="preserve">0.2391629297458843</t>
  </si>
  <si>
    <t xml:space="preserve">5.5176692551393369</t>
  </si>
  <si>
    <t xml:space="preserve">1.2942779291553237</t>
  </si>
  <si>
    <t xml:space="preserve">0.24977293369663811</t>
  </si>
  <si>
    <t xml:space="preserve">4.5783144720282243</t>
  </si>
  <si>
    <t xml:space="preserve">1.0387811634349031</t>
  </si>
  <si>
    <t xml:space="preserve">0.20775623268698351</t>
  </si>
  <si>
    <t xml:space="preserve">5.3198563638789196</t>
  </si>
  <si>
    <t xml:space="preserve">3.702290076335895</t>
  </si>
  <si>
    <t xml:space="preserve">0.22900763358779491</t>
  </si>
  <si>
    <t xml:space="preserve">2.9061763896097004</t>
  </si>
  <si>
    <t xml:space="preserve">1.118881118881115</t>
  </si>
  <si>
    <t xml:space="preserve">0.17482517482517479</t>
  </si>
  <si>
    <t xml:space="preserve">22.686152770441517</t>
  </si>
  <si>
    <t xml:space="preserve">15.168257157207442</t>
  </si>
  <si>
    <t xml:space="preserve">0.30135610246107197</t>
  </si>
  <si>
    <t xml:space="preserve">3.6203281425224461</t>
  </si>
  <si>
    <t xml:space="preserve">1.0895883777239781</t>
  </si>
  <si>
    <t xml:space="preserve">0.24213075060533029</t>
  </si>
  <si>
    <t xml:space="preserve">4.45872565137104</t>
  </si>
  <si>
    <t xml:space="preserve">3.4047919293820792</t>
  </si>
  <si>
    <t xml:space="preserve">0.1261034047919222</t>
  </si>
  <si>
    <t xml:space="preserve">4.0921908597798957</t>
  </si>
  <si>
    <t xml:space="preserve">0.86339808818995112</t>
  </si>
  <si>
    <t xml:space="preserve">0.27752081406105628</t>
  </si>
  <si>
    <t xml:space="preserve">8.4368027567009989</t>
  </si>
  <si>
    <t xml:space="preserve">1.8508287292817649</t>
  </si>
  <si>
    <t xml:space="preserve">0.1104972375690545</t>
  </si>
  <si>
    <t xml:space="preserve">6.9092701067391706</t>
  </si>
  <si>
    <t xml:space="preserve">1.7323369565217277</t>
  </si>
  <si>
    <t xml:space="preserve">0.16983695652173911</t>
  </si>
  <si>
    <t xml:space="preserve">2.6736551640636894</t>
  </si>
  <si>
    <t xml:space="preserve">0.83188908145581764</t>
  </si>
  <si>
    <t xml:space="preserve">0.242634315424611</t>
  </si>
  <si>
    <t xml:space="preserve">4.9198869947609438</t>
  </si>
  <si>
    <t xml:space="preserve">2.3637820512820538</t>
  </si>
  <si>
    <t xml:space="preserve">0.2403846153846188</t>
  </si>
  <si>
    <t xml:space="preserve">9.6726248987523764</t>
  </si>
  <si>
    <t xml:space="preserve">2.6415094339622751</t>
  </si>
  <si>
    <t xml:space="preserve">0.25157232704402871</t>
  </si>
  <si>
    <t xml:space="preserve">12.522559021766767</t>
  </si>
  <si>
    <t xml:space="preserve">6.2988281249999893</t>
  </si>
  <si>
    <t xml:space="preserve">0.19531250000000269</t>
  </si>
  <si>
    <t xml:space="preserve">1.9258224545762677</t>
  </si>
  <si>
    <t xml:space="preserve">2.3605150214592352</t>
  </si>
  <si>
    <t xml:space="preserve">0.25035765379113117</t>
  </si>
  <si>
    <t xml:space="preserve">4.3269449744175192</t>
  </si>
  <si>
    <t xml:space="preserve">1.6183035714285587</t>
  </si>
  <si>
    <t xml:space="preserve">0.19531250000000469</t>
  </si>
  <si>
    <t xml:space="preserve">5.409627620446738</t>
  </si>
  <si>
    <t xml:space="preserve">2.5553662691652468</t>
  </si>
  <si>
    <t xml:space="preserve">0.1703577512776831</t>
  </si>
  <si>
    <t xml:space="preserve">4.5341029313338792</t>
  </si>
  <si>
    <t xml:space="preserve">2.5712300208478158</t>
  </si>
  <si>
    <t xml:space="preserve">0.18531387537642141</t>
  </si>
  <si>
    <t xml:space="preserve">6.3718284045143001</t>
  </si>
  <si>
    <t xml:space="preserve">6.6580478345184311</t>
  </si>
  <si>
    <t xml:space="preserve">0.25856496444732108</t>
  </si>
  <si>
    <t xml:space="preserve">5.0842222802960686</t>
  </si>
  <si>
    <t xml:space="preserve">1.7169923031379548</t>
  </si>
  <si>
    <t xml:space="preserve">0.14801657785672831</t>
  </si>
  <si>
    <t xml:space="preserve">12.103149617316936</t>
  </si>
  <si>
    <t xml:space="preserve">1.3818516812528918</t>
  </si>
  <si>
    <t xml:space="preserve">0.18424689083371321</t>
  </si>
  <si>
    <t xml:space="preserve">5.4613562367991451</t>
  </si>
  <si>
    <t xml:space="preserve">2.3274478330658082</t>
  </si>
  <si>
    <t xml:space="preserve">0.2140181915462844</t>
  </si>
  <si>
    <t xml:space="preserve">17.213922104701819</t>
  </si>
  <si>
    <t xml:space="preserve">13.129496402877708</t>
  </si>
  <si>
    <t xml:space="preserve">0.31474820143885662</t>
  </si>
  <si>
    <t xml:space="preserve">7.9041030106823618</t>
  </si>
  <si>
    <t xml:space="preserve">2.0516108350697331</t>
  </si>
  <si>
    <t xml:space="preserve">0.2083667254367704</t>
  </si>
  <si>
    <t xml:space="preserve">14.16096294547962</t>
  </si>
  <si>
    <t xml:space="preserve">4.7472838923004312</t>
  </si>
  <si>
    <t xml:space="preserve">2.1051170537611141</t>
  </si>
  <si>
    <t xml:space="preserve">2.6927784577723242</t>
  </si>
  <si>
    <t xml:space="preserve">0.18359853121174849</t>
  </si>
  <si>
    <t xml:space="preserve">3.3365855454511988</t>
  </si>
  <si>
    <t xml:space="preserve">1.0138476755687356</t>
  </si>
  <si>
    <t xml:space="preserve">0.2225519287833842</t>
  </si>
  <si>
    <t xml:space="preserve">2.8544376061718304</t>
  </si>
  <si>
    <t xml:space="preserve">1.5151515151515187</t>
  </si>
  <si>
    <t xml:space="preserve">0.18939393939393759</t>
  </si>
  <si>
    <t xml:space="preserve">4.4246984397832581</t>
  </si>
  <si>
    <t xml:space="preserve">1.4796547472256565</t>
  </si>
  <si>
    <t xml:space="preserve">0.20550760378133989</t>
  </si>
  <si>
    <t xml:space="preserve">3.1735381323291221</t>
  </si>
  <si>
    <t xml:space="preserve">1.9464720194647205</t>
  </si>
  <si>
    <t xml:space="preserve">0.21897810218978239</t>
  </si>
  <si>
    <t xml:space="preserve">59.291610454348643</t>
  </si>
  <si>
    <t xml:space="preserve">21.871425303134284</t>
  </si>
  <si>
    <t xml:space="preserve">0.34317089910775561</t>
  </si>
  <si>
    <t xml:space="preserve">12.786946561315885</t>
  </si>
  <si>
    <t xml:space="preserve">3.7824614226571369</t>
  </si>
  <si>
    <t xml:space="preserve">0.16936394429807619</t>
  </si>
  <si>
    <t xml:space="preserve">7.2348936587307024</t>
  </si>
  <si>
    <t xml:space="preserve">3.374777975133215</t>
  </si>
  <si>
    <t xml:space="preserve">0.28419182948490129</t>
  </si>
  <si>
    <t xml:space="preserve">6.5453836476829732</t>
  </si>
  <si>
    <t xml:space="preserve">1.9316909294512969</t>
  </si>
  <si>
    <t xml:space="preserve">0.12597984322508871</t>
  </si>
  <si>
    <t xml:space="preserve">5.7935570150118707</t>
  </si>
  <si>
    <t xml:space="preserve">1.7893810501613443</t>
  </si>
  <si>
    <t xml:space="preserve">0.23467292461131789</t>
  </si>
  <si>
    <t xml:space="preserve">25.529124825329088</t>
  </si>
  <si>
    <t xml:space="preserve">5.1030585106382862</t>
  </si>
  <si>
    <t xml:space="preserve">0.33244680851063829</t>
  </si>
  <si>
    <t xml:space="preserve">7.3877340599836296</t>
  </si>
  <si>
    <t xml:space="preserve">2.7419034373137205</t>
  </si>
  <si>
    <t xml:space="preserve">0.21855752036559159</t>
  </si>
  <si>
    <t xml:space="preserve">7.8891404267012595</t>
  </si>
  <si>
    <t xml:space="preserve">3.0180761781794594</t>
  </si>
  <si>
    <t xml:space="preserve">0.14525500322789439</t>
  </si>
  <si>
    <t xml:space="preserve">7.4471117158700366</t>
  </si>
  <si>
    <t xml:space="preserve">2.435530085959869</t>
  </si>
  <si>
    <t xml:space="preserve">0.1790830945558739</t>
  </si>
  <si>
    <t xml:space="preserve">6.6198741317076299</t>
  </si>
  <si>
    <t xml:space="preserve">1.6824644549763086</t>
  </si>
  <si>
    <t xml:space="preserve">0.18957345971564249</t>
  </si>
  <si>
    <t xml:space="preserve">3.7040403581319898</t>
  </si>
  <si>
    <t xml:space="preserve">2.0000000000000098</t>
  </si>
  <si>
    <t xml:space="preserve">0.30434782608695771</t>
  </si>
  <si>
    <t xml:space="preserve">8.4261902569294005</t>
  </si>
  <si>
    <t xml:space="preserve">1.7531556802244039</t>
  </si>
  <si>
    <t xml:space="preserve">0.19635343618513801</t>
  </si>
  <si>
    <t xml:space="preserve">7.158625913302112</t>
  </si>
  <si>
    <t xml:space="preserve">2.0092165898617682</t>
  </si>
  <si>
    <t xml:space="preserve">0.16589861751152701</t>
  </si>
  <si>
    <t xml:space="preserve">8.0995122040255723</t>
  </si>
  <si>
    <t xml:space="preserve">7.4608408903545032</t>
  </si>
  <si>
    <t xml:space="preserve">0.20610057708160989</t>
  </si>
  <si>
    <t xml:space="preserve">11.280661496173677</t>
  </si>
  <si>
    <t xml:space="preserve">4.4624424329045791</t>
  </si>
  <si>
    <t xml:space="preserve">0.2223280927425722</t>
  </si>
  <si>
    <t xml:space="preserve">5.6599886347411754</t>
  </si>
  <si>
    <t xml:space="preserve">1.7125064867669917</t>
  </si>
  <si>
    <t xml:space="preserve">0.20757654385054289</t>
  </si>
  <si>
    <t xml:space="preserve">15.498290429805987</t>
  </si>
  <si>
    <t xml:space="preserve">5.5077452667814031</t>
  </si>
  <si>
    <t xml:space="preserve">0.26773761713520311</t>
  </si>
  <si>
    <t xml:space="preserve">15.202257591557004</t>
  </si>
  <si>
    <t xml:space="preserve">7.3314474304573372</t>
  </si>
  <si>
    <t xml:space="preserve">0.3536067892503536</t>
  </si>
  <si>
    <t xml:space="preserve">8.2309192326868708</t>
  </si>
  <si>
    <t xml:space="preserve">5.1187551187551188</t>
  </si>
  <si>
    <t xml:space="preserve">0.20475020475019889</t>
  </si>
  <si>
    <t xml:space="preserve">9.7994160899653977</t>
  </si>
  <si>
    <t xml:space="preserve">1.9375109094082581</t>
  </si>
  <si>
    <t xml:space="preserve">0.1745505323791138</t>
  </si>
  <si>
    <t xml:space="preserve">3.459049823881378</t>
  </si>
  <si>
    <t xml:space="preserve">1.7047655947307154</t>
  </si>
  <si>
    <t xml:space="preserve">0.15497869043006249</t>
  </si>
  <si>
    <t xml:space="preserve">5.066494931251655</t>
  </si>
  <si>
    <t xml:space="preserve">1.4680268723563159</t>
  </si>
  <si>
    <t xml:space="preserve">0.074645434187611701</t>
  </si>
  <si>
    <t xml:space="preserve">10.123142095627545</t>
  </si>
  <si>
    <t xml:space="preserve">3.708565802428621</t>
  </si>
  <si>
    <t xml:space="preserve">0.29537249753856432</t>
  </si>
  <si>
    <t xml:space="preserve">1.5862412561223929</t>
  </si>
  <si>
    <t xml:space="preserve">1.0867775399308266</t>
  </si>
  <si>
    <t xml:space="preserve">0.2140622427136524</t>
  </si>
  <si>
    <t xml:space="preserve">7.0262155910608692</t>
  </si>
  <si>
    <t xml:space="preserve">3.926467963590933</t>
  </si>
  <si>
    <t xml:space="preserve">0.16062823487417049</t>
  </si>
  <si>
    <t xml:space="preserve">14.343253524279666</t>
  </si>
  <si>
    <t xml:space="preserve">6.8987341772151876</t>
  </si>
  <si>
    <t xml:space="preserve">0.084388185654003606</t>
  </si>
  <si>
    <t xml:space="preserve">5.1544889996481507</t>
  </si>
  <si>
    <t xml:space="preserve">2.8890705914418007</t>
  </si>
  <si>
    <t xml:space="preserve">0.1090215317525226</t>
  </si>
  <si>
    <t xml:space="preserve">12.95976027777966</t>
  </si>
  <si>
    <t xml:space="preserve">8.0659150043365244</t>
  </si>
  <si>
    <t xml:space="preserve">0.30355594102341837</t>
  </si>
  <si>
    <t xml:space="preserve">17.175716691775413</t>
  </si>
  <si>
    <t xml:space="preserve">7.6730769230769189</t>
  </si>
  <si>
    <t xml:space="preserve">0.1730769230769296</t>
  </si>
  <si>
    <t xml:space="preserve">3.5747320068098647</t>
  </si>
  <si>
    <t xml:space="preserve">1.3556258472661544</t>
  </si>
  <si>
    <t xml:space="preserve">0.203343877089918</t>
  </si>
  <si>
    <t xml:space="preserve">3.8376324485220361</t>
  </si>
  <si>
    <t xml:space="preserve">2.3854194585901838</t>
  </si>
  <si>
    <t xml:space="preserve">0.16081479496112719</t>
  </si>
  <si>
    <t xml:space="preserve">6.380748370630327</t>
  </si>
  <si>
    <t xml:space="preserve">6.6620879120879053</t>
  </si>
  <si>
    <t xml:space="preserve">0.20604395604395409</t>
  </si>
  <si>
    <t xml:space="preserve">9.2009069140839763</t>
  </si>
  <si>
    <t xml:space="preserve">2.3326210826210869</t>
  </si>
  <si>
    <t xml:space="preserve">0.16025641025640619</t>
  </si>
  <si>
    <t xml:space="preserve">6.5041981642693338</t>
  </si>
  <si>
    <t xml:space="preserve">1.8670496512104977</t>
  </si>
  <si>
    <t xml:space="preserve">0.14361920393926719</t>
  </si>
  <si>
    <t xml:space="preserve">5.4844105629747437</t>
  </si>
  <si>
    <t xml:space="preserve">3.590010405827281</t>
  </si>
  <si>
    <t xml:space="preserve">0.18210197710717699</t>
  </si>
  <si>
    <t xml:space="preserve">4.7034667715891683</t>
  </si>
  <si>
    <t xml:space="preserve">3.0912235192390733</t>
  </si>
  <si>
    <t xml:space="preserve">0.1945525291828806</t>
  </si>
  <si>
    <t xml:space="preserve">5.659245509388688</t>
  </si>
  <si>
    <t xml:space="preserve">1.9948703334283275</t>
  </si>
  <si>
    <t xml:space="preserve">0.19948703334282139</t>
  </si>
  <si>
    <t xml:space="preserve">12.996791137083148</t>
  </si>
  <si>
    <t xml:space="preserve">9.1205211726384476</t>
  </si>
  <si>
    <t xml:space="preserve">0.0930665425779445</t>
  </si>
  <si>
    <t xml:space="preserve">11.159151282079131</t>
  </si>
  <si>
    <t xml:space="preserve">3.8113570741097234</t>
  </si>
  <si>
    <t xml:space="preserve">0.2309913378248403</t>
  </si>
  <si>
    <t xml:space="preserve">6.440742936355087</t>
  </si>
  <si>
    <t xml:space="preserve">2.241715399610134</t>
  </si>
  <si>
    <t xml:space="preserve">0.26803118908381929</t>
  </si>
  <si>
    <t xml:space="preserve">5.1236156169597162</t>
  </si>
  <si>
    <t xml:space="preserve">2.7537624079410898</t>
  </si>
  <si>
    <t xml:space="preserve">0.16010246557796989</t>
  </si>
  <si>
    <t xml:space="preserve">45.772955459822242</t>
  </si>
  <si>
    <t xml:space="preserve">10.064935064935074</t>
  </si>
  <si>
    <t xml:space="preserve">0.22918258212375639</t>
  </si>
  <si>
    <t xml:space="preserve">5.932327198835428</t>
  </si>
  <si>
    <t xml:space="preserve">1.6167379933428327</t>
  </si>
  <si>
    <t xml:space="preserve">0.2377555872563005</t>
  </si>
  <si>
    <t xml:space="preserve">6.1647394516904601</t>
  </si>
  <si>
    <t xml:space="preserve">1.6970070965751309</t>
  </si>
  <si>
    <t xml:space="preserve">0.2159827213822946</t>
  </si>
  <si>
    <t xml:space="preserve">6.8937264886475162</t>
  </si>
  <si>
    <t xml:space="preserve">2.1325209444021409</t>
  </si>
  <si>
    <t xml:space="preserve">0.17136329017516699</t>
  </si>
  <si>
    <t xml:space="preserve">6.6319068406900676</t>
  </si>
  <si>
    <t xml:space="preserve">3.6168132942326494</t>
  </si>
  <si>
    <t xml:space="preserve">0.21505376344086469</t>
  </si>
  <si>
    <t xml:space="preserve">13.744828927164191</t>
  </si>
  <si>
    <t xml:space="preserve">28.992520897492291</t>
  </si>
  <si>
    <t xml:space="preserve">0.39595248570170571</t>
  </si>
  <si>
    <t xml:space="preserve">3.637460520247509</t>
  </si>
  <si>
    <t xml:space="preserve">1.6927083333333479</t>
  </si>
  <si>
    <t xml:space="preserve">0.19531250000000119</t>
  </si>
  <si>
    <t xml:space="preserve">27.404931564836065</t>
  </si>
  <si>
    <t xml:space="preserve">21.227134146341463</t>
  </si>
  <si>
    <t xml:space="preserve">0.26676829268293328</t>
  </si>
  <si>
    <t xml:space="preserve">7.604123124537991</t>
  </si>
  <si>
    <t xml:space="preserve">3.6363636363636411</t>
  </si>
  <si>
    <t xml:space="preserve">0.1859504132231416</t>
  </si>
  <si>
    <t xml:space="preserve">10.53783488023247</t>
  </si>
  <si>
    <t xml:space="preserve">4.2388758782201457</t>
  </si>
  <si>
    <t xml:space="preserve">0.21077283372365471</t>
  </si>
  <si>
    <t xml:space="preserve">20.176838782574382</t>
  </si>
  <si>
    <t xml:space="preserve">8.9743589743589958</t>
  </si>
  <si>
    <t xml:space="preserve">0.18315018315018311</t>
  </si>
  <si>
    <t xml:space="preserve">7.9754963667196446</t>
  </si>
  <si>
    <t xml:space="preserve">2.7610441767068465</t>
  </si>
  <si>
    <t xml:space="preserve">0.1506024096385504</t>
  </si>
  <si>
    <t xml:space="preserve">7.3053101036500516</t>
  </si>
  <si>
    <t xml:space="preserve">1.2303043384416243</t>
  </si>
  <si>
    <t xml:space="preserve">0.21584286639326569</t>
  </si>
  <si>
    <t xml:space="preserve">5.6166017761941456</t>
  </si>
  <si>
    <t xml:space="preserve">2.0264793299108348</t>
  </si>
  <si>
    <t xml:space="preserve">0.18913807079168249</t>
  </si>
  <si>
    <t xml:space="preserve">8.3699096139509628</t>
  </si>
  <si>
    <t xml:space="preserve">10.994983277591979</t>
  </si>
  <si>
    <t xml:space="preserve">0.29264214046822268</t>
  </si>
  <si>
    <t xml:space="preserve">18.84450160312262</t>
  </si>
  <si>
    <t xml:space="preserve">3.6357786357786392</t>
  </si>
  <si>
    <t xml:space="preserve">0.14478764478765019</t>
  </si>
  <si>
    <t xml:space="preserve">2.112646300757945</t>
  </si>
  <si>
    <t xml:space="preserve">0.56940899273513335</t>
  </si>
  <si>
    <t xml:space="preserve">0.17671313567641411</t>
  </si>
  <si>
    <t xml:space="preserve">31.139856352708904</t>
  </si>
  <si>
    <t xml:space="preserve">17.003231017770595</t>
  </si>
  <si>
    <t xml:space="preserve">0.2221324717285991</t>
  </si>
  <si>
    <t xml:space="preserve">4.1678490351863191</t>
  </si>
  <si>
    <t xml:space="preserve">1.8953550453817465</t>
  </si>
  <si>
    <t xml:space="preserve">0.2402562733582502</t>
  </si>
  <si>
    <t xml:space="preserve">11.699553691882452</t>
  </si>
  <si>
    <t xml:space="preserve">9.1263650546021982</t>
  </si>
  <si>
    <t xml:space="preserve">0.27301092043681308</t>
  </si>
  <si>
    <t xml:space="preserve">11.382630497615285</t>
  </si>
  <si>
    <t xml:space="preserve">4.8852266038846448</t>
  </si>
  <si>
    <t xml:space="preserve">0.29429075927015891</t>
  </si>
  <si>
    <t xml:space="preserve">3.318540883121345</t>
  </si>
  <si>
    <t xml:space="preserve">2.0611473720371003</t>
  </si>
  <si>
    <t xml:space="preserve">0.2061147372037081</t>
  </si>
  <si>
    <t xml:space="preserve">4.0863702164478379</t>
  </si>
  <si>
    <t xml:space="preserve">1.993865030674842</t>
  </si>
  <si>
    <t xml:space="preserve">0.19171779141104289</t>
  </si>
  <si>
    <t xml:space="preserve">11.968605930915624</t>
  </si>
  <si>
    <t xml:space="preserve">7.4868751426614821</t>
  </si>
  <si>
    <t xml:space="preserve">0.1597808719470479</t>
  </si>
  <si>
    <t xml:space="preserve">3.5331787567627249</t>
  </si>
  <si>
    <t xml:space="preserve">4.1412084181941768</t>
  </si>
  <si>
    <t xml:space="preserve">0.20366598778004841</t>
  </si>
  <si>
    <t xml:space="preserve">8.5066141687049388</t>
  </si>
  <si>
    <t xml:space="preserve">4.0553156727739523</t>
  </si>
  <si>
    <t xml:space="preserve">0.099194771852027297</t>
  </si>
  <si>
    <t xml:space="preserve">21.961677200421438</t>
  </si>
  <si>
    <t xml:space="preserve">6.5085975282106299</t>
  </si>
  <si>
    <t xml:space="preserve">0.22837184309510861</t>
  </si>
  <si>
    <t xml:space="preserve">20.779906886644767</t>
  </si>
  <si>
    <t xml:space="preserve">6.0606060606060623</t>
  </si>
  <si>
    <t xml:space="preserve">0.2237136465324373</t>
  </si>
  <si>
    <t xml:space="preserve">37.667198967037372</t>
  </si>
  <si>
    <t xml:space="preserve">5.4525627044711023</t>
  </si>
  <si>
    <t xml:space="preserve">0.1817520901490367</t>
  </si>
  <si>
    <t xml:space="preserve">8.7363306550523419</t>
  </si>
  <si>
    <t xml:space="preserve">3.3509152963077731</t>
  </si>
  <si>
    <t xml:space="preserve">0.20167545764816441</t>
  </si>
  <si>
    <t xml:space="preserve">13.66114386465066</t>
  </si>
  <si>
    <t xml:space="preserve">20.491803278688529</t>
  </si>
  <si>
    <t xml:space="preserve">0.27322404371584808</t>
  </si>
  <si>
    <t xml:space="preserve">3.6945185235518023</t>
  </si>
  <si>
    <t xml:space="preserve">2.7735753908219865</t>
  </si>
  <si>
    <t xml:space="preserve">0.2269288956127094</t>
  </si>
  <si>
    <t xml:space="preserve">11.549697669678958</t>
  </si>
  <si>
    <t xml:space="preserve">4.6471600688468282</t>
  </si>
  <si>
    <t xml:space="preserve">0.20080321285141051</t>
  </si>
  <si>
    <t xml:space="preserve">7.5435293517680062</t>
  </si>
  <si>
    <t xml:space="preserve">4.8858773181169717</t>
  </si>
  <si>
    <t xml:space="preserve">0.1069900142653393</t>
  </si>
  <si>
    <t xml:space="preserve">9.7984891499908304</t>
  </si>
  <si>
    <t xml:space="preserve">2.2687944626033367</t>
  </si>
  <si>
    <t xml:space="preserve">0.1730436454527986</t>
  </si>
  <si>
    <t xml:space="preserve">7.3768354647730483</t>
  </si>
  <si>
    <t xml:space="preserve">1.1475786091347258</t>
  </si>
  <si>
    <t xml:space="preserve">0.2295157218269451</t>
  </si>
  <si>
    <t xml:space="preserve">11.047347582442766</t>
  </si>
  <si>
    <t xml:space="preserve">10.22556390977444</t>
  </si>
  <si>
    <t xml:space="preserve">0.25062656641604009</t>
  </si>
  <si>
    <t xml:space="preserve">15.828630928387868</t>
  </si>
  <si>
    <t xml:space="preserve">8.2094594594594437</t>
  </si>
  <si>
    <t xml:space="preserve">0.2364864864864922</t>
  </si>
  <si>
    <t xml:space="preserve">25.42292044243468</t>
  </si>
  <si>
    <t xml:space="preserve">6.3413906296627864</t>
  </si>
  <si>
    <t xml:space="preserve">0.22381378692927481</t>
  </si>
  <si>
    <t xml:space="preserve">5.469503876485482</t>
  </si>
  <si>
    <t xml:space="preserve">2.3817925194072185</t>
  </si>
  <si>
    <t xml:space="preserve">0.2117148906139712</t>
  </si>
  <si>
    <t xml:space="preserve">9.3792738706639796</t>
  </si>
  <si>
    <t xml:space="preserve">2.9831387808041407</t>
  </si>
  <si>
    <t xml:space="preserve">0.043233895373970703</t>
  </si>
  <si>
    <t xml:space="preserve">7.6347691514057257</t>
  </si>
  <si>
    <t xml:space="preserve">4.5897079276773303</t>
  </si>
  <si>
    <t xml:space="preserve">0.2225312934631464</t>
  </si>
  <si>
    <t xml:space="preserve">14.012825228016011</t>
  </si>
  <si>
    <t xml:space="preserve">14.246250986582476</t>
  </si>
  <si>
    <t xml:space="preserve">0.19731649565903711</t>
  </si>
  <si>
    <t xml:space="preserve">16.491436585079381</t>
  </si>
  <si>
    <t xml:space="preserve">4.6657183499288699</t>
  </si>
  <si>
    <t xml:space="preserve">0.34139402560455678</t>
  </si>
  <si>
    <t xml:space="preserve">4.5363836275192968</t>
  </si>
  <si>
    <t xml:space="preserve">2.0490880432335108</t>
  </si>
  <si>
    <t xml:space="preserve">0.1576221571718055</t>
  </si>
  <si>
    <t xml:space="preserve">3.5327797291538494</t>
  </si>
  <si>
    <t xml:space="preserve">2.6228602981778022</t>
  </si>
  <si>
    <t xml:space="preserve">0.24848150193263549</t>
  </si>
  <si>
    <t xml:space="preserve">4.460087264332989</t>
  </si>
  <si>
    <t xml:space="preserve">0.74341067808063854</t>
  </si>
  <si>
    <t xml:space="preserve">0.1351655778328375</t>
  </si>
  <si>
    <t xml:space="preserve">26.834474310598331</t>
  </si>
  <si>
    <t xml:space="preserve">7.2457394172622296</t>
  </si>
  <si>
    <t xml:space="preserve">0.19791094007696661</t>
  </si>
  <si>
    <t xml:space="preserve">5.0738872089140363</t>
  </si>
  <si>
    <t xml:space="preserve">2.2798552472858842</t>
  </si>
  <si>
    <t xml:space="preserve">0.18094089264173699</t>
  </si>
  <si>
    <t xml:space="preserve">22.776082637569694</t>
  </si>
  <si>
    <t xml:space="preserve">13.226324237560208</t>
  </si>
  <si>
    <t xml:space="preserve">0.32102728731942209</t>
  </si>
  <si>
    <t xml:space="preserve">3.8840270410051048</t>
  </si>
  <si>
    <t xml:space="preserve">2.093370991859135</t>
  </si>
  <si>
    <t xml:space="preserve">0.18275461040039301</t>
  </si>
  <si>
    <t xml:space="preserve">2.6088753940921565</t>
  </si>
  <si>
    <t xml:space="preserve">2.2419042347080054</t>
  </si>
  <si>
    <t xml:space="preserve">0.1107113202325032</t>
  </si>
  <si>
    <t xml:space="preserve">8.5265451118144302</t>
  </si>
  <si>
    <t xml:space="preserve">4.8458149779735438</t>
  </si>
  <si>
    <t xml:space="preserve">0.22026431718061459</t>
  </si>
  <si>
    <t xml:space="preserve">9.7699837304075352</t>
  </si>
  <si>
    <t xml:space="preserve">5.3386341047848802</t>
  </si>
  <si>
    <t xml:space="preserve">0.17038193951441791</t>
  </si>
  <si>
    <t xml:space="preserve">6.4146592495876966</t>
  </si>
  <si>
    <t xml:space="preserve">6.9626026147765394</t>
  </si>
  <si>
    <t xml:space="preserve">0.1216175129218538</t>
  </si>
  <si>
    <t xml:space="preserve">10.245838399673209</t>
  </si>
  <si>
    <t xml:space="preserve">2.1070518266779912</t>
  </si>
  <si>
    <t xml:space="preserve">0.084961767204757802</t>
  </si>
  <si>
    <t xml:space="preserve">11.9640584882111</t>
  </si>
  <si>
    <t xml:space="preserve">2.3590204448438552</t>
  </si>
  <si>
    <t xml:space="preserve">0.13480116827679681</t>
  </si>
  <si>
    <t xml:space="preserve">6.3766399662126911</t>
  </si>
  <si>
    <t xml:space="preserve">4.6188509200150474</t>
  </si>
  <si>
    <t xml:space="preserve">0.2628614344724059</t>
  </si>
  <si>
    <t xml:space="preserve">4.3111784424964252</t>
  </si>
  <si>
    <t xml:space="preserve">2.8396836808052091</t>
  </si>
  <si>
    <t xml:space="preserve">0.16175413371674641</t>
  </si>
  <si>
    <t xml:space="preserve">2.2689760693293941</t>
  </si>
  <si>
    <t xml:space="preserve">1.1927998265018434</t>
  </si>
  <si>
    <t xml:space="preserve">0.19518542615484211</t>
  </si>
  <si>
    <t xml:space="preserve">4.8186394453037922</t>
  </si>
  <si>
    <t xml:space="preserve">1.5338085979693288</t>
  </si>
  <si>
    <t xml:space="preserve">0.064808813998700102</t>
  </si>
  <si>
    <t xml:space="preserve">5.6605528737199027</t>
  </si>
  <si>
    <t xml:space="preserve">1.4635377239465226</t>
  </si>
  <si>
    <t xml:space="preserve">0.20186727226848639</t>
  </si>
  <si>
    <t xml:space="preserve">7.0880611962494093</t>
  </si>
  <si>
    <t xml:space="preserve">3.5197817189631588</t>
  </si>
  <si>
    <t xml:space="preserve">0.109140518417464</t>
  </si>
  <si>
    <t xml:space="preserve">6.0111533677329287</t>
  </si>
  <si>
    <t xml:space="preserve">5.5229142185663793</t>
  </si>
  <si>
    <t xml:space="preserve">0.19584802193497289</t>
  </si>
  <si>
    <t xml:space="preserve">1.654070786353415</t>
  </si>
  <si>
    <t xml:space="preserve">0.88794926004228092</t>
  </si>
  <si>
    <t xml:space="preserve">0.1268498942917595</t>
  </si>
  <si>
    <t xml:space="preserve">4.2150461389983267</t>
  </si>
  <si>
    <t xml:space="preserve">3.2767836393214087</t>
  </si>
  <si>
    <t xml:space="preserve">0.2091564025098781</t>
  </si>
  <si>
    <t xml:space="preserve">2.9730437470586639</t>
  </si>
  <si>
    <t xml:space="preserve">1.044659179942544</t>
  </si>
  <si>
    <t xml:space="preserve">0.18281535648994221</t>
  </si>
  <si>
    <t xml:space="preserve">8.0504106288595381</t>
  </si>
  <si>
    <t xml:space="preserve">5.6313086594651942</t>
  </si>
  <si>
    <t xml:space="preserve">0.15937666017353941</t>
  </si>
  <si>
    <t xml:space="preserve">4.6861711667414738</t>
  </si>
  <si>
    <t xml:space="preserve">2.0925808497146434</t>
  </si>
  <si>
    <t xml:space="preserve">0.16909744240118599</t>
  </si>
  <si>
    <t xml:space="preserve">3.7614217016671772</t>
  </si>
  <si>
    <t xml:space="preserve">2.1981004070556374</t>
  </si>
  <si>
    <t xml:space="preserve">0.24423337856173061</t>
  </si>
  <si>
    <t xml:space="preserve">8.2951697917575125</t>
  </si>
  <si>
    <t xml:space="preserve">6.8518518518518725</t>
  </si>
  <si>
    <t xml:space="preserve">0.25925925925926557</t>
  </si>
  <si>
    <t xml:space="preserve">2.5160157746573102</t>
  </si>
  <si>
    <t xml:space="preserve">1.1137360782990251</t>
  </si>
  <si>
    <t xml:space="preserve">0.1012487343908143</t>
  </si>
  <si>
    <t xml:space="preserve">25.596618428391679</t>
  </si>
  <si>
    <t xml:space="preserve">27.931526390870182</t>
  </si>
  <si>
    <t xml:space="preserve">0.25677603423680612</t>
  </si>
  <si>
    <t xml:space="preserve">5.1167691027728166</t>
  </si>
  <si>
    <t xml:space="preserve">1.160714285714274</t>
  </si>
  <si>
    <t xml:space="preserve">0.16581632653061359</t>
  </si>
  <si>
    <t xml:space="preserve">14.760073296952465</t>
  </si>
  <si>
    <t xml:space="preserve">2.1377049180327812</t>
  </si>
  <si>
    <t xml:space="preserve">0.20983606557377341</t>
  </si>
  <si>
    <t xml:space="preserve">6.2325583253603929</t>
  </si>
  <si>
    <t xml:space="preserve">3.8968946620661642</t>
  </si>
  <si>
    <t xml:space="preserve">0.223259590014212</t>
  </si>
  <si>
    <t xml:space="preserve">6.683158440729362</t>
  </si>
  <si>
    <t xml:space="preserve">5.5735580038885431</t>
  </si>
  <si>
    <t xml:space="preserve">0.32404406999351909</t>
  </si>
  <si>
    <t xml:space="preserve">11.804316079832136</t>
  </si>
  <si>
    <t xml:space="preserve">5.2524666279744698</t>
  </si>
  <si>
    <t xml:space="preserve">0.2031340684852051</t>
  </si>
  <si>
    <t xml:space="preserve">5.5988996944930509</t>
  </si>
  <si>
    <t xml:space="preserve">2.3387096774193594</t>
  </si>
  <si>
    <t xml:space="preserve">0.2217741935483859</t>
  </si>
  <si>
    <t xml:space="preserve">7.9290310846619505</t>
  </si>
  <si>
    <t xml:space="preserve">3.4926076708806408</t>
  </si>
  <si>
    <t xml:space="preserve">0.21427040925648161</t>
  </si>
  <si>
    <t xml:space="preserve">23.452167180448008</t>
  </si>
  <si>
    <t xml:space="preserve">16.942551119766307</t>
  </si>
  <si>
    <t xml:space="preserve">0.22719896137617279</t>
  </si>
  <si>
    <t xml:space="preserve">8.4304139581212816</t>
  </si>
  <si>
    <t xml:space="preserve">3.1157756641522001</t>
  </si>
  <si>
    <t xml:space="preserve">0.22958346999016629</t>
  </si>
  <si>
    <t xml:space="preserve">9.1149300505929816</t>
  </si>
  <si>
    <t xml:space="preserve">9.2245989304812834</t>
  </si>
  <si>
    <t xml:space="preserve">0.29411764705882959</t>
  </si>
  <si>
    <t xml:space="preserve">19.180230368561784</t>
  </si>
  <si>
    <t xml:space="preserve">20.070052539404561</t>
  </si>
  <si>
    <t xml:space="preserve">0.4203152364273165</t>
  </si>
  <si>
    <t xml:space="preserve">28.499089268232748</t>
  </si>
  <si>
    <t xml:space="preserve">8.2902829028290395</t>
  </si>
  <si>
    <t xml:space="preserve">0.22140221402214161</t>
  </si>
  <si>
    <t xml:space="preserve">20.815369551102961</t>
  </si>
  <si>
    <t xml:space="preserve">13.16017316017316</t>
  </si>
  <si>
    <t xml:space="preserve">0.2102659245516374</t>
  </si>
  <si>
    <t xml:space="preserve">10.092775100360464</t>
  </si>
  <si>
    <t xml:space="preserve">1.5301686663189329</t>
  </si>
  <si>
    <t xml:space="preserve">0.29560076508434108</t>
  </si>
  <si>
    <t xml:space="preserve">6.9398383570396271</t>
  </si>
  <si>
    <t xml:space="preserve">4.2673716012084633</t>
  </si>
  <si>
    <t xml:space="preserve">0.26435045317221179</t>
  </si>
  <si>
    <t xml:space="preserve">37.807222526061089</t>
  </si>
  <si>
    <t xml:space="preserve">4.8476454293628812</t>
  </si>
  <si>
    <t xml:space="preserve">0.34626038781162649</t>
  </si>
  <si>
    <t xml:space="preserve">9.7698221514975021</t>
  </si>
  <si>
    <t xml:space="preserve">1.6542034896895434</t>
  </si>
  <si>
    <t xml:space="preserve">0.24926353954226019</t>
  </si>
  <si>
    <t xml:space="preserve">29.936247665205279</t>
  </si>
  <si>
    <t xml:space="preserve">21.93600867678958</t>
  </si>
  <si>
    <t xml:space="preserve">0.3524945770065106</t>
  </si>
  <si>
    <t xml:space="preserve">79.328884064208225</t>
  </si>
  <si>
    <t xml:space="preserve">24.174802417480244</t>
  </si>
  <si>
    <t xml:space="preserve">0.371920037192009</t>
  </si>
  <si>
    <t xml:space="preserve">5.0239481900071787</t>
  </si>
  <si>
    <t xml:space="preserve">2.3988190429327103</t>
  </si>
  <si>
    <t xml:space="preserve">0.2214294501168669</t>
  </si>
  <si>
    <t xml:space="preserve">6.0925740815687695</t>
  </si>
  <si>
    <t xml:space="preserve">1.3470487386725447</t>
  </si>
  <si>
    <t xml:space="preserve">0.17144256674013919</t>
  </si>
  <si>
    <t xml:space="preserve">7.3819555396541494</t>
  </si>
  <si>
    <t xml:space="preserve">7.3877695298692032</t>
  </si>
  <si>
    <t xml:space="preserve">0.35348179568752208</t>
  </si>
  <si>
    <t xml:space="preserve">3.6786919475696909</t>
  </si>
  <si>
    <t xml:space="preserve">1.7552413456850244</t>
  </si>
  <si>
    <t xml:space="preserve">0.21127905086948709</t>
  </si>
  <si>
    <t xml:space="preserve">8.9986174851318292</t>
  </si>
  <si>
    <t xml:space="preserve">10.598031794095384</t>
  </si>
  <si>
    <t xml:space="preserve">0.28387585162754408</t>
  </si>
  <si>
    <t xml:space="preserve">12.639411277050474</t>
  </si>
  <si>
    <t xml:space="preserve">11.910013233348041</t>
  </si>
  <si>
    <t xml:space="preserve">0.35288928098808869</t>
  </si>
  <si>
    <t xml:space="preserve">8.6434797394414655</t>
  </si>
  <si>
    <t xml:space="preserve">5.837941301573796</t>
  </si>
  <si>
    <t xml:space="preserve">0.1807741386643969</t>
  </si>
  <si>
    <t xml:space="preserve">4.3185158903128658</t>
  </si>
  <si>
    <t xml:space="preserve">1.7603634298693729</t>
  </si>
  <si>
    <t xml:space="preserve">0.2271436683702393</t>
  </si>
  <si>
    <t xml:space="preserve">4.0012674065296547</t>
  </si>
  <si>
    <t xml:space="preserve">2.2150768131475487</t>
  </si>
  <si>
    <t xml:space="preserve">0.25008931761342929</t>
  </si>
  <si>
    <t xml:space="preserve">3.0485884019488045</t>
  </si>
  <si>
    <t xml:space="preserve">3.8755862749938261</t>
  </si>
  <si>
    <t xml:space="preserve">0.24685262898049859</t>
  </si>
  <si>
    <t xml:space="preserve">30.685541502959477</t>
  </si>
  <si>
    <t xml:space="preserve">3.6944729511801855</t>
  </si>
  <si>
    <t xml:space="preserve">0.2492303181351691</t>
  </si>
  <si>
    <t xml:space="preserve">5.9348266603789517</t>
  </si>
  <si>
    <t xml:space="preserve">2.3156225218080744</t>
  </si>
  <si>
    <t xml:space="preserve">0.095162569389368096</t>
  </si>
  <si>
    <t xml:space="preserve">6.3148064727788844</t>
  </si>
  <si>
    <t xml:space="preserve">3.6625245258338679</t>
  </si>
  <si>
    <t xml:space="preserve">0.1090037061260144</t>
  </si>
  <si>
    <t xml:space="preserve">44.689986688977811</t>
  </si>
  <si>
    <t xml:space="preserve">38.429964084145702</t>
  </si>
  <si>
    <t xml:space="preserve">0.66700872242175324</t>
  </si>
  <si>
    <t xml:space="preserve">7.3648672750213118</t>
  </si>
  <si>
    <t xml:space="preserve">8.3950617283950528</t>
  </si>
  <si>
    <t xml:space="preserve">0.32921810699587772</t>
  </si>
  <si>
    <t xml:space="preserve">11.213488044535362</t>
  </si>
  <si>
    <t xml:space="preserve">1.976906927921636</t>
  </si>
  <si>
    <t xml:space="preserve">0.1924422673197981</t>
  </si>
  <si>
    <t xml:space="preserve">5.7143099018408536</t>
  </si>
  <si>
    <t xml:space="preserve">0.49408858302451991</t>
  </si>
  <si>
    <t xml:space="preserve">0.22939827068995131</t>
  </si>
  <si>
    <t xml:space="preserve">7.9199018520364479</t>
  </si>
  <si>
    <t xml:space="preserve">7.0503929727230696</t>
  </si>
  <si>
    <t xml:space="preserve">0.34674063800277388</t>
  </si>
  <si>
    <t xml:space="preserve">15.386785045982664</t>
  </si>
  <si>
    <t xml:space="preserve">2.775343266140796</t>
  </si>
  <si>
    <t xml:space="preserve">0.16067776803972619</t>
  </si>
  <si>
    <t xml:space="preserve">5.3642722505990621</t>
  </si>
  <si>
    <t xml:space="preserve">1.8932384341637107</t>
  </si>
  <si>
    <t xml:space="preserve">0.18505338078291969</t>
  </si>
  <si>
    <t xml:space="preserve">20.117343993659262</t>
  </si>
  <si>
    <t xml:space="preserve">7.4689966178128353</t>
  </si>
  <si>
    <t xml:space="preserve">0.2254791431792591</t>
  </si>
  <si>
    <t xml:space="preserve">7.0509848738055618</t>
  </si>
  <si>
    <t xml:space="preserve">4.2410061421468273</t>
  </si>
  <si>
    <t xml:space="preserve">0.26323486399531359</t>
  </si>
  <si>
    <t xml:space="preserve">4.264860778143861</t>
  </si>
  <si>
    <t xml:space="preserve">2.1668909825033675</t>
  </si>
  <si>
    <t xml:space="preserve">0.25572005383579771</t>
  </si>
  <si>
    <t xml:space="preserve">5.7581903812443942</t>
  </si>
  <si>
    <t xml:space="preserve">1.5908367801463568</t>
  </si>
  <si>
    <t xml:space="preserve">0.2068087814190282</t>
  </si>
  <si>
    <t xml:space="preserve">4.7875932939484356</t>
  </si>
  <si>
    <t xml:space="preserve">2.001154512218605</t>
  </si>
  <si>
    <t xml:space="preserve">0.26938618433711309</t>
  </si>
  <si>
    <t xml:space="preserve">8.6125244576361624</t>
  </si>
  <si>
    <t xml:space="preserve">4.4048734770384224</t>
  </si>
  <si>
    <t xml:space="preserve">0.29455081001472599</t>
  </si>
  <si>
    <t xml:space="preserve">36.968657197349685</t>
  </si>
  <si>
    <t xml:space="preserve">7.5731497418244338</t>
  </si>
  <si>
    <t xml:space="preserve">0.1721170395869174</t>
  </si>
  <si>
    <t xml:space="preserve">15.853639895269575</t>
  </si>
  <si>
    <t xml:space="preserve">2.0676979629345995</t>
  </si>
  <si>
    <t xml:space="preserve">0.21442793689691789</t>
  </si>
  <si>
    <t xml:space="preserve">6.3348396656413248</t>
  </si>
  <si>
    <t xml:space="preserve">2.7962962962963007</t>
  </si>
  <si>
    <t xml:space="preserve">0.2222222222222201</t>
  </si>
  <si>
    <t xml:space="preserve">14.288215572641535</t>
  </si>
  <si>
    <t xml:space="preserve">17.350322918484899</t>
  </si>
  <si>
    <t xml:space="preserve">0.33164601152034101</t>
  </si>
  <si>
    <t xml:space="preserve">27.010065051203146</t>
  </si>
  <si>
    <t xml:space="preserve">2.9339659944642258</t>
  </si>
  <si>
    <t xml:space="preserve">0.2530644523527032</t>
  </si>
  <si>
    <t xml:space="preserve">14.599657003690741</t>
  </si>
  <si>
    <t xml:space="preserve">3.1309192200557003</t>
  </si>
  <si>
    <t xml:space="preserve">0.22284122562674091</t>
  </si>
  <si>
    <t xml:space="preserve">11.410518965729816</t>
  </si>
  <si>
    <t xml:space="preserve">2.5619834710743801</t>
  </si>
  <si>
    <t xml:space="preserve">0.16528925619834711</t>
  </si>
  <si>
    <t xml:space="preserve">3.1165636937182102</t>
  </si>
  <si>
    <t xml:space="preserve">2.6178010471204187</t>
  </si>
  <si>
    <t xml:space="preserve">4.5809777537581091</t>
  </si>
  <si>
    <t xml:space="preserve">9.2522658610271904</t>
  </si>
  <si>
    <t xml:space="preserve">13.991719100388339</t>
  </si>
  <si>
    <t xml:space="preserve">5.2190974493132734</t>
  </si>
  <si>
    <t xml:space="preserve">0.23544800523217191</t>
  </si>
  <si>
    <t xml:space="preserve">4.5577193429187179</t>
  </si>
  <si>
    <t xml:space="preserve">1.6261584193040663</t>
  </si>
  <si>
    <t xml:space="preserve">0.2447980416156631</t>
  </si>
  <si>
    <t xml:space="preserve">7.0838406114208761</t>
  </si>
  <si>
    <t xml:space="preserve">2.0398912058023568</t>
  </si>
  <si>
    <t xml:space="preserve">0.2039891205802305</t>
  </si>
  <si>
    <t xml:space="preserve">12.97609711926343</t>
  </si>
  <si>
    <t xml:space="preserve">8.4917617237008898</t>
  </si>
  <si>
    <t xml:space="preserve">0.28517110266159867</t>
  </si>
  <si>
    <t xml:space="preserve">7.6073566596782189</t>
  </si>
  <si>
    <t xml:space="preserve">1.4135294966104075</t>
  </si>
  <si>
    <t xml:space="preserve">0.216356555603643</t>
  </si>
  <si>
    <t xml:space="preserve">27.067675737977751</t>
  </si>
  <si>
    <t xml:space="preserve">3.2597864768683404</t>
  </si>
  <si>
    <t xml:space="preserve">0.099644128113869204</t>
  </si>
  <si>
    <t xml:space="preserve">15.690661118715528</t>
  </si>
  <si>
    <t xml:space="preserve">6.7558638916418863</t>
  </si>
  <si>
    <t xml:space="preserve">0.24777006937561941</t>
  </si>
  <si>
    <t xml:space="preserve">11.526482476246498</t>
  </si>
  <si>
    <t xml:space="preserve">7.623126338329782</t>
  </si>
  <si>
    <t xml:space="preserve">0.17130620985010339</t>
  </si>
  <si>
    <t xml:space="preserve">15.389020895405254</t>
  </si>
  <si>
    <t xml:space="preserve">8.9783281733746119</t>
  </si>
  <si>
    <t xml:space="preserve">0.27863777089782571</t>
  </si>
  <si>
    <t xml:space="preserve">17.378532219753662</t>
  </si>
  <si>
    <t xml:space="preserve">1.8683274021352312</t>
  </si>
  <si>
    <t xml:space="preserve">0.21352313167258569</t>
  </si>
  <si>
    <t xml:space="preserve">54.098309455715231</t>
  </si>
  <si>
    <t xml:space="preserve">2.9763830475574395</t>
  </si>
  <si>
    <t xml:space="preserve">0.21028793270785409</t>
  </si>
  <si>
    <t xml:space="preserve">16.866392495561414</t>
  </si>
  <si>
    <t xml:space="preserve">3.4839325485205359</t>
  </si>
  <si>
    <t xml:space="preserve">0.19090041361756099</t>
  </si>
  <si>
    <t xml:space="preserve">10.865328177716442</t>
  </si>
  <si>
    <t xml:space="preserve">2.5776463131206402</t>
  </si>
  <si>
    <t xml:space="preserve">0.190154236213813</t>
  </si>
  <si>
    <t xml:space="preserve">14.306183229531593</t>
  </si>
  <si>
    <t xml:space="preserve">4.0280606472052529</t>
  </si>
  <si>
    <t xml:space="preserve">0.18103643358226101</t>
  </si>
  <si>
    <t xml:space="preserve">11.160202412436369</t>
  </si>
  <si>
    <t xml:space="preserve">2.2785531187695813</t>
  </si>
  <si>
    <t xml:space="preserve">0.25633722586157132</t>
  </si>
  <si>
    <t xml:space="preserve">11.183874808640615</t>
  </si>
  <si>
    <t xml:space="preserve">3.5512510088781202</t>
  </si>
  <si>
    <t xml:space="preserve">0.2421307506053246</t>
  </si>
  <si>
    <t xml:space="preserve">12.864701658935608</t>
  </si>
  <si>
    <t xml:space="preserve">4.2731986411585874</t>
  </si>
  <si>
    <t xml:space="preserve">0.23243339889147349</t>
  </si>
  <si>
    <t xml:space="preserve">8.6083940281367131</t>
  </si>
  <si>
    <t xml:space="preserve">1.8982536066818525</t>
  </si>
  <si>
    <t xml:space="preserve">0.25310048089091358</t>
  </si>
  <si>
    <t xml:space="preserve">6.2236507253104572</t>
  </si>
  <si>
    <t xml:space="preserve">9.2404072043852885</t>
  </si>
  <si>
    <t xml:space="preserve">0.2740798747063441</t>
  </si>
  <si>
    <t xml:space="preserve">12.213624319059363</t>
  </si>
  <si>
    <t xml:space="preserve">5.7975507673228925</t>
  </si>
  <si>
    <t xml:space="preserve">0.17051619903890339</t>
  </si>
  <si>
    <t xml:space="preserve">13.377810958586457</t>
  </si>
  <si>
    <t xml:space="preserve">19.010705057216686</t>
  </si>
  <si>
    <t xml:space="preserve">0.2583979328165385</t>
  </si>
  <si>
    <t xml:space="preserve">9.3944680869489314</t>
  </si>
  <si>
    <t xml:space="preserve">2.9121725731895189</t>
  </si>
  <si>
    <t xml:space="preserve">0.21571648690292411</t>
  </si>
  <si>
    <t xml:space="preserve">51.66839341216852</t>
  </si>
  <si>
    <t xml:space="preserve">16.522893165228936</t>
  </si>
  <si>
    <t xml:space="preserve">0.33178500331784999</t>
  </si>
  <si>
    <t xml:space="preserve">9.3076447902244315</t>
  </si>
  <si>
    <t xml:space="preserve">2.8003613369467062</t>
  </si>
  <si>
    <t xml:space="preserve">0.19572417946401</t>
  </si>
  <si>
    <t xml:space="preserve">26.892279172615897</t>
  </si>
  <si>
    <t xml:space="preserve">3.199096725630425</t>
  </si>
  <si>
    <t xml:space="preserve">0.17563668297579149</t>
  </si>
  <si>
    <t xml:space="preserve">8.8680325900206665</t>
  </si>
  <si>
    <t xml:space="preserve">3.8682697334030349</t>
  </si>
  <si>
    <t xml:space="preserve">0.2352326189231588</t>
  </si>
  <si>
    <t xml:space="preserve">16.621498798520573</t>
  </si>
  <si>
    <t xml:space="preserve">3.8630941457148222</t>
  </si>
  <si>
    <t xml:space="preserve">0.14681592952834549</t>
  </si>
  <si>
    <t xml:space="preserve">7.9741095070449397</t>
  </si>
  <si>
    <t xml:space="preserve">1.1595603333736122</t>
  </si>
  <si>
    <t xml:space="preserve">0.21741756250755051</t>
  </si>
  <si>
    <t xml:space="preserve">11.299021699811524</t>
  </si>
  <si>
    <t xml:space="preserve">8.366141732283463</t>
  </si>
  <si>
    <t xml:space="preserve">0.29527559055118291</t>
  </si>
  <si>
    <t xml:space="preserve">18.313957552359959</t>
  </si>
  <si>
    <t xml:space="preserve">3.984365149413696</t>
  </si>
  <si>
    <t xml:space="preserve">0.23956625898372461</t>
  </si>
  <si>
    <t xml:space="preserve">6.880894516287408</t>
  </si>
  <si>
    <t xml:space="preserve">2.1779893264099268</t>
  </si>
  <si>
    <t xml:space="preserve">0.25962786672435523</t>
  </si>
  <si>
    <t xml:space="preserve">6.2020590836172165</t>
  </si>
  <si>
    <t xml:space="preserve">2.882320543418404</t>
  </si>
  <si>
    <t xml:space="preserve">0.22030475491096849</t>
  </si>
  <si>
    <t xml:space="preserve">13.430665202239007</t>
  </si>
  <si>
    <t xml:space="preserve">2.8552005438477157</t>
  </si>
  <si>
    <t xml:space="preserve">0.27192386131883461</t>
  </si>
  <si>
    <t xml:space="preserve">9.4048970325931265</t>
  </si>
  <si>
    <t xml:space="preserve">7.4484536082474309</t>
  </si>
  <si>
    <t xml:space="preserve">0.2835051546391737</t>
  </si>
  <si>
    <t xml:space="preserve">9.5564275598440442</t>
  </si>
  <si>
    <t xml:space="preserve">1.0755441741357206</t>
  </si>
  <si>
    <t xml:space="preserve">0.1920614596670934</t>
  </si>
  <si>
    <t xml:space="preserve">7.131356795563196</t>
  </si>
  <si>
    <t xml:space="preserve">1.6237333658893851</t>
  </si>
  <si>
    <t xml:space="preserve">0.17091930167257161</t>
  </si>
  <si>
    <t xml:space="preserve">39.046378844035154</t>
  </si>
  <si>
    <t xml:space="preserve">8.5921931778220682</t>
  </si>
  <si>
    <t xml:space="preserve">0.24616105966474811</t>
  </si>
  <si>
    <t xml:space="preserve">36.985779813742717</t>
  </si>
  <si>
    <t xml:space="preserve">14.200203769740192</t>
  </si>
  <si>
    <t xml:space="preserve">0.2674477840040782</t>
  </si>
  <si>
    <t xml:space="preserve">35.265151363011313</t>
  </si>
  <si>
    <t xml:space="preserve">17.863105175292151</t>
  </si>
  <si>
    <t xml:space="preserve">0.33388981636059778</t>
  </si>
  <si>
    <t xml:space="preserve">60.787493750533187</t>
  </si>
  <si>
    <t xml:space="preserve">6.0064190738193464</t>
  </si>
  <si>
    <t xml:space="preserve">0.27510316368638632</t>
  </si>
  <si>
    <t xml:space="preserve">32.730115949466317</t>
  </si>
  <si>
    <t xml:space="preserve">10.897076940306858</t>
  </si>
  <si>
    <t xml:space="preserve">0.2015903236644653</t>
  </si>
  <si>
    <t xml:space="preserve">6.4018014466038951</t>
  </si>
  <si>
    <t xml:space="preserve">10.181514708950568</t>
  </si>
  <si>
    <t xml:space="preserve">0.25036511579386961</t>
  </si>
  <si>
    <t xml:space="preserve">10.363889940346318</t>
  </si>
  <si>
    <t xml:space="preserve">9.6504005826656964</t>
  </si>
  <si>
    <t xml:space="preserve">0.18208302986162719</t>
  </si>
  <si>
    <t xml:space="preserve">5.9494673336425823</t>
  </si>
  <si>
    <t xml:space="preserve">2.722152690863576</t>
  </si>
  <si>
    <t xml:space="preserve">0.21902377972466111</t>
  </si>
  <si>
    <t xml:space="preserve">9.7286908842751672</t>
  </si>
  <si>
    <t xml:space="preserve">5.2767308073794927</t>
  </si>
  <si>
    <t xml:space="preserve">0.1785360047609556</t>
  </si>
  <si>
    <t xml:space="preserve">6.1767630175295087</t>
  </si>
  <si>
    <t xml:space="preserve">9.9575453492859936</t>
  </si>
  <si>
    <t xml:space="preserve">0.2315708220764271</t>
  </si>
  <si>
    <t xml:space="preserve">11.392904661732455</t>
  </si>
  <si>
    <t xml:space="preserve">5.1226025734401608</t>
  </si>
  <si>
    <t xml:space="preserve">0.20636076717649771</t>
  </si>
  <si>
    <t xml:space="preserve">7.3753850532216028</t>
  </si>
  <si>
    <t xml:space="preserve">7.0876531573986847</t>
  </si>
  <si>
    <t xml:space="preserve">0.22620169651273239</t>
  </si>
  <si>
    <t xml:space="preserve">11.485081483630736</t>
  </si>
  <si>
    <t xml:space="preserve">6.9090909090909145</t>
  </si>
  <si>
    <t xml:space="preserve">0.20779220779221069</t>
  </si>
  <si>
    <t xml:space="preserve">5.7982561843138347</t>
  </si>
  <si>
    <t xml:space="preserve">7.8054298642533899</t>
  </si>
  <si>
    <t xml:space="preserve">0.2262443438914005</t>
  </si>
  <si>
    <t xml:space="preserve">6.1690675922868206</t>
  </si>
  <si>
    <t xml:space="preserve">1.5904879555280966</t>
  </si>
  <si>
    <t xml:space="preserve">0.1235330450895632</t>
  </si>
  <si>
    <t xml:space="preserve">7.3314214136316327</t>
  </si>
  <si>
    <t xml:space="preserve">5.3731343283582085</t>
  </si>
  <si>
    <t xml:space="preserve">0.21890547263682039</t>
  </si>
  <si>
    <t xml:space="preserve">4.9126144147911495</t>
  </si>
  <si>
    <t xml:space="preserve">1.5030380556444023</t>
  </si>
  <si>
    <t xml:space="preserve">0.1598976654940838</t>
  </si>
  <si>
    <t xml:space="preserve">8.297531386101511</t>
  </si>
  <si>
    <t xml:space="preserve">2.448735815249842</t>
  </si>
  <si>
    <t xml:space="preserve">0.19908421262192769</t>
  </si>
  <si>
    <t xml:space="preserve">5.1485008430173149</t>
  </si>
  <si>
    <t xml:space="preserve">2.3820430600091691</t>
  </si>
  <si>
    <t xml:space="preserve">0.20613834173156331</t>
  </si>
  <si>
    <t xml:space="preserve">4.8359845009673244</t>
  </si>
  <si>
    <t xml:space="preserve">1.3897937024972806</t>
  </si>
  <si>
    <t xml:space="preserve">0.2605863192182386</t>
  </si>
  <si>
    <t xml:space="preserve">5.3069061333518368</t>
  </si>
  <si>
    <t xml:space="preserve">2.3255813953488254</t>
  </si>
  <si>
    <t xml:space="preserve">0.15856236786469941</t>
  </si>
  <si>
    <t xml:space="preserve">6.9599304006951197</t>
  </si>
  <si>
    <t xml:space="preserve">2.5983271044669709</t>
  </si>
  <si>
    <t xml:space="preserve">0.21356113187399689</t>
  </si>
  <si>
    <t xml:space="preserve">7.7444453116082812</t>
  </si>
  <si>
    <t xml:space="preserve">0.81799591002045502</t>
  </si>
  <si>
    <t xml:space="preserve">0.159054760281758</t>
  </si>
  <si>
    <t xml:space="preserve">11.040904017065792</t>
  </si>
  <si>
    <t xml:space="preserve">1.6468878663114583</t>
  </si>
  <si>
    <t xml:space="preserve">0.21797045289416461</t>
  </si>
  <si>
    <t xml:space="preserve">11.948934029306628</t>
  </si>
  <si>
    <t xml:space="preserve">6.5623807706981907</t>
  </si>
  <si>
    <t xml:space="preserve">0.22892025944295849</t>
  </si>
  <si>
    <t xml:space="preserve">6.2650670808237159</t>
  </si>
  <si>
    <t xml:space="preserve">3.0957114456120358</t>
  </si>
  <si>
    <t xml:space="preserve">0.19880715705765889</t>
  </si>
  <si>
    <t xml:space="preserve">6.5559664416467767</t>
  </si>
  <si>
    <t xml:space="preserve">0.97434877709286838</t>
  </si>
  <si>
    <t xml:space="preserve">0.1590773513621021</t>
  </si>
  <si>
    <t xml:space="preserve">25.263149459276157</t>
  </si>
  <si>
    <t xml:space="preserve">9.6650891882053394</t>
  </si>
  <si>
    <t xml:space="preserve">0.2366217692027584</t>
  </si>
  <si>
    <t xml:space="preserve">6.5334589253860038</t>
  </si>
  <si>
    <t xml:space="preserve">1.5454775779072769</t>
  </si>
  <si>
    <t xml:space="preserve">0.27869267798327702</t>
  </si>
  <si>
    <t xml:space="preserve">13.655169326135876</t>
  </si>
  <si>
    <t xml:space="preserve">2.224334600760443</t>
  </si>
  <si>
    <t xml:space="preserve">0.22813688212928621</t>
  </si>
  <si>
    <t xml:space="preserve">2.5392077671760589</t>
  </si>
  <si>
    <t xml:space="preserve">0.8924144769459651</t>
  </si>
  <si>
    <t xml:space="preserve">0.2478929102627665</t>
  </si>
  <si>
    <t xml:space="preserve">5.6999499035547689</t>
  </si>
  <si>
    <t xml:space="preserve">1.9299023957409029</t>
  </si>
  <si>
    <t xml:space="preserve">0.17746228926352769</t>
  </si>
  <si>
    <t xml:space="preserve">5.643183313722778</t>
  </si>
  <si>
    <t xml:space="preserve">1.358893472458133</t>
  </si>
  <si>
    <t xml:space="preserve">0.16986168405726479</t>
  </si>
  <si>
    <t xml:space="preserve">5.6145814789232311</t>
  </si>
  <si>
    <t xml:space="preserve">2.044198895027618</t>
  </si>
  <si>
    <t xml:space="preserve">0.22099447513812459</t>
  </si>
  <si>
    <t xml:space="preserve">14.680732499374374</t>
  </si>
  <si>
    <t xml:space="preserve">18.31083419868466</t>
  </si>
  <si>
    <t xml:space="preserve">0.34614053305641601</t>
  </si>
  <si>
    <t xml:space="preserve">2.689571570460052</t>
  </si>
  <si>
    <t xml:space="preserve">2.0202020202020243</t>
  </si>
  <si>
    <t xml:space="preserve">0.1334095673718185</t>
  </si>
  <si>
    <t xml:space="preserve">3.9399429094549858</t>
  </si>
  <si>
    <t xml:space="preserve">0.95982142857143105</t>
  </si>
  <si>
    <t xml:space="preserve">0.2008928571428584</t>
  </si>
  <si>
    <t xml:space="preserve">16.894578605372619</t>
  </si>
  <si>
    <t xml:space="preserve">6.0856498873027975</t>
  </si>
  <si>
    <t xml:space="preserve">0.26296018031554791</t>
  </si>
  <si>
    <t xml:space="preserve">7.3946027143219295</t>
  </si>
  <si>
    <t xml:space="preserve">1.9069412662090008</t>
  </si>
  <si>
    <t xml:space="preserve">0.1525553012967113</t>
  </si>
  <si>
    <t xml:space="preserve">5.5331972690146181</t>
  </si>
  <si>
    <t xml:space="preserve">1.003667245705449</t>
  </si>
  <si>
    <t xml:space="preserve">0.15441034549315019</t>
  </si>
  <si>
    <t xml:space="preserve">3.7209873275435879</t>
  </si>
  <si>
    <t xml:space="preserve">1.0849233071455209</t>
  </si>
  <si>
    <t xml:space="preserve">0.20576131687243221</t>
  </si>
  <si>
    <t xml:space="preserve">5.7523673203975205</t>
  </si>
  <si>
    <t xml:space="preserve">0.84488734835354784</t>
  </si>
  <si>
    <t xml:space="preserve">0.12998266897746841</t>
  </si>
  <si>
    <t xml:space="preserve">11.658380358053602</t>
  </si>
  <si>
    <t xml:space="preserve">4.2769047145414758</t>
  </si>
  <si>
    <t xml:space="preserve">0.19892580067634771</t>
  </si>
  <si>
    <t xml:space="preserve">3.9319444336829408</t>
  </si>
  <si>
    <t xml:space="preserve">1.2094933820173459</t>
  </si>
  <si>
    <t xml:space="preserve">0.22820629849383839</t>
  </si>
  <si>
    <t xml:space="preserve">3.701195257128417</t>
  </si>
  <si>
    <t xml:space="preserve">0.96551724137931039</t>
  </si>
  <si>
    <t xml:space="preserve">0.2206896551724169</t>
  </si>
  <si>
    <t xml:space="preserve">7.9554801315260288</t>
  </si>
  <si>
    <t xml:space="preserve">1.7014138509465668</t>
  </si>
  <si>
    <t xml:space="preserve">0.1917086029235589</t>
  </si>
  <si>
    <t xml:space="preserve">7.2558179995698628</t>
  </si>
  <si>
    <t xml:space="preserve">1.2021857923497341</t>
  </si>
  <si>
    <t xml:space="preserve">0.14051522248244089</t>
  </si>
  <si>
    <t xml:space="preserve">8.1418741329491144</t>
  </si>
  <si>
    <t xml:space="preserve">1.5876127009016121</t>
  </si>
  <si>
    <t xml:space="preserve">0.137201097608773</t>
  </si>
  <si>
    <t xml:space="preserve">35.279541644375492</t>
  </si>
  <si>
    <t xml:space="preserve">15.790921595598345</t>
  </si>
  <si>
    <t xml:space="preserve">0.11004126547454671</t>
  </si>
  <si>
    <t xml:space="preserve">9.1471648717315528</t>
  </si>
  <si>
    <t xml:space="preserve">2.7316771466859087</t>
  </si>
  <si>
    <t xml:space="preserve">0.123698587774455</t>
  </si>
  <si>
    <t xml:space="preserve">9.3460159889987544</t>
  </si>
  <si>
    <t xml:space="preserve">1.051859099804322</t>
  </si>
  <si>
    <t xml:space="preserve">0.073385518590993806</t>
  </si>
  <si>
    <t xml:space="preserve">16.94318792901597</t>
  </si>
  <si>
    <t xml:space="preserve">4.0275299515676961</t>
  </si>
  <si>
    <t xml:space="preserve">0.2039255671679793</t>
  </si>
  <si>
    <t xml:space="preserve">7.6836015351389824</t>
  </si>
  <si>
    <t xml:space="preserve">0.72946799144761099</t>
  </si>
  <si>
    <t xml:space="preserve">0.1509244120236434</t>
  </si>
  <si>
    <t xml:space="preserve">22.925347064282239</t>
  </si>
  <si>
    <t xml:space="preserve">9.0476190476190759</t>
  </si>
  <si>
    <t xml:space="preserve">0.16369047619047111</t>
  </si>
  <si>
    <t xml:space="preserve">55.046869476373786</t>
  </si>
  <si>
    <t xml:space="preserve">47.385620915032682</t>
  </si>
  <si>
    <t xml:space="preserve">0.0980392156862782</t>
  </si>
  <si>
    <t xml:space="preserve">7.4639697377053738</t>
  </si>
  <si>
    <t xml:space="preserve">2.273176517098241</t>
  </si>
  <si>
    <t xml:space="preserve">0.19766752322593401</t>
  </si>
  <si>
    <t xml:space="preserve">3.784726312150815</t>
  </si>
  <si>
    <t xml:space="preserve">1.2738853503184613</t>
  </si>
  <si>
    <t xml:space="preserve">0.19767186470459161</t>
  </si>
  <si>
    <t xml:space="preserve">8.9820066974528192</t>
  </si>
  <si>
    <t xml:space="preserve">5.0307219662058467</t>
  </si>
  <si>
    <t xml:space="preserve">0.19201228878647689</t>
  </si>
  <si>
    <t xml:space="preserve">24.583743397136207</t>
  </si>
  <si>
    <t xml:space="preserve">12.600896860986545</t>
  </si>
  <si>
    <t xml:space="preserve">0.1345291479820615</t>
  </si>
  <si>
    <t xml:space="preserve">8.2865690557582337</t>
  </si>
  <si>
    <t xml:space="preserve">1.8456952883182416</t>
  </si>
  <si>
    <t xml:space="preserve">0.194887080132987</t>
  </si>
  <si>
    <t xml:space="preserve">19.856904214076341</t>
  </si>
  <si>
    <t xml:space="preserve">3.5439449169704331</t>
  </si>
  <si>
    <t xml:space="preserve">0.20251113811259619</t>
  </si>
  <si>
    <t xml:space="preserve">11.635670004769024</t>
  </si>
  <si>
    <t xml:space="preserve">2.7920708561788388</t>
  </si>
  <si>
    <t xml:space="preserve">0.12652889076338139</t>
  </si>
  <si>
    <t xml:space="preserve">6.2223112476808815</t>
  </si>
  <si>
    <t xml:space="preserve">1.3942761295733377</t>
  </si>
  <si>
    <t xml:space="preserve">0.1153160708669695</t>
  </si>
  <si>
    <t xml:space="preserve">9.4439650916724123</t>
  </si>
  <si>
    <t xml:space="preserve">1.6666666666666692</t>
  </si>
  <si>
    <t xml:space="preserve">0.17094017094016731</t>
  </si>
  <si>
    <t xml:space="preserve">11.415171559409451</t>
  </si>
  <si>
    <t xml:space="preserve">1.5444855340439467</t>
  </si>
  <si>
    <t xml:space="preserve">0.18490319773765371</t>
  </si>
  <si>
    <t xml:space="preserve">35.790531206832227</t>
  </si>
  <si>
    <t xml:space="preserve">9.9722717369776106</t>
  </si>
  <si>
    <t xml:space="preserve">0.17825311942959671</t>
  </si>
  <si>
    <t xml:space="preserve">11.538325773486038</t>
  </si>
  <si>
    <t xml:space="preserve">2.5591446769790722</t>
  </si>
  <si>
    <t xml:space="preserve">0.19335759781619519</t>
  </si>
  <si>
    <t xml:space="preserve">8.5434933772017274</t>
  </si>
  <si>
    <t xml:space="preserve">3.9265536723163934</t>
  </si>
  <si>
    <t xml:space="preserve">0.25423728813559482</t>
  </si>
  <si>
    <t xml:space="preserve">23.039042172004748</t>
  </si>
  <si>
    <t xml:space="preserve">3.0804663883690933</t>
  </si>
  <si>
    <t xml:space="preserve">0.086368216496324396</t>
  </si>
  <si>
    <t xml:space="preserve">19.408834110098173</t>
  </si>
  <si>
    <t xml:space="preserve">3.9977993764899975</t>
  </si>
  <si>
    <t xml:space="preserve">0.2750779387493123</t>
  </si>
  <si>
    <t xml:space="preserve">12.707674454713503</t>
  </si>
  <si>
    <t xml:space="preserve">2.5523769009890462</t>
  </si>
  <si>
    <t xml:space="preserve">0.20206317132830309</t>
  </si>
  <si>
    <t xml:space="preserve">5.420457883869191</t>
  </si>
  <si>
    <t xml:space="preserve">1.3311536665109736</t>
  </si>
  <si>
    <t xml:space="preserve">0.2101821578701554</t>
  </si>
  <si>
    <t xml:space="preserve">4.6241511004428668</t>
  </si>
  <si>
    <t xml:space="preserve">1.5494189678870538</t>
  </si>
  <si>
    <t xml:space="preserve">0.17493439960015419</t>
  </si>
  <si>
    <t xml:space="preserve">7.9264525068198326</t>
  </si>
  <si>
    <t xml:space="preserve">4.5277679518924696</t>
  </si>
  <si>
    <t xml:space="preserve">0.28298549699328313</t>
  </si>
  <si>
    <t xml:space="preserve">11.41731633192299</t>
  </si>
  <si>
    <t xml:space="preserve">0.87383105932850191</t>
  </si>
  <si>
    <t xml:space="preserve">0.26061628085236682</t>
  </si>
  <si>
    <t xml:space="preserve">16.92025958463022</t>
  </si>
  <si>
    <t xml:space="preserve">3.9925373134328312</t>
  </si>
  <si>
    <t xml:space="preserve">0.18656716417910441</t>
  </si>
  <si>
    <t xml:space="preserve">22.231600845780395</t>
  </si>
  <si>
    <t xml:space="preserve">2.5928750408541186</t>
  </si>
  <si>
    <t xml:space="preserve">0.25057195772959517</t>
  </si>
  <si>
    <t xml:space="preserve">14.423360369239555</t>
  </si>
  <si>
    <t xml:space="preserve">1.3509629203794329</t>
  </si>
  <si>
    <t xml:space="preserve">0.25869502730669081</t>
  </si>
  <si>
    <t xml:space="preserve">13.757420782677924</t>
  </si>
  <si>
    <t xml:space="preserve">2.1522879363357008</t>
  </si>
  <si>
    <t xml:space="preserve">0.25321034545125293</t>
  </si>
  <si>
    <t xml:space="preserve">13.155509080254662</t>
  </si>
  <si>
    <t xml:space="preserve">7.1641791044776015</t>
  </si>
  <si>
    <t xml:space="preserve">0.1326699834162634</t>
  </si>
  <si>
    <t xml:space="preserve">6.5778757846466114</t>
  </si>
  <si>
    <t xml:space="preserve">0.86488019282576734</t>
  </si>
  <si>
    <t xml:space="preserve">0.1559620019849661</t>
  </si>
  <si>
    <t xml:space="preserve">5.5896187880002222</t>
  </si>
  <si>
    <t xml:space="preserve">3.0620805369127568</t>
  </si>
  <si>
    <t xml:space="preserve">0.25167785234899681</t>
  </si>
  <si>
    <t xml:space="preserve">6.0004468417870198</t>
  </si>
  <si>
    <t xml:space="preserve">1.268002504696327</t>
  </si>
  <si>
    <t xml:space="preserve">0.26612398246711511</t>
  </si>
  <si>
    <t xml:space="preserve">5.3165614116648134</t>
  </si>
  <si>
    <t xml:space="preserve">9.1840756799369405</t>
  </si>
  <si>
    <t xml:space="preserve">0.31533307055576781</t>
  </si>
  <si>
    <t xml:space="preserve">13.751762282922476</t>
  </si>
  <si>
    <t xml:space="preserve">3.6748162591870401</t>
  </si>
  <si>
    <t xml:space="preserve">0.19499025048747731</t>
  </si>
  <si>
    <t xml:space="preserve">6.0892100444954806</t>
  </si>
  <si>
    <t xml:space="preserve">1.3045841637977773</t>
  </si>
  <si>
    <t xml:space="preserve">0.1630730204747195</t>
  </si>
  <si>
    <t xml:space="preserve">9.2959273000122025</t>
  </si>
  <si>
    <t xml:space="preserve">3.8422025888637754</t>
  </si>
  <si>
    <t xml:space="preserve">0.1232792274501734</t>
  </si>
  <si>
    <t xml:space="preserve">5.5091589767992311</t>
  </si>
  <si>
    <t xml:space="preserve">2.1792763157894668</t>
  </si>
  <si>
    <t xml:space="preserve">0.28782894736841041</t>
  </si>
  <si>
    <t xml:space="preserve">20.757806104551001</t>
  </si>
  <si>
    <t xml:space="preserve">3.9815090963316329</t>
  </si>
  <si>
    <t xml:space="preserve">0.1938562481359993</t>
  </si>
  <si>
    <t xml:space="preserve">3.8574806089009375</t>
  </si>
  <si>
    <t xml:space="preserve">1.2195121951219683</t>
  </si>
  <si>
    <t xml:space="preserve">0.19054878048779941</t>
  </si>
  <si>
    <t xml:space="preserve">15.997724035138468</t>
  </si>
  <si>
    <t xml:space="preserve">5.4559232129325501</t>
  </si>
  <si>
    <t xml:space="preserve">13.420619215339144</t>
  </si>
  <si>
    <t xml:space="preserve">4.8202291584354073</t>
  </si>
  <si>
    <t xml:space="preserve">0.35559067562228031</t>
  </si>
  <si>
    <t xml:space="preserve">26.965713241038351</t>
  </si>
  <si>
    <t xml:space="preserve">3.144078144078148</t>
  </si>
  <si>
    <t xml:space="preserve">0.27472527472527641</t>
  </si>
  <si>
    <t xml:space="preserve">19.41822510110244</t>
  </si>
  <si>
    <t xml:space="preserve">12.457778660838462</t>
  </si>
  <si>
    <t xml:space="preserve">0.258295251341145</t>
  </si>
  <si>
    <t xml:space="preserve">5.8563010138712261</t>
  </si>
  <si>
    <t xml:space="preserve">3.7247163295510655</t>
  </si>
  <si>
    <t xml:space="preserve">0.22200296003946859</t>
  </si>
  <si>
    <t xml:space="preserve">26.689702664488024</t>
  </si>
  <si>
    <t xml:space="preserve">12.81446540880502</t>
  </si>
  <si>
    <t xml:space="preserve">0.35377358490565147</t>
  </si>
  <si>
    <t xml:space="preserve">5.7668593724766142</t>
  </si>
  <si>
    <t xml:space="preserve">1.1734970211229463</t>
  </si>
  <si>
    <t xml:space="preserve">0.180538003249684</t>
  </si>
  <si>
    <t xml:space="preserve">5.8596711208359551</t>
  </si>
  <si>
    <t xml:space="preserve">1.6956248691647524</t>
  </si>
  <si>
    <t xml:space="preserve">0.25120368432070689</t>
  </si>
  <si>
    <t xml:space="preserve">4.8860069729113453</t>
  </si>
  <si>
    <t xml:space="preserve">1.1890838206627503</t>
  </si>
  <si>
    <t xml:space="preserve">0.233918128654963</t>
  </si>
  <si>
    <t xml:space="preserve">13.507225130027331</t>
  </si>
  <si>
    <t xml:space="preserve">1.7848528702363804</t>
  </si>
  <si>
    <t xml:space="preserve">0.26531596719730399</t>
  </si>
  <si>
    <t xml:space="preserve">4.4015053148176673</t>
  </si>
  <si>
    <t xml:space="preserve">1.5559772296015051</t>
  </si>
  <si>
    <t xml:space="preserve">0.2277039848197375</t>
  </si>
  <si>
    <t xml:space="preserve">12.458304866777166</t>
  </si>
  <si>
    <t xml:space="preserve">4.1374474053295973</t>
  </si>
  <si>
    <t xml:space="preserve">0.1753155680224503</t>
  </si>
  <si>
    <t xml:space="preserve">5.4218413901158735</t>
  </si>
  <si>
    <t xml:space="preserve">3.6204268292682928</t>
  </si>
  <si>
    <t xml:space="preserve">0.2286585365853637</t>
  </si>
  <si>
    <t xml:space="preserve">22.769438353853616</t>
  </si>
  <si>
    <t xml:space="preserve">3.5468693449149518</t>
  </si>
  <si>
    <t xml:space="preserve">0.180962721679334</t>
  </si>
  <si>
    <t xml:space="preserve">9.7891095039280778</t>
  </si>
  <si>
    <t xml:space="preserve">2.2977022977023092</t>
  </si>
  <si>
    <t xml:space="preserve">0.22477522477522621</t>
  </si>
  <si>
    <t xml:space="preserve">Leg</t>
  </si>
  <si>
    <t xml:space="preserve">Net_PnL</t>
  </si>
  <si>
    <t xml:space="preserve">Logit_formula</t>
  </si>
  <si>
    <t xml:space="preserve">Probability_formula</t>
  </si>
  <si>
    <t xml:space="preserve">Downside_raw_formula</t>
  </si>
  <si>
    <t xml:space="preserve">Downside_formula</t>
  </si>
  <si>
    <t xml:space="preserve">Loss_rank_formula</t>
  </si>
  <si>
    <t xml:space="preserve">Downside_rank_formula</t>
  </si>
  <si>
    <t xml:space="preserve">U_range</t>
  </si>
  <si>
    <t xml:space="preserve">Str_range</t>
  </si>
  <si>
    <t xml:space="preserve">Spread</t>
  </si>
  <si>
    <t xml:space="preserve">U_rank_formula</t>
  </si>
  <si>
    <t xml:space="preserve">Str_rank_formula</t>
  </si>
  <si>
    <t xml:space="preserve">Spread_rank_formula</t>
  </si>
  <si>
    <t xml:space="preserve">Instability_formula</t>
  </si>
  <si>
    <t xml:space="preserve">Risk_formula</t>
  </si>
  <si>
    <t xml:space="preserve">Threshold_formula</t>
  </si>
  <si>
    <t xml:space="preserve">Dicey_formula</t>
  </si>
  <si>
    <t xml:space="preserve">Saved_probability</t>
  </si>
  <si>
    <t xml:space="preserve">Saved_downside</t>
  </si>
  <si>
    <t xml:space="preserve">Saved_risk</t>
  </si>
  <si>
    <t xml:space="preserve">Risk_error_formula</t>
  </si>
  <si>
    <t xml:space="preserve">CW</t>
  </si>
  <si>
    <t xml:space="preserve">Stage</t>
  </si>
  <si>
    <t xml:space="preserve">Loss_probability</t>
  </si>
  <si>
    <t xml:space="preserve">Expected_downside</t>
  </si>
  <si>
    <t xml:space="preserve">Loss_rank</t>
  </si>
  <si>
    <t xml:space="preserve">Downside_rank</t>
  </si>
  <si>
    <t xml:space="preserve">Instability</t>
  </si>
  <si>
    <t xml:space="preserve">Risk_score</t>
  </si>
  <si>
    <t xml:space="preserve">Risk_threshold</t>
  </si>
  <si>
    <t xml:space="preserve">Dicey</t>
  </si>
  <si>
    <t xml:space="preserve">Flag_reason</t>
  </si>
  <si>
    <t xml:space="preserve">Actual_loss_label</t>
  </si>
  <si>
    <t xml:space="preserve">Actual_negative_part</t>
  </si>
  <si>
    <t xml:space="preserve">U_rank</t>
  </si>
  <si>
    <t xml:space="preserve">Straddle_rank</t>
  </si>
  <si>
    <t xml:space="preserve">Spread_rank</t>
  </si>
  <si>
    <t xml:space="preserve">Replayed_loss</t>
  </si>
  <si>
    <t xml:space="preserve">Replayed_downside</t>
  </si>
  <si>
    <t xml:space="preserve">Replayed_risk</t>
  </si>
  <si>
    <t xml:space="preserve">Replay_error</t>
  </si>
  <si>
    <t xml:space="preserve">09:17</t>
  </si>
  <si>
    <t xml:space="preserve">09:20+</t>
  </si>
  <si>
    <t xml:space="preserve">top_quartile_risk</t>
  </si>
  <si>
    <t xml:space="preserve">09:18</t>
  </si>
  <si>
    <t xml:space="preserve">09:19</t>
  </si>
  <si>
    <t xml:space="preserve">09:16</t>
  </si>
  <si>
    <t xml:space="preserve">top_quartile_risk;missing_CW_entry_features</t>
  </si>
  <si>
    <t xml:space="preserve">missing_CW_entry_features</t>
  </si>
  <si>
    <t xml:space="preserve">Line</t>
  </si>
  <si>
    <t xml:space="preserve"># Exact risk calculations and iteration reporting</t>
  </si>
  <si>
    <t xml:space="preserve">These formulas describe the saved implementations in `sizing_drawdown_risk.py`</t>
  </si>
  <si>
    <t xml:space="preserve">and `higher_tax_sizing.py`. They document research estimates, not a calibrated</t>
  </si>
  <si>
    <t xml:space="preserve">probability guarantee or an adopted live policy. No models are refitted by the</t>
  </si>
  <si>
    <t xml:space="preserve">report builder.</t>
  </si>
  <si>
    <t xml:space="preserve">## Inputs and transformations</t>
  </si>
  <si>
    <t xml:space="preserve">Each trade has a predictor vector x: IV/RV measures, the original LUT inputs,</t>
  </si>
  <si>
    <t xml:space="preserve">entry-window readings, calendar/leg indicators and previous flat-book drawdown</t>
  </si>
  <si>
    <t xml:space="preserve">and loss streak. The coefficient sheet lists every included feature. Outcome-</t>
  </si>
  <si>
    <t xml:space="preserve">fitted S1/S2 columns ending `_fullfit` are excluded from both risk regressions.</t>
  </si>
  <si>
    <t xml:space="preserve">In the original full-history study, continuous variables are filled using the</t>
  </si>
  <si>
    <t xml:space="preserve">full-sample median, standardized using full-sample mean and population standard</t>
  </si>
  <si>
    <t xml:space="preserve">deviation, then clipped to [-3,3]. CW indicators remain 0/1. Previous drawdown</t>
  </si>
  <si>
    <t xml:space="preserve">is clipped to [0,3] after dividing by 75; previous loss streak similarly by 3.</t>
  </si>
  <si>
    <t xml:space="preserve">Saved `Model_inputs` are the exact transformed regressors. In the later annual</t>
  </si>
  <si>
    <t xml:space="preserve">study, every raw column is imputed/standardized/clipped using the prior-year</t>
  </si>
  <si>
    <t xml:space="preserve">training set, including indicator and stress columns. Its saved fold JSON files</t>
  </si>
  <si>
    <t xml:space="preserve">contain medians, means, standard deviations, coefficients and references.</t>
  </si>
  <si>
    <t xml:space="preserve">## Loss probability</t>
  </si>
  <si>
    <t xml:space="preserve">Training label: y_i = 1 if the base trade's net PnL_i &lt; 0, otherwise 0.</t>
  </si>
  <si>
    <t xml:space="preserve">    z_i = beta_0 + sum_j beta_j * x_ij</t>
  </si>
  <si>
    <t xml:space="preserve">    p_i = 1 / (1 + exp(-clip(z_i,-25,25)))</t>
  </si>
  <si>
    <t xml:space="preserve">The logistic objective is summed negative log likelihood plus</t>
  </si>
  <si>
    <t xml:space="preserve">`(20/2)*sum_j beta_j^2`, excluding the intercept from the penalty. The code uses</t>
  </si>
  <si>
    <t xml:space="preserve">Newton/IRLS updates, at most 60 iterations, stopping when step norm&lt;1e-8;</t>
  </si>
  <si>
    <t xml:space="preserve">curvature is floored at 1e-6. Clipped logits provide numerical stability.</t>
  </si>
  <si>
    <t xml:space="preserve">These are model estimates; no separate probability calibration was performed.</t>
  </si>
  <si>
    <t xml:space="preserve">## Expected downside</t>
  </si>
  <si>
    <t xml:space="preserve">    target_i = max(-net_PnL_i,0)</t>
  </si>
  <si>
    <t xml:space="preserve">    gamma = (X_centered' X_centered + 50*I)^(-1)</t>
  </si>
  <si>
    <t xml:space="preserve">            X_centered' (target - mean(target))</t>
  </si>
  <si>
    <t xml:space="preserve">    gamma_0 = mean(target) - mean(X)' gamma</t>
  </si>
  <si>
    <t xml:space="preserve">    downside_i = max(gamma_0 + x_i' gamma,0)</t>
  </si>
  <si>
    <t xml:space="preserve">This is ridge regression with an unpenalized intercept, equivalent to minimizing</t>
  </si>
  <si>
    <t xml:space="preserve">`sum_i(target_i-gamma_0-x_i'gamma)^2 + 50*sum_j gamma_j^2`.</t>
  </si>
  <si>
    <t xml:space="preserve">It estimates the unconditional negative part of PnL, with winners contributing</t>
  </si>
  <si>
    <t xml:space="preserve">zero. It is neither a conditional-loss forecast nor VaR/expected shortfall.</t>
  </si>
  <si>
    <t xml:space="preserve">Its unit is the saved backtest's normalized PnL unit.</t>
  </si>
  <si>
    <t xml:space="preserve">## Instability and exact ranks</t>
  </si>
  <si>
    <t xml:space="preserve">For the original approximately60-second window ending at the entry second:</t>
  </si>
  <si>
    <t xml:space="preserve">    underlying_range_bps = 10000*(max(U)-min(U))/U_at_entry</t>
  </si>
  <si>
    <t xml:space="preserve">    straddle_range_pct = 100*(max(CE_LTP+PE_LTP)-min(CE_LTP+PE_LTP))/straddle_at_entry</t>
  </si>
  <si>
    <t xml:space="preserve">    spread_pct = 100*((CE_ask-CE_bid)+(PE_ask-PE_bid))/straddle_at_entry</t>
  </si>
  <si>
    <t xml:space="preserve">    instability = (rank_U + rank_straddle + rank_spread)/3</t>
  </si>
  <si>
    <t xml:space="preserve">Each instability reference includes only valid CW readings. Missing readings</t>
  </si>
  <si>
    <t xml:space="preserve">and NW readings receive neutral rank 0.5. Any missing CW instability reading</t>
  </si>
  <si>
    <t xml:space="preserve">also independently forces the dicey flag. The legacy extractor uses second</t>
  </si>
  <si>
    <t xml:space="preserve">buckets and includes the entry second: this is not the strictly-before-entry</t>
  </si>
  <si>
    <t xml:space="preserve">extractor introduced in the later tick-entry experiment. Do not silently swap</t>
  </si>
  <si>
    <t xml:space="preserve">the fresh tick features into an archived risk model.</t>
  </si>
  <si>
    <t xml:space="preserve">The original rank is pandas average tied rank divided by N, equivalent to</t>
  </si>
  <si>
    <t xml:space="preserve">`RANK.AVG(value,reference,1)/COUNT(reference)` in Excel. Precisely, if L reference</t>
  </si>
  <si>
    <t xml:space="preserve">values are less than v and E equal v:</t>
  </si>
  <si>
    <t xml:space="preserve">    rank(v) = (L + (E+1)/2)/N   when E&gt;0</t>
  </si>
  <si>
    <t xml:space="preserve">              L/N             when E=0 (annual scoring of a new value)</t>
  </si>
  <si>
    <t xml:space="preserve">Thus a constant sample ranks at (N+1)/(2N), slightly above0.5. This differs</t>
  </si>
  <si>
    <t xml:space="preserve">from the mid-CDF percentile of the later premium-percentile experiment.</t>
  </si>
  <si>
    <t xml:space="preserve">Some legacy raw readings differ only beyond Excel's 15 significant digits.</t>
  </si>
  <si>
    <t xml:space="preserve">`Risk_Rank_Keys` therefore stores exact dense-order integer keys derived from</t>
  </si>
  <si>
    <t xml:space="preserve">the original Python readings, together with 17-digit raw text. The executable</t>
  </si>
  <si>
    <t xml:space="preserve">Excel instability ranks use these keys to preserve the archived order and ties.</t>
  </si>
  <si>
    <t xml:space="preserve">They remain equivalent to ranking the original raw double-precision readings.</t>
  </si>
  <si>
    <t xml:space="preserve">Regenerate the keys with the builder when changing raw inputs; they are frozen</t>
  </si>
  <si>
    <t xml:space="preserve">archive inputs, not automatically updated by editing a displayed raw value.</t>
  </si>
  <si>
    <t xml:space="preserve">Probability and downside ranks compare calculated numbers directly using</t>
  </si>
  <si>
    <t xml:space="preserve">SUMPRODUCT; COUNTIF with concatenated numeric criteria can round comparisons.</t>
  </si>
  <si>
    <t xml:space="preserve">The annual version uses only prior-year references; new values below/above</t>
  </si>
  <si>
    <t xml:space="preserve">all reference values rank 0/1. It never ranks using the future scoring year.</t>
  </si>
  <si>
    <t xml:space="preserve">## Combined score, dicey rule and size</t>
  </si>
  <si>
    <t xml:space="preserve">    risk_i = 0.4*rank(loss_probability_i)</t>
  </si>
  <si>
    <t xml:space="preserve">           + 0.4*rank(expected_downside_i)</t>
  </si>
  <si>
    <t xml:space="preserve">           + 0.2*instability_i</t>
  </si>
  <si>
    <t xml:space="preserve">    threshold = 75th percentile of training risk scores (linear interpolation)</t>
  </si>
  <si>
    <t xml:space="preserve">    dicey_i = (risk_i &gt;= threshold) OR missing_CW_instability_feature</t>
  </si>
  <si>
    <t xml:space="preserve">The 40/40/20 weights are a fixed research design choice, not weights learned</t>
  </si>
  <si>
    <t xml:space="preserve">from data. The score is a relative risk index, not a loss probability.</t>
  </si>
  <si>
    <t xml:space="preserve">The original full-history threshold is 0.6677157174036119, with 201/799 dicey</t>
  </si>
  <si>
    <t xml:space="preserve">entries. Its regressions, reference ranks, thresholds and mean-one sizing</t>
  </si>
  <si>
    <t xml:space="preserve">normalization use the complete sample, so the results are IN SAMPLE.</t>
  </si>
  <si>
    <t xml:space="preserve">Later annual thresholds vary by fold; 2021 is warmup, scored at size1.</t>
  </si>
  <si>
    <t xml:space="preserve">The DD optimization constrains every flagged trade to its candidate ceiling</t>
  </si>
  <si>
    <t xml:space="preserve">0.90/0.85/0.75. A bounded projection `size=clip(raw_size+offset,lower,upper)`</t>
  </si>
  <si>
    <t xml:space="preserve">chooses the offset so the historical arithmetic mean equals1; it cannot undo</t>
  </si>
  <si>
    <t xml:space="preserve">the risk ceiling. That historical balancing is not causal future balancing.</t>
  </si>
  <si>
    <t xml:space="preserve">The later high-tax overlay uses size 0.85 on dicey trades; otherwise 1.05/1.10</t>
  </si>
  <si>
    <t xml:space="preserve">for qualifying higher-tax conviction, otherwise 1. Risk cuts override boosts.</t>
  </si>
  <si>
    <t xml:space="preserve">Original LUT taxes (13,5,2,2,6) remain entry hurdles, not deductions from PnL.</t>
  </si>
  <si>
    <t xml:space="preserve">## Required reporting for each iteration</t>
  </si>
  <si>
    <t xml:space="preserve">`build_research_ledger.py` rebuilds the master workbook from a versioned registry</t>
  </si>
  <si>
    <t xml:space="preserve">and saved artifacts. Every iteration has its own policy map, daily results,</t>
  </si>
  <si>
    <t xml:space="preserve">trade separation, calendar quarterly/yearly results, summary and saved source</t>
  </si>
  <si>
    <t xml:space="preserve">candidate tables. Reports also provide month, financial-year and leg/stage</t>
  </si>
  <si>
    <t xml:space="preserve">breakdowns. Period DD resets to zero at each period start; daily global DD</t>
  </si>
  <si>
    <t xml:space="preserve">retains the preceding equity peak. Trade counts use execution/size flags, not</t>
  </si>
  <si>
    <t xml:space="preserve">nonzero PnL. Profit factor is gross positive net-day PnL divided by absolute</t>
  </si>
  <si>
    <t xml:space="preserve">negative net-day PnL; no annualized return or Sharpe is invented without capital.</t>
  </si>
  <si>
    <t xml:space="preserve">All modern candidate daily arrays are retained. Some older workbooks saved only</t>
  </si>
  <si>
    <t xml:space="preserve">the selected daily sizing, rounded to3 decimals, or only summary comparisons.</t>
  </si>
  <si>
    <t xml:space="preserve">Those coverage/precision limits are explicit; unsaved candidate daily histories</t>
  </si>
  <si>
    <t xml:space="preserve">are not invented. Their original candidate tables remain available separately.</t>
  </si>
  <si>
    <t xml:space="preserve">Legacy and modern date ranges differ; compare only matching periods/books.</t>
  </si>
  <si>
    <t xml:space="preserve">Future research iterations must be registered and the ledger rebuilt before</t>
  </si>
  <si>
    <t xml:space="preserve">being described as reported. Keep archived source workbooks unchanged and label</t>
  </si>
  <si>
    <t xml:space="preserve">training protocol, warmup/test periods, source precision and causal limitations.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</si>
</sst>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 customFormat="false" ht="15" hidden="false" customHeight="false" outlineLevel="0" collapsed="false">
      <c r="A2" s="0" t="s">
        <v>36</v>
      </c>
      <c r="B2" s="0" t="n">
        <v>1</v>
      </c>
      <c r="C2" s="0" t="n">
        <v>0.187185137225564</v>
      </c>
      <c r="D2" s="0" t="n">
        <v>0.947608487649857</v>
      </c>
      <c r="E2" s="0" t="n">
        <v>0.0391494680256779</v>
      </c>
      <c r="F2" s="0" t="n">
        <v>-1.0050402173717</v>
      </c>
      <c r="G2" s="0" t="n">
        <v>-0.0928773021694504</v>
      </c>
      <c r="H2" s="0" t="n">
        <v>0.149824714321584</v>
      </c>
      <c r="I2" s="0" t="n">
        <v>-1.07174077471893</v>
      </c>
      <c r="J2" s="0" t="n">
        <v>1.67196780519331</v>
      </c>
      <c r="K2" s="0" t="n">
        <v>-0.25362685049788</v>
      </c>
      <c r="L2" s="0" t="n">
        <v>0.420484008151425</v>
      </c>
      <c r="M2" s="0" t="n">
        <v>-0.777905415152817</v>
      </c>
      <c r="N2" s="0" t="n">
        <v>-0.593280701997892</v>
      </c>
      <c r="O2" s="0" t="n">
        <v>-0.58013724954664</v>
      </c>
      <c r="P2" s="0" t="n">
        <v>-0.645463992165948</v>
      </c>
      <c r="Q2" s="0" t="n">
        <v>-0.438235922196305</v>
      </c>
      <c r="R2" s="0" t="n">
        <v>0.435924989337612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1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</row>
    <row r="3" customFormat="false" ht="15" hidden="false" customHeight="false" outlineLevel="0" collapsed="false">
      <c r="A3" s="0" t="s">
        <v>37</v>
      </c>
      <c r="B3" s="0" t="n">
        <v>1</v>
      </c>
      <c r="C3" s="0" t="n">
        <v>0.421314502083608</v>
      </c>
      <c r="D3" s="0" t="n">
        <v>0.945211968794333</v>
      </c>
      <c r="E3" s="0" t="n">
        <v>0.0372389420150091</v>
      </c>
      <c r="F3" s="0" t="n">
        <v>-0.869886397192364</v>
      </c>
      <c r="G3" s="0" t="n">
        <v>0.130928320290517</v>
      </c>
      <c r="H3" s="0" t="n">
        <v>0.392821736667899</v>
      </c>
      <c r="I3" s="0" t="n">
        <v>-1.43250147758958</v>
      </c>
      <c r="J3" s="0" t="n">
        <v>3</v>
      </c>
      <c r="K3" s="0" t="n">
        <v>-0.7371379108112</v>
      </c>
      <c r="L3" s="0" t="n">
        <v>1.06367379625398</v>
      </c>
      <c r="M3" s="0" t="n">
        <v>-1.41181347664669</v>
      </c>
      <c r="N3" s="0" t="n">
        <v>-1.01862735929946</v>
      </c>
      <c r="O3" s="0" t="n">
        <v>2.13949667506047</v>
      </c>
      <c r="P3" s="0" t="n">
        <v>-0.262148130144766</v>
      </c>
      <c r="Q3" s="0" t="n">
        <v>0.0117435637281616</v>
      </c>
      <c r="R3" s="0" t="n">
        <v>0.535273386847492</v>
      </c>
      <c r="S3" s="0" t="n">
        <v>0</v>
      </c>
      <c r="T3" s="0" t="n">
        <v>0</v>
      </c>
      <c r="U3" s="0" t="n">
        <v>0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</row>
    <row r="4" customFormat="false" ht="15" hidden="false" customHeight="false" outlineLevel="0" collapsed="false">
      <c r="A4" s="0" t="s">
        <v>38</v>
      </c>
      <c r="B4" s="0" t="n">
        <v>1</v>
      </c>
      <c r="C4" s="0" t="n">
        <v>-0.0175806828362736</v>
      </c>
      <c r="D4" s="0" t="n">
        <v>0.971001088258542</v>
      </c>
      <c r="E4" s="0" t="n">
        <v>0.027836102415773</v>
      </c>
      <c r="F4" s="0" t="n">
        <v>-1.13546332570438</v>
      </c>
      <c r="G4" s="0" t="n">
        <v>-0.273361350686792</v>
      </c>
      <c r="H4" s="0" t="n">
        <v>-0.0485079301684094</v>
      </c>
      <c r="I4" s="0" t="n">
        <v>-1.68440301117388</v>
      </c>
      <c r="J4" s="0" t="n">
        <v>-0.561337843815696</v>
      </c>
      <c r="K4" s="0" t="n">
        <v>-0.900466376247924</v>
      </c>
      <c r="L4" s="0" t="n">
        <v>-0.608321593181166</v>
      </c>
      <c r="M4" s="0" t="n">
        <v>-1.00599402683388</v>
      </c>
      <c r="N4" s="0" t="n">
        <v>0.284125204609687</v>
      </c>
      <c r="O4" s="0" t="n">
        <v>-0.432260811933048</v>
      </c>
      <c r="P4" s="0" t="n">
        <v>-0.24811970727691</v>
      </c>
      <c r="Q4" s="0" t="n">
        <v>0.0489747685591897</v>
      </c>
      <c r="R4" s="0" t="n">
        <v>0.972689215940275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1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</row>
    <row r="5" customFormat="false" ht="15" hidden="false" customHeight="false" outlineLevel="0" collapsed="false">
      <c r="A5" s="0" t="s">
        <v>39</v>
      </c>
      <c r="B5" s="0" t="n">
        <v>1</v>
      </c>
      <c r="C5" s="0" t="n">
        <v>0.0395219705194601</v>
      </c>
      <c r="D5" s="0" t="n">
        <v>-1.13071430203276</v>
      </c>
      <c r="E5" s="0" t="n">
        <v>0.0195711489323828</v>
      </c>
      <c r="F5" s="0" t="n">
        <v>2.73473443339826</v>
      </c>
      <c r="G5" s="0" t="n">
        <v>-0.209361834543868</v>
      </c>
      <c r="H5" s="0" t="n">
        <v>0.01927990142421</v>
      </c>
      <c r="I5" s="0" t="n">
        <v>-1.6720651582442</v>
      </c>
      <c r="J5" s="0" t="n">
        <v>0.526538273547219</v>
      </c>
      <c r="K5" s="0" t="n">
        <v>-0.240482334291252</v>
      </c>
      <c r="L5" s="0" t="n">
        <v>0.309579350382397</v>
      </c>
      <c r="M5" s="0" t="n">
        <v>1.16199399660279</v>
      </c>
      <c r="N5" s="0" t="n">
        <v>-0.259989746373186</v>
      </c>
      <c r="O5" s="0" t="n">
        <v>-0.362230449434894</v>
      </c>
      <c r="P5" s="0" t="n">
        <v>-0.611159439750352</v>
      </c>
      <c r="Q5" s="0" t="n">
        <v>-0.330205273749526</v>
      </c>
      <c r="R5" s="0" t="n">
        <v>0.44812765833921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0.142456929355989</v>
      </c>
      <c r="AJ5" s="0" t="n">
        <v>0.333333333333333</v>
      </c>
    </row>
    <row r="6" customFormat="false" ht="15" hidden="false" customHeight="false" outlineLevel="0" collapsed="false">
      <c r="A6" s="0" t="s">
        <v>40</v>
      </c>
      <c r="B6" s="0" t="n">
        <v>1</v>
      </c>
      <c r="C6" s="0" t="n">
        <v>-0.661244807790401</v>
      </c>
      <c r="D6" s="0" t="n">
        <v>-1.0464755838988</v>
      </c>
      <c r="E6" s="0" t="n">
        <v>0.0369491409230293</v>
      </c>
      <c r="F6" s="0" t="n">
        <v>1.15880542524255</v>
      </c>
      <c r="G6" s="0" t="n">
        <v>-0.892809354328333</v>
      </c>
      <c r="H6" s="0" t="n">
        <v>-0.72076962081905</v>
      </c>
      <c r="I6" s="0" t="n">
        <v>-1.43750154363598</v>
      </c>
      <c r="J6" s="0" t="n">
        <v>-1.61523192973825</v>
      </c>
      <c r="K6" s="0" t="n">
        <v>3</v>
      </c>
      <c r="L6" s="0" t="n">
        <v>0.982538580571003</v>
      </c>
      <c r="M6" s="0" t="n">
        <v>1.287228159596</v>
      </c>
      <c r="N6" s="0" t="n">
        <v>0.300358241289311</v>
      </c>
      <c r="O6" s="0" t="n">
        <v>-0.662199794425299</v>
      </c>
      <c r="P6" s="0" t="n">
        <v>-0.400512944698381</v>
      </c>
      <c r="Q6" s="0" t="n">
        <v>-0.473203539782699</v>
      </c>
      <c r="R6" s="0" t="n">
        <v>0.399618988603414</v>
      </c>
      <c r="S6" s="0" t="n">
        <v>0</v>
      </c>
      <c r="T6" s="0" t="n">
        <v>1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1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0.746546885021135</v>
      </c>
      <c r="AJ6" s="0" t="n">
        <v>0.666666666666667</v>
      </c>
    </row>
    <row r="7" customFormat="false" ht="15" hidden="false" customHeight="false" outlineLevel="0" collapsed="false">
      <c r="A7" s="0" t="s">
        <v>41</v>
      </c>
      <c r="B7" s="0" t="n">
        <v>1</v>
      </c>
      <c r="C7" s="0" t="n">
        <v>0.152326082587599</v>
      </c>
      <c r="D7" s="0" t="n">
        <v>-1.03795612679694</v>
      </c>
      <c r="E7" s="0" t="n">
        <v>0.0424820681222191</v>
      </c>
      <c r="F7" s="0" t="n">
        <v>2.43503156713034</v>
      </c>
      <c r="G7" s="0" t="n">
        <v>-0.129858612999272</v>
      </c>
      <c r="H7" s="0" t="n">
        <v>0.110314483762752</v>
      </c>
      <c r="I7" s="0" t="n">
        <v>-0.900541560921636</v>
      </c>
      <c r="J7" s="0" t="n">
        <v>0.717275180185883</v>
      </c>
      <c r="K7" s="0" t="n">
        <v>-0.197951334270631</v>
      </c>
      <c r="L7" s="0" t="n">
        <v>1.07457829464687</v>
      </c>
      <c r="M7" s="0" t="n">
        <v>-0.844809906073684</v>
      </c>
      <c r="N7" s="0" t="n">
        <v>-0.248688265140536</v>
      </c>
      <c r="O7" s="0" t="n">
        <v>-0.280049709073754</v>
      </c>
      <c r="P7" s="0" t="n">
        <v>-0.394172926153766</v>
      </c>
      <c r="Q7" s="0" t="n">
        <v>-0.17310024899672</v>
      </c>
      <c r="R7" s="0" t="n">
        <v>-0.00103370412164897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0.207487619008937</v>
      </c>
      <c r="AJ7" s="0" t="n">
        <v>0</v>
      </c>
    </row>
    <row r="8" customFormat="false" ht="15" hidden="false" customHeight="false" outlineLevel="0" collapsed="false">
      <c r="A8" s="0" t="s">
        <v>42</v>
      </c>
      <c r="B8" s="0" t="n">
        <v>1</v>
      </c>
      <c r="C8" s="0" t="n">
        <v>0.2983486397979</v>
      </c>
      <c r="D8" s="0" t="n">
        <v>-1.06477746253742</v>
      </c>
      <c r="E8" s="0" t="n">
        <v>0.0594370803612592</v>
      </c>
      <c r="F8" s="0" t="n">
        <v>2.81078974808042</v>
      </c>
      <c r="G8" s="0" t="n">
        <v>-0.0132581759901871</v>
      </c>
      <c r="H8" s="0" t="n">
        <v>0.242037820116543</v>
      </c>
      <c r="I8" s="0" t="n">
        <v>-0.846360806269404</v>
      </c>
      <c r="J8" s="0" t="n">
        <v>0.245506967195649</v>
      </c>
      <c r="K8" s="0" t="n">
        <v>-0.355003010456799</v>
      </c>
      <c r="L8" s="0" t="n">
        <v>-0.0896886853362826</v>
      </c>
      <c r="M8" s="0" t="n">
        <v>0.296478184038817</v>
      </c>
      <c r="N8" s="0" t="n">
        <v>0.112959134304274</v>
      </c>
      <c r="O8" s="0" t="n">
        <v>-0.635070951992215</v>
      </c>
      <c r="P8" s="0" t="n">
        <v>-0.594059857853625</v>
      </c>
      <c r="Q8" s="0" t="n">
        <v>-0.343202104095158</v>
      </c>
      <c r="R8" s="0" t="n">
        <v>0.424168021832177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1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0.713111772833197</v>
      </c>
      <c r="AJ8" s="0" t="n">
        <v>0.333333333333333</v>
      </c>
    </row>
    <row r="9" customFormat="false" ht="15" hidden="false" customHeight="false" outlineLevel="0" collapsed="false">
      <c r="A9" s="0" t="s">
        <v>43</v>
      </c>
      <c r="B9" s="0" t="n">
        <v>1</v>
      </c>
      <c r="C9" s="0" t="n">
        <v>-0.100152670116977</v>
      </c>
      <c r="D9" s="0" t="n">
        <v>-1.03115206191953</v>
      </c>
      <c r="E9" s="0" t="n">
        <v>0.0723871105495088</v>
      </c>
      <c r="F9" s="0" t="n">
        <v>1.99838055377965</v>
      </c>
      <c r="G9" s="0" t="n">
        <v>-0.401220412385687</v>
      </c>
      <c r="H9" s="0" t="n">
        <v>-0.182154542201946</v>
      </c>
      <c r="I9" s="0" t="n">
        <v>-0.819085950894481</v>
      </c>
      <c r="J9" s="0" t="n">
        <v>0.971491949704236</v>
      </c>
      <c r="K9" s="0" t="n">
        <v>0.60590011437851</v>
      </c>
      <c r="L9" s="0" t="n">
        <v>0.54007049890183</v>
      </c>
      <c r="M9" s="0" t="n">
        <v>-0.0861377584455321</v>
      </c>
      <c r="N9" s="0" t="n">
        <v>-0.564513295223873</v>
      </c>
      <c r="O9" s="0" t="n">
        <v>-0.805955578244945</v>
      </c>
      <c r="P9" s="0" t="n">
        <v>-0.423476616653437</v>
      </c>
      <c r="Q9" s="0" t="n">
        <v>-0.555331192371189</v>
      </c>
      <c r="R9" s="0" t="n">
        <v>0.498366220357278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0.467172694893323</v>
      </c>
      <c r="AJ9" s="0" t="n">
        <v>0</v>
      </c>
    </row>
    <row r="10" customFormat="false" ht="15" hidden="false" customHeight="false" outlineLevel="0" collapsed="false">
      <c r="A10" s="0" t="s">
        <v>44</v>
      </c>
      <c r="B10" s="0" t="n">
        <v>1</v>
      </c>
      <c r="C10" s="0" t="n">
        <v>-0.500743945335077</v>
      </c>
      <c r="D10" s="0" t="n">
        <v>-0.999687876670371</v>
      </c>
      <c r="E10" s="0" t="n">
        <v>0.0748970057889553</v>
      </c>
      <c r="F10" s="0" t="n">
        <v>1.23894211733981</v>
      </c>
      <c r="G10" s="0" t="n">
        <v>-0.777471637627314</v>
      </c>
      <c r="H10" s="0" t="n">
        <v>-0.597088841505202</v>
      </c>
      <c r="I10" s="0" t="n">
        <v>-1.03007865114382</v>
      </c>
      <c r="J10" s="0" t="n">
        <v>-1.00187528167658</v>
      </c>
      <c r="K10" s="0" t="n">
        <v>0.542775910274404</v>
      </c>
      <c r="L10" s="0" t="n">
        <v>-0.174940003778265</v>
      </c>
      <c r="M10" s="0" t="n">
        <v>-1.45486519882506</v>
      </c>
      <c r="N10" s="0" t="n">
        <v>0.0402186914613973</v>
      </c>
      <c r="O10" s="0" t="n">
        <v>-0.610206943428118</v>
      </c>
      <c r="P10" s="0" t="n">
        <v>-0.318130068820131</v>
      </c>
      <c r="Q10" s="0" t="n">
        <v>-0.261781467211545</v>
      </c>
      <c r="R10" s="0" t="n">
        <v>1.66194561523506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1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0.183210267160379</v>
      </c>
      <c r="AJ10" s="0" t="n">
        <v>0</v>
      </c>
    </row>
    <row r="11" customFormat="false" ht="15" hidden="false" customHeight="false" outlineLevel="0" collapsed="false">
      <c r="A11" s="0" t="s">
        <v>45</v>
      </c>
      <c r="B11" s="0" t="n">
        <v>1</v>
      </c>
      <c r="C11" s="0" t="n">
        <v>0.189642526130195</v>
      </c>
      <c r="D11" s="0" t="n">
        <v>-1.05856584709345</v>
      </c>
      <c r="E11" s="0" t="n">
        <v>0.0630151291333545</v>
      </c>
      <c r="F11" s="0" t="n">
        <v>2.59936518647526</v>
      </c>
      <c r="G11" s="0" t="n">
        <v>-0.119523555762618</v>
      </c>
      <c r="H11" s="0" t="n">
        <v>0.126273852702176</v>
      </c>
      <c r="I11" s="0" t="n">
        <v>-1.1342125771939</v>
      </c>
      <c r="J11" s="0" t="n">
        <v>1.28078663384549</v>
      </c>
      <c r="K11" s="0" t="n">
        <v>-0.429112143121742</v>
      </c>
      <c r="L11" s="0" t="n">
        <v>-0.26668138410559</v>
      </c>
      <c r="M11" s="0" t="n">
        <v>-0.519940604613244</v>
      </c>
      <c r="N11" s="0" t="n">
        <v>-0.450471075512584</v>
      </c>
      <c r="O11" s="0" t="n">
        <v>0.0962507574290612</v>
      </c>
      <c r="P11" s="0" t="n">
        <v>-0.586788422793658</v>
      </c>
      <c r="Q11" s="0" t="n">
        <v>-0.509150375280593</v>
      </c>
      <c r="R11" s="0" t="n">
        <v>0.634091055787234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1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</row>
    <row r="12" customFormat="false" ht="15" hidden="false" customHeight="false" outlineLevel="0" collapsed="false">
      <c r="A12" s="0" t="s">
        <v>46</v>
      </c>
      <c r="B12" s="0" t="n">
        <v>1</v>
      </c>
      <c r="C12" s="0" t="n">
        <v>1.25033772038764</v>
      </c>
      <c r="D12" s="0" t="n">
        <v>-0.497194042297638</v>
      </c>
      <c r="E12" s="0" t="n">
        <v>0.223070408246805</v>
      </c>
      <c r="F12" s="0" t="n">
        <v>1.83939355448815</v>
      </c>
      <c r="G12" s="0" t="n">
        <v>0.635422233807803</v>
      </c>
      <c r="H12" s="0" t="n">
        <v>1.04278281958445</v>
      </c>
      <c r="I12" s="0" t="n">
        <v>-0.324973379924337</v>
      </c>
      <c r="J12" s="0" t="n">
        <v>0.118018536066999</v>
      </c>
      <c r="K12" s="0" t="n">
        <v>-0.378285968717265</v>
      </c>
      <c r="L12" s="0" t="n">
        <v>-0.256088909978446</v>
      </c>
      <c r="M12" s="0" t="n">
        <v>1.76786778773398</v>
      </c>
      <c r="N12" s="0" t="n">
        <v>1.07872207600348</v>
      </c>
      <c r="O12" s="0" t="n">
        <v>-0.719985339375773</v>
      </c>
      <c r="P12" s="0" t="n">
        <v>-0.694467159943648</v>
      </c>
      <c r="Q12" s="0" t="n">
        <v>-0.580952303020597</v>
      </c>
      <c r="R12" s="0" t="n">
        <v>-0.0913050858987654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0.601785252909704</v>
      </c>
      <c r="AJ12" s="0" t="n">
        <v>0.333333333333333</v>
      </c>
    </row>
    <row r="13" customFormat="false" ht="15" hidden="false" customHeight="false" outlineLevel="0" collapsed="false">
      <c r="A13" s="0" t="s">
        <v>47</v>
      </c>
      <c r="B13" s="0" t="n">
        <v>1</v>
      </c>
      <c r="C13" s="0" t="n">
        <v>0.679323896078777</v>
      </c>
      <c r="D13" s="0" t="n">
        <v>-0.239612414870593</v>
      </c>
      <c r="E13" s="0" t="n">
        <v>0.347321535698897</v>
      </c>
      <c r="F13" s="0" t="n">
        <v>0.65946653203408</v>
      </c>
      <c r="G13" s="0" t="n">
        <v>-0.0142392609260303</v>
      </c>
      <c r="H13" s="0" t="n">
        <v>0.319457073906114</v>
      </c>
      <c r="I13" s="0" t="n">
        <v>-0.331961958338605</v>
      </c>
      <c r="J13" s="0" t="n">
        <v>-0.680331721662036</v>
      </c>
      <c r="K13" s="0" t="n">
        <v>0.410108203184156</v>
      </c>
      <c r="L13" s="0" t="n">
        <v>1.05041648351225</v>
      </c>
      <c r="M13" s="0" t="n">
        <v>-0.305508351635524</v>
      </c>
      <c r="N13" s="0" t="n">
        <v>1.12536637127278</v>
      </c>
      <c r="O13" s="0" t="n">
        <v>-0.260752475092638</v>
      </c>
      <c r="P13" s="0" t="n">
        <v>0.0179576247160761</v>
      </c>
      <c r="Q13" s="0" t="n">
        <v>-0.17448046345049</v>
      </c>
      <c r="R13" s="0" t="n">
        <v>2.47128539257632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1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0.448737179392139</v>
      </c>
      <c r="AJ13" s="0" t="n">
        <v>0</v>
      </c>
    </row>
    <row r="14" customFormat="false" ht="15" hidden="false" customHeight="false" outlineLevel="0" collapsed="false">
      <c r="A14" s="0" t="s">
        <v>48</v>
      </c>
      <c r="B14" s="0" t="n">
        <v>1</v>
      </c>
      <c r="C14" s="0" t="n">
        <v>0.0864219216347903</v>
      </c>
      <c r="D14" s="0" t="n">
        <v>0.189378795253788</v>
      </c>
      <c r="E14" s="0" t="n">
        <v>-0.477766105346128</v>
      </c>
      <c r="F14" s="0" t="n">
        <v>-0.452813097643561</v>
      </c>
      <c r="G14" s="0" t="n">
        <v>0.577863185538246</v>
      </c>
      <c r="H14" s="0" t="n">
        <v>0.611007648802766</v>
      </c>
      <c r="I14" s="0" t="n">
        <v>1.94355407370837</v>
      </c>
      <c r="J14" s="0" t="n">
        <v>-0.32774051595401</v>
      </c>
      <c r="K14" s="0" t="n">
        <v>-0.0709397340707755</v>
      </c>
      <c r="L14" s="0" t="n">
        <v>-0.225920553950911</v>
      </c>
      <c r="M14" s="0" t="n">
        <v>-2.01610849724923</v>
      </c>
      <c r="N14" s="0" t="n">
        <v>0.242001501833445</v>
      </c>
      <c r="O14" s="0" t="n">
        <v>-0.443094788100433</v>
      </c>
      <c r="P14" s="0" t="n">
        <v>0.399071924656837</v>
      </c>
      <c r="Q14" s="0" t="n">
        <v>0.293792075252869</v>
      </c>
      <c r="R14" s="0" t="n">
        <v>1.72406806241733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</row>
    <row r="15" customFormat="false" ht="15" hidden="false" customHeight="false" outlineLevel="0" collapsed="false">
      <c r="A15" s="0" t="s">
        <v>49</v>
      </c>
      <c r="B15" s="0" t="n">
        <v>1</v>
      </c>
      <c r="C15" s="0" t="n">
        <v>0.1283073681611</v>
      </c>
      <c r="D15" s="0" t="n">
        <v>0.171406952922424</v>
      </c>
      <c r="E15" s="0" t="n">
        <v>-0.517401807873789</v>
      </c>
      <c r="F15" s="0" t="n">
        <v>-0.401535369105768</v>
      </c>
      <c r="G15" s="0" t="n">
        <v>0.702938093839381</v>
      </c>
      <c r="H15" s="0" t="n">
        <v>0.697418276541052</v>
      </c>
      <c r="I15" s="0" t="n">
        <v>2.15682378000407</v>
      </c>
      <c r="J15" s="0" t="n">
        <v>1.82273611501198</v>
      </c>
      <c r="K15" s="0" t="n">
        <v>1.30911363890725</v>
      </c>
      <c r="L15" s="0" t="n">
        <v>1.01167396155235</v>
      </c>
      <c r="M15" s="0" t="n">
        <v>-1.97456235544238</v>
      </c>
      <c r="N15" s="0" t="n">
        <v>-0.686363811059539</v>
      </c>
      <c r="O15" s="0" t="n">
        <v>-0.319185332251216</v>
      </c>
      <c r="P15" s="0" t="n">
        <v>-0.335176607133119</v>
      </c>
      <c r="Q15" s="0" t="n">
        <v>-0.300944850024711</v>
      </c>
      <c r="R15" s="0" t="n">
        <v>-0.248813617506255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1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</row>
    <row r="16" customFormat="false" ht="15" hidden="false" customHeight="false" outlineLevel="0" collapsed="false">
      <c r="A16" s="0" t="s">
        <v>50</v>
      </c>
      <c r="B16" s="0" t="n">
        <v>1</v>
      </c>
      <c r="C16" s="0" t="n">
        <v>0.711822523800461</v>
      </c>
      <c r="D16" s="0" t="n">
        <v>0.213581925933815</v>
      </c>
      <c r="E16" s="0" t="n">
        <v>-0.506492687253783</v>
      </c>
      <c r="F16" s="0" t="n">
        <v>-0.00988320543395945</v>
      </c>
      <c r="G16" s="0" t="n">
        <v>1.37970256734297</v>
      </c>
      <c r="H16" s="0" t="n">
        <v>1.28590981438256</v>
      </c>
      <c r="I16" s="0" t="n">
        <v>2.16634896821587</v>
      </c>
      <c r="J16" s="0" t="n">
        <v>0.83652118975993</v>
      </c>
      <c r="K16" s="0" t="n">
        <v>-0.617014393786589</v>
      </c>
      <c r="L16" s="0" t="n">
        <v>-0.633307656634052</v>
      </c>
      <c r="M16" s="0" t="n">
        <v>2.14241285338212</v>
      </c>
      <c r="N16" s="0" t="n">
        <v>0.166795281267081</v>
      </c>
      <c r="O16" s="0" t="n">
        <v>-0.523951919722444</v>
      </c>
      <c r="P16" s="0" t="n">
        <v>-0.613553350994625</v>
      </c>
      <c r="Q16" s="0" t="n">
        <v>-0.379694010948631</v>
      </c>
      <c r="R16" s="0" t="n">
        <v>0.212381454856764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1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</row>
    <row r="17" customFormat="false" ht="15" hidden="false" customHeight="false" outlineLevel="0" collapsed="false">
      <c r="A17" s="0" t="s">
        <v>51</v>
      </c>
      <c r="B17" s="0" t="n">
        <v>1</v>
      </c>
      <c r="C17" s="0" t="n">
        <v>0.771997617681517</v>
      </c>
      <c r="D17" s="0" t="n">
        <v>0.444191651051604</v>
      </c>
      <c r="E17" s="0" t="n">
        <v>-0.263125330838528</v>
      </c>
      <c r="F17" s="0" t="n">
        <v>-0.230235787724596</v>
      </c>
      <c r="G17" s="0" t="n">
        <v>0.951182860705251</v>
      </c>
      <c r="H17" s="0" t="n">
        <v>1.08188563349132</v>
      </c>
      <c r="I17" s="0" t="n">
        <v>1.9607153211671</v>
      </c>
      <c r="J17" s="0" t="n">
        <v>-1.14011495461315</v>
      </c>
      <c r="K17" s="0" t="n">
        <v>0.525907181165174</v>
      </c>
      <c r="L17" s="0" t="n">
        <v>1.08011047909725</v>
      </c>
      <c r="M17" s="0" t="n">
        <v>0.563165067386888</v>
      </c>
      <c r="N17" s="0" t="n">
        <v>1.66660458157826</v>
      </c>
      <c r="O17" s="0" t="n">
        <v>0.249183116447077</v>
      </c>
      <c r="P17" s="0" t="n">
        <v>-0.502498586983576</v>
      </c>
      <c r="Q17" s="0" t="n">
        <v>-0.275089808004149</v>
      </c>
      <c r="R17" s="0" t="n">
        <v>0.492036466569257</v>
      </c>
      <c r="S17" s="0" t="n">
        <v>0</v>
      </c>
      <c r="T17" s="0" t="n">
        <v>0</v>
      </c>
      <c r="U17" s="0" t="n">
        <v>0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0.545532670920281</v>
      </c>
      <c r="AJ17" s="0" t="n">
        <v>0.333333333333333</v>
      </c>
    </row>
    <row r="18" customFormat="false" ht="15" hidden="false" customHeight="false" outlineLevel="0" collapsed="false">
      <c r="A18" s="0" t="s">
        <v>52</v>
      </c>
      <c r="B18" s="0" t="n">
        <v>1</v>
      </c>
      <c r="C18" s="0" t="n">
        <v>1.11998248922325</v>
      </c>
      <c r="D18" s="0" t="n">
        <v>0.417764308639821</v>
      </c>
      <c r="E18" s="0" t="n">
        <v>-0.221144081555315</v>
      </c>
      <c r="F18" s="0" t="n">
        <v>0.0375261009731346</v>
      </c>
      <c r="G18" s="0" t="n">
        <v>1.24084589232749</v>
      </c>
      <c r="H18" s="0" t="n">
        <v>1.39407206360999</v>
      </c>
      <c r="I18" s="0" t="n">
        <v>1.76101728197522</v>
      </c>
      <c r="J18" s="0" t="n">
        <v>-1.10594757834992</v>
      </c>
      <c r="K18" s="0" t="n">
        <v>-0.0954516058402815</v>
      </c>
      <c r="L18" s="0" t="n">
        <v>-0.71245237462901</v>
      </c>
      <c r="M18" s="0" t="n">
        <v>0.215768296606364</v>
      </c>
      <c r="N18" s="0" t="n">
        <v>2.04612886951835</v>
      </c>
      <c r="O18" s="0" t="n">
        <v>1.97603510493151</v>
      </c>
      <c r="P18" s="0" t="n">
        <v>0.797913706812361</v>
      </c>
      <c r="Q18" s="0" t="n">
        <v>-0.532822499745523</v>
      </c>
      <c r="R18" s="0" t="n">
        <v>3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1.0613183701676</v>
      </c>
      <c r="AJ18" s="0" t="n">
        <v>0.666666666666667</v>
      </c>
    </row>
    <row r="19" customFormat="false" ht="15" hidden="false" customHeight="false" outlineLevel="0" collapsed="false">
      <c r="A19" s="0" t="s">
        <v>53</v>
      </c>
      <c r="B19" s="0" t="n">
        <v>1</v>
      </c>
      <c r="C19" s="0" t="n">
        <v>0.39462119692447</v>
      </c>
      <c r="D19" s="0" t="n">
        <v>0.615371127531656</v>
      </c>
      <c r="E19" s="0" t="n">
        <v>0.101156614970691</v>
      </c>
      <c r="F19" s="0" t="n">
        <v>-0.639739175133033</v>
      </c>
      <c r="G19" s="0" t="n">
        <v>0.0244961048911003</v>
      </c>
      <c r="H19" s="0" t="n">
        <v>0.295508846794181</v>
      </c>
      <c r="I19" s="0" t="n">
        <v>0.324919283640926</v>
      </c>
      <c r="J19" s="0" t="n">
        <v>-0.84930238514756</v>
      </c>
      <c r="K19" s="0" t="n">
        <v>1.02264121201788</v>
      </c>
      <c r="L19" s="0" t="n">
        <v>-1.21180348721045</v>
      </c>
      <c r="M19" s="0" t="n">
        <v>-0.558849795477009</v>
      </c>
      <c r="N19" s="0" t="n">
        <v>0.952145486197799</v>
      </c>
      <c r="O19" s="0" t="n">
        <v>0.90228720563028</v>
      </c>
      <c r="P19" s="0" t="n">
        <v>-0.0606024776486905</v>
      </c>
      <c r="Q19" s="0" t="n">
        <v>-0.237753360114058</v>
      </c>
      <c r="R19" s="0" t="n">
        <v>1.58164454218477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1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0.417849607300444</v>
      </c>
      <c r="AJ19" s="0" t="n">
        <v>0</v>
      </c>
    </row>
    <row r="20" customFormat="false" ht="15" hidden="false" customHeight="false" outlineLevel="0" collapsed="false">
      <c r="A20" s="0" t="s">
        <v>54</v>
      </c>
      <c r="B20" s="0" t="n">
        <v>1</v>
      </c>
      <c r="C20" s="0" t="n">
        <v>2.6133399140503</v>
      </c>
      <c r="D20" s="0" t="n">
        <v>0.651333659706244</v>
      </c>
      <c r="E20" s="0" t="n">
        <v>0.210091229024529</v>
      </c>
      <c r="F20" s="0" t="n">
        <v>0.731106203399851</v>
      </c>
      <c r="G20" s="0" t="n">
        <v>1.86265479169966</v>
      </c>
      <c r="H20" s="0" t="n">
        <v>2.45943791534085</v>
      </c>
      <c r="I20" s="0" t="n">
        <v>-0.837609364580024</v>
      </c>
      <c r="J20" s="0" t="n">
        <v>0.427067838562862</v>
      </c>
      <c r="K20" s="0" t="n">
        <v>-0.443032241435512</v>
      </c>
      <c r="L20" s="0" t="n">
        <v>1.04354187851314</v>
      </c>
      <c r="M20" s="0" t="n">
        <v>0.306221869031648</v>
      </c>
      <c r="N20" s="0" t="n">
        <v>2.0829100538937</v>
      </c>
      <c r="O20" s="0" t="n">
        <v>3</v>
      </c>
      <c r="P20" s="0" t="n">
        <v>0.511900301252787</v>
      </c>
      <c r="Q20" s="0" t="n">
        <v>0.260431760328516</v>
      </c>
      <c r="R20" s="0" t="n">
        <v>0.495243119195264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1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0.589600339898273</v>
      </c>
      <c r="AJ20" s="0" t="n">
        <v>0.333333333333333</v>
      </c>
    </row>
    <row r="21" customFormat="false" ht="15" hidden="false" customHeight="false" outlineLevel="0" collapsed="false">
      <c r="A21" s="0" t="s">
        <v>55</v>
      </c>
      <c r="B21" s="0" t="n">
        <v>1</v>
      </c>
      <c r="C21" s="0" t="n">
        <v>3</v>
      </c>
      <c r="D21" s="0" t="n">
        <v>0.600380429857354</v>
      </c>
      <c r="E21" s="0" t="n">
        <v>0.275659007889944</v>
      </c>
      <c r="F21" s="0" t="n">
        <v>1.62163399919791</v>
      </c>
      <c r="G21" s="0" t="n">
        <v>2.85197610644036</v>
      </c>
      <c r="H21" s="0" t="n">
        <v>3</v>
      </c>
      <c r="I21" s="0" t="n">
        <v>-1.42406750732424</v>
      </c>
      <c r="J21" s="0" t="n">
        <v>0.409170248747841</v>
      </c>
      <c r="K21" s="0" t="n">
        <v>-0.418385951605253</v>
      </c>
      <c r="L21" s="0" t="n">
        <v>0.471137493796965</v>
      </c>
      <c r="M21" s="0" t="n">
        <v>0.879598520623442</v>
      </c>
      <c r="N21" s="0" t="n">
        <v>3</v>
      </c>
      <c r="O21" s="0" t="n">
        <v>-0.196619968589595</v>
      </c>
      <c r="P21" s="0" t="n">
        <v>-0.615728556330119</v>
      </c>
      <c r="Q21" s="0" t="n">
        <v>-0.320153193427337</v>
      </c>
      <c r="R21" s="0" t="n">
        <v>1.57678022566569</v>
      </c>
      <c r="S21" s="0" t="n">
        <v>0</v>
      </c>
      <c r="T21" s="0" t="n">
        <v>1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1.16285671570393</v>
      </c>
      <c r="AJ21" s="0" t="n">
        <v>0.666666666666667</v>
      </c>
    </row>
    <row r="22" customFormat="false" ht="15" hidden="false" customHeight="false" outlineLevel="0" collapsed="false">
      <c r="A22" s="0" t="s">
        <v>56</v>
      </c>
      <c r="B22" s="0" t="n">
        <v>1</v>
      </c>
      <c r="C22" s="0" t="n">
        <v>1.17408999635727</v>
      </c>
      <c r="D22" s="0" t="n">
        <v>2.90490201760081</v>
      </c>
      <c r="E22" s="0" t="n">
        <v>1.7402779299958</v>
      </c>
      <c r="F22" s="0" t="n">
        <v>-1.4082685855048</v>
      </c>
      <c r="G22" s="0" t="n">
        <v>-0.787958995430274</v>
      </c>
      <c r="H22" s="0" t="n">
        <v>-0.693614777438805</v>
      </c>
      <c r="I22" s="0" t="n">
        <v>2.38071119583983</v>
      </c>
      <c r="J22" s="0" t="n">
        <v>-1.77354364786609</v>
      </c>
      <c r="K22" s="0" t="n">
        <v>-0.215495801387813</v>
      </c>
      <c r="L22" s="0" t="n">
        <v>0.638020883739369</v>
      </c>
      <c r="M22" s="0" t="n">
        <v>-0.913915742643758</v>
      </c>
      <c r="N22" s="0" t="n">
        <v>3</v>
      </c>
      <c r="O22" s="0" t="n">
        <v>1.82861743591641</v>
      </c>
      <c r="P22" s="0" t="n">
        <v>-0.347129212434222</v>
      </c>
      <c r="Q22" s="0" t="n">
        <v>-0.0609706597946226</v>
      </c>
      <c r="R22" s="0" t="n">
        <v>3</v>
      </c>
      <c r="S22" s="0" t="n">
        <v>0</v>
      </c>
      <c r="T22" s="0" t="n">
        <v>1</v>
      </c>
      <c r="U22" s="0" t="n">
        <v>0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0.74234481479547</v>
      </c>
      <c r="AJ22" s="0" t="n">
        <v>0</v>
      </c>
    </row>
    <row r="23" customFormat="false" ht="15" hidden="false" customHeight="false" outlineLevel="0" collapsed="false">
      <c r="A23" s="0" t="s">
        <v>57</v>
      </c>
      <c r="B23" s="0" t="n">
        <v>1</v>
      </c>
      <c r="C23" s="0" t="n">
        <v>0.765759494893008</v>
      </c>
      <c r="D23" s="0" t="n">
        <v>2.75658603881499</v>
      </c>
      <c r="E23" s="0" t="n">
        <v>1.76293869245418</v>
      </c>
      <c r="F23" s="0" t="n">
        <v>-1.50884864226118</v>
      </c>
      <c r="G23" s="0" t="n">
        <v>-1.03316935421915</v>
      </c>
      <c r="H23" s="0" t="n">
        <v>-1.13853245311852</v>
      </c>
      <c r="I23" s="0" t="n">
        <v>1.72116911886043</v>
      </c>
      <c r="J23" s="0" t="n">
        <v>-0.408967790276958</v>
      </c>
      <c r="K23" s="0" t="n">
        <v>0.0149012997563489</v>
      </c>
      <c r="L23" s="0" t="n">
        <v>-0.402562374573458</v>
      </c>
      <c r="M23" s="0" t="n">
        <v>-0.534104195890144</v>
      </c>
      <c r="N23" s="0" t="n">
        <v>0.996529485220571</v>
      </c>
      <c r="O23" s="0" t="n">
        <v>1.03079188216943</v>
      </c>
      <c r="P23" s="0" t="n">
        <v>1.24874310909721</v>
      </c>
      <c r="Q23" s="0" t="n">
        <v>0.469792363218162</v>
      </c>
      <c r="R23" s="0" t="n">
        <v>1.02987718451646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1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0.0208385975009624</v>
      </c>
      <c r="AJ23" s="0" t="n">
        <v>0</v>
      </c>
    </row>
    <row r="24" customFormat="false" ht="15" hidden="false" customHeight="false" outlineLevel="0" collapsed="false">
      <c r="A24" s="0" t="s">
        <v>58</v>
      </c>
      <c r="B24" s="0" t="n">
        <v>1</v>
      </c>
      <c r="C24" s="0" t="n">
        <v>0.822300492316508</v>
      </c>
      <c r="D24" s="0" t="n">
        <v>2.75314759476519</v>
      </c>
      <c r="E24" s="0" t="n">
        <v>1.76026244940788</v>
      </c>
      <c r="F24" s="0" t="n">
        <v>-1.48752372467641</v>
      </c>
      <c r="G24" s="0" t="n">
        <v>-0.9996120245712</v>
      </c>
      <c r="H24" s="0" t="n">
        <v>-1.07742965447147</v>
      </c>
      <c r="I24" s="0" t="n">
        <v>1.13827958579593</v>
      </c>
      <c r="J24" s="0" t="n">
        <v>0.767007337310939</v>
      </c>
      <c r="K24" s="0" t="n">
        <v>-0.594105933877984</v>
      </c>
      <c r="L24" s="0" t="n">
        <v>1.04712688013585</v>
      </c>
      <c r="M24" s="0" t="n">
        <v>-0.87897376644984</v>
      </c>
      <c r="N24" s="0" t="n">
        <v>0.295426685842337</v>
      </c>
      <c r="O24" s="0" t="n">
        <v>0.386167408600175</v>
      </c>
      <c r="P24" s="0" t="n">
        <v>0.605814655835904</v>
      </c>
      <c r="Q24" s="0" t="n">
        <v>0.8867497848419</v>
      </c>
      <c r="R24" s="0" t="n">
        <v>2.89871745688716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1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</row>
    <row r="25" customFormat="false" ht="15" hidden="false" customHeight="false" outlineLevel="0" collapsed="false">
      <c r="A25" s="0" t="s">
        <v>59</v>
      </c>
      <c r="B25" s="0" t="n">
        <v>1</v>
      </c>
      <c r="C25" s="0" t="n">
        <v>1.21553061918729</v>
      </c>
      <c r="D25" s="0" t="n">
        <v>2.73825444565241</v>
      </c>
      <c r="E25" s="0" t="n">
        <v>1.75779848352854</v>
      </c>
      <c r="F25" s="0" t="n">
        <v>-1.34132310771839</v>
      </c>
      <c r="G25" s="0" t="n">
        <v>-0.774466470089881</v>
      </c>
      <c r="H25" s="0" t="n">
        <v>-0.67011985721162</v>
      </c>
      <c r="I25" s="0" t="n">
        <v>0.547025453589632</v>
      </c>
      <c r="J25" s="0" t="n">
        <v>-0.506537180747791</v>
      </c>
      <c r="K25" s="0" t="n">
        <v>-0.0386509187444253</v>
      </c>
      <c r="L25" s="0" t="n">
        <v>1.52983182683191</v>
      </c>
      <c r="M25" s="0" t="n">
        <v>0.468019922657634</v>
      </c>
      <c r="N25" s="0" t="n">
        <v>1.54824725085086</v>
      </c>
      <c r="O25" s="0" t="n">
        <v>1.11524170909094</v>
      </c>
      <c r="P25" s="0" t="n">
        <v>0.153134682358317</v>
      </c>
      <c r="Q25" s="0" t="n">
        <v>0.0628620473010728</v>
      </c>
      <c r="R25" s="0" t="n">
        <v>2.05740995244698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0.44884137569099</v>
      </c>
      <c r="AJ25" s="0" t="n">
        <v>0.333333333333333</v>
      </c>
    </row>
    <row r="26" customFormat="false" ht="15" hidden="false" customHeight="false" outlineLevel="0" collapsed="false">
      <c r="A26" s="0" t="s">
        <v>60</v>
      </c>
      <c r="B26" s="0" t="n">
        <v>1</v>
      </c>
      <c r="C26" s="0" t="n">
        <v>0.798829665469739</v>
      </c>
      <c r="D26" s="0" t="n">
        <v>2.57018888098629</v>
      </c>
      <c r="E26" s="0" t="n">
        <v>1.77301551126112</v>
      </c>
      <c r="F26" s="0" t="n">
        <v>-1.44024125428052</v>
      </c>
      <c r="G26" s="0" t="n">
        <v>-1.01962752036091</v>
      </c>
      <c r="H26" s="0" t="n">
        <v>-1.1155161697943</v>
      </c>
      <c r="I26" s="0" t="n">
        <v>-1.03957349115146</v>
      </c>
      <c r="J26" s="0" t="n">
        <v>-0.308415963770238</v>
      </c>
      <c r="K26" s="0" t="n">
        <v>-0.104341516040218</v>
      </c>
      <c r="L26" s="0" t="n">
        <v>0.393831918334119</v>
      </c>
      <c r="M26" s="0" t="n">
        <v>-1.00517893177779</v>
      </c>
      <c r="N26" s="0" t="n">
        <v>0.953172893582585</v>
      </c>
      <c r="O26" s="0" t="n">
        <v>-0.0657742484541377</v>
      </c>
      <c r="P26" s="0" t="n">
        <v>0.751583704861354</v>
      </c>
      <c r="Q26" s="0" t="n">
        <v>0.759423352365384</v>
      </c>
      <c r="R26" s="0" t="n">
        <v>1.22859024755421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1</v>
      </c>
      <c r="Y26" s="0" t="n">
        <v>0</v>
      </c>
      <c r="Z26" s="0" t="n">
        <v>0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</row>
    <row r="27" customFormat="false" ht="15" hidden="false" customHeight="false" outlineLevel="0" collapsed="false">
      <c r="A27" s="0" t="s">
        <v>61</v>
      </c>
      <c r="B27" s="0" t="n">
        <v>1</v>
      </c>
      <c r="C27" s="0" t="n">
        <v>1.30510778671854</v>
      </c>
      <c r="D27" s="0" t="n">
        <v>2.45772553386396</v>
      </c>
      <c r="E27" s="0" t="n">
        <v>1.75847964223113</v>
      </c>
      <c r="F27" s="0" t="n">
        <v>-1.21006103874001</v>
      </c>
      <c r="G27" s="0" t="n">
        <v>-0.723877349508243</v>
      </c>
      <c r="H27" s="0" t="n">
        <v>-0.578693058075075</v>
      </c>
      <c r="I27" s="0" t="n">
        <v>-1.54208775176149</v>
      </c>
      <c r="J27" s="0" t="n">
        <v>-0.067659484746046</v>
      </c>
      <c r="K27" s="0" t="n">
        <v>-0.149766442883367</v>
      </c>
      <c r="L27" s="0" t="n">
        <v>0.131698260101833</v>
      </c>
      <c r="M27" s="0" t="n">
        <v>-0.107974637549722</v>
      </c>
      <c r="N27" s="0" t="n">
        <v>-0.180160192575284</v>
      </c>
      <c r="O27" s="0" t="n">
        <v>-0.319185332251216</v>
      </c>
      <c r="P27" s="0" t="n">
        <v>-0.335176607133119</v>
      </c>
      <c r="Q27" s="0" t="n">
        <v>-0.300944850024711</v>
      </c>
      <c r="R27" s="0" t="n">
        <v>-0.248813617506255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</row>
    <row r="28" customFormat="false" ht="15" hidden="false" customHeight="false" outlineLevel="0" collapsed="false">
      <c r="A28" s="0" t="s">
        <v>62</v>
      </c>
      <c r="B28" s="0" t="n">
        <v>1</v>
      </c>
      <c r="C28" s="0" t="n">
        <v>0.32947500142876</v>
      </c>
      <c r="D28" s="0" t="n">
        <v>1.98224989124624</v>
      </c>
      <c r="E28" s="0" t="n">
        <v>1.74407872065247</v>
      </c>
      <c r="F28" s="0" t="n">
        <v>-1.42797773915656</v>
      </c>
      <c r="G28" s="0" t="n">
        <v>-1.27248495995806</v>
      </c>
      <c r="H28" s="0" t="n">
        <v>-1.56684146357447</v>
      </c>
      <c r="I28" s="0" t="n">
        <v>-1.51681364084974</v>
      </c>
      <c r="J28" s="0" t="n">
        <v>-1.43406550907003</v>
      </c>
      <c r="K28" s="0" t="n">
        <v>0.90953584206679</v>
      </c>
      <c r="L28" s="0" t="n">
        <v>-0.00703045903893974</v>
      </c>
      <c r="M28" s="0" t="n">
        <v>-0.665504737515008</v>
      </c>
      <c r="N28" s="0" t="n">
        <v>1.42906799421564</v>
      </c>
      <c r="O28" s="0" t="n">
        <v>-0.294072296157651</v>
      </c>
      <c r="P28" s="0" t="n">
        <v>-0.0605719758739831</v>
      </c>
      <c r="Q28" s="0" t="n">
        <v>-0.033467203261357</v>
      </c>
      <c r="R28" s="0" t="n">
        <v>0.978206414979106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1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</row>
    <row r="29" customFormat="false" ht="15" hidden="false" customHeight="false" outlineLevel="0" collapsed="false">
      <c r="A29" s="0" t="s">
        <v>63</v>
      </c>
      <c r="B29" s="0" t="n">
        <v>1</v>
      </c>
      <c r="C29" s="0" t="n">
        <v>0.192591469084807</v>
      </c>
      <c r="D29" s="0" t="n">
        <v>1.6208948586942</v>
      </c>
      <c r="E29" s="0" t="n">
        <v>1.74660967481124</v>
      </c>
      <c r="F29" s="0" t="n">
        <v>-1.34758663873305</v>
      </c>
      <c r="G29" s="0" t="n">
        <v>-1.35178608507509</v>
      </c>
      <c r="H29" s="0" t="n">
        <v>-1.71045458890924</v>
      </c>
      <c r="I29" s="0" t="n">
        <v>-1.52360605802075</v>
      </c>
      <c r="J29" s="0" t="n">
        <v>0.775075558461969</v>
      </c>
      <c r="K29" s="0" t="n">
        <v>-0.380543873460175</v>
      </c>
      <c r="L29" s="0" t="n">
        <v>0.360739735165644</v>
      </c>
      <c r="M29" s="0" t="n">
        <v>-1.00917835469225</v>
      </c>
      <c r="N29" s="0" t="n">
        <v>-0.240263524585288</v>
      </c>
      <c r="O29" s="0" t="n">
        <v>-0.655050157890814</v>
      </c>
      <c r="P29" s="0" t="n">
        <v>-0.646993449943046</v>
      </c>
      <c r="Q29" s="0" t="n">
        <v>-0.401398755540426</v>
      </c>
      <c r="R29" s="0" t="n">
        <v>1.98338986007375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1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</row>
    <row r="30" customFormat="false" ht="15" hidden="false" customHeight="false" outlineLevel="0" collapsed="false">
      <c r="A30" s="0" t="s">
        <v>64</v>
      </c>
      <c r="B30" s="0" t="n">
        <v>1</v>
      </c>
      <c r="C30" s="0" t="n">
        <v>-0.0532442461693359</v>
      </c>
      <c r="D30" s="0" t="n">
        <v>-0.197051620898393</v>
      </c>
      <c r="E30" s="0" t="n">
        <v>1.6950717593948</v>
      </c>
      <c r="F30" s="0" t="n">
        <v>-0.0848895922953006</v>
      </c>
      <c r="G30" s="0" t="n">
        <v>-1.4704735865447</v>
      </c>
      <c r="H30" s="0" t="n">
        <v>-1.90709069841063</v>
      </c>
      <c r="I30" s="0" t="n">
        <v>-1.59432540277208</v>
      </c>
      <c r="J30" s="0" t="n">
        <v>-0.433772021252339</v>
      </c>
      <c r="K30" s="0" t="n">
        <v>-0.261865895908984</v>
      </c>
      <c r="L30" s="0" t="n">
        <v>0.944552943482202</v>
      </c>
      <c r="M30" s="0" t="n">
        <v>-1.32438088046137</v>
      </c>
      <c r="N30" s="0" t="n">
        <v>0.164534985020551</v>
      </c>
      <c r="O30" s="0" t="n">
        <v>-0.539013042656259</v>
      </c>
      <c r="P30" s="0" t="n">
        <v>-0.499827369978483</v>
      </c>
      <c r="Q30" s="0" t="n">
        <v>-0.597113518080912</v>
      </c>
      <c r="R30" s="0" t="n">
        <v>0.313002507959607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1</v>
      </c>
      <c r="Y30" s="0" t="n">
        <v>0</v>
      </c>
      <c r="Z30" s="0" t="n">
        <v>0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</row>
    <row r="31" customFormat="false" ht="15" hidden="false" customHeight="false" outlineLevel="0" collapsed="false">
      <c r="A31" s="0" t="s">
        <v>65</v>
      </c>
      <c r="B31" s="0" t="n">
        <v>1</v>
      </c>
      <c r="C31" s="0" t="n">
        <v>0.110726241117084</v>
      </c>
      <c r="D31" s="0" t="n">
        <v>-0.846279179956339</v>
      </c>
      <c r="E31" s="0" t="n">
        <v>1.60068553766572</v>
      </c>
      <c r="F31" s="0" t="n">
        <v>1.57726170614732</v>
      </c>
      <c r="G31" s="0" t="n">
        <v>-1.33263319081412</v>
      </c>
      <c r="H31" s="0" t="n">
        <v>-1.63523058134268</v>
      </c>
      <c r="I31" s="0" t="n">
        <v>-1.60380187193958</v>
      </c>
      <c r="J31" s="0" t="n">
        <v>-0.273263617985628</v>
      </c>
      <c r="K31" s="0" t="n">
        <v>-0.299236581574148</v>
      </c>
      <c r="L31" s="0" t="n">
        <v>-0.706652885329311</v>
      </c>
      <c r="M31" s="0" t="n">
        <v>0.523292275942852</v>
      </c>
      <c r="N31" s="0" t="n">
        <v>0.232754835370367</v>
      </c>
      <c r="O31" s="0" t="n">
        <v>-0.376012152162471</v>
      </c>
      <c r="P31" s="0" t="n">
        <v>-0.488232903390759</v>
      </c>
      <c r="Q31" s="0" t="n">
        <v>-0.224426532734633</v>
      </c>
      <c r="R31" s="0" t="n">
        <v>1.74612855978347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</row>
    <row r="32" customFormat="false" ht="15" hidden="false" customHeight="false" outlineLevel="0" collapsed="false">
      <c r="A32" s="0" t="s">
        <v>66</v>
      </c>
      <c r="B32" s="0" t="n">
        <v>1</v>
      </c>
      <c r="C32" s="0" t="n">
        <v>-0.12926955835156</v>
      </c>
      <c r="D32" s="0" t="n">
        <v>-0.615926642014608</v>
      </c>
      <c r="E32" s="0" t="n">
        <v>1.53048736036983</v>
      </c>
      <c r="F32" s="0" t="n">
        <v>0.613487192224825</v>
      </c>
      <c r="G32" s="0" t="n">
        <v>-1.44347381921849</v>
      </c>
      <c r="H32" s="0" t="n">
        <v>-1.80546649724549</v>
      </c>
      <c r="I32" s="0" t="n">
        <v>-1.22777624834859</v>
      </c>
      <c r="J32" s="0" t="n">
        <v>-1.0175855618155</v>
      </c>
      <c r="K32" s="0" t="n">
        <v>0.987422917973326</v>
      </c>
      <c r="L32" s="0" t="n">
        <v>0.176339925746772</v>
      </c>
      <c r="M32" s="0" t="n">
        <v>0.840471561518022</v>
      </c>
      <c r="N32" s="0" t="n">
        <v>0.485702533504777</v>
      </c>
      <c r="O32" s="0" t="n">
        <v>-0.0386273677240976</v>
      </c>
      <c r="P32" s="0" t="n">
        <v>-0.0798263252082992</v>
      </c>
      <c r="Q32" s="0" t="n">
        <v>-0.593861361695746</v>
      </c>
      <c r="R32" s="0" t="n">
        <v>1.44097358347402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1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0.544529525932867</v>
      </c>
      <c r="AJ32" s="0" t="n">
        <v>0.333333333333333</v>
      </c>
    </row>
    <row r="33" customFormat="false" ht="15" hidden="false" customHeight="false" outlineLevel="0" collapsed="false">
      <c r="A33" s="0" t="s">
        <v>67</v>
      </c>
      <c r="B33" s="0" t="n">
        <v>1</v>
      </c>
      <c r="C33" s="0" t="n">
        <v>0.421712691119902</v>
      </c>
      <c r="D33" s="0" t="n">
        <v>-0.501747904053204</v>
      </c>
      <c r="E33" s="0" t="n">
        <v>1.55149225257176</v>
      </c>
      <c r="F33" s="0" t="n">
        <v>0.959249949470942</v>
      </c>
      <c r="G33" s="0" t="n">
        <v>-1.12346702427528</v>
      </c>
      <c r="H33" s="0" t="n">
        <v>-1.2614821961883</v>
      </c>
      <c r="I33" s="0" t="n">
        <v>-1.16610267552564</v>
      </c>
      <c r="J33" s="0" t="n">
        <v>1.06012292520715</v>
      </c>
      <c r="K33" s="0" t="n">
        <v>-0.717503492344829</v>
      </c>
      <c r="L33" s="0" t="n">
        <v>-0.817262427719297</v>
      </c>
      <c r="M33" s="0" t="n">
        <v>-0.257730726917388</v>
      </c>
      <c r="N33" s="0" t="n">
        <v>-0.176153303774617</v>
      </c>
      <c r="O33" s="0" t="n">
        <v>0.904919385644169</v>
      </c>
      <c r="P33" s="0" t="n">
        <v>-0.208957564998176</v>
      </c>
      <c r="Q33" s="0" t="n">
        <v>-0.493175554539963</v>
      </c>
      <c r="R33" s="0" t="n">
        <v>3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1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0.1220629592055</v>
      </c>
      <c r="AJ33" s="0" t="n">
        <v>0</v>
      </c>
    </row>
    <row r="34" customFormat="false" ht="15" hidden="false" customHeight="false" outlineLevel="0" collapsed="false">
      <c r="A34" s="0" t="s">
        <v>68</v>
      </c>
      <c r="B34" s="0" t="n">
        <v>1</v>
      </c>
      <c r="C34" s="0" t="n">
        <v>0.802770944632778</v>
      </c>
      <c r="D34" s="0" t="n">
        <v>-0.317863071499613</v>
      </c>
      <c r="E34" s="0" t="n">
        <v>1.59456049099464</v>
      </c>
      <c r="F34" s="0" t="n">
        <v>0.933975400539934</v>
      </c>
      <c r="G34" s="0" t="n">
        <v>-0.920353360744584</v>
      </c>
      <c r="H34" s="0" t="n">
        <v>-0.916452462744867</v>
      </c>
      <c r="I34" s="0" t="n">
        <v>-1.01957442605801</v>
      </c>
      <c r="J34" s="0" t="n">
        <v>-0.420595012645061</v>
      </c>
      <c r="K34" s="0" t="n">
        <v>-0.477027117268729</v>
      </c>
      <c r="L34" s="0" t="n">
        <v>-0.0523161478640443</v>
      </c>
      <c r="M34" s="0" t="n">
        <v>0.143740776977403</v>
      </c>
      <c r="N34" s="0" t="n">
        <v>1.0439957063977</v>
      </c>
      <c r="O34" s="0" t="n">
        <v>0.849572019418329</v>
      </c>
      <c r="P34" s="0" t="n">
        <v>-0.119372441981155</v>
      </c>
      <c r="Q34" s="0" t="n">
        <v>-0.248687866820234</v>
      </c>
      <c r="R34" s="0" t="n">
        <v>2.81816437673236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0.69742715226119</v>
      </c>
      <c r="AJ34" s="0" t="n">
        <v>0.333333333333333</v>
      </c>
    </row>
    <row r="35" customFormat="false" ht="15" hidden="false" customHeight="false" outlineLevel="0" collapsed="false">
      <c r="A35" s="0" t="s">
        <v>69</v>
      </c>
      <c r="B35" s="0" t="n">
        <v>1</v>
      </c>
      <c r="C35" s="0" t="n">
        <v>1.1168807265283</v>
      </c>
      <c r="D35" s="0" t="n">
        <v>-0.0704278322637698</v>
      </c>
      <c r="E35" s="0" t="n">
        <v>1.68952112750595</v>
      </c>
      <c r="F35" s="0" t="n">
        <v>0.737763788618817</v>
      </c>
      <c r="G35" s="0" t="n">
        <v>-0.791326125422083</v>
      </c>
      <c r="H35" s="0" t="n">
        <v>-0.697015768809608</v>
      </c>
      <c r="I35" s="0" t="n">
        <v>-1.19577818018128</v>
      </c>
      <c r="J35" s="0" t="n">
        <v>-0.373147231869263</v>
      </c>
      <c r="K35" s="0" t="n">
        <v>-0.281220691744048</v>
      </c>
      <c r="L35" s="0" t="n">
        <v>0.817381462140567</v>
      </c>
      <c r="M35" s="0" t="n">
        <v>0.998165161628552</v>
      </c>
      <c r="N35" s="0" t="n">
        <v>1.32961495936832</v>
      </c>
      <c r="O35" s="0" t="n">
        <v>-0.361359521568652</v>
      </c>
      <c r="P35" s="0" t="n">
        <v>-0.604942796822582</v>
      </c>
      <c r="Q35" s="0" t="n">
        <v>-0.61381334111875</v>
      </c>
      <c r="R35" s="0" t="n">
        <v>1.29985524288318</v>
      </c>
      <c r="S35" s="0" t="n">
        <v>0</v>
      </c>
      <c r="T35" s="0" t="n">
        <v>0</v>
      </c>
      <c r="U35" s="0" t="n">
        <v>0</v>
      </c>
      <c r="V35" s="0" t="n">
        <v>1</v>
      </c>
      <c r="W35" s="0" t="n">
        <v>0</v>
      </c>
      <c r="X35" s="0" t="n">
        <v>1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1.05323879088614</v>
      </c>
      <c r="AJ35" s="0" t="n">
        <v>0.666666666666667</v>
      </c>
    </row>
    <row r="36" customFormat="false" ht="15" hidden="false" customHeight="false" outlineLevel="0" collapsed="false">
      <c r="A36" s="0" t="s">
        <v>70</v>
      </c>
      <c r="B36" s="0" t="n">
        <v>1</v>
      </c>
      <c r="C36" s="0" t="n">
        <v>0.725589090840188</v>
      </c>
      <c r="D36" s="0" t="n">
        <v>-0.0382112080711727</v>
      </c>
      <c r="E36" s="0" t="n">
        <v>1.63986165503015</v>
      </c>
      <c r="F36" s="0" t="n">
        <v>0.352901786264782</v>
      </c>
      <c r="G36" s="0" t="n">
        <v>-0.990935814101956</v>
      </c>
      <c r="H36" s="0" t="n">
        <v>-1.04537259338919</v>
      </c>
      <c r="I36" s="0" t="n">
        <v>-1.07149899979479</v>
      </c>
      <c r="J36" s="0" t="n">
        <v>-1.24251530547409</v>
      </c>
      <c r="K36" s="0" t="n">
        <v>-0.0442058500997569</v>
      </c>
      <c r="L36" s="0" t="n">
        <v>0.406648904013863</v>
      </c>
      <c r="M36" s="0" t="n">
        <v>-0.380570624675787</v>
      </c>
      <c r="N36" s="0" t="n">
        <v>1.72002976558715</v>
      </c>
      <c r="O36" s="0" t="n">
        <v>0.385529840612149</v>
      </c>
      <c r="P36" s="0" t="n">
        <v>0.867231475709101</v>
      </c>
      <c r="Q36" s="0" t="n">
        <v>1.36352196146091</v>
      </c>
      <c r="R36" s="0" t="n">
        <v>1.48625687108832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0.620949612394196</v>
      </c>
      <c r="AJ36" s="0" t="n">
        <v>0</v>
      </c>
    </row>
    <row r="37" customFormat="false" ht="15" hidden="false" customHeight="false" outlineLevel="0" collapsed="false">
      <c r="A37" s="0" t="s">
        <v>71</v>
      </c>
      <c r="B37" s="0" t="n">
        <v>1</v>
      </c>
      <c r="C37" s="0" t="n">
        <v>0.0234716018461832</v>
      </c>
      <c r="D37" s="0" t="n">
        <v>0.569436042540594</v>
      </c>
      <c r="E37" s="0" t="n">
        <v>1.54877962068579</v>
      </c>
      <c r="F37" s="0" t="n">
        <v>-0.842181083191479</v>
      </c>
      <c r="G37" s="0" t="n">
        <v>-1.36026809651777</v>
      </c>
      <c r="H37" s="0" t="n">
        <v>-1.66829129035999</v>
      </c>
      <c r="I37" s="0" t="n">
        <v>0.20961876365103</v>
      </c>
      <c r="J37" s="0" t="n">
        <v>-0.961344019942869</v>
      </c>
      <c r="K37" s="0" t="n">
        <v>1.4955795971665</v>
      </c>
      <c r="L37" s="0" t="n">
        <v>1.48901347098697</v>
      </c>
      <c r="M37" s="0" t="n">
        <v>-0.234226092147252</v>
      </c>
      <c r="N37" s="0" t="n">
        <v>0.619470975003965</v>
      </c>
      <c r="O37" s="0" t="n">
        <v>1.41745370685192</v>
      </c>
      <c r="P37" s="0" t="n">
        <v>3</v>
      </c>
      <c r="Q37" s="0" t="n">
        <v>0.464643651903692</v>
      </c>
      <c r="R37" s="0" t="n">
        <v>1.67294693046812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1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</row>
    <row r="38" customFormat="false" ht="15" hidden="false" customHeight="false" outlineLevel="0" collapsed="false">
      <c r="A38" s="0" t="s">
        <v>72</v>
      </c>
      <c r="B38" s="0" t="n">
        <v>1</v>
      </c>
      <c r="C38" s="0" t="n">
        <v>1.37753951767826</v>
      </c>
      <c r="D38" s="0" t="n">
        <v>0.644377197259869</v>
      </c>
      <c r="E38" s="0" t="n">
        <v>1.41513961280995</v>
      </c>
      <c r="F38" s="0" t="n">
        <v>-0.0416971408326673</v>
      </c>
      <c r="G38" s="0" t="n">
        <v>-0.458644022030451</v>
      </c>
      <c r="H38" s="0" t="n">
        <v>-0.12897600698083</v>
      </c>
      <c r="I38" s="0" t="n">
        <v>0.425191466040627</v>
      </c>
      <c r="J38" s="0" t="n">
        <v>0.96459092751426</v>
      </c>
      <c r="K38" s="0" t="n">
        <v>-1.81087036915131</v>
      </c>
      <c r="L38" s="0" t="n">
        <v>-3</v>
      </c>
      <c r="M38" s="0" t="n">
        <v>-0.529745934727109</v>
      </c>
      <c r="N38" s="0" t="n">
        <v>0.649471270639727</v>
      </c>
      <c r="O38" s="0" t="n">
        <v>0.50015775308094</v>
      </c>
      <c r="P38" s="0" t="n">
        <v>-0.28818805142669</v>
      </c>
      <c r="Q38" s="0" t="n">
        <v>-0.173741123443812</v>
      </c>
      <c r="R38" s="0" t="n">
        <v>1.11693770712459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1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</row>
    <row r="39" customFormat="false" ht="15" hidden="false" customHeight="false" outlineLevel="0" collapsed="false">
      <c r="A39" s="0" t="s">
        <v>73</v>
      </c>
      <c r="B39" s="0" t="n">
        <v>1</v>
      </c>
      <c r="C39" s="0" t="n">
        <v>1.71667605612613</v>
      </c>
      <c r="D39" s="0" t="n">
        <v>2.08998582864149</v>
      </c>
      <c r="E39" s="0" t="n">
        <v>1.45310307147257</v>
      </c>
      <c r="F39" s="0" t="n">
        <v>-0.889196488715943</v>
      </c>
      <c r="G39" s="0" t="n">
        <v>-0.277596289844028</v>
      </c>
      <c r="H39" s="0" t="n">
        <v>0.178496336311432</v>
      </c>
      <c r="I39" s="0" t="n">
        <v>1.98309040325515</v>
      </c>
      <c r="J39" s="0" t="n">
        <v>-0.528265529756385</v>
      </c>
      <c r="K39" s="0" t="n">
        <v>-0.0849501430332367</v>
      </c>
      <c r="L39" s="0" t="n">
        <v>0.602428915697269</v>
      </c>
      <c r="M39" s="0" t="n">
        <v>-1.83161777943297</v>
      </c>
      <c r="N39" s="0" t="n">
        <v>2.09852664614246</v>
      </c>
      <c r="O39" s="0" t="n">
        <v>0.568998328815589</v>
      </c>
      <c r="P39" s="0" t="n">
        <v>0.306952559376889</v>
      </c>
      <c r="Q39" s="0" t="n">
        <v>0.486216479426966</v>
      </c>
      <c r="R39" s="0" t="n">
        <v>1.25455071328808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1</v>
      </c>
      <c r="Y39" s="0" t="n">
        <v>0</v>
      </c>
      <c r="Z39" s="0" t="n">
        <v>0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0.497345281862815</v>
      </c>
      <c r="AJ39" s="0" t="n">
        <v>0.333333333333333</v>
      </c>
    </row>
    <row r="40" customFormat="false" ht="15" hidden="false" customHeight="false" outlineLevel="0" collapsed="false">
      <c r="A40" s="0" t="s">
        <v>74</v>
      </c>
      <c r="B40" s="0" t="n">
        <v>1</v>
      </c>
      <c r="C40" s="0" t="n">
        <v>1.19334297657463</v>
      </c>
      <c r="D40" s="0" t="n">
        <v>2.25194123819844</v>
      </c>
      <c r="E40" s="0" t="n">
        <v>1.22652241341752</v>
      </c>
      <c r="F40" s="0" t="n">
        <v>-1.17418460397709</v>
      </c>
      <c r="G40" s="0" t="n">
        <v>-0.437862206109995</v>
      </c>
      <c r="H40" s="0" t="n">
        <v>-0.112393400526503</v>
      </c>
      <c r="I40" s="0" t="n">
        <v>2.35347094559175</v>
      </c>
      <c r="J40" s="0" t="n">
        <v>-0.067659484746046</v>
      </c>
      <c r="K40" s="0" t="n">
        <v>-0.149766442883367</v>
      </c>
      <c r="L40" s="0" t="n">
        <v>0.131698260101833</v>
      </c>
      <c r="M40" s="0" t="n">
        <v>-0.107974637549722</v>
      </c>
      <c r="N40" s="0" t="n">
        <v>-0.180160192575284</v>
      </c>
      <c r="O40" s="0" t="n">
        <v>-0.319185332251216</v>
      </c>
      <c r="P40" s="0" t="n">
        <v>-0.335176607133119</v>
      </c>
      <c r="Q40" s="0" t="n">
        <v>-0.300944850024711</v>
      </c>
      <c r="R40" s="0" t="n">
        <v>-0.248813617506255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1</v>
      </c>
      <c r="AI40" s="0" t="n">
        <v>0</v>
      </c>
      <c r="AJ40" s="0" t="n">
        <v>0</v>
      </c>
    </row>
    <row r="41" customFormat="false" ht="15" hidden="false" customHeight="false" outlineLevel="0" collapsed="false">
      <c r="A41" s="0" t="s">
        <v>75</v>
      </c>
      <c r="B41" s="0" t="n">
        <v>1</v>
      </c>
      <c r="C41" s="0" t="n">
        <v>0.551395425301949</v>
      </c>
      <c r="D41" s="0" t="n">
        <v>2.58471994433068</v>
      </c>
      <c r="E41" s="0" t="n">
        <v>1.41119187794094</v>
      </c>
      <c r="F41" s="0" t="n">
        <v>-1.53695336889771</v>
      </c>
      <c r="G41" s="0" t="n">
        <v>-0.96714049211838</v>
      </c>
      <c r="H41" s="0" t="n">
        <v>-0.974729640978384</v>
      </c>
      <c r="I41" s="0" t="n">
        <v>2.18651378975006</v>
      </c>
      <c r="J41" s="0" t="n">
        <v>0.00752256284357849</v>
      </c>
      <c r="K41" s="0" t="n">
        <v>-0.657068889644058</v>
      </c>
      <c r="L41" s="0" t="n">
        <v>-2.50637369184415</v>
      </c>
      <c r="M41" s="0" t="n">
        <v>-1.22349208424953</v>
      </c>
      <c r="N41" s="0" t="n">
        <v>0.490223125997837</v>
      </c>
      <c r="O41" s="0" t="n">
        <v>0.042373609207394</v>
      </c>
      <c r="P41" s="0" t="n">
        <v>0.0720628374264787</v>
      </c>
      <c r="Q41" s="0" t="n">
        <v>-0.46562841077979</v>
      </c>
      <c r="R41" s="0" t="n">
        <v>1.82124786537372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1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0.540882166167865</v>
      </c>
      <c r="AJ41" s="0" t="n">
        <v>0.333333333333333</v>
      </c>
    </row>
    <row r="42" customFormat="false" ht="15" hidden="false" customHeight="false" outlineLevel="0" collapsed="false">
      <c r="A42" s="0" t="s">
        <v>76</v>
      </c>
      <c r="B42" s="0" t="n">
        <v>1</v>
      </c>
      <c r="C42" s="0" t="n">
        <v>2.77449074747096</v>
      </c>
      <c r="D42" s="0" t="n">
        <v>2.6744700982457</v>
      </c>
      <c r="E42" s="0" t="n">
        <v>1.50255110088688</v>
      </c>
      <c r="F42" s="0" t="n">
        <v>-0.750653751158557</v>
      </c>
      <c r="G42" s="0" t="n">
        <v>0.325874862380146</v>
      </c>
      <c r="H42" s="0" t="n">
        <v>1.21290843380375</v>
      </c>
      <c r="I42" s="0" t="n">
        <v>2.20831049178495</v>
      </c>
      <c r="J42" s="0" t="n">
        <v>-0.0581190527717314</v>
      </c>
      <c r="K42" s="0" t="n">
        <v>-1.39499890606683</v>
      </c>
      <c r="L42" s="0" t="n">
        <v>-1.18129277620703</v>
      </c>
      <c r="M42" s="0" t="n">
        <v>2.84268552651281</v>
      </c>
      <c r="N42" s="0" t="n">
        <v>2.68805300353289</v>
      </c>
      <c r="O42" s="0" t="n">
        <v>3</v>
      </c>
      <c r="P42" s="0" t="n">
        <v>0.849197680122189</v>
      </c>
      <c r="Q42" s="0" t="n">
        <v>1.24341751930073</v>
      </c>
      <c r="R42" s="0" t="n">
        <v>3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1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</row>
    <row r="43" customFormat="false" ht="15" hidden="false" customHeight="false" outlineLevel="0" collapsed="false">
      <c r="A43" s="0" t="s">
        <v>77</v>
      </c>
      <c r="B43" s="0" t="n">
        <v>1</v>
      </c>
      <c r="C43" s="0" t="n">
        <v>2.51797369586788</v>
      </c>
      <c r="D43" s="0" t="n">
        <v>2.68216762029333</v>
      </c>
      <c r="E43" s="0" t="n">
        <v>1.5493334541533</v>
      </c>
      <c r="F43" s="0" t="n">
        <v>-0.847711935559437</v>
      </c>
      <c r="G43" s="0" t="n">
        <v>0.131450882183113</v>
      </c>
      <c r="H43" s="0" t="n">
        <v>0.897841337777662</v>
      </c>
      <c r="I43" s="0" t="n">
        <v>0.295670152707821</v>
      </c>
      <c r="J43" s="0" t="n">
        <v>-0.633464349149282</v>
      </c>
      <c r="K43" s="0" t="n">
        <v>0.355950115386248</v>
      </c>
      <c r="L43" s="0" t="n">
        <v>0.778872794391915</v>
      </c>
      <c r="M43" s="0" t="n">
        <v>0.273379891468319</v>
      </c>
      <c r="N43" s="0" t="n">
        <v>3</v>
      </c>
      <c r="O43" s="0" t="n">
        <v>1.7417195710563</v>
      </c>
      <c r="P43" s="0" t="n">
        <v>-0.320578430460447</v>
      </c>
      <c r="Q43" s="0" t="n">
        <v>-0.591884770552786</v>
      </c>
      <c r="R43" s="0" t="n">
        <v>-0.0014727789644431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</row>
    <row r="44" customFormat="false" ht="15" hidden="false" customHeight="false" outlineLevel="0" collapsed="false">
      <c r="A44" s="0" t="s">
        <v>78</v>
      </c>
      <c r="B44" s="0" t="n">
        <v>1</v>
      </c>
      <c r="C44" s="0" t="n">
        <v>1.21327967007017</v>
      </c>
      <c r="D44" s="0" t="n">
        <v>2.37478098597578</v>
      </c>
      <c r="E44" s="0" t="n">
        <v>1.45117909088293</v>
      </c>
      <c r="F44" s="0" t="n">
        <v>-1.21422432444563</v>
      </c>
      <c r="G44" s="0" t="n">
        <v>-0.584604647266587</v>
      </c>
      <c r="H44" s="0" t="n">
        <v>-0.33737494522751</v>
      </c>
      <c r="I44" s="0" t="n">
        <v>0.188474002161456</v>
      </c>
      <c r="J44" s="0" t="n">
        <v>-0.957713776681105</v>
      </c>
      <c r="K44" s="0" t="n">
        <v>1.61570097705479</v>
      </c>
      <c r="L44" s="0" t="n">
        <v>1.4189329719782</v>
      </c>
      <c r="M44" s="0" t="n">
        <v>-1.13713315338559</v>
      </c>
      <c r="N44" s="0" t="n">
        <v>1.99167627812467</v>
      </c>
      <c r="O44" s="0" t="n">
        <v>-0.173287579864536</v>
      </c>
      <c r="P44" s="0" t="n">
        <v>-0.41661041467446</v>
      </c>
      <c r="Q44" s="0" t="n">
        <v>-0.157676448200524</v>
      </c>
      <c r="R44" s="0" t="n">
        <v>0.242427251327429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</row>
    <row r="45" customFormat="false" ht="15" hidden="false" customHeight="false" outlineLevel="0" collapsed="false">
      <c r="A45" s="0" t="s">
        <v>79</v>
      </c>
      <c r="B45" s="0" t="n">
        <v>1</v>
      </c>
      <c r="C45" s="0" t="n">
        <v>-0.342386003384918</v>
      </c>
      <c r="D45" s="0" t="n">
        <v>2.42066243651422</v>
      </c>
      <c r="E45" s="0" t="n">
        <v>1.50675287653301</v>
      </c>
      <c r="F45" s="0" t="n">
        <v>-1.83161068094636</v>
      </c>
      <c r="G45" s="0" t="n">
        <v>-1.56157400691851</v>
      </c>
      <c r="H45" s="0" t="n">
        <v>-1.9988182975042</v>
      </c>
      <c r="I45" s="0" t="n">
        <v>0.101604180170793</v>
      </c>
      <c r="J45" s="0" t="n">
        <v>-2.284889376688</v>
      </c>
      <c r="K45" s="0" t="n">
        <v>3</v>
      </c>
      <c r="L45" s="0" t="n">
        <v>1.25329145723851</v>
      </c>
      <c r="M45" s="0" t="n">
        <v>-2.19370119388297</v>
      </c>
      <c r="N45" s="0" t="n">
        <v>1.48906858548717</v>
      </c>
      <c r="O45" s="0" t="n">
        <v>-0.772866767102273</v>
      </c>
      <c r="P45" s="0" t="n">
        <v>-0.335801131767868</v>
      </c>
      <c r="Q45" s="0" t="n">
        <v>-0.37313260268662</v>
      </c>
      <c r="R45" s="0" t="n">
        <v>0.881491993546895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</row>
    <row r="46" customFormat="false" ht="15" hidden="false" customHeight="false" outlineLevel="0" collapsed="false">
      <c r="A46" s="0" t="s">
        <v>80</v>
      </c>
      <c r="B46" s="0" t="n">
        <v>1</v>
      </c>
      <c r="C46" s="0" t="n">
        <v>1.04498874437482</v>
      </c>
      <c r="D46" s="0" t="n">
        <v>0.733324213178364</v>
      </c>
      <c r="E46" s="0" t="n">
        <v>1.56949517397366</v>
      </c>
      <c r="F46" s="0" t="n">
        <v>-0.335237182775961</v>
      </c>
      <c r="G46" s="0" t="n">
        <v>-0.761887174360487</v>
      </c>
      <c r="H46" s="0" t="n">
        <v>-0.63983017880629</v>
      </c>
      <c r="I46" s="0" t="n">
        <v>-1.05168607042236</v>
      </c>
      <c r="J46" s="0" t="n">
        <v>-0.915826555936474</v>
      </c>
      <c r="K46" s="0" t="n">
        <v>0.282719247855684</v>
      </c>
      <c r="L46" s="0" t="n">
        <v>0.439231546227859</v>
      </c>
      <c r="M46" s="0" t="n">
        <v>-0.503265148810848</v>
      </c>
      <c r="N46" s="0" t="n">
        <v>1.7539342092851</v>
      </c>
      <c r="O46" s="0" t="n">
        <v>-0.0781301874624418</v>
      </c>
      <c r="P46" s="0" t="n">
        <v>-0.468805617724322</v>
      </c>
      <c r="Q46" s="0" t="n">
        <v>-0.35204754951393</v>
      </c>
      <c r="R46" s="0" t="n">
        <v>0.904252549858049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1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</row>
    <row r="47" customFormat="false" ht="15" hidden="false" customHeight="false" outlineLevel="0" collapsed="false">
      <c r="A47" s="0" t="s">
        <v>81</v>
      </c>
      <c r="B47" s="0" t="n">
        <v>1</v>
      </c>
      <c r="C47" s="0" t="n">
        <v>1.10489661129464</v>
      </c>
      <c r="D47" s="0" t="n">
        <v>0.551904652238196</v>
      </c>
      <c r="E47" s="0" t="n">
        <v>1.49311403739876</v>
      </c>
      <c r="F47" s="0" t="n">
        <v>-0.120658351831933</v>
      </c>
      <c r="G47" s="0" t="n">
        <v>-0.67817537539318</v>
      </c>
      <c r="H47" s="0" t="n">
        <v>-0.494721340842783</v>
      </c>
      <c r="I47" s="0" t="n">
        <v>-1.02633422987152</v>
      </c>
      <c r="J47" s="0" t="n">
        <v>-0.419462357528311</v>
      </c>
      <c r="K47" s="0" t="n">
        <v>0.292041550931033</v>
      </c>
      <c r="L47" s="0" t="n">
        <v>-0.238410373519087</v>
      </c>
      <c r="M47" s="0" t="n">
        <v>0.171590315267368</v>
      </c>
      <c r="N47" s="0" t="n">
        <v>1.35632755137277</v>
      </c>
      <c r="O47" s="0" t="n">
        <v>3</v>
      </c>
      <c r="P47" s="0" t="n">
        <v>0.823180273590497</v>
      </c>
      <c r="Q47" s="0" t="n">
        <v>0.560966392100203</v>
      </c>
      <c r="R47" s="0" t="n">
        <v>1.55236709641863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</row>
    <row r="48" customFormat="false" ht="15" hidden="false" customHeight="false" outlineLevel="0" collapsed="false">
      <c r="A48" s="0" t="s">
        <v>82</v>
      </c>
      <c r="B48" s="0" t="n">
        <v>1</v>
      </c>
      <c r="C48" s="0" t="n">
        <v>0.0756289454100981</v>
      </c>
      <c r="D48" s="0" t="n">
        <v>0.564621192682853</v>
      </c>
      <c r="E48" s="0" t="n">
        <v>1.55226915240115</v>
      </c>
      <c r="F48" s="0" t="n">
        <v>-0.804474285313865</v>
      </c>
      <c r="G48" s="0" t="n">
        <v>-1.33072098247699</v>
      </c>
      <c r="H48" s="0" t="n">
        <v>-1.61843679205077</v>
      </c>
      <c r="I48" s="0" t="n">
        <v>-1.2303131524723</v>
      </c>
      <c r="J48" s="0" t="n">
        <v>-1.07101079872377</v>
      </c>
      <c r="K48" s="0" t="n">
        <v>3</v>
      </c>
      <c r="L48" s="0" t="n">
        <v>1.12591325969795</v>
      </c>
      <c r="M48" s="0" t="n">
        <v>0.311742330373487</v>
      </c>
      <c r="N48" s="0" t="n">
        <v>0.77008889761365</v>
      </c>
      <c r="O48" s="0" t="n">
        <v>2.22723003851228</v>
      </c>
      <c r="P48" s="0" t="n">
        <v>2.4429152175981</v>
      </c>
      <c r="Q48" s="0" t="n">
        <v>2.6666350990134</v>
      </c>
      <c r="R48" s="0" t="n">
        <v>0.931565714441118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1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</row>
    <row r="49" customFormat="false" ht="15" hidden="false" customHeight="false" outlineLevel="0" collapsed="false">
      <c r="A49" s="0" t="s">
        <v>83</v>
      </c>
      <c r="B49" s="0" t="n">
        <v>1</v>
      </c>
      <c r="C49" s="0" t="n">
        <v>1.81153892529662</v>
      </c>
      <c r="D49" s="0" t="n">
        <v>-0.13188406312321</v>
      </c>
      <c r="E49" s="0" t="n">
        <v>1.59709560823232</v>
      </c>
      <c r="F49" s="0" t="n">
        <v>1.46086285801704</v>
      </c>
      <c r="G49" s="0" t="n">
        <v>-0.325366730133645</v>
      </c>
      <c r="H49" s="0" t="n">
        <v>0.118757128723069</v>
      </c>
      <c r="I49" s="0" t="n">
        <v>-1.60240977329701</v>
      </c>
      <c r="J49" s="0" t="n">
        <v>-0.0518188691050465</v>
      </c>
      <c r="K49" s="0" t="n">
        <v>-0.893693332298413</v>
      </c>
      <c r="L49" s="0" t="n">
        <v>-0.742287760891753</v>
      </c>
      <c r="M49" s="0" t="n">
        <v>0.168698351339484</v>
      </c>
      <c r="N49" s="0" t="n">
        <v>1.74879717236117</v>
      </c>
      <c r="O49" s="0" t="n">
        <v>0.612142811345556</v>
      </c>
      <c r="P49" s="0" t="n">
        <v>0.042359293272674</v>
      </c>
      <c r="Q49" s="0" t="n">
        <v>-0.598091589558064</v>
      </c>
      <c r="R49" s="0" t="n">
        <v>0.0678192773485291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1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</row>
    <row r="50" customFormat="false" ht="15" hidden="false" customHeight="false" outlineLevel="0" collapsed="false">
      <c r="A50" s="0" t="s">
        <v>84</v>
      </c>
      <c r="B50" s="0" t="n">
        <v>1</v>
      </c>
      <c r="C50" s="0" t="n">
        <v>1.81710030108478</v>
      </c>
      <c r="D50" s="0" t="n">
        <v>0.135972520699343</v>
      </c>
      <c r="E50" s="0" t="n">
        <v>1.69179148231819</v>
      </c>
      <c r="F50" s="0" t="n">
        <v>0.946379673165002</v>
      </c>
      <c r="G50" s="0" t="n">
        <v>-0.387869561078113</v>
      </c>
      <c r="H50" s="0" t="n">
        <v>0.0209997996040983</v>
      </c>
      <c r="I50" s="0" t="n">
        <v>-0.648308678665003</v>
      </c>
      <c r="J50" s="0" t="n">
        <v>-1.08917541662853</v>
      </c>
      <c r="K50" s="0" t="n">
        <v>-0.296458755821073</v>
      </c>
      <c r="L50" s="0" t="n">
        <v>-0.413473940852453</v>
      </c>
      <c r="M50" s="0" t="n">
        <v>-0.403541645284832</v>
      </c>
      <c r="N50" s="0" t="n">
        <v>2.85613685168394</v>
      </c>
      <c r="O50" s="0" t="n">
        <v>2.85816196482072</v>
      </c>
      <c r="P50" s="0" t="n">
        <v>0.397146550740085</v>
      </c>
      <c r="Q50" s="0" t="n">
        <v>0.735367423814677</v>
      </c>
      <c r="R50" s="0" t="n">
        <v>1.3911396181198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0.451278609191671</v>
      </c>
      <c r="AJ50" s="0" t="n">
        <v>0.333333333333333</v>
      </c>
    </row>
    <row r="51" customFormat="false" ht="15" hidden="false" customHeight="false" outlineLevel="0" collapsed="false">
      <c r="A51" s="0" t="s">
        <v>85</v>
      </c>
      <c r="B51" s="0" t="n">
        <v>1</v>
      </c>
      <c r="C51" s="0" t="n">
        <v>1.40561366958491</v>
      </c>
      <c r="D51" s="0" t="n">
        <v>0.0506915866352451</v>
      </c>
      <c r="E51" s="0" t="n">
        <v>1.66228792826932</v>
      </c>
      <c r="F51" s="0" t="n">
        <v>0.7666179806981</v>
      </c>
      <c r="G51" s="0" t="n">
        <v>-0.607221414097474</v>
      </c>
      <c r="H51" s="0" t="n">
        <v>-0.370162384589431</v>
      </c>
      <c r="I51" s="0" t="n">
        <v>-0.634089808983224</v>
      </c>
      <c r="J51" s="0" t="n">
        <v>-0.202024850697946</v>
      </c>
      <c r="K51" s="0" t="n">
        <v>-0.367128316611303</v>
      </c>
      <c r="L51" s="0" t="n">
        <v>0.439498992474631</v>
      </c>
      <c r="M51" s="0" t="n">
        <v>-0.78225248148892</v>
      </c>
      <c r="N51" s="0" t="n">
        <v>1.47817806720843</v>
      </c>
      <c r="O51" s="0" t="n">
        <v>1.72856254888275</v>
      </c>
      <c r="P51" s="0" t="n">
        <v>1.71670484712952</v>
      </c>
      <c r="Q51" s="0" t="n">
        <v>1.59461514519639</v>
      </c>
      <c r="R51" s="0" t="n">
        <v>0.707674436713919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1</v>
      </c>
      <c r="Y51" s="0" t="n">
        <v>0</v>
      </c>
      <c r="Z51" s="0" t="n">
        <v>0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</row>
    <row r="52" customFormat="false" ht="15" hidden="false" customHeight="false" outlineLevel="0" collapsed="false">
      <c r="A52" s="0" t="s">
        <v>86</v>
      </c>
      <c r="B52" s="0" t="n">
        <v>1</v>
      </c>
      <c r="C52" s="0" t="n">
        <v>1.13022967383329</v>
      </c>
      <c r="D52" s="0" t="n">
        <v>0.132556860161084</v>
      </c>
      <c r="E52" s="0" t="n">
        <v>1.48375462404123</v>
      </c>
      <c r="F52" s="0" t="n">
        <v>0.419263756712961</v>
      </c>
      <c r="G52" s="0" t="n">
        <v>-0.656764722062315</v>
      </c>
      <c r="H52" s="0" t="n">
        <v>-0.458427102552401</v>
      </c>
      <c r="I52" s="0" t="n">
        <v>-0.384204314664342</v>
      </c>
      <c r="J52" s="0" t="n">
        <v>-0.0629967741034146</v>
      </c>
      <c r="K52" s="0" t="n">
        <v>-0.691040229062872</v>
      </c>
      <c r="L52" s="0" t="n">
        <v>-0.707916993431191</v>
      </c>
      <c r="M52" s="0" t="n">
        <v>-0.961742816415232</v>
      </c>
      <c r="N52" s="0" t="n">
        <v>1.09721540892964</v>
      </c>
      <c r="O52" s="0" t="n">
        <v>0.860190009710549</v>
      </c>
      <c r="P52" s="0" t="n">
        <v>2.11339848255611</v>
      </c>
      <c r="Q52" s="0" t="n">
        <v>1.02259536009933</v>
      </c>
      <c r="R52" s="0" t="n">
        <v>0.335730006437169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</row>
    <row r="53" customFormat="false" ht="15" hidden="false" customHeight="false" outlineLevel="0" collapsed="false">
      <c r="A53" s="0" t="s">
        <v>87</v>
      </c>
      <c r="B53" s="0" t="n">
        <v>1</v>
      </c>
      <c r="C53" s="0" t="n">
        <v>1.15627657249408</v>
      </c>
      <c r="D53" s="0" t="n">
        <v>0.320732385014282</v>
      </c>
      <c r="E53" s="0" t="n">
        <v>1.66869331666033</v>
      </c>
      <c r="F53" s="0" t="n">
        <v>0.180927393168085</v>
      </c>
      <c r="G53" s="0" t="n">
        <v>-0.756188053055847</v>
      </c>
      <c r="H53" s="0" t="n">
        <v>-0.63371932485339</v>
      </c>
      <c r="I53" s="0" t="n">
        <v>-0.135322192254958</v>
      </c>
      <c r="J53" s="0" t="n">
        <v>-0.418928605763894</v>
      </c>
      <c r="K53" s="0" t="n">
        <v>0.514561886310609</v>
      </c>
      <c r="L53" s="0" t="n">
        <v>-0.209782258510528</v>
      </c>
      <c r="M53" s="0" t="n">
        <v>1.70552779581727</v>
      </c>
      <c r="N53" s="0" t="n">
        <v>1.40913629095079</v>
      </c>
      <c r="O53" s="0" t="n">
        <v>2.13826859779685</v>
      </c>
      <c r="P53" s="0" t="n">
        <v>0.691269820265481</v>
      </c>
      <c r="Q53" s="0" t="n">
        <v>0.0016944222758279</v>
      </c>
      <c r="R53" s="0" t="n">
        <v>1.38862176119595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1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0.496271907078405</v>
      </c>
      <c r="AJ53" s="0" t="n">
        <v>0.333333333333333</v>
      </c>
    </row>
    <row r="54" customFormat="false" ht="15" hidden="false" customHeight="false" outlineLevel="0" collapsed="false">
      <c r="A54" s="0" t="s">
        <v>88</v>
      </c>
      <c r="B54" s="0" t="n">
        <v>1</v>
      </c>
      <c r="C54" s="0" t="n">
        <v>1.42890810197455</v>
      </c>
      <c r="D54" s="0" t="n">
        <v>0.307881691813505</v>
      </c>
      <c r="E54" s="0" t="n">
        <v>1.52490165025715</v>
      </c>
      <c r="F54" s="0" t="n">
        <v>0.393641713201365</v>
      </c>
      <c r="G54" s="0" t="n">
        <v>-0.503441270528382</v>
      </c>
      <c r="H54" s="0" t="n">
        <v>-0.196063326201645</v>
      </c>
      <c r="I54" s="0" t="n">
        <v>-0.0117556274079627</v>
      </c>
      <c r="J54" s="0" t="n">
        <v>-0.0845067298167797</v>
      </c>
      <c r="K54" s="0" t="n">
        <v>-0.384530798344455</v>
      </c>
      <c r="L54" s="0" t="n">
        <v>1.59140001914626</v>
      </c>
      <c r="M54" s="0" t="n">
        <v>-0.0130240209308605</v>
      </c>
      <c r="N54" s="0" t="n">
        <v>1.40441021698077</v>
      </c>
      <c r="O54" s="0" t="n">
        <v>1.50422897087633</v>
      </c>
      <c r="P54" s="0" t="n">
        <v>0.785807531504314</v>
      </c>
      <c r="Q54" s="0" t="n">
        <v>1.30456902701782</v>
      </c>
      <c r="R54" s="0" t="n">
        <v>1.70277620656036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1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1.24630986004104</v>
      </c>
      <c r="AJ54" s="0" t="n">
        <v>0.666666666666667</v>
      </c>
    </row>
    <row r="55" customFormat="false" ht="15" hidden="false" customHeight="false" outlineLevel="0" collapsed="false">
      <c r="A55" s="0" t="s">
        <v>89</v>
      </c>
      <c r="B55" s="0" t="n">
        <v>1</v>
      </c>
      <c r="C55" s="0" t="n">
        <v>1.13347971109367</v>
      </c>
      <c r="D55" s="0" t="n">
        <v>1.1916228605505</v>
      </c>
      <c r="E55" s="0" t="n">
        <v>0.979539291278234</v>
      </c>
      <c r="F55" s="0" t="n">
        <v>-0.646142581187171</v>
      </c>
      <c r="G55" s="0" t="n">
        <v>-0.281404165060416</v>
      </c>
      <c r="H55" s="0" t="n">
        <v>0.0959027985517176</v>
      </c>
      <c r="I55" s="0" t="n">
        <v>1.18727981705758</v>
      </c>
      <c r="J55" s="0" t="n">
        <v>-0.126817406805514</v>
      </c>
      <c r="K55" s="0" t="n">
        <v>0.105992430303113</v>
      </c>
      <c r="L55" s="0" t="n">
        <v>-0.403197333801268</v>
      </c>
      <c r="M55" s="0" t="n">
        <v>-0.847515416745882</v>
      </c>
      <c r="N55" s="0" t="n">
        <v>1.14879125964591</v>
      </c>
      <c r="O55" s="0" t="n">
        <v>1.18021121955067</v>
      </c>
      <c r="P55" s="0" t="n">
        <v>0.00280484555244672</v>
      </c>
      <c r="Q55" s="0" t="n">
        <v>-0.46345154882235</v>
      </c>
      <c r="R55" s="0" t="n">
        <v>0.128971889962377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0.690468524742943</v>
      </c>
      <c r="AJ55" s="0" t="n">
        <v>0</v>
      </c>
    </row>
    <row r="56" customFormat="false" ht="15" hidden="false" customHeight="false" outlineLevel="0" collapsed="false">
      <c r="A56" s="0" t="s">
        <v>90</v>
      </c>
      <c r="B56" s="0" t="n">
        <v>1</v>
      </c>
      <c r="C56" s="0" t="n">
        <v>0.110373206437486</v>
      </c>
      <c r="D56" s="0" t="n">
        <v>1.26561371477252</v>
      </c>
      <c r="E56" s="0" t="n">
        <v>0.921033018469632</v>
      </c>
      <c r="F56" s="0" t="n">
        <v>-1.22479203734776</v>
      </c>
      <c r="G56" s="0" t="n">
        <v>-0.953358643080158</v>
      </c>
      <c r="H56" s="0" t="n">
        <v>-0.892897557979233</v>
      </c>
      <c r="I56" s="0" t="n">
        <v>1.31131183730128</v>
      </c>
      <c r="J56" s="0" t="n">
        <v>-1.13491736583521</v>
      </c>
      <c r="K56" s="0" t="n">
        <v>2.98457078857102</v>
      </c>
      <c r="L56" s="0" t="n">
        <v>1.00251067605788</v>
      </c>
      <c r="M56" s="0" t="n">
        <v>0.381902357564058</v>
      </c>
      <c r="N56" s="0" t="n">
        <v>0.866459710306613</v>
      </c>
      <c r="O56" s="0" t="n">
        <v>-0.141527416345114</v>
      </c>
      <c r="P56" s="0" t="n">
        <v>0.95144631335961</v>
      </c>
      <c r="Q56" s="0" t="n">
        <v>0.383759377427012</v>
      </c>
      <c r="R56" s="0" t="n">
        <v>1.99517033085704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1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0.0933360026035977</v>
      </c>
      <c r="AJ56" s="0" t="n">
        <v>0</v>
      </c>
    </row>
    <row r="57" customFormat="false" ht="15" hidden="false" customHeight="false" outlineLevel="0" collapsed="false">
      <c r="A57" s="0" t="s">
        <v>91</v>
      </c>
      <c r="B57" s="0" t="n">
        <v>1</v>
      </c>
      <c r="C57" s="0" t="n">
        <v>1.26768160812697</v>
      </c>
      <c r="D57" s="0" t="n">
        <v>1.30005918212908</v>
      </c>
      <c r="E57" s="0" t="n">
        <v>0.936047947639127</v>
      </c>
      <c r="F57" s="0" t="n">
        <v>-0.64958052094338</v>
      </c>
      <c r="G57" s="0" t="n">
        <v>-0.14982111391411</v>
      </c>
      <c r="H57" s="0" t="n">
        <v>0.281516460489402</v>
      </c>
      <c r="I57" s="0" t="n">
        <v>0.842673233523991</v>
      </c>
      <c r="J57" s="0" t="n">
        <v>0.873757071362941</v>
      </c>
      <c r="K57" s="0" t="n">
        <v>-1.28726357893208</v>
      </c>
      <c r="L57" s="0" t="n">
        <v>-0.96609759718744</v>
      </c>
      <c r="M57" s="0" t="n">
        <v>-1.88698561134885</v>
      </c>
      <c r="N57" s="0" t="n">
        <v>0.610224308540888</v>
      </c>
      <c r="O57" s="0" t="n">
        <v>3</v>
      </c>
      <c r="P57" s="0" t="n">
        <v>1.59322690928964</v>
      </c>
      <c r="Q57" s="0" t="n">
        <v>2.64374279278806</v>
      </c>
      <c r="R57" s="0" t="n">
        <v>-0.154457788554679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</row>
    <row r="58" customFormat="false" ht="15" hidden="false" customHeight="false" outlineLevel="0" collapsed="false">
      <c r="A58" s="0" t="s">
        <v>92</v>
      </c>
      <c r="B58" s="0" t="n">
        <v>1</v>
      </c>
      <c r="C58" s="0" t="n">
        <v>1.42225078189567</v>
      </c>
      <c r="D58" s="0" t="n">
        <v>1.41399642996991</v>
      </c>
      <c r="E58" s="0" t="n">
        <v>0.771607341305375</v>
      </c>
      <c r="F58" s="0" t="n">
        <v>-0.646249674745651</v>
      </c>
      <c r="G58" s="0" t="n">
        <v>0.118456068050927</v>
      </c>
      <c r="H58" s="0" t="n">
        <v>0.62025556727331</v>
      </c>
      <c r="I58" s="0" t="n">
        <v>1.20712960845044</v>
      </c>
      <c r="J58" s="0" t="n">
        <v>-1.01313141376532</v>
      </c>
      <c r="K58" s="0" t="n">
        <v>-0.569545314887457</v>
      </c>
      <c r="L58" s="0" t="n">
        <v>0.133299098703869</v>
      </c>
      <c r="M58" s="0" t="n">
        <v>1.53599217165946</v>
      </c>
      <c r="N58" s="0" t="n">
        <v>2.29681627140623</v>
      </c>
      <c r="O58" s="0" t="n">
        <v>0.370491276537617</v>
      </c>
      <c r="P58" s="0" t="n">
        <v>-0.525774086748076</v>
      </c>
      <c r="Q58" s="0" t="n">
        <v>-0.246512771031397</v>
      </c>
      <c r="R58" s="0" t="n">
        <v>1.50569446902377</v>
      </c>
      <c r="S58" s="0" t="n">
        <v>0</v>
      </c>
      <c r="T58" s="0" t="n">
        <v>1</v>
      </c>
      <c r="U58" s="0" t="n">
        <v>0</v>
      </c>
      <c r="V58" s="0" t="n">
        <v>0</v>
      </c>
      <c r="W58" s="0" t="n">
        <v>0</v>
      </c>
      <c r="X58" s="0" t="n">
        <v>1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0.452188352537999</v>
      </c>
      <c r="AJ58" s="0" t="n">
        <v>0.333333333333333</v>
      </c>
    </row>
    <row r="59" customFormat="false" ht="15" hidden="false" customHeight="false" outlineLevel="0" collapsed="false">
      <c r="A59" s="0" t="s">
        <v>93</v>
      </c>
      <c r="B59" s="0" t="n">
        <v>1</v>
      </c>
      <c r="C59" s="0" t="n">
        <v>1.36891218429382</v>
      </c>
      <c r="D59" s="0" t="n">
        <v>1.27158349326461</v>
      </c>
      <c r="E59" s="0" t="n">
        <v>0.712317141868718</v>
      </c>
      <c r="F59" s="0" t="n">
        <v>-0.578267638440638</v>
      </c>
      <c r="G59" s="0" t="n">
        <v>0.139886604051105</v>
      </c>
      <c r="H59" s="0" t="n">
        <v>0.630162279708735</v>
      </c>
      <c r="I59" s="0" t="n">
        <v>1.16286760500911</v>
      </c>
      <c r="J59" s="0" t="n">
        <v>-0.0304908325103868</v>
      </c>
      <c r="K59" s="0" t="n">
        <v>-0.828832073416848</v>
      </c>
      <c r="L59" s="0" t="n">
        <v>0.175667213475288</v>
      </c>
      <c r="M59" s="0" t="n">
        <v>-0.361563998500621</v>
      </c>
      <c r="N59" s="0" t="n">
        <v>1.30331333031779</v>
      </c>
      <c r="O59" s="0" t="n">
        <v>2.65720966558439</v>
      </c>
      <c r="P59" s="0" t="n">
        <v>0.694523401754708</v>
      </c>
      <c r="Q59" s="0" t="n">
        <v>0.912819128251253</v>
      </c>
      <c r="R59" s="0" t="n">
        <v>3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0.210191841066674</v>
      </c>
      <c r="AJ59" s="0" t="n">
        <v>0</v>
      </c>
    </row>
    <row r="60" customFormat="false" ht="15" hidden="false" customHeight="false" outlineLevel="0" collapsed="false">
      <c r="A60" s="0" t="s">
        <v>94</v>
      </c>
      <c r="B60" s="0" t="n">
        <v>1</v>
      </c>
      <c r="C60" s="0" t="n">
        <v>0.0393398046247865</v>
      </c>
      <c r="D60" s="0" t="n">
        <v>1.35027704828164</v>
      </c>
      <c r="E60" s="0" t="n">
        <v>0.729859564300481</v>
      </c>
      <c r="F60" s="0" t="n">
        <v>-1.30204250772731</v>
      </c>
      <c r="G60" s="0" t="n">
        <v>-0.871447422399134</v>
      </c>
      <c r="H60" s="0" t="n">
        <v>-0.757081466425801</v>
      </c>
      <c r="I60" s="0" t="n">
        <v>0.403812262920417</v>
      </c>
      <c r="J60" s="0" t="n">
        <v>-0.83247464471754</v>
      </c>
      <c r="K60" s="0" t="n">
        <v>1.85650514723675</v>
      </c>
      <c r="L60" s="0" t="n">
        <v>1.02564083821977</v>
      </c>
      <c r="M60" s="0" t="n">
        <v>-0.457176028720051</v>
      </c>
      <c r="N60" s="0" t="n">
        <v>0.538100310128883</v>
      </c>
      <c r="O60" s="0" t="n">
        <v>2.43109974761467</v>
      </c>
      <c r="P60" s="0" t="n">
        <v>0.493883440717849</v>
      </c>
      <c r="Q60" s="0" t="n">
        <v>-0.379856923983529</v>
      </c>
      <c r="R60" s="0" t="n">
        <v>2.4583704628119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1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</row>
    <row r="61" customFormat="false" ht="15" hidden="false" customHeight="false" outlineLevel="0" collapsed="false">
      <c r="A61" s="0" t="s">
        <v>95</v>
      </c>
      <c r="B61" s="0" t="n">
        <v>1</v>
      </c>
      <c r="C61" s="0" t="n">
        <v>0.98351823204737</v>
      </c>
      <c r="D61" s="0" t="n">
        <v>1.316168940131</v>
      </c>
      <c r="E61" s="0" t="n">
        <v>0.734276975671889</v>
      </c>
      <c r="F61" s="0" t="n">
        <v>-0.804983992393451</v>
      </c>
      <c r="G61" s="0" t="n">
        <v>-0.170361869825865</v>
      </c>
      <c r="H61" s="0" t="n">
        <v>0.209611295335441</v>
      </c>
      <c r="I61" s="0" t="n">
        <v>0.118504418234189</v>
      </c>
      <c r="J61" s="0" t="n">
        <v>0.895328680399038</v>
      </c>
      <c r="K61" s="0" t="n">
        <v>-1.2035324929738</v>
      </c>
      <c r="L61" s="0" t="n">
        <v>-0.580116320177495</v>
      </c>
      <c r="M61" s="0" t="n">
        <v>0.0728614677952914</v>
      </c>
      <c r="N61" s="0" t="n">
        <v>0.362619128807367</v>
      </c>
      <c r="O61" s="0" t="n">
        <v>1.77641195647978</v>
      </c>
      <c r="P61" s="0" t="n">
        <v>-0.0239339211049993</v>
      </c>
      <c r="Q61" s="0" t="n">
        <v>0.058581582739179</v>
      </c>
      <c r="R61" s="0" t="n">
        <v>2.11587524158438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1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</row>
    <row r="62" customFormat="false" ht="15" hidden="false" customHeight="false" outlineLevel="0" collapsed="false">
      <c r="A62" s="0" t="s">
        <v>96</v>
      </c>
      <c r="B62" s="0" t="n">
        <v>1</v>
      </c>
      <c r="C62" s="0" t="n">
        <v>1.14912691416285</v>
      </c>
      <c r="D62" s="0" t="n">
        <v>0.916759412005406</v>
      </c>
      <c r="E62" s="0" t="n">
        <v>0.660833061638181</v>
      </c>
      <c r="F62" s="0" t="n">
        <v>-0.431309750678186</v>
      </c>
      <c r="G62" s="0" t="n">
        <v>0.0267878133746706</v>
      </c>
      <c r="H62" s="0" t="n">
        <v>0.460272154712618</v>
      </c>
      <c r="I62" s="0" t="n">
        <v>-0.202671472100424</v>
      </c>
      <c r="J62" s="0" t="n">
        <v>0.704250197786707</v>
      </c>
      <c r="K62" s="0" t="n">
        <v>-1.04769167998663</v>
      </c>
      <c r="L62" s="0" t="n">
        <v>-2.78002107286238</v>
      </c>
      <c r="M62" s="0" t="n">
        <v>-0.744484284503674</v>
      </c>
      <c r="N62" s="0" t="n">
        <v>0.6077585308174</v>
      </c>
      <c r="O62" s="0" t="n">
        <v>-0.857286260230104</v>
      </c>
      <c r="P62" s="0" t="n">
        <v>-0.30535647063271</v>
      </c>
      <c r="Q62" s="0" t="n">
        <v>0.0585371904686785</v>
      </c>
      <c r="R62" s="0" t="n">
        <v>0.0718864838477487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</row>
    <row r="63" customFormat="false" ht="15" hidden="false" customHeight="false" outlineLevel="0" collapsed="false">
      <c r="A63" s="0" t="s">
        <v>97</v>
      </c>
      <c r="B63" s="0" t="n">
        <v>1</v>
      </c>
      <c r="C63" s="0" t="n">
        <v>1.43693914277506</v>
      </c>
      <c r="D63" s="0" t="n">
        <v>2.01514993242635</v>
      </c>
      <c r="E63" s="0" t="n">
        <v>1.42458251236385</v>
      </c>
      <c r="F63" s="0" t="n">
        <v>-0.970866755910424</v>
      </c>
      <c r="G63" s="0" t="n">
        <v>-0.428682063299774</v>
      </c>
      <c r="H63" s="0" t="n">
        <v>-0.0781751004806136</v>
      </c>
      <c r="I63" s="0" t="n">
        <v>1.2245172280412</v>
      </c>
      <c r="J63" s="0" t="n">
        <v>-0.429023798039029</v>
      </c>
      <c r="K63" s="0" t="n">
        <v>-0.453197053703767</v>
      </c>
      <c r="L63" s="0" t="n">
        <v>0.355684123313816</v>
      </c>
      <c r="M63" s="0" t="n">
        <v>-3</v>
      </c>
      <c r="N63" s="0" t="n">
        <v>1.70934472878537</v>
      </c>
      <c r="O63" s="0" t="n">
        <v>0.997391310616593</v>
      </c>
      <c r="P63" s="0" t="n">
        <v>3</v>
      </c>
      <c r="Q63" s="0" t="n">
        <v>2.62787672189207</v>
      </c>
      <c r="R63" s="0" t="n">
        <v>1.43977767173578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1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0.416921085996158</v>
      </c>
      <c r="AJ63" s="0" t="n">
        <v>0.333333333333333</v>
      </c>
    </row>
    <row r="64" customFormat="false" ht="15" hidden="false" customHeight="false" outlineLevel="0" collapsed="false">
      <c r="A64" s="0" t="s">
        <v>98</v>
      </c>
      <c r="B64" s="0" t="n">
        <v>1</v>
      </c>
      <c r="C64" s="0" t="n">
        <v>0.85928713820702</v>
      </c>
      <c r="D64" s="0" t="n">
        <v>1.5957378735056</v>
      </c>
      <c r="E64" s="0" t="n">
        <v>1.43067744297423</v>
      </c>
      <c r="F64" s="0" t="n">
        <v>-1.02278596908919</v>
      </c>
      <c r="G64" s="0" t="n">
        <v>-0.788792919791963</v>
      </c>
      <c r="H64" s="0" t="n">
        <v>-0.679215029108082</v>
      </c>
      <c r="I64" s="0" t="n">
        <v>1.08676671725744</v>
      </c>
      <c r="J64" s="0" t="n">
        <v>-0.514419938328179</v>
      </c>
      <c r="K64" s="0" t="n">
        <v>-0.376314055270043</v>
      </c>
      <c r="L64" s="0" t="n">
        <v>0.845757909549911</v>
      </c>
      <c r="M64" s="0" t="n">
        <v>0.0736648167190646</v>
      </c>
      <c r="N64" s="0" t="n">
        <v>1.17920251823559</v>
      </c>
      <c r="O64" s="0" t="n">
        <v>2.46255797229875</v>
      </c>
      <c r="P64" s="0" t="n">
        <v>-0.267993825420783</v>
      </c>
      <c r="Q64" s="0" t="n">
        <v>-0.482953839940485</v>
      </c>
      <c r="R64" s="0" t="n">
        <v>1.3170151476998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1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</row>
    <row r="65" customFormat="false" ht="15" hidden="false" customHeight="false" outlineLevel="0" collapsed="false">
      <c r="A65" s="0" t="s">
        <v>99</v>
      </c>
      <c r="B65" s="0" t="n">
        <v>1</v>
      </c>
      <c r="C65" s="0" t="n">
        <v>1.50240306948241</v>
      </c>
      <c r="D65" s="0" t="n">
        <v>1.5578416620241</v>
      </c>
      <c r="E65" s="0" t="n">
        <v>1.44691770831564</v>
      </c>
      <c r="F65" s="0" t="n">
        <v>-0.697076442855476</v>
      </c>
      <c r="G65" s="0" t="n">
        <v>-0.404399105083203</v>
      </c>
      <c r="H65" s="0" t="n">
        <v>-0.0352224529772633</v>
      </c>
      <c r="I65" s="0" t="n">
        <v>1.09932925800849</v>
      </c>
      <c r="J65" s="0" t="n">
        <v>0.986648248774628</v>
      </c>
      <c r="K65" s="0" t="n">
        <v>-0.953529353049341</v>
      </c>
      <c r="L65" s="0" t="n">
        <v>-3</v>
      </c>
      <c r="M65" s="0" t="n">
        <v>-0.637959688457249</v>
      </c>
      <c r="N65" s="0" t="n">
        <v>0.739061194593101</v>
      </c>
      <c r="O65" s="0" t="n">
        <v>1.96683433679928</v>
      </c>
      <c r="P65" s="0" t="n">
        <v>0.704369262845589</v>
      </c>
      <c r="Q65" s="0" t="n">
        <v>1.2627058011534</v>
      </c>
      <c r="R65" s="0" t="n">
        <v>3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</row>
    <row r="66" customFormat="false" ht="15" hidden="false" customHeight="false" outlineLevel="0" collapsed="false">
      <c r="A66" s="0" t="s">
        <v>100</v>
      </c>
      <c r="B66" s="0" t="n">
        <v>1</v>
      </c>
      <c r="C66" s="0" t="n">
        <v>1.59980674972241</v>
      </c>
      <c r="D66" s="0" t="n">
        <v>1.4250908894364</v>
      </c>
      <c r="E66" s="0" t="n">
        <v>1.47207703441024</v>
      </c>
      <c r="F66" s="0" t="n">
        <v>-0.565692044527503</v>
      </c>
      <c r="G66" s="0" t="n">
        <v>-0.362944160876071</v>
      </c>
      <c r="H66" s="0" t="n">
        <v>0.0375087656798837</v>
      </c>
      <c r="I66" s="0" t="n">
        <v>-0.286478528624989</v>
      </c>
      <c r="J66" s="0" t="n">
        <v>-0.461797169710016</v>
      </c>
      <c r="K66" s="0" t="n">
        <v>1.12637436797601</v>
      </c>
      <c r="L66" s="0" t="n">
        <v>-0.872851141954704</v>
      </c>
      <c r="M66" s="0" t="n">
        <v>-1.259297826909</v>
      </c>
      <c r="N66" s="0" t="n">
        <v>1.90989465029567</v>
      </c>
      <c r="O66" s="0" t="n">
        <v>1.47468016817269</v>
      </c>
      <c r="P66" s="0" t="n">
        <v>1.87897550428931</v>
      </c>
      <c r="Q66" s="0" t="n">
        <v>2.0029103330675</v>
      </c>
      <c r="R66" s="0" t="n">
        <v>3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1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</row>
    <row r="67" customFormat="false" ht="15" hidden="false" customHeight="false" outlineLevel="0" collapsed="false">
      <c r="A67" s="0" t="s">
        <v>101</v>
      </c>
      <c r="B67" s="0" t="n">
        <v>1</v>
      </c>
      <c r="C67" s="0" t="n">
        <v>1.57926280435753</v>
      </c>
      <c r="D67" s="0" t="n">
        <v>1.48937847843919</v>
      </c>
      <c r="E67" s="0" t="n">
        <v>1.41366995468457</v>
      </c>
      <c r="F67" s="0" t="n">
        <v>-0.617607252322261</v>
      </c>
      <c r="G67" s="0" t="n">
        <v>-0.332834102686957</v>
      </c>
      <c r="H67" s="0" t="n">
        <v>0.0801947603711885</v>
      </c>
      <c r="I67" s="0" t="n">
        <v>-0.508244951321207</v>
      </c>
      <c r="J67" s="0" t="n">
        <v>-0.230407805024684</v>
      </c>
      <c r="K67" s="0" t="n">
        <v>-0.122932382942803</v>
      </c>
      <c r="L67" s="0" t="n">
        <v>-0.352924816292564</v>
      </c>
      <c r="M67" s="0" t="n">
        <v>-0.159203647444723</v>
      </c>
      <c r="N67" s="0" t="n">
        <v>1.67585124804133</v>
      </c>
      <c r="O67" s="0" t="n">
        <v>1.81478062798701</v>
      </c>
      <c r="P67" s="0" t="n">
        <v>-0.0894091670620927</v>
      </c>
      <c r="Q67" s="0" t="n">
        <v>0.0709997822356059</v>
      </c>
      <c r="R67" s="0" t="n">
        <v>0.854881969556657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1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0.110300075852344</v>
      </c>
      <c r="AJ67" s="0" t="n">
        <v>0.333333333333333</v>
      </c>
    </row>
    <row r="68" customFormat="false" ht="15" hidden="false" customHeight="false" outlineLevel="0" collapsed="false">
      <c r="A68" s="0" t="s">
        <v>102</v>
      </c>
      <c r="B68" s="0" t="n">
        <v>1</v>
      </c>
      <c r="C68" s="0" t="n">
        <v>1.37458121517882</v>
      </c>
      <c r="D68" s="0" t="n">
        <v>1.36087631776501</v>
      </c>
      <c r="E68" s="0" t="n">
        <v>1.41780477026589</v>
      </c>
      <c r="F68" s="0" t="n">
        <v>-0.635508185143829</v>
      </c>
      <c r="G68" s="0" t="n">
        <v>-0.462359519353203</v>
      </c>
      <c r="H68" s="0" t="n">
        <v>-0.134932350245686</v>
      </c>
      <c r="I68" s="0" t="n">
        <v>-0.578964245893013</v>
      </c>
      <c r="J68" s="0" t="n">
        <v>-0.190732113285603</v>
      </c>
      <c r="K68" s="0" t="n">
        <v>0.677001802382191</v>
      </c>
      <c r="L68" s="0" t="n">
        <v>1.1947529535386</v>
      </c>
      <c r="M68" s="0" t="n">
        <v>-0.629201517854593</v>
      </c>
      <c r="N68" s="0" t="n">
        <v>1.43790369772481</v>
      </c>
      <c r="O68" s="0" t="n">
        <v>-0.0545813018634312</v>
      </c>
      <c r="P68" s="0" t="n">
        <v>-0.419410176304429</v>
      </c>
      <c r="Q68" s="0" t="n">
        <v>-0.308945838277643</v>
      </c>
      <c r="R68" s="0" t="n">
        <v>1.10216423879558</v>
      </c>
      <c r="S68" s="0" t="n">
        <v>0</v>
      </c>
      <c r="T68" s="0" t="n">
        <v>1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</row>
    <row r="69" customFormat="false" ht="15" hidden="false" customHeight="false" outlineLevel="0" collapsed="false">
      <c r="A69" s="0" t="s">
        <v>103</v>
      </c>
      <c r="B69" s="0" t="n">
        <v>1</v>
      </c>
      <c r="C69" s="0" t="n">
        <v>1.08254527965989</v>
      </c>
      <c r="D69" s="0" t="n">
        <v>1.49477413417048</v>
      </c>
      <c r="E69" s="0" t="n">
        <v>1.45471903257044</v>
      </c>
      <c r="F69" s="0" t="n">
        <v>-0.861608206753983</v>
      </c>
      <c r="G69" s="0" t="n">
        <v>-0.667012292707769</v>
      </c>
      <c r="H69" s="0" t="n">
        <v>-0.475763441918357</v>
      </c>
      <c r="I69" s="0" t="n">
        <v>-0.341015581874847</v>
      </c>
      <c r="J69" s="0" t="n">
        <v>-0.199900738746424</v>
      </c>
      <c r="K69" s="0" t="n">
        <v>0.385536063639924</v>
      </c>
      <c r="L69" s="0" t="n">
        <v>0.617960924209475</v>
      </c>
      <c r="M69" s="0" t="n">
        <v>-0.878839504222338</v>
      </c>
      <c r="N69" s="0" t="n">
        <v>1.15495570395463</v>
      </c>
      <c r="O69" s="0" t="n">
        <v>2.13219893428652</v>
      </c>
      <c r="P69" s="0" t="n">
        <v>0.119615837872911</v>
      </c>
      <c r="Q69" s="0" t="n">
        <v>-0.261623099247473</v>
      </c>
      <c r="R69" s="0" t="n">
        <v>1.47235303749226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1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0.507990383871096</v>
      </c>
      <c r="AJ69" s="0" t="n">
        <v>0.333333333333333</v>
      </c>
    </row>
    <row r="70" customFormat="false" ht="15" hidden="false" customHeight="false" outlineLevel="0" collapsed="false">
      <c r="A70" s="0" t="s">
        <v>104</v>
      </c>
      <c r="B70" s="0" t="n">
        <v>1</v>
      </c>
      <c r="C70" s="0" t="n">
        <v>0.427004362014701</v>
      </c>
      <c r="D70" s="0" t="n">
        <v>1.65171728256916</v>
      </c>
      <c r="E70" s="0" t="n">
        <v>1.34392360097756</v>
      </c>
      <c r="F70" s="0" t="n">
        <v>-1.25164765633339</v>
      </c>
      <c r="G70" s="0" t="n">
        <v>-1.00566089291303</v>
      </c>
      <c r="H70" s="0" t="n">
        <v>-1.02921481553275</v>
      </c>
      <c r="I70" s="0" t="n">
        <v>-0.999291730726313</v>
      </c>
      <c r="J70" s="0" t="n">
        <v>0.847265901019987</v>
      </c>
      <c r="K70" s="0" t="n">
        <v>0.706834864152324</v>
      </c>
      <c r="L70" s="0" t="n">
        <v>0.950073706888612</v>
      </c>
      <c r="M70" s="0" t="n">
        <v>-1.12978724633673</v>
      </c>
      <c r="N70" s="0" t="n">
        <v>-0.0762893059733791</v>
      </c>
      <c r="O70" s="0" t="n">
        <v>-0.253967959185181</v>
      </c>
      <c r="P70" s="0" t="n">
        <v>-0.442711706781995</v>
      </c>
      <c r="Q70" s="0" t="n">
        <v>-0.564527272886819</v>
      </c>
      <c r="R70" s="0" t="n">
        <v>1.04745979448199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0.0685077754241805</v>
      </c>
      <c r="AJ70" s="0" t="n">
        <v>0</v>
      </c>
    </row>
    <row r="71" customFormat="false" ht="15" hidden="false" customHeight="false" outlineLevel="0" collapsed="false">
      <c r="A71" s="0" t="s">
        <v>105</v>
      </c>
      <c r="B71" s="0" t="n">
        <v>1</v>
      </c>
      <c r="C71" s="0" t="n">
        <v>1.53625490320475</v>
      </c>
      <c r="D71" s="0" t="n">
        <v>0.241330999959493</v>
      </c>
      <c r="E71" s="0" t="n">
        <v>1.27867979968625</v>
      </c>
      <c r="F71" s="0" t="n">
        <v>0.566328379546944</v>
      </c>
      <c r="G71" s="0" t="n">
        <v>-0.256876725483333</v>
      </c>
      <c r="H71" s="0" t="n">
        <v>0.183453119056302</v>
      </c>
      <c r="I71" s="0" t="n">
        <v>-1.01369337340181</v>
      </c>
      <c r="J71" s="0" t="n">
        <v>-0.389558414130631</v>
      </c>
      <c r="K71" s="0" t="n">
        <v>-0.821979127880888</v>
      </c>
      <c r="L71" s="0" t="n">
        <v>-1.29167828081951</v>
      </c>
      <c r="M71" s="0" t="n">
        <v>1.00201556008166</v>
      </c>
      <c r="N71" s="0" t="n">
        <v>1.77571524584257</v>
      </c>
      <c r="O71" s="0" t="n">
        <v>0.70905279185846</v>
      </c>
      <c r="P71" s="0" t="n">
        <v>-0.513177093135289</v>
      </c>
      <c r="Q71" s="0" t="n">
        <v>-0.49319928811985</v>
      </c>
      <c r="R71" s="0" t="n">
        <v>1.33580921829199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1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0.0411229201803356</v>
      </c>
      <c r="AJ71" s="0" t="n">
        <v>0</v>
      </c>
    </row>
    <row r="72" customFormat="false" ht="15" hidden="false" customHeight="false" outlineLevel="0" collapsed="false">
      <c r="A72" s="0" t="s">
        <v>106</v>
      </c>
      <c r="B72" s="0" t="n">
        <v>1</v>
      </c>
      <c r="C72" s="0" t="n">
        <v>1.1507664072149</v>
      </c>
      <c r="D72" s="0" t="n">
        <v>0.292989767782672</v>
      </c>
      <c r="E72" s="0" t="n">
        <v>1.05917949989395</v>
      </c>
      <c r="F72" s="0" t="n">
        <v>0.212528254735998</v>
      </c>
      <c r="G72" s="0" t="n">
        <v>-0.335554288310371</v>
      </c>
      <c r="H72" s="0" t="n">
        <v>0.0266625425038617</v>
      </c>
      <c r="I72" s="0" t="n">
        <v>-0.0432880921536561</v>
      </c>
      <c r="J72" s="0" t="n">
        <v>-0.481976724938156</v>
      </c>
      <c r="K72" s="0" t="n">
        <v>0.384412235276987</v>
      </c>
      <c r="L72" s="0" t="n">
        <v>0.757297249396364</v>
      </c>
      <c r="M72" s="0" t="n">
        <v>0.218451354256455</v>
      </c>
      <c r="N72" s="0" t="n">
        <v>1.45824636394358</v>
      </c>
      <c r="O72" s="0" t="n">
        <v>0.555296784242746</v>
      </c>
      <c r="P72" s="0" t="n">
        <v>1.53583749471113</v>
      </c>
      <c r="Q72" s="0" t="n">
        <v>1.95558806052247</v>
      </c>
      <c r="R72" s="0" t="n">
        <v>2.62533843038871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</row>
    <row r="73" customFormat="false" ht="15" hidden="false" customHeight="false" outlineLevel="0" collapsed="false">
      <c r="A73" s="0" t="s">
        <v>107</v>
      </c>
      <c r="B73" s="0" t="n">
        <v>1</v>
      </c>
      <c r="C73" s="0" t="n">
        <v>0.211538824223294</v>
      </c>
      <c r="D73" s="0" t="n">
        <v>0.300369141478914</v>
      </c>
      <c r="E73" s="0" t="n">
        <v>0.955375858883713</v>
      </c>
      <c r="F73" s="0" t="n">
        <v>-0.475455609548366</v>
      </c>
      <c r="G73" s="0" t="n">
        <v>-0.905328537384745</v>
      </c>
      <c r="H73" s="0" t="n">
        <v>-0.826330829887508</v>
      </c>
      <c r="I73" s="0" t="n">
        <v>-0.404181151525385</v>
      </c>
      <c r="J73" s="0" t="n">
        <v>-1.43571078253896</v>
      </c>
      <c r="K73" s="0" t="n">
        <v>2.15065246285105</v>
      </c>
      <c r="L73" s="0" t="n">
        <v>0.704917558214058</v>
      </c>
      <c r="M73" s="0" t="n">
        <v>-0.572296303656422</v>
      </c>
      <c r="N73" s="0" t="n">
        <v>1.27906651603683</v>
      </c>
      <c r="O73" s="0" t="n">
        <v>0.928918996740194</v>
      </c>
      <c r="P73" s="0" t="n">
        <v>3</v>
      </c>
      <c r="Q73" s="0" t="n">
        <v>2.84615187101704</v>
      </c>
      <c r="R73" s="0" t="n">
        <v>2.64000873008159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1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</row>
    <row r="74" customFormat="false" ht="15" hidden="false" customHeight="false" outlineLevel="0" collapsed="false">
      <c r="A74" s="0" t="s">
        <v>108</v>
      </c>
      <c r="B74" s="0" t="n">
        <v>1</v>
      </c>
      <c r="C74" s="0" t="n">
        <v>0.491967246720978</v>
      </c>
      <c r="D74" s="0" t="n">
        <v>0.278237908293573</v>
      </c>
      <c r="E74" s="0" t="n">
        <v>0.970017004611278</v>
      </c>
      <c r="F74" s="0" t="n">
        <v>-0.24849187917927</v>
      </c>
      <c r="G74" s="0" t="n">
        <v>-0.719933765202218</v>
      </c>
      <c r="H74" s="0" t="n">
        <v>-0.553781007927479</v>
      </c>
      <c r="I74" s="0" t="n">
        <v>-0.287063900561985</v>
      </c>
      <c r="J74" s="0" t="n">
        <v>0.644807572116551</v>
      </c>
      <c r="K74" s="0" t="n">
        <v>0.369011809557386</v>
      </c>
      <c r="L74" s="0" t="n">
        <v>1.46080903488133</v>
      </c>
      <c r="M74" s="0" t="n">
        <v>-0.419664043656536</v>
      </c>
      <c r="N74" s="0" t="n">
        <v>0.0765889128828354</v>
      </c>
      <c r="O74" s="0" t="n">
        <v>-0.518890261279324</v>
      </c>
      <c r="P74" s="0" t="n">
        <v>-0.642906090005567</v>
      </c>
      <c r="Q74" s="0" t="n">
        <v>-0.425167761414953</v>
      </c>
      <c r="R74" s="0" t="n">
        <v>0.599478211930533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1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</row>
    <row r="75" customFormat="false" ht="15" hidden="false" customHeight="false" outlineLevel="0" collapsed="false">
      <c r="A75" s="0" t="s">
        <v>109</v>
      </c>
      <c r="B75" s="0" t="n">
        <v>1</v>
      </c>
      <c r="C75" s="0" t="n">
        <v>0.474005281048396</v>
      </c>
      <c r="D75" s="0" t="n">
        <v>0.231650780789309</v>
      </c>
      <c r="E75" s="0" t="n">
        <v>0.949313130395383</v>
      </c>
      <c r="F75" s="0" t="n">
        <v>-0.208993355525326</v>
      </c>
      <c r="G75" s="0" t="n">
        <v>-0.717432463846975</v>
      </c>
      <c r="H75" s="0" t="n">
        <v>-0.549638774788205</v>
      </c>
      <c r="I75" s="0" t="n">
        <v>-0.887667576234925</v>
      </c>
      <c r="J75" s="0" t="n">
        <v>-0.395296631014535</v>
      </c>
      <c r="K75" s="0" t="n">
        <v>1.16529023030398</v>
      </c>
      <c r="L75" s="0" t="n">
        <v>1.11348937084564</v>
      </c>
      <c r="M75" s="0" t="n">
        <v>-0.75236234343338</v>
      </c>
      <c r="N75" s="0" t="n">
        <v>0.68481408467638</v>
      </c>
      <c r="O75" s="0" t="n">
        <v>-0.573259263036976</v>
      </c>
      <c r="P75" s="0" t="n">
        <v>-0.581734960198374</v>
      </c>
      <c r="Q75" s="0" t="n">
        <v>-0.262351910356971</v>
      </c>
      <c r="R75" s="0" t="n">
        <v>0.600914917608275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</row>
    <row r="76" customFormat="false" ht="15" hidden="false" customHeight="false" outlineLevel="0" collapsed="false">
      <c r="A76" s="0" t="s">
        <v>110</v>
      </c>
      <c r="B76" s="0" t="n">
        <v>1</v>
      </c>
      <c r="C76" s="0" t="n">
        <v>-0.128036761250402</v>
      </c>
      <c r="D76" s="0" t="n">
        <v>0.185167973670349</v>
      </c>
      <c r="E76" s="0" t="n">
        <v>1.00318562630332</v>
      </c>
      <c r="F76" s="0" t="n">
        <v>-0.610935129789647</v>
      </c>
      <c r="G76" s="0" t="n">
        <v>-1.17134554735179</v>
      </c>
      <c r="H76" s="0" t="n">
        <v>-1.22798438297808</v>
      </c>
      <c r="I76" s="0" t="n">
        <v>-1.20417529898559</v>
      </c>
      <c r="J76" s="0" t="n">
        <v>-1.29099180467417</v>
      </c>
      <c r="K76" s="0" t="n">
        <v>1.67997239455282</v>
      </c>
      <c r="L76" s="0" t="n">
        <v>-0.510475267778765</v>
      </c>
      <c r="M76" s="0" t="n">
        <v>0.0187741561298955</v>
      </c>
      <c r="N76" s="0" t="n">
        <v>0.711526676680826</v>
      </c>
      <c r="O76" s="0" t="n">
        <v>0.914960136579902</v>
      </c>
      <c r="P76" s="0" t="n">
        <v>3</v>
      </c>
      <c r="Q76" s="0" t="n">
        <v>2.69363610028173</v>
      </c>
      <c r="R76" s="0" t="n">
        <v>1.5422843921613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</row>
    <row r="77" customFormat="false" ht="15" hidden="false" customHeight="false" outlineLevel="0" collapsed="false">
      <c r="A77" s="0" t="s">
        <v>111</v>
      </c>
      <c r="B77" s="0" t="n">
        <v>1</v>
      </c>
      <c r="C77" s="0" t="n">
        <v>0.295805235186701</v>
      </c>
      <c r="D77" s="0" t="n">
        <v>0.0480292051470045</v>
      </c>
      <c r="E77" s="0" t="n">
        <v>0.180639069655806</v>
      </c>
      <c r="F77" s="0" t="n">
        <v>-0.123426446015879</v>
      </c>
      <c r="G77" s="0" t="n">
        <v>-0.159765136068789</v>
      </c>
      <c r="H77" s="0" t="n">
        <v>0.106976221498517</v>
      </c>
      <c r="I77" s="0" t="n">
        <v>-0.124123961161823</v>
      </c>
      <c r="J77" s="0" t="n">
        <v>0.181710671959314</v>
      </c>
      <c r="K77" s="0" t="n">
        <v>0.139239873079865</v>
      </c>
      <c r="L77" s="0" t="n">
        <v>0.282110013219274</v>
      </c>
      <c r="M77" s="0" t="n">
        <v>0.191992973422428</v>
      </c>
      <c r="N77" s="0" t="n">
        <v>0.145630689140481</v>
      </c>
      <c r="O77" s="0" t="n">
        <v>0.354472067331365</v>
      </c>
      <c r="P77" s="0" t="n">
        <v>-0.463655049397091</v>
      </c>
      <c r="Q77" s="0" t="n">
        <v>-0.272059581442019</v>
      </c>
      <c r="R77" s="0" t="n">
        <v>0.958549866177798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1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</row>
    <row r="78" customFormat="false" ht="15" hidden="false" customHeight="false" outlineLevel="0" collapsed="false">
      <c r="A78" s="0" t="s">
        <v>112</v>
      </c>
      <c r="B78" s="0" t="n">
        <v>1</v>
      </c>
      <c r="C78" s="0" t="n">
        <v>-0.0829937725497608</v>
      </c>
      <c r="D78" s="0" t="n">
        <v>0.177570872248777</v>
      </c>
      <c r="E78" s="0" t="n">
        <v>0.338098120026526</v>
      </c>
      <c r="F78" s="0" t="n">
        <v>-0.569039581943319</v>
      </c>
      <c r="G78" s="0" t="n">
        <v>-0.650167612107436</v>
      </c>
      <c r="H78" s="0" t="n">
        <v>-0.454856805371891</v>
      </c>
      <c r="I78" s="0" t="n">
        <v>0.587983587044229</v>
      </c>
      <c r="J78" s="0" t="n">
        <v>-1.20897889395698</v>
      </c>
      <c r="K78" s="0" t="n">
        <v>0.400417672517124</v>
      </c>
      <c r="L78" s="0" t="n">
        <v>-0.634728359550835</v>
      </c>
      <c r="M78" s="0" t="n">
        <v>0.169782076885028</v>
      </c>
      <c r="N78" s="0" t="n">
        <v>0.696321047385987</v>
      </c>
      <c r="O78" s="0" t="n">
        <v>-0.722466650248243</v>
      </c>
      <c r="P78" s="0" t="n">
        <v>-0.653543295946164</v>
      </c>
      <c r="Q78" s="0" t="n">
        <v>-0.585715044420186</v>
      </c>
      <c r="R78" s="0" t="n">
        <v>0.670448019977453</v>
      </c>
      <c r="S78" s="0" t="n">
        <v>0</v>
      </c>
      <c r="T78" s="0" t="n">
        <v>1</v>
      </c>
      <c r="U78" s="0" t="n">
        <v>0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</row>
    <row r="79" customFormat="false" ht="15" hidden="false" customHeight="false" outlineLevel="0" collapsed="false">
      <c r="A79" s="0" t="s">
        <v>113</v>
      </c>
      <c r="B79" s="0" t="n">
        <v>1</v>
      </c>
      <c r="C79" s="0" t="n">
        <v>-0.534399447410582</v>
      </c>
      <c r="D79" s="0" t="n">
        <v>0.0208047377090402</v>
      </c>
      <c r="E79" s="0" t="n">
        <v>0.0513040220873226</v>
      </c>
      <c r="F79" s="0" t="n">
        <v>-0.765587876555203</v>
      </c>
      <c r="G79" s="0" t="n">
        <v>-0.786568118447378</v>
      </c>
      <c r="H79" s="0" t="n">
        <v>-0.605937498017529</v>
      </c>
      <c r="I79" s="0" t="n">
        <v>0.859009452292701</v>
      </c>
      <c r="J79" s="0" t="n">
        <v>-0.803093817722769</v>
      </c>
      <c r="K79" s="0" t="n">
        <v>2.86642250850697</v>
      </c>
      <c r="L79" s="0" t="n">
        <v>0.387128279288365</v>
      </c>
      <c r="M79" s="0" t="n">
        <v>0.998801411158971</v>
      </c>
      <c r="N79" s="0" t="n">
        <v>-0.125810341920084</v>
      </c>
      <c r="O79" s="0" t="n">
        <v>-0.389876725799921</v>
      </c>
      <c r="P79" s="0" t="n">
        <v>0.109014965872387</v>
      </c>
      <c r="Q79" s="0" t="n">
        <v>0.150512734023871</v>
      </c>
      <c r="R79" s="0" t="n">
        <v>2.50170640947282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1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0.00556593602204278</v>
      </c>
      <c r="AJ79" s="0" t="n">
        <v>0.333333333333333</v>
      </c>
    </row>
    <row r="80" customFormat="false" ht="15" hidden="false" customHeight="false" outlineLevel="0" collapsed="false">
      <c r="A80" s="0" t="s">
        <v>114</v>
      </c>
      <c r="B80" s="0" t="n">
        <v>1</v>
      </c>
      <c r="C80" s="0" t="n">
        <v>0.148012351837582</v>
      </c>
      <c r="D80" s="0" t="n">
        <v>0.457234135488545</v>
      </c>
      <c r="E80" s="0" t="n">
        <v>0.265167621688827</v>
      </c>
      <c r="F80" s="0" t="n">
        <v>-0.667236464388925</v>
      </c>
      <c r="G80" s="0" t="n">
        <v>-0.381498946459268</v>
      </c>
      <c r="H80" s="0" t="n">
        <v>-0.137465765457079</v>
      </c>
      <c r="I80" s="0" t="n">
        <v>0.815581681885245</v>
      </c>
      <c r="J80" s="0" t="n">
        <v>-0.0169779870350497</v>
      </c>
      <c r="K80" s="0" t="n">
        <v>-0.182194104978108</v>
      </c>
      <c r="L80" s="0" t="n">
        <v>0.42103355535301</v>
      </c>
      <c r="M80" s="0" t="n">
        <v>-1.33863858944138</v>
      </c>
      <c r="N80" s="0" t="n">
        <v>0.117479726797334</v>
      </c>
      <c r="O80" s="0" t="n">
        <v>-0.0662635882237715</v>
      </c>
      <c r="P80" s="0" t="n">
        <v>-0.527473964554225</v>
      </c>
      <c r="Q80" s="0" t="n">
        <v>-0.31131631945563</v>
      </c>
      <c r="R80" s="0" t="n">
        <v>0.971152644351562</v>
      </c>
      <c r="S80" s="0" t="n">
        <v>0</v>
      </c>
      <c r="T80" s="0" t="n">
        <v>1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</row>
    <row r="81" customFormat="false" ht="15" hidden="false" customHeight="false" outlineLevel="0" collapsed="false">
      <c r="A81" s="0" t="s">
        <v>115</v>
      </c>
      <c r="B81" s="0" t="n">
        <v>1</v>
      </c>
      <c r="C81" s="0" t="n">
        <v>0.148379697475038</v>
      </c>
      <c r="D81" s="0" t="n">
        <v>0.403003344301395</v>
      </c>
      <c r="E81" s="0" t="n">
        <v>0.191409286017201</v>
      </c>
      <c r="F81" s="0" t="n">
        <v>-0.618588323650663</v>
      </c>
      <c r="G81" s="0" t="n">
        <v>-0.303604458416684</v>
      </c>
      <c r="H81" s="0" t="n">
        <v>-0.0564877107770636</v>
      </c>
      <c r="I81" s="0" t="n">
        <v>0.268823014007078</v>
      </c>
      <c r="J81" s="0" t="n">
        <v>-0.067659484746046</v>
      </c>
      <c r="K81" s="0" t="n">
        <v>-0.149766442883367</v>
      </c>
      <c r="L81" s="0" t="n">
        <v>0.131698260101833</v>
      </c>
      <c r="M81" s="0" t="n">
        <v>-0.107974637549722</v>
      </c>
      <c r="N81" s="0" t="n">
        <v>-0.180160192575284</v>
      </c>
      <c r="O81" s="0" t="n">
        <v>-0.319185332251216</v>
      </c>
      <c r="P81" s="0" t="n">
        <v>-0.335176607133119</v>
      </c>
      <c r="Q81" s="0" t="n">
        <v>-0.300944850024711</v>
      </c>
      <c r="R81" s="0" t="n">
        <v>-0.248813617506255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0</v>
      </c>
    </row>
    <row r="82" customFormat="false" ht="15" hidden="false" customHeight="false" outlineLevel="0" collapsed="false">
      <c r="A82" s="0" t="s">
        <v>116</v>
      </c>
      <c r="B82" s="0" t="n">
        <v>1</v>
      </c>
      <c r="C82" s="0" t="n">
        <v>-0.60588190933573</v>
      </c>
      <c r="D82" s="0" t="n">
        <v>0.315789417083844</v>
      </c>
      <c r="E82" s="0" t="n">
        <v>0.139197284537689</v>
      </c>
      <c r="F82" s="0" t="n">
        <v>-1.07765502533958</v>
      </c>
      <c r="G82" s="0" t="n">
        <v>-0.932674740475168</v>
      </c>
      <c r="H82" s="0" t="n">
        <v>-0.775536084896491</v>
      </c>
      <c r="I82" s="0" t="n">
        <v>0.17565569413674</v>
      </c>
      <c r="J82" s="0" t="n">
        <v>-0.0313398989076852</v>
      </c>
      <c r="K82" s="0" t="n">
        <v>1.18061215452658</v>
      </c>
      <c r="L82" s="0" t="n">
        <v>0.213363243899621</v>
      </c>
      <c r="M82" s="0" t="n">
        <v>-0.0398503924216624</v>
      </c>
      <c r="N82" s="0" t="n">
        <v>-0.601910924030098</v>
      </c>
      <c r="O82" s="0" t="n">
        <v>0.170011483940721</v>
      </c>
      <c r="P82" s="0" t="n">
        <v>3</v>
      </c>
      <c r="Q82" s="0" t="n">
        <v>2.72394608499698</v>
      </c>
      <c r="R82" s="0" t="n">
        <v>2.08400850907949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1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0.161556178702967</v>
      </c>
      <c r="AJ82" s="0" t="n">
        <v>0.333333333333333</v>
      </c>
    </row>
    <row r="83" customFormat="false" ht="15" hidden="false" customHeight="false" outlineLevel="0" collapsed="false">
      <c r="A83" s="0" t="s">
        <v>117</v>
      </c>
      <c r="B83" s="0" t="n">
        <v>1</v>
      </c>
      <c r="C83" s="0" t="n">
        <v>-0.302292106426551</v>
      </c>
      <c r="D83" s="0" t="n">
        <v>0.0168015389494309</v>
      </c>
      <c r="E83" s="0" t="n">
        <v>0.0118449804258509</v>
      </c>
      <c r="F83" s="0" t="n">
        <v>-0.571744410485223</v>
      </c>
      <c r="G83" s="0" t="n">
        <v>-0.526667615793916</v>
      </c>
      <c r="H83" s="0" t="n">
        <v>-0.323989581818714</v>
      </c>
      <c r="I83" s="0" t="n">
        <v>-0.386486199777064</v>
      </c>
      <c r="J83" s="0" t="n">
        <v>0.959642735691615</v>
      </c>
      <c r="K83" s="0" t="n">
        <v>0.0330874960921851</v>
      </c>
      <c r="L83" s="0" t="n">
        <v>1.43212967976874</v>
      </c>
      <c r="M83" s="0" t="n">
        <v>-0.449018067112106</v>
      </c>
      <c r="N83" s="0" t="n">
        <v>-0.725816254635336</v>
      </c>
      <c r="O83" s="0" t="n">
        <v>-0.616182123665891</v>
      </c>
      <c r="P83" s="0" t="n">
        <v>-0.495813614477413</v>
      </c>
      <c r="Q83" s="0" t="n">
        <v>-0.229404119299168</v>
      </c>
      <c r="R83" s="0" t="n">
        <v>0.0792148332891048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1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</row>
    <row r="84" customFormat="false" ht="15" hidden="false" customHeight="false" outlineLevel="0" collapsed="false">
      <c r="A84" s="0" t="s">
        <v>118</v>
      </c>
      <c r="B84" s="0" t="n">
        <v>1</v>
      </c>
      <c r="C84" s="0" t="n">
        <v>-0.445232772314974</v>
      </c>
      <c r="D84" s="0" t="n">
        <v>-0.22174194170029</v>
      </c>
      <c r="E84" s="0" t="n">
        <v>-0.237453123641715</v>
      </c>
      <c r="F84" s="0" t="n">
        <v>-0.408743697163863</v>
      </c>
      <c r="G84" s="0" t="n">
        <v>-0.382892991785455</v>
      </c>
      <c r="H84" s="0" t="n">
        <v>-0.198646819898717</v>
      </c>
      <c r="I84" s="0" t="n">
        <v>-1.62268198700921</v>
      </c>
      <c r="J84" s="0" t="n">
        <v>0.580272587426843</v>
      </c>
      <c r="K84" s="0" t="n">
        <v>0.244824193799897</v>
      </c>
      <c r="L84" s="0" t="n">
        <v>0.667067811867492</v>
      </c>
      <c r="M84" s="0" t="n">
        <v>-0.455453159954825</v>
      </c>
      <c r="N84" s="0" t="n">
        <v>-0.706295514324395</v>
      </c>
      <c r="O84" s="0" t="n">
        <v>-0.792781917584207</v>
      </c>
      <c r="P84" s="0" t="n">
        <v>-0.432895701549712</v>
      </c>
      <c r="Q84" s="0" t="n">
        <v>-0.111650760386839</v>
      </c>
      <c r="R84" s="0" t="n">
        <v>1.11506565111626</v>
      </c>
      <c r="S84" s="0" t="n">
        <v>1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1</v>
      </c>
      <c r="Y84" s="0" t="n">
        <v>0</v>
      </c>
      <c r="Z84" s="0" t="n">
        <v>0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</row>
    <row r="85" customFormat="false" ht="15" hidden="false" customHeight="false" outlineLevel="0" collapsed="false">
      <c r="A85" s="0" t="s">
        <v>119</v>
      </c>
      <c r="B85" s="0" t="n">
        <v>1</v>
      </c>
      <c r="C85" s="0" t="n">
        <v>-0.460670978853827</v>
      </c>
      <c r="D85" s="0" t="n">
        <v>-0.379968756763362</v>
      </c>
      <c r="E85" s="0" t="n">
        <v>-0.248347551819959</v>
      </c>
      <c r="F85" s="0" t="n">
        <v>-0.196476848053724</v>
      </c>
      <c r="G85" s="0" t="n">
        <v>-0.385670898190407</v>
      </c>
      <c r="H85" s="0" t="n">
        <v>-0.202627103284388</v>
      </c>
      <c r="I85" s="0" t="n">
        <v>-1.74921931638313</v>
      </c>
      <c r="J85" s="0" t="n">
        <v>-0.419453497082528</v>
      </c>
      <c r="K85" s="0" t="n">
        <v>0.258660338973889</v>
      </c>
      <c r="L85" s="0" t="n">
        <v>-0.384712768913806</v>
      </c>
      <c r="M85" s="0" t="n">
        <v>-0.0908247161423083</v>
      </c>
      <c r="N85" s="0" t="n">
        <v>-0.266770635112777</v>
      </c>
      <c r="O85" s="0" t="n">
        <v>-0.424724015539059</v>
      </c>
      <c r="P85" s="0" t="n">
        <v>-0.221444567221004</v>
      </c>
      <c r="Q85" s="0" t="n">
        <v>-0.0100363137176033</v>
      </c>
      <c r="R85" s="0" t="n">
        <v>0.963255633592138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0.477735992981925</v>
      </c>
      <c r="AJ85" s="0" t="n">
        <v>0.333333333333333</v>
      </c>
    </row>
    <row r="86" customFormat="false" ht="15" hidden="false" customHeight="false" outlineLevel="0" collapsed="false">
      <c r="A86" s="0" t="s">
        <v>120</v>
      </c>
      <c r="B86" s="0" t="n">
        <v>1</v>
      </c>
      <c r="C86" s="0" t="n">
        <v>-0.310556166248304</v>
      </c>
      <c r="D86" s="0" t="n">
        <v>-0.493787395592996</v>
      </c>
      <c r="E86" s="0" t="n">
        <v>-0.403177073779707</v>
      </c>
      <c r="F86" s="0" t="n">
        <v>0.154599393020011</v>
      </c>
      <c r="G86" s="0" t="n">
        <v>-0.00737463922427767</v>
      </c>
      <c r="H86" s="0" t="n">
        <v>0.121026055869534</v>
      </c>
      <c r="I86" s="0" t="n">
        <v>-1.43204489873835</v>
      </c>
      <c r="J86" s="0" t="n">
        <v>-0.067659484746046</v>
      </c>
      <c r="K86" s="0" t="n">
        <v>-0.149766442883367</v>
      </c>
      <c r="L86" s="0" t="n">
        <v>0.131698260101833</v>
      </c>
      <c r="M86" s="0" t="n">
        <v>-0.107974637549722</v>
      </c>
      <c r="N86" s="0" t="n">
        <v>-0.180160192575284</v>
      </c>
      <c r="O86" s="0" t="n">
        <v>-0.319185332251216</v>
      </c>
      <c r="P86" s="0" t="n">
        <v>-0.335176607133119</v>
      </c>
      <c r="Q86" s="0" t="n">
        <v>-0.300944850024711</v>
      </c>
      <c r="R86" s="0" t="n">
        <v>-0.248813617506255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1</v>
      </c>
      <c r="AI86" s="0" t="n">
        <v>0</v>
      </c>
      <c r="AJ86" s="0" t="n">
        <v>0</v>
      </c>
    </row>
    <row r="87" customFormat="false" ht="15" hidden="false" customHeight="false" outlineLevel="0" collapsed="false">
      <c r="A87" s="0" t="s">
        <v>121</v>
      </c>
      <c r="B87" s="0" t="n">
        <v>1</v>
      </c>
      <c r="C87" s="0" t="n">
        <v>-0.501566166155495</v>
      </c>
      <c r="D87" s="0" t="n">
        <v>-0.830286231289226</v>
      </c>
      <c r="E87" s="0" t="n">
        <v>-0.418988869555499</v>
      </c>
      <c r="F87" s="0" t="n">
        <v>0.694676612507278</v>
      </c>
      <c r="G87" s="0" t="n">
        <v>-0.202377563385056</v>
      </c>
      <c r="H87" s="0" t="n">
        <v>-0.0582367284920501</v>
      </c>
      <c r="I87" s="0" t="n">
        <v>-1.36240904201317</v>
      </c>
      <c r="J87" s="0" t="n">
        <v>0.946342235609294</v>
      </c>
      <c r="K87" s="0" t="n">
        <v>-0.62464718580615</v>
      </c>
      <c r="L87" s="0" t="n">
        <v>0.190013027336308</v>
      </c>
      <c r="M87" s="0" t="n">
        <v>-0.548121406978001</v>
      </c>
      <c r="N87" s="0" t="n">
        <v>-0.88485891780027</v>
      </c>
      <c r="O87" s="0" t="n">
        <v>0.589868303892796</v>
      </c>
      <c r="P87" s="0" t="n">
        <v>0.635213006744511</v>
      </c>
      <c r="Q87" s="0" t="n">
        <v>-0.373270542240267</v>
      </c>
      <c r="R87" s="0" t="n">
        <v>1.27405366330966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1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</row>
    <row r="88" customFormat="false" ht="15" hidden="false" customHeight="false" outlineLevel="0" collapsed="false">
      <c r="A88" s="0" t="s">
        <v>122</v>
      </c>
      <c r="B88" s="0" t="n">
        <v>1</v>
      </c>
      <c r="C88" s="0" t="n">
        <v>-0.571612126917724</v>
      </c>
      <c r="D88" s="0" t="n">
        <v>-1.39159538289295</v>
      </c>
      <c r="E88" s="0" t="n">
        <v>-0.412643675801455</v>
      </c>
      <c r="F88" s="0" t="n">
        <v>3</v>
      </c>
      <c r="G88" s="0" t="n">
        <v>-0.291571925681471</v>
      </c>
      <c r="H88" s="0" t="n">
        <v>-0.137244845155649</v>
      </c>
      <c r="I88" s="0" t="n">
        <v>-1.16659016988677</v>
      </c>
      <c r="J88" s="0" t="n">
        <v>0.0274162593728944</v>
      </c>
      <c r="K88" s="0" t="n">
        <v>0.337807006746139</v>
      </c>
      <c r="L88" s="0" t="n">
        <v>0.725373192665123</v>
      </c>
      <c r="M88" s="0" t="n">
        <v>-0.328174080178464</v>
      </c>
      <c r="N88" s="0" t="n">
        <v>-0.59492455381355</v>
      </c>
      <c r="O88" s="0" t="n">
        <v>-0.625960349834611</v>
      </c>
      <c r="P88" s="0" t="n">
        <v>-0.668098177203259</v>
      </c>
      <c r="Q88" s="0" t="n">
        <v>-0.434463819303199</v>
      </c>
      <c r="R88" s="0" t="n">
        <v>-0.989479426257679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</row>
    <row r="89" customFormat="false" ht="15" hidden="false" customHeight="false" outlineLevel="0" collapsed="false">
      <c r="A89" s="0" t="s">
        <v>123</v>
      </c>
      <c r="B89" s="0" t="n">
        <v>1</v>
      </c>
      <c r="C89" s="0" t="n">
        <v>-0.639384194360289</v>
      </c>
      <c r="D89" s="0" t="n">
        <v>-1.41724110427655</v>
      </c>
      <c r="E89" s="0" t="n">
        <v>-0.420788146987836</v>
      </c>
      <c r="F89" s="0" t="n">
        <v>3</v>
      </c>
      <c r="G89" s="0" t="n">
        <v>-0.358029930804528</v>
      </c>
      <c r="H89" s="0" t="n">
        <v>-0.198079512059233</v>
      </c>
      <c r="I89" s="0" t="n">
        <v>-1.44237712262995</v>
      </c>
      <c r="J89" s="0" t="n">
        <v>0.951960183639366</v>
      </c>
      <c r="K89" s="0" t="n">
        <v>0.317922151755497</v>
      </c>
      <c r="L89" s="0" t="n">
        <v>-0.114721030935785</v>
      </c>
      <c r="M89" s="0" t="n">
        <v>-0.212762210233238</v>
      </c>
      <c r="N89" s="0" t="n">
        <v>-0.999928544896346</v>
      </c>
      <c r="O89" s="0" t="n">
        <v>-0.65313037895666</v>
      </c>
      <c r="P89" s="0" t="n">
        <v>-0.590885998178005</v>
      </c>
      <c r="Q89" s="0" t="n">
        <v>-0.401749352840082</v>
      </c>
      <c r="R89" s="0" t="n">
        <v>0.801324948233166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1</v>
      </c>
      <c r="Y89" s="0" t="n">
        <v>0</v>
      </c>
      <c r="Z89" s="0" t="n">
        <v>0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</row>
    <row r="90" customFormat="false" ht="15" hidden="false" customHeight="false" outlineLevel="0" collapsed="false">
      <c r="A90" s="0" t="s">
        <v>124</v>
      </c>
      <c r="B90" s="0" t="n">
        <v>1</v>
      </c>
      <c r="C90" s="0" t="n">
        <v>-0.842585307382436</v>
      </c>
      <c r="D90" s="0" t="n">
        <v>-1.36756903709632</v>
      </c>
      <c r="E90" s="0" t="n">
        <v>-0.43371761964118</v>
      </c>
      <c r="F90" s="0" t="n">
        <v>2.46270538429787</v>
      </c>
      <c r="G90" s="0" t="n">
        <v>-0.575020542041397</v>
      </c>
      <c r="H90" s="0" t="n">
        <v>-0.393036123538098</v>
      </c>
      <c r="I90" s="0" t="n">
        <v>-1.30084998986017</v>
      </c>
      <c r="J90" s="0" t="n">
        <v>0.409139265797011</v>
      </c>
      <c r="K90" s="0" t="n">
        <v>0.599723912538583</v>
      </c>
      <c r="L90" s="0" t="n">
        <v>0.0737991793628916</v>
      </c>
      <c r="M90" s="0" t="n">
        <v>-0.45066103471561</v>
      </c>
      <c r="N90" s="0" t="n">
        <v>-0.994586026495456</v>
      </c>
      <c r="O90" s="0" t="n">
        <v>-0.666749855905851</v>
      </c>
      <c r="P90" s="0" t="n">
        <v>-0.449298266907901</v>
      </c>
      <c r="Q90" s="0" t="n">
        <v>-0.236791790712529</v>
      </c>
      <c r="R90" s="0" t="n">
        <v>0.00963822621465172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1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</row>
    <row r="91" customFormat="false" ht="15" hidden="false" customHeight="false" outlineLevel="0" collapsed="false">
      <c r="A91" s="0" t="s">
        <v>125</v>
      </c>
      <c r="B91" s="0" t="n">
        <v>1</v>
      </c>
      <c r="C91" s="0" t="n">
        <v>-0.849761796349319</v>
      </c>
      <c r="D91" s="0" t="n">
        <v>-1.07772807255665</v>
      </c>
      <c r="E91" s="0" t="n">
        <v>-0.432729626898423</v>
      </c>
      <c r="F91" s="0" t="n">
        <v>0.965630445434186</v>
      </c>
      <c r="G91" s="0" t="n">
        <v>-0.584560068692929</v>
      </c>
      <c r="H91" s="0" t="n">
        <v>-0.401500066903822</v>
      </c>
      <c r="I91" s="0" t="n">
        <v>-0.666370313335892</v>
      </c>
      <c r="J91" s="0" t="n">
        <v>-1.05035863579748</v>
      </c>
      <c r="K91" s="0" t="n">
        <v>0.91328890722495</v>
      </c>
      <c r="L91" s="0" t="n">
        <v>0.639318009286191</v>
      </c>
      <c r="M91" s="0" t="n">
        <v>0.662345049127988</v>
      </c>
      <c r="N91" s="0" t="n">
        <v>-0.338278189093909</v>
      </c>
      <c r="O91" s="0" t="n">
        <v>-0.560790778785171</v>
      </c>
      <c r="P91" s="0" t="n">
        <v>-0.103138588921095</v>
      </c>
      <c r="Q91" s="0" t="n">
        <v>-0.362393919432536</v>
      </c>
      <c r="R91" s="0" t="n">
        <v>0.834950746054183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1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0.58063551696051</v>
      </c>
      <c r="AJ91" s="0" t="n">
        <v>0.333333333333333</v>
      </c>
    </row>
    <row r="92" customFormat="false" ht="15" hidden="false" customHeight="false" outlineLevel="0" collapsed="false">
      <c r="A92" s="0" t="s">
        <v>126</v>
      </c>
      <c r="B92" s="0" t="n">
        <v>1</v>
      </c>
      <c r="C92" s="0" t="n">
        <v>-0.793386515090054</v>
      </c>
      <c r="D92" s="0" t="n">
        <v>-1.05229620627839</v>
      </c>
      <c r="E92" s="0" t="n">
        <v>-0.624032712158746</v>
      </c>
      <c r="F92" s="0" t="n">
        <v>0.965586841455587</v>
      </c>
      <c r="G92" s="0" t="n">
        <v>-0.247297471225411</v>
      </c>
      <c r="H92" s="0" t="n">
        <v>-0.134444138727462</v>
      </c>
      <c r="I92" s="0" t="n">
        <v>-0.570181236483547</v>
      </c>
      <c r="J92" s="0" t="n">
        <v>0.0900126644417283</v>
      </c>
      <c r="K92" s="0" t="n">
        <v>0.146761976301684</v>
      </c>
      <c r="L92" s="0" t="n">
        <v>1.11151386198212</v>
      </c>
      <c r="M92" s="0" t="n">
        <v>-0.519257616749468</v>
      </c>
      <c r="N92" s="0" t="n">
        <v>-0.831639215268335</v>
      </c>
      <c r="O92" s="0" t="n">
        <v>-0.657794634049786</v>
      </c>
      <c r="P92" s="0" t="n">
        <v>-0.685095798010346</v>
      </c>
      <c r="Q92" s="0" t="n">
        <v>-0.533002168853819</v>
      </c>
      <c r="R92" s="0" t="n">
        <v>-0.318471555855972</v>
      </c>
      <c r="S92" s="0" t="n">
        <v>0</v>
      </c>
      <c r="T92" s="0" t="n">
        <v>1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1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0.308570685057196</v>
      </c>
      <c r="AJ92" s="0" t="n">
        <v>0</v>
      </c>
    </row>
    <row r="93" customFormat="false" ht="15" hidden="false" customHeight="false" outlineLevel="0" collapsed="false">
      <c r="A93" s="0" t="s">
        <v>127</v>
      </c>
      <c r="B93" s="0" t="n">
        <v>1</v>
      </c>
      <c r="C93" s="0" t="n">
        <v>-0.400370537370288</v>
      </c>
      <c r="D93" s="0" t="n">
        <v>-1.06356361035292</v>
      </c>
      <c r="E93" s="0" t="n">
        <v>-0.640449826502878</v>
      </c>
      <c r="F93" s="0" t="n">
        <v>1.65382500363713</v>
      </c>
      <c r="G93" s="0" t="n">
        <v>0.281379416672271</v>
      </c>
      <c r="H93" s="0" t="n">
        <v>0.287892734030908</v>
      </c>
      <c r="I93" s="0" t="n">
        <v>-0.484094737771852</v>
      </c>
      <c r="J93" s="0" t="n">
        <v>0.97360854381463</v>
      </c>
      <c r="K93" s="0" t="n">
        <v>-1.01395396410865</v>
      </c>
      <c r="L93" s="0" t="n">
        <v>-0.686677108901011</v>
      </c>
      <c r="M93" s="0" t="n">
        <v>-1.08416638883632</v>
      </c>
      <c r="N93" s="0" t="n">
        <v>-0.811091067572607</v>
      </c>
      <c r="O93" s="0" t="n">
        <v>0.88569594117865</v>
      </c>
      <c r="P93" s="0" t="n">
        <v>0.19869158113388</v>
      </c>
      <c r="Q93" s="0" t="n">
        <v>0.653418288451522</v>
      </c>
      <c r="R93" s="0" t="n">
        <v>0.627800243854982</v>
      </c>
      <c r="S93" s="0" t="n">
        <v>0</v>
      </c>
      <c r="T93" s="0" t="n">
        <v>0</v>
      </c>
      <c r="U93" s="0" t="n">
        <v>0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</row>
    <row r="94" customFormat="false" ht="15" hidden="false" customHeight="false" outlineLevel="0" collapsed="false">
      <c r="A94" s="0" t="s">
        <v>128</v>
      </c>
      <c r="B94" s="0" t="n">
        <v>1</v>
      </c>
      <c r="C94" s="0" t="n">
        <v>-0.805640228162431</v>
      </c>
      <c r="D94" s="0" t="n">
        <v>-1.18665055094112</v>
      </c>
      <c r="E94" s="0" t="n">
        <v>-0.825595603424216</v>
      </c>
      <c r="F94" s="0" t="n">
        <v>1.4974051386509</v>
      </c>
      <c r="G94" s="0" t="n">
        <v>0.0869677176481308</v>
      </c>
      <c r="H94" s="0" t="n">
        <v>0.0732069315539716</v>
      </c>
      <c r="I94" s="0" t="n">
        <v>-0.475598025072255</v>
      </c>
      <c r="J94" s="0" t="n">
        <v>-1.06877265201519</v>
      </c>
      <c r="K94" s="0" t="n">
        <v>0.0836166569874424</v>
      </c>
      <c r="L94" s="0" t="n">
        <v>0.785492088226776</v>
      </c>
      <c r="M94" s="0" t="n">
        <v>-0.110607196931362</v>
      </c>
      <c r="N94" s="0" t="n">
        <v>-0.274989894191068</v>
      </c>
      <c r="O94" s="0" t="n">
        <v>-0.722545040134435</v>
      </c>
      <c r="P94" s="0" t="n">
        <v>-0.692914526550345</v>
      </c>
      <c r="Q94" s="0" t="n">
        <v>-0.599544063355919</v>
      </c>
      <c r="R94" s="0" t="n">
        <v>0.145506562160335</v>
      </c>
      <c r="S94" s="0" t="n">
        <v>0</v>
      </c>
      <c r="T94" s="0" t="n">
        <v>1</v>
      </c>
      <c r="U94" s="0" t="n">
        <v>0</v>
      </c>
      <c r="V94" s="0" t="n">
        <v>0</v>
      </c>
      <c r="W94" s="0" t="n">
        <v>0</v>
      </c>
      <c r="X94" s="0" t="n">
        <v>1</v>
      </c>
      <c r="Y94" s="0" t="n">
        <v>0</v>
      </c>
      <c r="Z94" s="0" t="n">
        <v>0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</row>
    <row r="95" customFormat="false" ht="15" hidden="false" customHeight="false" outlineLevel="0" collapsed="false">
      <c r="A95" s="0" t="s">
        <v>129</v>
      </c>
      <c r="B95" s="0" t="n">
        <v>1</v>
      </c>
      <c r="C95" s="0" t="n">
        <v>-0.724784695493937</v>
      </c>
      <c r="D95" s="0" t="n">
        <v>-1.17900869882438</v>
      </c>
      <c r="E95" s="0" t="n">
        <v>-0.961472714836106</v>
      </c>
      <c r="F95" s="0" t="n">
        <v>1.61113145840974</v>
      </c>
      <c r="G95" s="0" t="n">
        <v>0.496638151467295</v>
      </c>
      <c r="H95" s="0" t="n">
        <v>0.304884788277745</v>
      </c>
      <c r="I95" s="0" t="n">
        <v>-0.281385596688961</v>
      </c>
      <c r="J95" s="0" t="n">
        <v>1.34687092840985</v>
      </c>
      <c r="K95" s="0" t="n">
        <v>0.118767017755677</v>
      </c>
      <c r="L95" s="0" t="n">
        <v>-0.332469612711511</v>
      </c>
      <c r="M95" s="0" t="n">
        <v>0.464948206858695</v>
      </c>
      <c r="N95" s="0" t="n">
        <v>-1.18403994825007</v>
      </c>
      <c r="O95" s="0" t="n">
        <v>-0.532431413095741</v>
      </c>
      <c r="P95" s="0" t="n">
        <v>-0.468039687006999</v>
      </c>
      <c r="Q95" s="0" t="n">
        <v>-0.479996636678412</v>
      </c>
      <c r="R95" s="0" t="n">
        <v>0.220165851840297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1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</row>
    <row r="96" customFormat="false" ht="15" hidden="false" customHeight="false" outlineLevel="0" collapsed="false">
      <c r="A96" s="0" t="s">
        <v>130</v>
      </c>
      <c r="B96" s="0" t="n">
        <v>1</v>
      </c>
      <c r="C96" s="0" t="n">
        <v>-0.57574969336262</v>
      </c>
      <c r="D96" s="0" t="n">
        <v>-1.03804829756176</v>
      </c>
      <c r="E96" s="0" t="n">
        <v>-0.957293965513211</v>
      </c>
      <c r="F96" s="0" t="n">
        <v>1.26473720922077</v>
      </c>
      <c r="G96" s="0" t="n">
        <v>0.715100694534149</v>
      </c>
      <c r="H96" s="0" t="n">
        <v>0.453669177790057</v>
      </c>
      <c r="I96" s="0" t="n">
        <v>-0.5327410779226</v>
      </c>
      <c r="J96" s="0" t="n">
        <v>0.103729295191946</v>
      </c>
      <c r="K96" s="0" t="n">
        <v>1.15470667131273</v>
      </c>
      <c r="L96" s="0" t="n">
        <v>-1.03309483575412</v>
      </c>
      <c r="M96" s="0" t="n">
        <v>1.93585462211343</v>
      </c>
      <c r="N96" s="0" t="n">
        <v>-0.63191121966586</v>
      </c>
      <c r="O96" s="0" t="n">
        <v>-0.175250120782861</v>
      </c>
      <c r="P96" s="0" t="n">
        <v>0.260609242275485</v>
      </c>
      <c r="Q96" s="0" t="n">
        <v>-0.295069385403227</v>
      </c>
      <c r="R96" s="0" t="n">
        <v>1.87547945880661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1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0.181414613717952</v>
      </c>
      <c r="AJ96" s="0" t="n">
        <v>0.333333333333333</v>
      </c>
    </row>
    <row r="97" customFormat="false" ht="15" hidden="false" customHeight="false" outlineLevel="0" collapsed="false">
      <c r="A97" s="0" t="s">
        <v>131</v>
      </c>
      <c r="B97" s="0" t="n">
        <v>1</v>
      </c>
      <c r="C97" s="0" t="n">
        <v>-0.0276750688539444</v>
      </c>
      <c r="D97" s="0" t="n">
        <v>-0.993665505990397</v>
      </c>
      <c r="E97" s="0" t="n">
        <v>-1.00810112357254</v>
      </c>
      <c r="F97" s="0" t="n">
        <v>1.94783135776485</v>
      </c>
      <c r="G97" s="0" t="n">
        <v>1.71252798144503</v>
      </c>
      <c r="H97" s="0" t="n">
        <v>1.0731349058576</v>
      </c>
      <c r="I97" s="0" t="n">
        <v>-0.165295397589254</v>
      </c>
      <c r="J97" s="0" t="n">
        <v>0.514606819639265</v>
      </c>
      <c r="K97" s="0" t="n">
        <v>-1.13344228870688</v>
      </c>
      <c r="L97" s="0" t="n">
        <v>0.825994577599</v>
      </c>
      <c r="M97" s="0" t="n">
        <v>-0.0386597434310823</v>
      </c>
      <c r="N97" s="0" t="n">
        <v>-0.313620411859036</v>
      </c>
      <c r="O97" s="0" t="n">
        <v>0.228924317373343</v>
      </c>
      <c r="P97" s="0" t="n">
        <v>-0.0539051077947911</v>
      </c>
      <c r="Q97" s="0" t="n">
        <v>0.263140789922284</v>
      </c>
      <c r="R97" s="0" t="n">
        <v>0.199276126820092</v>
      </c>
      <c r="S97" s="0" t="n">
        <v>0</v>
      </c>
      <c r="T97" s="0" t="n">
        <v>0</v>
      </c>
      <c r="U97" s="0" t="n">
        <v>0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1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</row>
    <row r="98" customFormat="false" ht="15" hidden="false" customHeight="false" outlineLevel="0" collapsed="false">
      <c r="A98" s="0" t="s">
        <v>132</v>
      </c>
      <c r="B98" s="0" t="n">
        <v>1</v>
      </c>
      <c r="C98" s="0" t="n">
        <v>0.194062195444438</v>
      </c>
      <c r="D98" s="0" t="n">
        <v>-0.994210176648222</v>
      </c>
      <c r="E98" s="0" t="n">
        <v>-1.39281503216007</v>
      </c>
      <c r="F98" s="0" t="n">
        <v>2.29295795119264</v>
      </c>
      <c r="G98" s="0" t="n">
        <v>3</v>
      </c>
      <c r="H98" s="0" t="n">
        <v>1.72169274801832</v>
      </c>
      <c r="I98" s="0" t="n">
        <v>0.149013714738303</v>
      </c>
      <c r="J98" s="0" t="n">
        <v>-0.492263205511098</v>
      </c>
      <c r="K98" s="0" t="n">
        <v>-1.4676077919466</v>
      </c>
      <c r="L98" s="0" t="n">
        <v>-2.08601361020318</v>
      </c>
      <c r="M98" s="0" t="n">
        <v>-0.871410725518653</v>
      </c>
      <c r="N98" s="0" t="n">
        <v>0.461455719223818</v>
      </c>
      <c r="O98" s="0" t="n">
        <v>-0.240317636643081</v>
      </c>
      <c r="P98" s="0" t="n">
        <v>-0.56259651853318</v>
      </c>
      <c r="Q98" s="0" t="n">
        <v>-0.529214693904254</v>
      </c>
      <c r="R98" s="0" t="n">
        <v>-0.0054623834465022</v>
      </c>
      <c r="S98" s="0" t="n">
        <v>0</v>
      </c>
      <c r="T98" s="0" t="n">
        <v>1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0.554977380090759</v>
      </c>
      <c r="AJ98" s="0" t="n">
        <v>0.333333333333333</v>
      </c>
    </row>
    <row r="99" customFormat="false" ht="15" hidden="false" customHeight="false" outlineLevel="0" collapsed="false">
      <c r="A99" s="0" t="s">
        <v>133</v>
      </c>
      <c r="B99" s="0" t="n">
        <v>1</v>
      </c>
      <c r="C99" s="0" t="n">
        <v>-0.805633873538197</v>
      </c>
      <c r="D99" s="0" t="n">
        <v>-1.03766347375341</v>
      </c>
      <c r="E99" s="0" t="n">
        <v>-1.39216655412151</v>
      </c>
      <c r="F99" s="0" t="n">
        <v>0.893736038649322</v>
      </c>
      <c r="G99" s="0" t="n">
        <v>1.71530687985622</v>
      </c>
      <c r="H99" s="0" t="n">
        <v>0.692338870663934</v>
      </c>
      <c r="I99" s="0" t="n">
        <v>0.274399681874327</v>
      </c>
      <c r="J99" s="0" t="n">
        <v>-0.620461164992367</v>
      </c>
      <c r="K99" s="0" t="n">
        <v>0.881387853380597</v>
      </c>
      <c r="L99" s="0" t="n">
        <v>1.01345948199027</v>
      </c>
      <c r="M99" s="0" t="n">
        <v>0.0145949355459414</v>
      </c>
      <c r="N99" s="0" t="n">
        <v>-0.525882777555904</v>
      </c>
      <c r="O99" s="0" t="n">
        <v>-0.426391971361433</v>
      </c>
      <c r="P99" s="0" t="n">
        <v>-0.60363040692567</v>
      </c>
      <c r="Q99" s="0" t="n">
        <v>-0.518021793502222</v>
      </c>
      <c r="R99" s="0" t="n">
        <v>0.28901311921312</v>
      </c>
      <c r="S99" s="0" t="n">
        <v>0</v>
      </c>
      <c r="T99" s="0" t="n">
        <v>1</v>
      </c>
      <c r="U99" s="0" t="n">
        <v>0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0.433471083045485</v>
      </c>
      <c r="AJ99" s="0" t="n">
        <v>0</v>
      </c>
    </row>
    <row r="100" customFormat="false" ht="15" hidden="false" customHeight="false" outlineLevel="0" collapsed="false">
      <c r="A100" s="0" t="s">
        <v>134</v>
      </c>
      <c r="B100" s="0" t="n">
        <v>1</v>
      </c>
      <c r="C100" s="0" t="n">
        <v>-0.464399731139749</v>
      </c>
      <c r="D100" s="0" t="n">
        <v>-1.10103933023061</v>
      </c>
      <c r="E100" s="0" t="n">
        <v>-1.35278207530049</v>
      </c>
      <c r="F100" s="0" t="n">
        <v>1.71146283486006</v>
      </c>
      <c r="G100" s="0" t="n">
        <v>2.24630082637695</v>
      </c>
      <c r="H100" s="0" t="n">
        <v>1.00041672797517</v>
      </c>
      <c r="I100" s="0" t="n">
        <v>0.109959059738936</v>
      </c>
      <c r="J100" s="0" t="n">
        <v>-0.850374802458309</v>
      </c>
      <c r="K100" s="0" t="n">
        <v>0.768177585076816</v>
      </c>
      <c r="L100" s="0" t="n">
        <v>0.401923165374002</v>
      </c>
      <c r="M100" s="0" t="n">
        <v>1.56835259444933</v>
      </c>
      <c r="N100" s="0" t="n">
        <v>-0.0175216035635981</v>
      </c>
      <c r="O100" s="0" t="n">
        <v>-0.307833145989791</v>
      </c>
      <c r="P100" s="0" t="n">
        <v>0.21877548610544</v>
      </c>
      <c r="Q100" s="0" t="n">
        <v>-0.549713186163295</v>
      </c>
      <c r="R100" s="0" t="n">
        <v>1.70060902414735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1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1.02130637391492</v>
      </c>
      <c r="AJ100" s="0" t="n">
        <v>0.333333333333333</v>
      </c>
    </row>
    <row r="101" customFormat="false" ht="15" hidden="false" customHeight="false" outlineLevel="0" collapsed="false">
      <c r="A101" s="0" t="s">
        <v>135</v>
      </c>
      <c r="B101" s="0" t="n">
        <v>1</v>
      </c>
      <c r="C101" s="0" t="n">
        <v>-0.567890647749048</v>
      </c>
      <c r="D101" s="0" t="n">
        <v>-1.09355611451944</v>
      </c>
      <c r="E101" s="0" t="n">
        <v>-1.3278619236495</v>
      </c>
      <c r="F101" s="0" t="n">
        <v>1.50263118606834</v>
      </c>
      <c r="G101" s="0" t="n">
        <v>1.9287628450873</v>
      </c>
      <c r="H101" s="0" t="n">
        <v>0.866697208145813</v>
      </c>
      <c r="I101" s="0" t="n">
        <v>-0.107266461155406</v>
      </c>
      <c r="J101" s="0" t="n">
        <v>0.88988330006689</v>
      </c>
      <c r="K101" s="0" t="n">
        <v>-0.0217484391161499</v>
      </c>
      <c r="L101" s="0" t="n">
        <v>0.762319933801885</v>
      </c>
      <c r="M101" s="0" t="n">
        <v>-0.828870095738022</v>
      </c>
      <c r="N101" s="0" t="n">
        <v>-0.920818176267793</v>
      </c>
      <c r="O101" s="0" t="n">
        <v>-0.492705198548489</v>
      </c>
      <c r="P101" s="0" t="n">
        <v>-0.739858499991204</v>
      </c>
      <c r="Q101" s="0" t="n">
        <v>-0.586327515676195</v>
      </c>
      <c r="R101" s="0" t="n">
        <v>0.0610972977039365</v>
      </c>
      <c r="S101" s="0" t="n">
        <v>0</v>
      </c>
      <c r="T101" s="0" t="n">
        <v>1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1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0.782547833122944</v>
      </c>
      <c r="AJ101" s="0" t="n">
        <v>0</v>
      </c>
    </row>
    <row r="102" customFormat="false" ht="15" hidden="false" customHeight="false" outlineLevel="0" collapsed="false">
      <c r="A102" s="0" t="s">
        <v>136</v>
      </c>
      <c r="B102" s="0" t="n">
        <v>1</v>
      </c>
      <c r="C102" s="0" t="n">
        <v>-0.551839360582759</v>
      </c>
      <c r="D102" s="0" t="n">
        <v>-1.09483803924342</v>
      </c>
      <c r="E102" s="0" t="n">
        <v>-1.41644300611864</v>
      </c>
      <c r="F102" s="0" t="n">
        <v>1.53534578428626</v>
      </c>
      <c r="G102" s="0" t="n">
        <v>2.36545393543717</v>
      </c>
      <c r="H102" s="0" t="n">
        <v>0.980011066831558</v>
      </c>
      <c r="I102" s="0" t="n">
        <v>0.262563223642175</v>
      </c>
      <c r="J102" s="0" t="n">
        <v>0.714720662376765</v>
      </c>
      <c r="K102" s="0" t="n">
        <v>0.129608998583085</v>
      </c>
      <c r="L102" s="0" t="n">
        <v>-0.0650837827015831</v>
      </c>
      <c r="M102" s="0" t="n">
        <v>0.859952416373741</v>
      </c>
      <c r="N102" s="0" t="n">
        <v>-0.847461288994045</v>
      </c>
      <c r="O102" s="0" t="n">
        <v>-0.563250990644155</v>
      </c>
      <c r="P102" s="0" t="n">
        <v>-0.707305345862627</v>
      </c>
      <c r="Q102" s="0" t="n">
        <v>-0.511199592799868</v>
      </c>
      <c r="R102" s="0" t="n">
        <v>-0.0704026675457765</v>
      </c>
      <c r="S102" s="0" t="n">
        <v>0</v>
      </c>
      <c r="T102" s="0" t="n">
        <v>1</v>
      </c>
      <c r="U102" s="0" t="n">
        <v>0</v>
      </c>
      <c r="V102" s="0" t="n">
        <v>0</v>
      </c>
      <c r="W102" s="0" t="n">
        <v>0</v>
      </c>
      <c r="X102" s="0" t="n">
        <v>1</v>
      </c>
      <c r="Y102" s="0" t="n">
        <v>0</v>
      </c>
      <c r="Z102" s="0" t="n">
        <v>0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0.370239160424029</v>
      </c>
      <c r="AJ102" s="0" t="n">
        <v>0</v>
      </c>
    </row>
    <row r="103" customFormat="false" ht="15" hidden="false" customHeight="false" outlineLevel="0" collapsed="false">
      <c r="A103" s="0" t="s">
        <v>137</v>
      </c>
      <c r="B103" s="0" t="n">
        <v>1</v>
      </c>
      <c r="C103" s="0" t="n">
        <v>-1.06876164208186</v>
      </c>
      <c r="D103" s="0" t="n">
        <v>-1.27018643894366</v>
      </c>
      <c r="E103" s="0" t="n">
        <v>-1.42427642312995</v>
      </c>
      <c r="F103" s="0" t="n">
        <v>1.39007995653047</v>
      </c>
      <c r="G103" s="0" t="n">
        <v>1.28777903674628</v>
      </c>
      <c r="H103" s="0" t="n">
        <v>0.456679795985501</v>
      </c>
      <c r="I103" s="0" t="n">
        <v>-0.600046275681484</v>
      </c>
      <c r="J103" s="0" t="n">
        <v>0.404498260890385</v>
      </c>
      <c r="K103" s="0" t="n">
        <v>-0.120219926105095</v>
      </c>
      <c r="L103" s="0" t="n">
        <v>0.385325014692483</v>
      </c>
      <c r="M103" s="0" t="n">
        <v>-0.52240411214276</v>
      </c>
      <c r="N103" s="0" t="n">
        <v>-1.19554691095968</v>
      </c>
      <c r="O103" s="0" t="n">
        <v>-0.755371470558857</v>
      </c>
      <c r="P103" s="0" t="n">
        <v>-0.58204058004673</v>
      </c>
      <c r="Q103" s="0" t="n">
        <v>-0.248510437557939</v>
      </c>
      <c r="R103" s="0" t="n">
        <v>0.604261166013927</v>
      </c>
      <c r="S103" s="0" t="n">
        <v>0</v>
      </c>
      <c r="T103" s="0" t="n">
        <v>1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1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</row>
    <row r="104" customFormat="false" ht="15" hidden="false" customHeight="false" outlineLevel="0" collapsed="false">
      <c r="A104" s="0" t="s">
        <v>138</v>
      </c>
      <c r="B104" s="0" t="n">
        <v>1</v>
      </c>
      <c r="C104" s="0" t="n">
        <v>-0.689233233121847</v>
      </c>
      <c r="D104" s="0" t="n">
        <v>-1.00759463280827</v>
      </c>
      <c r="E104" s="0" t="n">
        <v>-1.3376111264601</v>
      </c>
      <c r="F104" s="0" t="n">
        <v>0.973434545581539</v>
      </c>
      <c r="G104" s="0" t="n">
        <v>1.7266356000903</v>
      </c>
      <c r="H104" s="0" t="n">
        <v>0.752494313979012</v>
      </c>
      <c r="I104" s="0" t="n">
        <v>1.26044142980776</v>
      </c>
      <c r="J104" s="0" t="n">
        <v>0.597724401839791</v>
      </c>
      <c r="K104" s="0" t="n">
        <v>-0.55150698400221</v>
      </c>
      <c r="L104" s="0" t="n">
        <v>-0.939357958994412</v>
      </c>
      <c r="M104" s="0" t="n">
        <v>1.52223619676565</v>
      </c>
      <c r="N104" s="0" t="n">
        <v>-0.924722324329982</v>
      </c>
      <c r="O104" s="0" t="n">
        <v>-0.8028636245967</v>
      </c>
      <c r="P104" s="0" t="n">
        <v>-0.697426223851048</v>
      </c>
      <c r="Q104" s="0" t="n">
        <v>-0.56043955197793</v>
      </c>
      <c r="R104" s="0" t="n">
        <v>-0.577346377028493</v>
      </c>
      <c r="S104" s="0" t="n">
        <v>0</v>
      </c>
      <c r="T104" s="0" t="n">
        <v>1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1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</row>
    <row r="105" customFormat="false" ht="15" hidden="false" customHeight="false" outlineLevel="0" collapsed="false">
      <c r="A105" s="0" t="s">
        <v>139</v>
      </c>
      <c r="B105" s="0" t="n">
        <v>1</v>
      </c>
      <c r="C105" s="0" t="n">
        <v>-1.21601634166626</v>
      </c>
      <c r="D105" s="0" t="n">
        <v>-0.962743407632596</v>
      </c>
      <c r="E105" s="0" t="n">
        <v>-1.38104785900791</v>
      </c>
      <c r="F105" s="0" t="n">
        <v>0.0311040945059727</v>
      </c>
      <c r="G105" s="0" t="n">
        <v>0.814370322892175</v>
      </c>
      <c r="H105" s="0" t="n">
        <v>0.257922503341502</v>
      </c>
      <c r="I105" s="0" t="n">
        <v>-0.266951525682175</v>
      </c>
      <c r="J105" s="0" t="n">
        <v>1.06307662857392</v>
      </c>
      <c r="K105" s="0" t="n">
        <v>-0.153364455836413</v>
      </c>
      <c r="L105" s="0" t="n">
        <v>0.673516172344406</v>
      </c>
      <c r="M105" s="0" t="n">
        <v>-0.505615883658852</v>
      </c>
      <c r="N105" s="0" t="n">
        <v>-1.50027594128732</v>
      </c>
      <c r="O105" s="0" t="n">
        <v>-0.7069283097883</v>
      </c>
      <c r="P105" s="0" t="n">
        <v>-0.579340615668002</v>
      </c>
      <c r="Q105" s="0" t="n">
        <v>-0.274681830246714</v>
      </c>
      <c r="R105" s="0" t="n">
        <v>1.23682647119466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1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</row>
    <row r="106" customFormat="false" ht="15" hidden="false" customHeight="false" outlineLevel="0" collapsed="false">
      <c r="A106" s="0" t="s">
        <v>140</v>
      </c>
      <c r="B106" s="0" t="n">
        <v>1</v>
      </c>
      <c r="C106" s="0" t="n">
        <v>-0.701241871815538</v>
      </c>
      <c r="D106" s="0" t="n">
        <v>-0.959819317680611</v>
      </c>
      <c r="E106" s="0" t="n">
        <v>-1.38146703198637</v>
      </c>
      <c r="F106" s="0" t="n">
        <v>0.79611497699203</v>
      </c>
      <c r="G106" s="0" t="n">
        <v>1.8873963760589</v>
      </c>
      <c r="H106" s="0" t="n">
        <v>0.788061856708054</v>
      </c>
      <c r="I106" s="0" t="n">
        <v>-0.481192143568245</v>
      </c>
      <c r="J106" s="0" t="n">
        <v>1.20179246000615</v>
      </c>
      <c r="K106" s="0" t="n">
        <v>-0.982686601647127</v>
      </c>
      <c r="L106" s="0" t="n">
        <v>-2.28714602984092</v>
      </c>
      <c r="M106" s="0" t="n">
        <v>-0.767122791356062</v>
      </c>
      <c r="N106" s="0" t="n">
        <v>-1.12506676436333</v>
      </c>
      <c r="O106" s="0" t="n">
        <v>-0.438144101490244</v>
      </c>
      <c r="P106" s="0" t="n">
        <v>0.0146242416632807</v>
      </c>
      <c r="Q106" s="0" t="n">
        <v>0.435428761441903</v>
      </c>
      <c r="R106" s="0" t="n">
        <v>-0.0723208027308398</v>
      </c>
      <c r="S106" s="0" t="n">
        <v>0</v>
      </c>
      <c r="T106" s="0" t="n">
        <v>0</v>
      </c>
      <c r="U106" s="0" t="n">
        <v>0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</row>
    <row r="107" customFormat="false" ht="15" hidden="false" customHeight="false" outlineLevel="0" collapsed="false">
      <c r="A107" s="0" t="s">
        <v>141</v>
      </c>
      <c r="B107" s="0" t="n">
        <v>1</v>
      </c>
      <c r="C107" s="0" t="n">
        <v>-0.822443972841971</v>
      </c>
      <c r="D107" s="0" t="n">
        <v>-0.73619776380579</v>
      </c>
      <c r="E107" s="0" t="n">
        <v>-1.18196617910281</v>
      </c>
      <c r="F107" s="0" t="n">
        <v>0.0459142610524469</v>
      </c>
      <c r="G107" s="0" t="n">
        <v>0.925367605006177</v>
      </c>
      <c r="H107" s="0" t="n">
        <v>0.445343672215877</v>
      </c>
      <c r="I107" s="0" t="n">
        <v>1.36854029635441</v>
      </c>
      <c r="J107" s="0" t="n">
        <v>-1.27887154342324</v>
      </c>
      <c r="K107" s="0" t="n">
        <v>-1.0373717477524</v>
      </c>
      <c r="L107" s="0" t="n">
        <v>-0.21968369340772</v>
      </c>
      <c r="M107" s="0" t="n">
        <v>0.330314818545356</v>
      </c>
      <c r="N107" s="0" t="n">
        <v>-0.160536711525864</v>
      </c>
      <c r="O107" s="0" t="n">
        <v>-0.293621499549623</v>
      </c>
      <c r="P107" s="0" t="n">
        <v>0.0164675967400702</v>
      </c>
      <c r="Q107" s="0" t="n">
        <v>0.162868060768088</v>
      </c>
      <c r="R107" s="0" t="n">
        <v>-0.078688546834353</v>
      </c>
      <c r="S107" s="0" t="n">
        <v>0</v>
      </c>
      <c r="T107" s="0" t="n">
        <v>0</v>
      </c>
      <c r="U107" s="0" t="n">
        <v>0</v>
      </c>
      <c r="V107" s="0" t="n">
        <v>1</v>
      </c>
      <c r="W107" s="0" t="n">
        <v>0</v>
      </c>
      <c r="X107" s="0" t="n">
        <v>1</v>
      </c>
      <c r="Y107" s="0" t="n">
        <v>0</v>
      </c>
      <c r="Z107" s="0" t="n">
        <v>0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</row>
    <row r="108" customFormat="false" ht="15" hidden="false" customHeight="false" outlineLevel="0" collapsed="false">
      <c r="A108" s="0" t="s">
        <v>142</v>
      </c>
      <c r="B108" s="0" t="n">
        <v>1</v>
      </c>
      <c r="C108" s="0" t="n">
        <v>-0.932333077560663</v>
      </c>
      <c r="D108" s="0" t="n">
        <v>-0.557487555533149</v>
      </c>
      <c r="E108" s="0" t="n">
        <v>-1.00770375905877</v>
      </c>
      <c r="F108" s="0" t="n">
        <v>-0.414741422315728</v>
      </c>
      <c r="G108" s="0" t="n">
        <v>0.280621874667425</v>
      </c>
      <c r="H108" s="0" t="n">
        <v>0.14184560549868</v>
      </c>
      <c r="I108" s="0" t="n">
        <v>1.71613075237275</v>
      </c>
      <c r="J108" s="0" t="n">
        <v>-0.54605818962016</v>
      </c>
      <c r="K108" s="0" t="n">
        <v>-0.626758373129686</v>
      </c>
      <c r="L108" s="0" t="n">
        <v>-0.937231027936264</v>
      </c>
      <c r="M108" s="0" t="n">
        <v>-0.417540820394454</v>
      </c>
      <c r="N108" s="0" t="n">
        <v>-0.697870773769146</v>
      </c>
      <c r="O108" s="0" t="n">
        <v>-0.961231494955879</v>
      </c>
      <c r="P108" s="0" t="n">
        <v>-0.149977481990025</v>
      </c>
      <c r="Q108" s="0" t="n">
        <v>-0.0698129110100864</v>
      </c>
      <c r="R108" s="0" t="n">
        <v>0.476385998846589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</row>
    <row r="109" customFormat="false" ht="15" hidden="false" customHeight="false" outlineLevel="0" collapsed="false">
      <c r="A109" s="0" t="s">
        <v>143</v>
      </c>
      <c r="B109" s="0" t="n">
        <v>1</v>
      </c>
      <c r="C109" s="0" t="n">
        <v>-0.692883775776038</v>
      </c>
      <c r="D109" s="0" t="n">
        <v>-0.481287535023001</v>
      </c>
      <c r="E109" s="0" t="n">
        <v>-0.986614799805175</v>
      </c>
      <c r="F109" s="0" t="n">
        <v>-0.27590456447943</v>
      </c>
      <c r="G109" s="0" t="n">
        <v>0.606614633579402</v>
      </c>
      <c r="H109" s="0" t="n">
        <v>0.365183729142375</v>
      </c>
      <c r="I109" s="0" t="n">
        <v>0.993442058307771</v>
      </c>
      <c r="J109" s="0" t="n">
        <v>0.248182191018537</v>
      </c>
      <c r="K109" s="0" t="n">
        <v>-0.48505643092946</v>
      </c>
      <c r="L109" s="0" t="n">
        <v>-0.162201634977485</v>
      </c>
      <c r="M109" s="0" t="n">
        <v>0.803576136997826</v>
      </c>
      <c r="N109" s="0" t="n">
        <v>-0.799789586339957</v>
      </c>
      <c r="O109" s="0" t="n">
        <v>-0.832425501989833</v>
      </c>
      <c r="P109" s="0" t="n">
        <v>-0.237165420964604</v>
      </c>
      <c r="Q109" s="0" t="n">
        <v>-0.112637857994049</v>
      </c>
      <c r="R109" s="0" t="n">
        <v>0.553410950030474</v>
      </c>
      <c r="S109" s="0" t="n">
        <v>0</v>
      </c>
      <c r="T109" s="0" t="n">
        <v>1</v>
      </c>
      <c r="U109" s="0" t="n">
        <v>0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</row>
    <row r="110" customFormat="false" ht="15" hidden="false" customHeight="false" outlineLevel="0" collapsed="false">
      <c r="A110" s="0" t="s">
        <v>144</v>
      </c>
      <c r="B110" s="0" t="n">
        <v>1</v>
      </c>
      <c r="C110" s="0" t="n">
        <v>-0.6529349221555</v>
      </c>
      <c r="D110" s="0" t="n">
        <v>-0.586906862786708</v>
      </c>
      <c r="E110" s="0" t="n">
        <v>-1.00302306580098</v>
      </c>
      <c r="F110" s="0" t="n">
        <v>-0.0489340773121788</v>
      </c>
      <c r="G110" s="0" t="n">
        <v>0.710460200742874</v>
      </c>
      <c r="H110" s="0" t="n">
        <v>0.424219698146548</v>
      </c>
      <c r="I110" s="0" t="n">
        <v>0.604173751464224</v>
      </c>
      <c r="J110" s="0" t="n">
        <v>-0.067659484746046</v>
      </c>
      <c r="K110" s="0" t="n">
        <v>-0.149766442883367</v>
      </c>
      <c r="L110" s="0" t="n">
        <v>0.131698260101833</v>
      </c>
      <c r="M110" s="0" t="n">
        <v>-0.107974637549722</v>
      </c>
      <c r="N110" s="0" t="n">
        <v>-0.180160192575284</v>
      </c>
      <c r="O110" s="0" t="n">
        <v>-0.319185332251216</v>
      </c>
      <c r="P110" s="0" t="n">
        <v>-0.335176607133119</v>
      </c>
      <c r="Q110" s="0" t="n">
        <v>-0.300944850024711</v>
      </c>
      <c r="R110" s="0" t="n">
        <v>-0.248813617506255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1</v>
      </c>
      <c r="AI110" s="0" t="n">
        <v>0.5329498275011</v>
      </c>
      <c r="AJ110" s="0" t="n">
        <v>0.333333333333333</v>
      </c>
    </row>
    <row r="111" customFormat="false" ht="15" hidden="false" customHeight="false" outlineLevel="0" collapsed="false">
      <c r="A111" s="0" t="s">
        <v>145</v>
      </c>
      <c r="B111" s="0" t="n">
        <v>1</v>
      </c>
      <c r="C111" s="0" t="n">
        <v>-0.832995473345817</v>
      </c>
      <c r="D111" s="0" t="n">
        <v>-0.474365302557381</v>
      </c>
      <c r="E111" s="0" t="n">
        <v>-0.925077613899157</v>
      </c>
      <c r="F111" s="0" t="n">
        <v>-0.435570705615565</v>
      </c>
      <c r="G111" s="0" t="n">
        <v>0.250270760223302</v>
      </c>
      <c r="H111" s="0" t="n">
        <v>0.153769377581399</v>
      </c>
      <c r="I111" s="0" t="n">
        <v>-0.102570940411086</v>
      </c>
      <c r="J111" s="0" t="n">
        <v>0.358523325290771</v>
      </c>
      <c r="K111" s="0" t="n">
        <v>-0.794368984209622</v>
      </c>
      <c r="L111" s="0" t="n">
        <v>0.574450640828927</v>
      </c>
      <c r="M111" s="0" t="n">
        <v>-1.08856732148611</v>
      </c>
      <c r="N111" s="0" t="n">
        <v>-0.968284397444925</v>
      </c>
      <c r="O111" s="0" t="n">
        <v>-0.978825003444484</v>
      </c>
      <c r="P111" s="0" t="n">
        <v>-0.73752659614624</v>
      </c>
      <c r="Q111" s="0" t="n">
        <v>-0.491298047442063</v>
      </c>
      <c r="R111" s="0" t="n">
        <v>-0.60330692465762</v>
      </c>
      <c r="S111" s="0" t="n">
        <v>0</v>
      </c>
      <c r="T111" s="0" t="n">
        <v>0</v>
      </c>
      <c r="U111" s="0" t="n">
        <v>0</v>
      </c>
      <c r="V111" s="0" t="n">
        <v>1</v>
      </c>
      <c r="W111" s="0" t="n">
        <v>0</v>
      </c>
      <c r="X111" s="0" t="n">
        <v>1</v>
      </c>
      <c r="Y111" s="0" t="n">
        <v>0</v>
      </c>
      <c r="Z111" s="0" t="n">
        <v>0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0.251336779048452</v>
      </c>
      <c r="AJ111" s="0" t="n">
        <v>0</v>
      </c>
    </row>
    <row r="112" customFormat="false" ht="15" hidden="false" customHeight="false" outlineLevel="0" collapsed="false">
      <c r="A112" s="0" t="s">
        <v>146</v>
      </c>
      <c r="B112" s="0" t="n">
        <v>1</v>
      </c>
      <c r="C112" s="0" t="n">
        <v>-0.487908310454226</v>
      </c>
      <c r="D112" s="0" t="n">
        <v>-0.374026636482996</v>
      </c>
      <c r="E112" s="0" t="n">
        <v>-0.726217755675299</v>
      </c>
      <c r="F112" s="0" t="n">
        <v>-0.232952041782368</v>
      </c>
      <c r="G112" s="0" t="n">
        <v>0.330367832316697</v>
      </c>
      <c r="H112" s="0" t="n">
        <v>0.291543704520727</v>
      </c>
      <c r="I112" s="0" t="n">
        <v>0.407073650164654</v>
      </c>
      <c r="J112" s="0" t="n">
        <v>1.58630527129257</v>
      </c>
      <c r="K112" s="0" t="n">
        <v>-0.526011580929099</v>
      </c>
      <c r="L112" s="0" t="n">
        <v>1.66015971289251</v>
      </c>
      <c r="M112" s="0" t="n">
        <v>2.84090339945769</v>
      </c>
      <c r="N112" s="0" t="n">
        <v>-1.06958676558486</v>
      </c>
      <c r="O112" s="0" t="n">
        <v>1.66833550842093</v>
      </c>
      <c r="P112" s="0" t="n">
        <v>2.92441585671205</v>
      </c>
      <c r="Q112" s="0" t="n">
        <v>3</v>
      </c>
      <c r="R112" s="0" t="n">
        <v>2.6437604971837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0.754010072764407</v>
      </c>
      <c r="AJ112" s="0" t="n">
        <v>0.333333333333333</v>
      </c>
    </row>
    <row r="113" customFormat="false" ht="15" hidden="false" customHeight="false" outlineLevel="0" collapsed="false">
      <c r="A113" s="0" t="s">
        <v>147</v>
      </c>
      <c r="B113" s="0" t="n">
        <v>1</v>
      </c>
      <c r="C113" s="0" t="n">
        <v>-0.516396780220886</v>
      </c>
      <c r="D113" s="0" t="n">
        <v>-0.506731300976158</v>
      </c>
      <c r="E113" s="0" t="n">
        <v>-0.670077881843527</v>
      </c>
      <c r="F113" s="0" t="n">
        <v>-0.043452980643751</v>
      </c>
      <c r="G113" s="0" t="n">
        <v>0.186333127955429</v>
      </c>
      <c r="H113" s="0" t="n">
        <v>0.200882924250382</v>
      </c>
      <c r="I113" s="0" t="n">
        <v>-0.0384215864126168</v>
      </c>
      <c r="J113" s="0" t="n">
        <v>-0.067659484746046</v>
      </c>
      <c r="K113" s="0" t="n">
        <v>-0.149766442883367</v>
      </c>
      <c r="L113" s="0" t="n">
        <v>0.131698260101833</v>
      </c>
      <c r="M113" s="0" t="n">
        <v>-0.107974637549722</v>
      </c>
      <c r="N113" s="0" t="n">
        <v>-0.180160192575284</v>
      </c>
      <c r="O113" s="0" t="n">
        <v>-0.319185332251216</v>
      </c>
      <c r="P113" s="0" t="n">
        <v>-0.335176607133119</v>
      </c>
      <c r="Q113" s="0" t="n">
        <v>-0.300944850024711</v>
      </c>
      <c r="R113" s="0" t="n">
        <v>-0.248813617506255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1</v>
      </c>
      <c r="AI113" s="0" t="n">
        <v>0.2795446119731</v>
      </c>
      <c r="AJ113" s="0" t="n">
        <v>0</v>
      </c>
    </row>
    <row r="114" customFormat="false" ht="15" hidden="false" customHeight="false" outlineLevel="0" collapsed="false">
      <c r="A114" s="0" t="s">
        <v>148</v>
      </c>
      <c r="B114" s="0" t="n">
        <v>1</v>
      </c>
      <c r="C114" s="0" t="n">
        <v>-0.867625351137014</v>
      </c>
      <c r="D114" s="0" t="n">
        <v>-0.762659395309609</v>
      </c>
      <c r="E114" s="0" t="n">
        <v>-0.791149682891589</v>
      </c>
      <c r="F114" s="0" t="n">
        <v>0.0454516962610492</v>
      </c>
      <c r="G114" s="0" t="n">
        <v>-0.0644943958142078</v>
      </c>
      <c r="H114" s="0" t="n">
        <v>-0.0282142386303715</v>
      </c>
      <c r="I114" s="0" t="n">
        <v>-0.741216357995677</v>
      </c>
      <c r="J114" s="0" t="n">
        <v>-0.157263065973859</v>
      </c>
      <c r="K114" s="0" t="n">
        <v>-0.558072031363181</v>
      </c>
      <c r="L114" s="0" t="n">
        <v>0.709535972444569</v>
      </c>
      <c r="M114" s="0" t="n">
        <v>0.170704826483041</v>
      </c>
      <c r="N114" s="0" t="n">
        <v>-0.80328277144823</v>
      </c>
      <c r="O114" s="0" t="n">
        <v>-0.510843300454121</v>
      </c>
      <c r="P114" s="0" t="n">
        <v>-0.0425987102599849</v>
      </c>
      <c r="Q114" s="0" t="n">
        <v>0.133290258316097</v>
      </c>
      <c r="R114" s="0" t="n">
        <v>-0.0239259475439287</v>
      </c>
      <c r="S114" s="0" t="n">
        <v>0</v>
      </c>
      <c r="T114" s="0" t="n">
        <v>0</v>
      </c>
      <c r="U114" s="0" t="n">
        <v>0</v>
      </c>
      <c r="V114" s="0" t="n">
        <v>1</v>
      </c>
      <c r="W114" s="0" t="n">
        <v>1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0.0934458869262865</v>
      </c>
      <c r="AJ114" s="0" t="n">
        <v>0</v>
      </c>
    </row>
    <row r="115" customFormat="false" ht="15" hidden="false" customHeight="false" outlineLevel="0" collapsed="false">
      <c r="A115" s="0" t="s">
        <v>149</v>
      </c>
      <c r="B115" s="0" t="n">
        <v>1</v>
      </c>
      <c r="C115" s="0" t="n">
        <v>-0.789842658486073</v>
      </c>
      <c r="D115" s="0" t="n">
        <v>-0.802575493999917</v>
      </c>
      <c r="E115" s="0" t="n">
        <v>-0.824303579583909</v>
      </c>
      <c r="F115" s="0" t="n">
        <v>0.237747550077267</v>
      </c>
      <c r="G115" s="0" t="n">
        <v>0.106814441549144</v>
      </c>
      <c r="H115" s="0" t="n">
        <v>0.0880500964891181</v>
      </c>
      <c r="I115" s="0" t="n">
        <v>-1.53039643065742</v>
      </c>
      <c r="J115" s="0" t="n">
        <v>-0.067659484746046</v>
      </c>
      <c r="K115" s="0" t="n">
        <v>-0.149766442883367</v>
      </c>
      <c r="L115" s="0" t="n">
        <v>0.131698260101833</v>
      </c>
      <c r="M115" s="0" t="n">
        <v>-0.107974637549722</v>
      </c>
      <c r="N115" s="0" t="n">
        <v>-0.180160192575284</v>
      </c>
      <c r="O115" s="0" t="n">
        <v>-0.319185332251216</v>
      </c>
      <c r="P115" s="0" t="n">
        <v>-0.335176607133119</v>
      </c>
      <c r="Q115" s="0" t="n">
        <v>-0.300944850024711</v>
      </c>
      <c r="R115" s="0" t="n">
        <v>-0.248813617506255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1</v>
      </c>
      <c r="AI115" s="0" t="n">
        <v>0</v>
      </c>
      <c r="AJ115" s="0" t="n">
        <v>0</v>
      </c>
    </row>
    <row r="116" customFormat="false" ht="15" hidden="false" customHeight="false" outlineLevel="0" collapsed="false">
      <c r="A116" s="0" t="s">
        <v>150</v>
      </c>
      <c r="B116" s="0" t="n">
        <v>1</v>
      </c>
      <c r="C116" s="0" t="n">
        <v>-0.695658981392363</v>
      </c>
      <c r="D116" s="0" t="n">
        <v>-0.809336924955357</v>
      </c>
      <c r="E116" s="0" t="n">
        <v>-0.73911777287813</v>
      </c>
      <c r="F116" s="0" t="n">
        <v>0.37916922944772</v>
      </c>
      <c r="G116" s="0" t="n">
        <v>0.0757307599902222</v>
      </c>
      <c r="H116" s="0" t="n">
        <v>0.0918736014177897</v>
      </c>
      <c r="I116" s="0" t="n">
        <v>-0.824129900896722</v>
      </c>
      <c r="J116" s="0" t="n">
        <v>0.898658050705893</v>
      </c>
      <c r="K116" s="0" t="n">
        <v>-0.000732341580668955</v>
      </c>
      <c r="L116" s="0" t="n">
        <v>-0.263977628301907</v>
      </c>
      <c r="M116" s="0" t="n">
        <v>0.721428605620411</v>
      </c>
      <c r="N116" s="0" t="n">
        <v>-1.02951787757819</v>
      </c>
      <c r="O116" s="0" t="n">
        <v>-0.435471662484154</v>
      </c>
      <c r="P116" s="0" t="n">
        <v>-0.552977392088671</v>
      </c>
      <c r="Q116" s="0" t="n">
        <v>-0.374421087852323</v>
      </c>
      <c r="R116" s="0" t="n">
        <v>-0.555140656698962</v>
      </c>
      <c r="S116" s="0" t="n">
        <v>0</v>
      </c>
      <c r="T116" s="0" t="n">
        <v>1</v>
      </c>
      <c r="U116" s="0" t="n">
        <v>0</v>
      </c>
      <c r="V116" s="0" t="n">
        <v>0</v>
      </c>
      <c r="W116" s="0" t="n">
        <v>0</v>
      </c>
      <c r="X116" s="0" t="n">
        <v>1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</row>
    <row r="117" customFormat="false" ht="15" hidden="false" customHeight="false" outlineLevel="0" collapsed="false">
      <c r="A117" s="0" t="s">
        <v>151</v>
      </c>
      <c r="B117" s="0" t="n">
        <v>1</v>
      </c>
      <c r="C117" s="0" t="n">
        <v>-0.617200907233025</v>
      </c>
      <c r="D117" s="0" t="n">
        <v>-0.819391565269063</v>
      </c>
      <c r="E117" s="0" t="n">
        <v>-0.74232048855004</v>
      </c>
      <c r="F117" s="0" t="n">
        <v>0.509649252929071</v>
      </c>
      <c r="G117" s="0" t="n">
        <v>0.187619869368654</v>
      </c>
      <c r="H117" s="0" t="n">
        <v>0.176103458661935</v>
      </c>
      <c r="I117" s="0" t="n">
        <v>-0.896210952035365</v>
      </c>
      <c r="J117" s="0" t="n">
        <v>0.326582035538541</v>
      </c>
      <c r="K117" s="0" t="n">
        <v>-0.71012121756315</v>
      </c>
      <c r="L117" s="0" t="n">
        <v>-0.384817145672461</v>
      </c>
      <c r="M117" s="0" t="n">
        <v>-0.351663507668305</v>
      </c>
      <c r="N117" s="0" t="n">
        <v>-0.761159068671988</v>
      </c>
      <c r="O117" s="0" t="n">
        <v>-0.174269546076905</v>
      </c>
      <c r="P117" s="0" t="n">
        <v>0.516767881527887</v>
      </c>
      <c r="Q117" s="0" t="n">
        <v>0.0131285436708293</v>
      </c>
      <c r="R117" s="0" t="n">
        <v>0.325640948941048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1</v>
      </c>
      <c r="X117" s="0" t="n">
        <v>0</v>
      </c>
      <c r="Y117" s="0" t="n">
        <v>0</v>
      </c>
      <c r="Z117" s="0" t="n">
        <v>0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</row>
    <row r="118" customFormat="false" ht="15" hidden="false" customHeight="false" outlineLevel="0" collapsed="false">
      <c r="A118" s="0" t="s">
        <v>152</v>
      </c>
      <c r="B118" s="0" t="n">
        <v>1</v>
      </c>
      <c r="C118" s="0" t="n">
        <v>-0.95181353118092</v>
      </c>
      <c r="D118" s="0" t="n">
        <v>-0.917667969633614</v>
      </c>
      <c r="E118" s="0" t="n">
        <v>-1.10752044486291</v>
      </c>
      <c r="F118" s="0" t="n">
        <v>0.303720934506396</v>
      </c>
      <c r="G118" s="0" t="n">
        <v>0.491755194280424</v>
      </c>
      <c r="H118" s="0" t="n">
        <v>0.230876600557955</v>
      </c>
      <c r="I118" s="0" t="n">
        <v>-0.783353333223268</v>
      </c>
      <c r="J118" s="0" t="n">
        <v>0.0125419725605229</v>
      </c>
      <c r="K118" s="0" t="n">
        <v>0.564392955074957</v>
      </c>
      <c r="L118" s="0" t="n">
        <v>1.58971687438472</v>
      </c>
      <c r="M118" s="0" t="n">
        <v>0.544049462273143</v>
      </c>
      <c r="N118" s="0" t="n">
        <v>-0.952462323719215</v>
      </c>
      <c r="O118" s="0" t="n">
        <v>-0.542360941404402</v>
      </c>
      <c r="P118" s="0" t="n">
        <v>-0.645674568733711</v>
      </c>
      <c r="Q118" s="0" t="n">
        <v>-0.52664544074076</v>
      </c>
      <c r="R118" s="0" t="n">
        <v>-0.392583457865364</v>
      </c>
      <c r="S118" s="0" t="n">
        <v>0</v>
      </c>
      <c r="T118" s="0" t="n">
        <v>1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0.0663567475217375</v>
      </c>
      <c r="AJ118" s="0" t="n">
        <v>0.333333333333333</v>
      </c>
    </row>
    <row r="119" customFormat="false" ht="15" hidden="false" customHeight="false" outlineLevel="0" collapsed="false">
      <c r="A119" s="0" t="s">
        <v>153</v>
      </c>
      <c r="B119" s="0" t="n">
        <v>1</v>
      </c>
      <c r="C119" s="0" t="n">
        <v>-0.827315851420433</v>
      </c>
      <c r="D119" s="0" t="n">
        <v>-0.765573379942026</v>
      </c>
      <c r="E119" s="0" t="n">
        <v>-1.00592798922817</v>
      </c>
      <c r="F119" s="0" t="n">
        <v>0.103672684326459</v>
      </c>
      <c r="G119" s="0" t="n">
        <v>0.442448794068658</v>
      </c>
      <c r="H119" s="0" t="n">
        <v>0.247963430186301</v>
      </c>
      <c r="I119" s="0" t="n">
        <v>0.258902897792552</v>
      </c>
      <c r="J119" s="0" t="n">
        <v>-0.212659802191364</v>
      </c>
      <c r="K119" s="0" t="n">
        <v>-0.283310286033855</v>
      </c>
      <c r="L119" s="0" t="n">
        <v>0.68739775099958</v>
      </c>
      <c r="M119" s="0" t="n">
        <v>-0.421144881040717</v>
      </c>
      <c r="N119" s="0" t="n">
        <v>-0.739788995068431</v>
      </c>
      <c r="O119" s="0" t="n">
        <v>-0.565433549345319</v>
      </c>
      <c r="P119" s="0" t="n">
        <v>-0.203420368056869</v>
      </c>
      <c r="Q119" s="0" t="n">
        <v>-0.525957510882422</v>
      </c>
      <c r="R119" s="0" t="n">
        <v>-0.246375402592532</v>
      </c>
      <c r="S119" s="0" t="n">
        <v>1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1</v>
      </c>
      <c r="Y119" s="0" t="n">
        <v>0</v>
      </c>
      <c r="Z119" s="0" t="n">
        <v>0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0.406132489913901</v>
      </c>
      <c r="AJ119" s="0" t="n">
        <v>0.666666666666667</v>
      </c>
    </row>
    <row r="120" customFormat="false" ht="15" hidden="false" customHeight="false" outlineLevel="0" collapsed="false">
      <c r="A120" s="0" t="s">
        <v>154</v>
      </c>
      <c r="B120" s="0" t="n">
        <v>1</v>
      </c>
      <c r="C120" s="0" t="n">
        <v>-0.584889404920103</v>
      </c>
      <c r="D120" s="0" t="n">
        <v>-0.571503220032491</v>
      </c>
      <c r="E120" s="0" t="n">
        <v>-1.1078371683663</v>
      </c>
      <c r="F120" s="0" t="n">
        <v>-0.000733071444773647</v>
      </c>
      <c r="G120" s="0" t="n">
        <v>1.11275873534365</v>
      </c>
      <c r="H120" s="0" t="n">
        <v>0.608772210547851</v>
      </c>
      <c r="I120" s="0" t="n">
        <v>0.978391119348016</v>
      </c>
      <c r="J120" s="0" t="n">
        <v>-0.067659484746046</v>
      </c>
      <c r="K120" s="0" t="n">
        <v>-0.149766442883367</v>
      </c>
      <c r="L120" s="0" t="n">
        <v>0.131698260101833</v>
      </c>
      <c r="M120" s="0" t="n">
        <v>-0.107974637549722</v>
      </c>
      <c r="N120" s="0" t="n">
        <v>-0.180160192575284</v>
      </c>
      <c r="O120" s="0" t="n">
        <v>-0.319185332251216</v>
      </c>
      <c r="P120" s="0" t="n">
        <v>-0.335176607133119</v>
      </c>
      <c r="Q120" s="0" t="n">
        <v>-0.300944850024711</v>
      </c>
      <c r="R120" s="0" t="n">
        <v>-0.248813617506255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1</v>
      </c>
      <c r="AI120" s="0" t="n">
        <v>0.931407711316915</v>
      </c>
      <c r="AJ120" s="0" t="n">
        <v>1</v>
      </c>
    </row>
    <row r="121" customFormat="false" ht="15" hidden="false" customHeight="false" outlineLevel="0" collapsed="false">
      <c r="A121" s="0" t="s">
        <v>155</v>
      </c>
      <c r="B121" s="0" t="n">
        <v>1</v>
      </c>
      <c r="C121" s="0" t="n">
        <v>-0.704942191911386</v>
      </c>
      <c r="D121" s="0" t="n">
        <v>-0.553175877068008</v>
      </c>
      <c r="E121" s="0" t="n">
        <v>-1.10204393531413</v>
      </c>
      <c r="F121" s="0" t="n">
        <v>-0.168427066423855</v>
      </c>
      <c r="G121" s="0" t="n">
        <v>0.893236548550379</v>
      </c>
      <c r="H121" s="0" t="n">
        <v>0.478912330928327</v>
      </c>
      <c r="I121" s="0" t="n">
        <v>0.50314312651707</v>
      </c>
      <c r="J121" s="0" t="n">
        <v>1.78841490514894</v>
      </c>
      <c r="K121" s="0" t="n">
        <v>-0.775354479195978</v>
      </c>
      <c r="L121" s="0" t="n">
        <v>1.1511597498565</v>
      </c>
      <c r="M121" s="0" t="n">
        <v>-0.293720157127984</v>
      </c>
      <c r="N121" s="0" t="n">
        <v>-1.28267105718956</v>
      </c>
      <c r="O121" s="0" t="n">
        <v>0.0673379249394605</v>
      </c>
      <c r="P121" s="0" t="n">
        <v>0.49021366823552</v>
      </c>
      <c r="Q121" s="0" t="n">
        <v>1.11414304966914</v>
      </c>
      <c r="R121" s="0" t="n">
        <v>1.03881629040254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1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1.04546479318822</v>
      </c>
      <c r="AJ121" s="0" t="n">
        <v>1.33333333333333</v>
      </c>
    </row>
    <row r="122" customFormat="false" ht="15" hidden="false" customHeight="false" outlineLevel="0" collapsed="false">
      <c r="A122" s="0" t="s">
        <v>156</v>
      </c>
      <c r="B122" s="0" t="n">
        <v>1</v>
      </c>
      <c r="C122" s="0" t="n">
        <v>-0.627251804561199</v>
      </c>
      <c r="D122" s="0" t="n">
        <v>-0.918031590066132</v>
      </c>
      <c r="E122" s="0" t="n">
        <v>-1.09731222427384</v>
      </c>
      <c r="F122" s="0" t="n">
        <v>0.774891129754565</v>
      </c>
      <c r="G122" s="0" t="n">
        <v>1.01014146712229</v>
      </c>
      <c r="H122" s="0" t="n">
        <v>0.553681855975911</v>
      </c>
      <c r="I122" s="0" t="n">
        <v>0.456687391354176</v>
      </c>
      <c r="J122" s="0" t="n">
        <v>-0.693624647087496</v>
      </c>
      <c r="K122" s="0" t="n">
        <v>-0.151171685685638</v>
      </c>
      <c r="L122" s="0" t="n">
        <v>1.36738633373877</v>
      </c>
      <c r="M122" s="0" t="n">
        <v>-0.107974637549722</v>
      </c>
      <c r="N122" s="0" t="n">
        <v>-0.29286678268635</v>
      </c>
      <c r="O122" s="0" t="n">
        <v>-0.570351233695089</v>
      </c>
      <c r="P122" s="0" t="n">
        <v>-0.0773149505099358</v>
      </c>
      <c r="Q122" s="0" t="n">
        <v>-0.279670243682042</v>
      </c>
      <c r="R122" s="0" t="n">
        <v>0.163155158677624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0.917087589740004</v>
      </c>
      <c r="AJ122" s="0" t="n">
        <v>0</v>
      </c>
    </row>
    <row r="123" customFormat="false" ht="15" hidden="false" customHeight="false" outlineLevel="0" collapsed="false">
      <c r="A123" s="0" t="s">
        <v>157</v>
      </c>
      <c r="B123" s="0" t="n">
        <v>1</v>
      </c>
      <c r="C123" s="0" t="n">
        <v>-0.546776137207953</v>
      </c>
      <c r="D123" s="0" t="n">
        <v>-0.925264448829228</v>
      </c>
      <c r="E123" s="0" t="n">
        <v>-1.15552970485936</v>
      </c>
      <c r="F123" s="0" t="n">
        <v>0.914411186550827</v>
      </c>
      <c r="G123" s="0" t="n">
        <v>1.32814334282537</v>
      </c>
      <c r="H123" s="0" t="n">
        <v>0.700105601128608</v>
      </c>
      <c r="I123" s="0" t="n">
        <v>0.0396562403845669</v>
      </c>
      <c r="J123" s="0" t="n">
        <v>-0.0518583880078993</v>
      </c>
      <c r="K123" s="0" t="n">
        <v>-0.329208753121716</v>
      </c>
      <c r="L123" s="0" t="n">
        <v>0.246169930786729</v>
      </c>
      <c r="M123" s="0" t="n">
        <v>0.149075955089551</v>
      </c>
      <c r="N123" s="0" t="n">
        <v>-0.535540406972896</v>
      </c>
      <c r="O123" s="0" t="n">
        <v>-0.683112375345743</v>
      </c>
      <c r="P123" s="0" t="n">
        <v>-0.695065056465886</v>
      </c>
      <c r="Q123" s="0" t="n">
        <v>-0.567110930024903</v>
      </c>
      <c r="R123" s="0" t="n">
        <v>-0.258050915155572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1</v>
      </c>
      <c r="Y123" s="0" t="n">
        <v>0</v>
      </c>
      <c r="Z123" s="0" t="n">
        <v>0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0.622191649127459</v>
      </c>
      <c r="AJ123" s="0" t="n">
        <v>0</v>
      </c>
    </row>
    <row r="124" customFormat="false" ht="15" hidden="false" customHeight="false" outlineLevel="0" collapsed="false">
      <c r="A124" s="0" t="s">
        <v>158</v>
      </c>
      <c r="B124" s="0" t="n">
        <v>1</v>
      </c>
      <c r="C124" s="0" t="n">
        <v>-0.701555013576341</v>
      </c>
      <c r="D124" s="0" t="n">
        <v>-0.848362450534404</v>
      </c>
      <c r="E124" s="0" t="n">
        <v>-1.13146540629015</v>
      </c>
      <c r="F124" s="0" t="n">
        <v>0.47179875856018</v>
      </c>
      <c r="G124" s="0" t="n">
        <v>0.984785187851715</v>
      </c>
      <c r="H124" s="0" t="n">
        <v>0.514548166851614</v>
      </c>
      <c r="I124" s="0" t="n">
        <v>-0.212677717255173</v>
      </c>
      <c r="J124" s="0" t="n">
        <v>0.140861197791069</v>
      </c>
      <c r="K124" s="0" t="n">
        <v>-0.206878507708948</v>
      </c>
      <c r="L124" s="0" t="n">
        <v>-0.128933401362532</v>
      </c>
      <c r="M124" s="0" t="n">
        <v>-0.442124624735406</v>
      </c>
      <c r="N124" s="0" t="n">
        <v>-0.765474179688091</v>
      </c>
      <c r="O124" s="0" t="n">
        <v>-0.28569557860238</v>
      </c>
      <c r="P124" s="0" t="n">
        <v>-0.337562537486161</v>
      </c>
      <c r="Q124" s="0" t="n">
        <v>-0.61381334111875</v>
      </c>
      <c r="R124" s="0" t="n">
        <v>0.610073742076559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1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0.241130056026699</v>
      </c>
      <c r="AJ124" s="0" t="n">
        <v>0</v>
      </c>
    </row>
    <row r="125" customFormat="false" ht="15" hidden="false" customHeight="false" outlineLevel="0" collapsed="false">
      <c r="A125" s="0" t="s">
        <v>159</v>
      </c>
      <c r="B125" s="0" t="n">
        <v>1</v>
      </c>
      <c r="C125" s="0" t="n">
        <v>-0.819785890447623</v>
      </c>
      <c r="D125" s="0" t="n">
        <v>-0.820449758619891</v>
      </c>
      <c r="E125" s="0" t="n">
        <v>-1.11243128114667</v>
      </c>
      <c r="F125" s="0" t="n">
        <v>0.240812348421191</v>
      </c>
      <c r="G125" s="0" t="n">
        <v>0.728380302604084</v>
      </c>
      <c r="H125" s="0" t="n">
        <v>0.372093854642114</v>
      </c>
      <c r="I125" s="0" t="n">
        <v>-0.32407586477785</v>
      </c>
      <c r="J125" s="0" t="n">
        <v>-0.067659484746046</v>
      </c>
      <c r="K125" s="0" t="n">
        <v>-0.149766442883367</v>
      </c>
      <c r="L125" s="0" t="n">
        <v>0.131698260101833</v>
      </c>
      <c r="M125" s="0" t="n">
        <v>-0.107974637549722</v>
      </c>
      <c r="N125" s="0" t="n">
        <v>-0.180160192575284</v>
      </c>
      <c r="O125" s="0" t="n">
        <v>-0.319185332251216</v>
      </c>
      <c r="P125" s="0" t="n">
        <v>-0.335176607133119</v>
      </c>
      <c r="Q125" s="0" t="n">
        <v>-0.300944850024711</v>
      </c>
      <c r="R125" s="0" t="n">
        <v>-0.248813617506255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1</v>
      </c>
      <c r="AI125" s="0" t="n">
        <v>0</v>
      </c>
      <c r="AJ125" s="0" t="n">
        <v>0</v>
      </c>
    </row>
    <row r="126" customFormat="false" ht="15" hidden="false" customHeight="false" outlineLevel="0" collapsed="false">
      <c r="A126" s="0" t="s">
        <v>160</v>
      </c>
      <c r="B126" s="0" t="n">
        <v>1</v>
      </c>
      <c r="C126" s="0" t="n">
        <v>-0.59499043643543</v>
      </c>
      <c r="D126" s="0" t="n">
        <v>-0.841702532599935</v>
      </c>
      <c r="E126" s="0" t="n">
        <v>-1.1115680166104</v>
      </c>
      <c r="F126" s="0" t="n">
        <v>0.599456028146899</v>
      </c>
      <c r="G126" s="0" t="n">
        <v>1.10692814371066</v>
      </c>
      <c r="H126" s="0" t="n">
        <v>0.602455590873566</v>
      </c>
      <c r="I126" s="0" t="n">
        <v>-0.995527700132333</v>
      </c>
      <c r="J126" s="0" t="n">
        <v>1.24829956344067</v>
      </c>
      <c r="K126" s="0" t="n">
        <v>-0.454879223528613</v>
      </c>
      <c r="L126" s="0" t="n">
        <v>-0.312300850583403</v>
      </c>
      <c r="M126" s="0" t="n">
        <v>-0.680328214263236</v>
      </c>
      <c r="N126" s="0" t="n">
        <v>-1.05479209924394</v>
      </c>
      <c r="O126" s="0" t="n">
        <v>0.654057718333668</v>
      </c>
      <c r="P126" s="0" t="n">
        <v>-0.208159809520463</v>
      </c>
      <c r="Q126" s="0" t="n">
        <v>-0.479006216990944</v>
      </c>
      <c r="R126" s="0" t="n">
        <v>0.333889407095528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</row>
    <row r="127" customFormat="false" ht="15" hidden="false" customHeight="false" outlineLevel="0" collapsed="false">
      <c r="A127" s="0" t="s">
        <v>161</v>
      </c>
      <c r="B127" s="0" t="n">
        <v>1</v>
      </c>
      <c r="C127" s="0" t="n">
        <v>-0.275263538220844</v>
      </c>
      <c r="D127" s="0" t="n">
        <v>-0.697139640991691</v>
      </c>
      <c r="E127" s="0" t="n">
        <v>-0.942440150180691</v>
      </c>
      <c r="F127" s="0" t="n">
        <v>0.635329351650129</v>
      </c>
      <c r="G127" s="0" t="n">
        <v>1.13455434690561</v>
      </c>
      <c r="H127" s="0" t="n">
        <v>0.746625167219635</v>
      </c>
      <c r="I127" s="0" t="n">
        <v>1.51762311857464</v>
      </c>
      <c r="J127" s="0" t="n">
        <v>-0.067659484746046</v>
      </c>
      <c r="K127" s="0" t="n">
        <v>-0.149766442883367</v>
      </c>
      <c r="L127" s="0" t="n">
        <v>0.131698260101833</v>
      </c>
      <c r="M127" s="0" t="n">
        <v>-0.107974637549722</v>
      </c>
      <c r="N127" s="0" t="n">
        <v>-0.180160192575284</v>
      </c>
      <c r="O127" s="0" t="n">
        <v>-0.319185332251216</v>
      </c>
      <c r="P127" s="0" t="n">
        <v>-0.335176607133119</v>
      </c>
      <c r="Q127" s="0" t="n">
        <v>-0.300944850024711</v>
      </c>
      <c r="R127" s="0" t="n">
        <v>-0.248813617506255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1</v>
      </c>
      <c r="AI127" s="0" t="n">
        <v>0</v>
      </c>
      <c r="AJ127" s="0" t="n">
        <v>0</v>
      </c>
    </row>
    <row r="128" customFormat="false" ht="15" hidden="false" customHeight="false" outlineLevel="0" collapsed="false">
      <c r="A128" s="0" t="s">
        <v>162</v>
      </c>
      <c r="B128" s="0" t="n">
        <v>1</v>
      </c>
      <c r="C128" s="0" t="n">
        <v>-0.456600945916385</v>
      </c>
      <c r="D128" s="0" t="n">
        <v>-0.709117581944623</v>
      </c>
      <c r="E128" s="0" t="n">
        <v>-0.964114335870152</v>
      </c>
      <c r="F128" s="0" t="n">
        <v>0.441296137557443</v>
      </c>
      <c r="G128" s="0" t="n">
        <v>0.91542003014522</v>
      </c>
      <c r="H128" s="0" t="n">
        <v>0.583721252049509</v>
      </c>
      <c r="I128" s="0" t="n">
        <v>1.22326773971929</v>
      </c>
      <c r="J128" s="0" t="n">
        <v>-0.067659484746046</v>
      </c>
      <c r="K128" s="0" t="n">
        <v>-0.149766442883367</v>
      </c>
      <c r="L128" s="0" t="n">
        <v>0.131698260101833</v>
      </c>
      <c r="M128" s="0" t="n">
        <v>-0.107974637549722</v>
      </c>
      <c r="N128" s="0" t="n">
        <v>-0.180160192575284</v>
      </c>
      <c r="O128" s="0" t="n">
        <v>-0.319185332251216</v>
      </c>
      <c r="P128" s="0" t="n">
        <v>-0.335176607133119</v>
      </c>
      <c r="Q128" s="0" t="n">
        <v>-0.300944850024711</v>
      </c>
      <c r="R128" s="0" t="n">
        <v>-0.248813617506255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1</v>
      </c>
      <c r="AI128" s="0" t="n">
        <v>0</v>
      </c>
      <c r="AJ128" s="0" t="n">
        <v>0</v>
      </c>
    </row>
    <row r="129" customFormat="false" ht="15" hidden="false" customHeight="false" outlineLevel="0" collapsed="false">
      <c r="A129" s="0" t="s">
        <v>163</v>
      </c>
      <c r="B129" s="0" t="n">
        <v>1</v>
      </c>
      <c r="C129" s="0" t="n">
        <v>-0.388362082916074</v>
      </c>
      <c r="D129" s="0" t="n">
        <v>-0.36687644194138</v>
      </c>
      <c r="E129" s="0" t="n">
        <v>-0.7940309793865</v>
      </c>
      <c r="F129" s="0" t="n">
        <v>-0.14475587987372</v>
      </c>
      <c r="G129" s="0" t="n">
        <v>0.607105012491954</v>
      </c>
      <c r="H129" s="0" t="n">
        <v>0.468076087632553</v>
      </c>
      <c r="I129" s="0" t="n">
        <v>1.89039513914909</v>
      </c>
      <c r="J129" s="0" t="n">
        <v>1.01601585086518</v>
      </c>
      <c r="K129" s="0" t="n">
        <v>-0.527549864860634</v>
      </c>
      <c r="L129" s="0" t="n">
        <v>1.09172953355095</v>
      </c>
      <c r="M129" s="0" t="n">
        <v>-0.179246980671033</v>
      </c>
      <c r="N129" s="0" t="n">
        <v>-0.815817141542624</v>
      </c>
      <c r="O129" s="0" t="n">
        <v>3</v>
      </c>
      <c r="P129" s="0" t="n">
        <v>0.493565533470471</v>
      </c>
      <c r="Q129" s="0" t="n">
        <v>0.341598223169592</v>
      </c>
      <c r="R129" s="0" t="n">
        <v>-0.00812006949764761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1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0.517702621891992</v>
      </c>
      <c r="AJ129" s="0" t="n">
        <v>0.333333333333333</v>
      </c>
    </row>
    <row r="130" customFormat="false" ht="15" hidden="false" customHeight="false" outlineLevel="0" collapsed="false">
      <c r="A130" s="0" t="s">
        <v>164</v>
      </c>
      <c r="B130" s="0" t="n">
        <v>1</v>
      </c>
      <c r="C130" s="0" t="n">
        <v>-0.362093458304157</v>
      </c>
      <c r="D130" s="0" t="n">
        <v>-0.376958197137974</v>
      </c>
      <c r="E130" s="0" t="n">
        <v>-0.81114689955779</v>
      </c>
      <c r="F130" s="0" t="n">
        <v>-0.102442554932262</v>
      </c>
      <c r="G130" s="0" t="n">
        <v>0.681944250658556</v>
      </c>
      <c r="H130" s="0" t="n">
        <v>0.513808971174766</v>
      </c>
      <c r="I130" s="0" t="n">
        <v>1.87348724354992</v>
      </c>
      <c r="J130" s="0" t="n">
        <v>-0.547283867921466</v>
      </c>
      <c r="K130" s="0" t="n">
        <v>0.111011877695869</v>
      </c>
      <c r="L130" s="0" t="n">
        <v>1.16748770606242</v>
      </c>
      <c r="M130" s="0" t="n">
        <v>-0.321172650116155</v>
      </c>
      <c r="N130" s="0" t="n">
        <v>-0.0912894537912607</v>
      </c>
      <c r="O130" s="0" t="n">
        <v>-0.391925173654388</v>
      </c>
      <c r="P130" s="0" t="n">
        <v>-0.715494966350311</v>
      </c>
      <c r="Q130" s="0" t="n">
        <v>-0.554234079817803</v>
      </c>
      <c r="R130" s="0" t="n">
        <v>0.0713005373593229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0.107853532755501</v>
      </c>
      <c r="AJ130" s="0" t="n">
        <v>0</v>
      </c>
    </row>
    <row r="131" customFormat="false" ht="15" hidden="false" customHeight="false" outlineLevel="0" collapsed="false">
      <c r="A131" s="0" t="s">
        <v>165</v>
      </c>
      <c r="B131" s="0" t="n">
        <v>1</v>
      </c>
      <c r="C131" s="0" t="n">
        <v>-0.357091662963602</v>
      </c>
      <c r="D131" s="0" t="n">
        <v>-0.38002259811174</v>
      </c>
      <c r="E131" s="0" t="n">
        <v>-0.798626724790129</v>
      </c>
      <c r="F131" s="0" t="n">
        <v>-0.0924769475075667</v>
      </c>
      <c r="G131" s="0" t="n">
        <v>0.660816329211582</v>
      </c>
      <c r="H131" s="0" t="n">
        <v>0.505274077064645</v>
      </c>
      <c r="I131" s="0" t="n">
        <v>0.358612740758784</v>
      </c>
      <c r="J131" s="0" t="n">
        <v>0.116129731389691</v>
      </c>
      <c r="K131" s="0" t="n">
        <v>-0.214086654490772</v>
      </c>
      <c r="L131" s="0" t="n">
        <v>0.466716309230323</v>
      </c>
      <c r="M131" s="0" t="n">
        <v>-0.292119369433812</v>
      </c>
      <c r="N131" s="0" t="n">
        <v>-0.431566779632514</v>
      </c>
      <c r="O131" s="0" t="n">
        <v>-0.309144878133789</v>
      </c>
      <c r="P131" s="0" t="n">
        <v>-0.545979799876547</v>
      </c>
      <c r="Q131" s="0" t="n">
        <v>-0.59260145409243</v>
      </c>
      <c r="R131" s="0" t="n">
        <v>-0.638785090198484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1</v>
      </c>
      <c r="Y131" s="0" t="n">
        <v>0</v>
      </c>
      <c r="Z131" s="0" t="n">
        <v>0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</row>
    <row r="132" customFormat="false" ht="15" hidden="false" customHeight="false" outlineLevel="0" collapsed="false">
      <c r="A132" s="0" t="s">
        <v>166</v>
      </c>
      <c r="B132" s="0" t="n">
        <v>1</v>
      </c>
      <c r="C132" s="0" t="n">
        <v>0.0333466879039191</v>
      </c>
      <c r="D132" s="0" t="n">
        <v>-0.252417201836348</v>
      </c>
      <c r="E132" s="0" t="n">
        <v>-0.833459897133956</v>
      </c>
      <c r="F132" s="0" t="n">
        <v>0.0799083742447393</v>
      </c>
      <c r="G132" s="0" t="n">
        <v>1.29538438157633</v>
      </c>
      <c r="H132" s="0" t="n">
        <v>0.945082989814489</v>
      </c>
      <c r="I132" s="0" t="n">
        <v>0.881768935715719</v>
      </c>
      <c r="J132" s="0" t="n">
        <v>-0.062279764724389</v>
      </c>
      <c r="K132" s="0" t="n">
        <v>-0.863978386861695</v>
      </c>
      <c r="L132" s="0" t="n">
        <v>-1.23644529306734</v>
      </c>
      <c r="M132" s="0" t="n">
        <v>0.540214748769339</v>
      </c>
      <c r="N132" s="0" t="n">
        <v>0.0322049138600634</v>
      </c>
      <c r="O132" s="0" t="n">
        <v>1.20137598194679</v>
      </c>
      <c r="P132" s="0" t="n">
        <v>1.14708928459161</v>
      </c>
      <c r="Q132" s="0" t="n">
        <v>1.714526764371</v>
      </c>
      <c r="R132" s="0" t="n">
        <v>1.32271082488777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1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0.623149046787821</v>
      </c>
      <c r="AJ132" s="0" t="n">
        <v>0.333333333333333</v>
      </c>
    </row>
    <row r="133" customFormat="false" ht="15" hidden="false" customHeight="false" outlineLevel="0" collapsed="false">
      <c r="A133" s="0" t="s">
        <v>167</v>
      </c>
      <c r="B133" s="0" t="n">
        <v>1</v>
      </c>
      <c r="C133" s="0" t="n">
        <v>-0.422342003689794</v>
      </c>
      <c r="D133" s="0" t="n">
        <v>-0.305074210250994</v>
      </c>
      <c r="E133" s="0" t="n">
        <v>-0.910558894552638</v>
      </c>
      <c r="F133" s="0" t="n">
        <v>-0.271695403955761</v>
      </c>
      <c r="G133" s="0" t="n">
        <v>0.830503156158286</v>
      </c>
      <c r="H133" s="0" t="n">
        <v>0.560449083453732</v>
      </c>
      <c r="I133" s="0" t="n">
        <v>1.15215365425469</v>
      </c>
      <c r="J133" s="0" t="n">
        <v>-1.36200701095679</v>
      </c>
      <c r="K133" s="0" t="n">
        <v>1.19425248554209</v>
      </c>
      <c r="L133" s="0" t="n">
        <v>0.208232589590099</v>
      </c>
      <c r="M133" s="0" t="n">
        <v>0.907046736766414</v>
      </c>
      <c r="N133" s="0" t="n">
        <v>0.402277053860122</v>
      </c>
      <c r="O133" s="0" t="n">
        <v>-0.351658753339127</v>
      </c>
      <c r="P133" s="0" t="n">
        <v>-0.0675059891902521</v>
      </c>
      <c r="Q133" s="0" t="n">
        <v>0.0255982702027657</v>
      </c>
      <c r="R133" s="0" t="n">
        <v>0.153364143454762</v>
      </c>
      <c r="S133" s="0" t="n">
        <v>0</v>
      </c>
      <c r="T133" s="0" t="n">
        <v>1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1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</row>
    <row r="134" customFormat="false" ht="15" hidden="false" customHeight="false" outlineLevel="0" collapsed="false">
      <c r="A134" s="0" t="s">
        <v>168</v>
      </c>
      <c r="B134" s="0" t="n">
        <v>1</v>
      </c>
      <c r="C134" s="0" t="n">
        <v>0.302342255764474</v>
      </c>
      <c r="D134" s="0" t="n">
        <v>-0.262277569431158</v>
      </c>
      <c r="E134" s="0" t="n">
        <v>-0.849024507453889</v>
      </c>
      <c r="F134" s="0" t="n">
        <v>0.34864077428936</v>
      </c>
      <c r="G134" s="0" t="n">
        <v>1.72292533706543</v>
      </c>
      <c r="H134" s="0" t="n">
        <v>1.23887649093954</v>
      </c>
      <c r="I134" s="0" t="n">
        <v>-1.03261043759226</v>
      </c>
      <c r="J134" s="0" t="n">
        <v>0.594836568088165</v>
      </c>
      <c r="K134" s="0" t="n">
        <v>-0.913372558799506</v>
      </c>
      <c r="L134" s="0" t="n">
        <v>-1.82488871620405</v>
      </c>
      <c r="M134" s="0" t="n">
        <v>0.19988478949103</v>
      </c>
      <c r="N134" s="0" t="n">
        <v>-0.0627275284941995</v>
      </c>
      <c r="O134" s="0" t="n">
        <v>0.117771493358601</v>
      </c>
      <c r="P134" s="0" t="n">
        <v>-0.665874176392777</v>
      </c>
      <c r="Q134" s="0" t="n">
        <v>-0.456240237041733</v>
      </c>
      <c r="R134" s="0" t="n">
        <v>-0.139342639864028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1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</row>
    <row r="135" customFormat="false" ht="15" hidden="false" customHeight="false" outlineLevel="0" collapsed="false">
      <c r="A135" s="0" t="s">
        <v>169</v>
      </c>
      <c r="B135" s="0" t="n">
        <v>1</v>
      </c>
      <c r="C135" s="0" t="n">
        <v>-0.35882682841383</v>
      </c>
      <c r="D135" s="0" t="n">
        <v>-0.332933066020396</v>
      </c>
      <c r="E135" s="0" t="n">
        <v>-0.792946688661981</v>
      </c>
      <c r="F135" s="0" t="n">
        <v>-0.16846811538406</v>
      </c>
      <c r="G135" s="0" t="n">
        <v>0.645765570988832</v>
      </c>
      <c r="H135" s="0" t="n">
        <v>0.49728175518261</v>
      </c>
      <c r="I135" s="0" t="n">
        <v>0.356286893748948</v>
      </c>
      <c r="J135" s="0" t="n">
        <v>0.0745320078983632</v>
      </c>
      <c r="K135" s="0" t="n">
        <v>-0.386197314579366</v>
      </c>
      <c r="L135" s="0" t="n">
        <v>-0.483588292269219</v>
      </c>
      <c r="M135" s="0" t="n">
        <v>-1.40404593775441</v>
      </c>
      <c r="N135" s="0" t="n">
        <v>-0.413895372614188</v>
      </c>
      <c r="O135" s="0" t="n">
        <v>0.196240510710549</v>
      </c>
      <c r="P135" s="0" t="n">
        <v>-0.43434200974869</v>
      </c>
      <c r="Q135" s="0" t="n">
        <v>-0.347769678856657</v>
      </c>
      <c r="R135" s="0" t="n">
        <v>0.660152709890111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1</v>
      </c>
      <c r="Y135" s="0" t="n">
        <v>0</v>
      </c>
      <c r="Z135" s="0" t="n">
        <v>0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</row>
    <row r="136" customFormat="false" ht="15" hidden="false" customHeight="false" outlineLevel="0" collapsed="false">
      <c r="A136" s="0" t="s">
        <v>170</v>
      </c>
      <c r="B136" s="0" t="n">
        <v>1</v>
      </c>
      <c r="C136" s="0" t="n">
        <v>-0.662620936971476</v>
      </c>
      <c r="D136" s="0" t="n">
        <v>-0.397965140859224</v>
      </c>
      <c r="E136" s="0" t="n">
        <v>-0.765377711190338</v>
      </c>
      <c r="F136" s="0" t="n">
        <v>-0.372802737587981</v>
      </c>
      <c r="G136" s="0" t="n">
        <v>0.169927329901482</v>
      </c>
      <c r="H136" s="0" t="n">
        <v>0.154564139913394</v>
      </c>
      <c r="I136" s="0" t="n">
        <v>0.541596380790281</v>
      </c>
      <c r="J136" s="0" t="n">
        <v>0.17301138623676</v>
      </c>
      <c r="K136" s="0" t="n">
        <v>-0.164338566714134</v>
      </c>
      <c r="L136" s="0" t="n">
        <v>0.468039876830593</v>
      </c>
      <c r="M136" s="0" t="n">
        <v>-0.800000955719938</v>
      </c>
      <c r="N136" s="0" t="n">
        <v>-0.742049291314961</v>
      </c>
      <c r="O136" s="0" t="n">
        <v>-0.271974811985385</v>
      </c>
      <c r="P136" s="0" t="n">
        <v>-0.606099222028374</v>
      </c>
      <c r="Q136" s="0" t="n">
        <v>-0.475755548749567</v>
      </c>
      <c r="R136" s="0" t="n">
        <v>0.492789774214526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</row>
    <row r="137" customFormat="false" ht="15" hidden="false" customHeight="false" outlineLevel="0" collapsed="false">
      <c r="A137" s="0" t="s">
        <v>171</v>
      </c>
      <c r="B137" s="0" t="n">
        <v>1</v>
      </c>
      <c r="C137" s="0" t="n">
        <v>-0.196281286030857</v>
      </c>
      <c r="D137" s="0" t="n">
        <v>-0.183720636068358</v>
      </c>
      <c r="E137" s="0" t="n">
        <v>-0.633683628714416</v>
      </c>
      <c r="F137" s="0" t="n">
        <v>-0.233387652659962</v>
      </c>
      <c r="G137" s="0" t="n">
        <v>0.529077665802453</v>
      </c>
      <c r="H137" s="0" t="n">
        <v>0.490498175453626</v>
      </c>
      <c r="I137" s="0" t="n">
        <v>0.911883402583682</v>
      </c>
      <c r="J137" s="0" t="n">
        <v>-0.067659484746046</v>
      </c>
      <c r="K137" s="0" t="n">
        <v>-0.149766442883367</v>
      </c>
      <c r="L137" s="0" t="n">
        <v>0.131698260101833</v>
      </c>
      <c r="M137" s="0" t="n">
        <v>-0.107974637549722</v>
      </c>
      <c r="N137" s="0" t="n">
        <v>-0.180160192575284</v>
      </c>
      <c r="O137" s="0" t="n">
        <v>-0.319185332251216</v>
      </c>
      <c r="P137" s="0" t="n">
        <v>-0.335176607133119</v>
      </c>
      <c r="Q137" s="0" t="n">
        <v>-0.300944850024711</v>
      </c>
      <c r="R137" s="0" t="n">
        <v>-0.248813617506255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1</v>
      </c>
      <c r="AI137" s="0" t="n">
        <v>0.51840655792664</v>
      </c>
      <c r="AJ137" s="0" t="n">
        <v>0.333333333333333</v>
      </c>
    </row>
    <row r="138" customFormat="false" ht="15" hidden="false" customHeight="false" outlineLevel="0" collapsed="false">
      <c r="A138" s="0" t="s">
        <v>172</v>
      </c>
      <c r="B138" s="0" t="n">
        <v>1</v>
      </c>
      <c r="C138" s="0" t="n">
        <v>-0.510282942377834</v>
      </c>
      <c r="D138" s="0" t="n">
        <v>-0.382501855762211</v>
      </c>
      <c r="E138" s="0" t="n">
        <v>-0.547097713572153</v>
      </c>
      <c r="F138" s="0" t="n">
        <v>-0.242361411079154</v>
      </c>
      <c r="G138" s="0" t="n">
        <v>-0.017553952342747</v>
      </c>
      <c r="H138" s="0" t="n">
        <v>0.0727861435853294</v>
      </c>
      <c r="I138" s="0" t="n">
        <v>0.578407922107665</v>
      </c>
      <c r="J138" s="0" t="n">
        <v>-0.337654556412305</v>
      </c>
      <c r="K138" s="0" t="n">
        <v>-0.195204296298375</v>
      </c>
      <c r="L138" s="0" t="n">
        <v>0.0890124070600146</v>
      </c>
      <c r="M138" s="0" t="n">
        <v>-0.543380748098042</v>
      </c>
      <c r="N138" s="0" t="n">
        <v>-0.36088115155921</v>
      </c>
      <c r="O138" s="0" t="n">
        <v>-0.663399277516181</v>
      </c>
      <c r="P138" s="0" t="n">
        <v>-0.534391696506581</v>
      </c>
      <c r="Q138" s="0" t="n">
        <v>-0.316916323642605</v>
      </c>
      <c r="R138" s="0" t="n">
        <v>-0.379473779171153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0.0294787235093584</v>
      </c>
      <c r="AJ138" s="0" t="n">
        <v>0</v>
      </c>
    </row>
    <row r="139" customFormat="false" ht="15" hidden="false" customHeight="false" outlineLevel="0" collapsed="false">
      <c r="A139" s="0" t="s">
        <v>173</v>
      </c>
      <c r="B139" s="0" t="n">
        <v>1</v>
      </c>
      <c r="C139" s="0" t="n">
        <v>-0.491796634415326</v>
      </c>
      <c r="D139" s="0" t="n">
        <v>-0.359309536059769</v>
      </c>
      <c r="E139" s="0" t="n">
        <v>-0.544871036949215</v>
      </c>
      <c r="F139" s="0" t="n">
        <v>-0.259205592846923</v>
      </c>
      <c r="G139" s="0" t="n">
        <v>0.00137859518817798</v>
      </c>
      <c r="H139" s="0" t="n">
        <v>0.0893745571680096</v>
      </c>
      <c r="I139" s="0" t="n">
        <v>0.357731243866589</v>
      </c>
      <c r="J139" s="0" t="n">
        <v>0.923804230038553</v>
      </c>
      <c r="K139" s="0" t="n">
        <v>-0.267715525700772</v>
      </c>
      <c r="L139" s="0" t="n">
        <v>-0.335850755036474</v>
      </c>
      <c r="M139" s="0" t="n">
        <v>0.0628404538206499</v>
      </c>
      <c r="N139" s="0" t="n">
        <v>-0.869242325551517</v>
      </c>
      <c r="O139" s="0" t="n">
        <v>0.575021763519262</v>
      </c>
      <c r="P139" s="0" t="n">
        <v>1.12070796306649</v>
      </c>
      <c r="Q139" s="0" t="n">
        <v>1.87913684997288</v>
      </c>
      <c r="R139" s="0" t="n">
        <v>0.519256231514331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1</v>
      </c>
      <c r="Y139" s="0" t="n">
        <v>0</v>
      </c>
      <c r="Z139" s="0" t="n">
        <v>0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0.0580911126932551</v>
      </c>
      <c r="AJ139" s="0" t="n">
        <v>0.333333333333333</v>
      </c>
    </row>
    <row r="140" customFormat="false" ht="15" hidden="false" customHeight="false" outlineLevel="0" collapsed="false">
      <c r="A140" s="0" t="s">
        <v>174</v>
      </c>
      <c r="B140" s="0" t="n">
        <v>1</v>
      </c>
      <c r="C140" s="0" t="n">
        <v>-0.594631400166277</v>
      </c>
      <c r="D140" s="0" t="n">
        <v>-0.447919632747113</v>
      </c>
      <c r="E140" s="0" t="n">
        <v>-0.544874579691429</v>
      </c>
      <c r="F140" s="0" t="n">
        <v>-0.225960080018129</v>
      </c>
      <c r="G140" s="0" t="n">
        <v>-0.123944758527825</v>
      </c>
      <c r="H140" s="0" t="n">
        <v>-0.0164342242594057</v>
      </c>
      <c r="I140" s="0" t="n">
        <v>0.241543484224793</v>
      </c>
      <c r="J140" s="0" t="n">
        <v>-0.328559734730712</v>
      </c>
      <c r="K140" s="0" t="n">
        <v>0.127437689069467</v>
      </c>
      <c r="L140" s="0" t="n">
        <v>0.915622196761601</v>
      </c>
      <c r="M140" s="0" t="n">
        <v>0.174921350970936</v>
      </c>
      <c r="N140" s="0" t="n">
        <v>-0.451498482897369</v>
      </c>
      <c r="O140" s="0" t="n">
        <v>-0.73951422178928</v>
      </c>
      <c r="P140" s="0" t="n">
        <v>-0.647261243934701</v>
      </c>
      <c r="Q140" s="0" t="n">
        <v>-0.529662692792564</v>
      </c>
      <c r="R140" s="0" t="n">
        <v>1.22895199415958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</row>
    <row r="141" customFormat="false" ht="15" hidden="false" customHeight="false" outlineLevel="0" collapsed="false">
      <c r="A141" s="0" t="s">
        <v>175</v>
      </c>
      <c r="B141" s="0" t="n">
        <v>1</v>
      </c>
      <c r="C141" s="0" t="n">
        <v>-0.525661486055834</v>
      </c>
      <c r="D141" s="0" t="n">
        <v>-0.638616433969229</v>
      </c>
      <c r="E141" s="0" t="n">
        <v>-0.446766794949875</v>
      </c>
      <c r="F141" s="0" t="n">
        <v>0.200718861772218</v>
      </c>
      <c r="G141" s="0" t="n">
        <v>-0.190009985135745</v>
      </c>
      <c r="H141" s="0" t="n">
        <v>-0.0526752273463818</v>
      </c>
      <c r="I141" s="0" t="n">
        <v>-1.204940520263</v>
      </c>
      <c r="J141" s="0" t="n">
        <v>-0.370202400240425</v>
      </c>
      <c r="K141" s="0" t="n">
        <v>0.22505074022686</v>
      </c>
      <c r="L141" s="0" t="n">
        <v>0.924662980381468</v>
      </c>
      <c r="M141" s="0" t="n">
        <v>0.281768465813855</v>
      </c>
      <c r="N141" s="0" t="n">
        <v>-0.359853744174423</v>
      </c>
      <c r="O141" s="0" t="n">
        <v>-0.59959617283978</v>
      </c>
      <c r="P141" s="0" t="n">
        <v>-0.485128541988063</v>
      </c>
      <c r="Q141" s="0" t="n">
        <v>-0.498697145234334</v>
      </c>
      <c r="R141" s="0" t="n">
        <v>-0.169245694264317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1</v>
      </c>
      <c r="Y141" s="0" t="n">
        <v>0</v>
      </c>
      <c r="Z141" s="0" t="n">
        <v>0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</row>
    <row r="142" customFormat="false" ht="15" hidden="false" customHeight="false" outlineLevel="0" collapsed="false">
      <c r="A142" s="0" t="s">
        <v>176</v>
      </c>
      <c r="B142" s="0" t="n">
        <v>1</v>
      </c>
      <c r="C142" s="0" t="n">
        <v>0.0576375920683884</v>
      </c>
      <c r="D142" s="0" t="n">
        <v>-0.565929830836077</v>
      </c>
      <c r="E142" s="0" t="n">
        <v>-0.625691127688986</v>
      </c>
      <c r="F142" s="0" t="n">
        <v>0.710086558484725</v>
      </c>
      <c r="G142" s="0" t="n">
        <v>0.835741873354783</v>
      </c>
      <c r="H142" s="0" t="n">
        <v>0.743036155275157</v>
      </c>
      <c r="I142" s="0" t="n">
        <v>-0.317197022467425</v>
      </c>
      <c r="J142" s="0" t="n">
        <v>-0.502517848269612</v>
      </c>
      <c r="K142" s="0" t="n">
        <v>-0.349623068874312</v>
      </c>
      <c r="L142" s="0" t="n">
        <v>0.161410098565951</v>
      </c>
      <c r="M142" s="0" t="n">
        <v>1.49008420247121</v>
      </c>
      <c r="N142" s="0" t="n">
        <v>0.324810537047228</v>
      </c>
      <c r="O142" s="0" t="n">
        <v>-0.00464232205050286</v>
      </c>
      <c r="P142" s="0" t="n">
        <v>-0.155232941922325</v>
      </c>
      <c r="Q142" s="0" t="n">
        <v>-0.0511769130121146</v>
      </c>
      <c r="R142" s="0" t="n">
        <v>-0.148426559805434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1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0.416828731899586</v>
      </c>
      <c r="AJ142" s="0" t="n">
        <v>0.333333333333333</v>
      </c>
    </row>
    <row r="143" customFormat="false" ht="15" hidden="false" customHeight="false" outlineLevel="0" collapsed="false">
      <c r="A143" s="0" t="s">
        <v>177</v>
      </c>
      <c r="B143" s="0" t="n">
        <v>1</v>
      </c>
      <c r="C143" s="0" t="n">
        <v>-0.608167455851453</v>
      </c>
      <c r="D143" s="0" t="n">
        <v>-0.359423336135539</v>
      </c>
      <c r="E143" s="0" t="n">
        <v>-0.574555298057157</v>
      </c>
      <c r="F143" s="0" t="n">
        <v>-0.374424477106964</v>
      </c>
      <c r="G143" s="0" t="n">
        <v>-0.0936073590345506</v>
      </c>
      <c r="H143" s="0" t="n">
        <v>0.0020716098499782</v>
      </c>
      <c r="I143" s="0" t="n">
        <v>0.539251060262259</v>
      </c>
      <c r="J143" s="0" t="n">
        <v>-1.30936318355217</v>
      </c>
      <c r="K143" s="0" t="n">
        <v>1.95623462096896</v>
      </c>
      <c r="L143" s="0" t="n">
        <v>0.655225670730651</v>
      </c>
      <c r="M143" s="0" t="n">
        <v>0.148559839786103</v>
      </c>
      <c r="N143" s="0" t="n">
        <v>0.127753800645198</v>
      </c>
      <c r="O143" s="0" t="n">
        <v>-0.545935163222756</v>
      </c>
      <c r="P143" s="0" t="n">
        <v>-0.093095340426222</v>
      </c>
      <c r="Q143" s="0" t="n">
        <v>0.0117828948524652</v>
      </c>
      <c r="R143" s="0" t="n">
        <v>-0.538121283904433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1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</row>
    <row r="144" customFormat="false" ht="15" hidden="false" customHeight="false" outlineLevel="0" collapsed="false">
      <c r="A144" s="0" t="s">
        <v>178</v>
      </c>
      <c r="B144" s="0" t="n">
        <v>1</v>
      </c>
      <c r="C144" s="0" t="n">
        <v>0.136803500760322</v>
      </c>
      <c r="D144" s="0" t="n">
        <v>-0.556162010608554</v>
      </c>
      <c r="E144" s="0" t="n">
        <v>-0.687380606070334</v>
      </c>
      <c r="F144" s="0" t="n">
        <v>0.775820680057112</v>
      </c>
      <c r="G144" s="0" t="n">
        <v>1.07485848705723</v>
      </c>
      <c r="H144" s="0" t="n">
        <v>0.891906269997725</v>
      </c>
      <c r="I144" s="0" t="n">
        <v>-0.0918719188766042</v>
      </c>
      <c r="J144" s="0" t="n">
        <v>-0.635397318381812</v>
      </c>
      <c r="K144" s="0" t="n">
        <v>-0.364881845392173</v>
      </c>
      <c r="L144" s="0" t="n">
        <v>0.485675799998884</v>
      </c>
      <c r="M144" s="0" t="n">
        <v>-0.405023323949234</v>
      </c>
      <c r="N144" s="0" t="n">
        <v>0.500908162799615</v>
      </c>
      <c r="O144" s="0" t="n">
        <v>-0.0365903405111532</v>
      </c>
      <c r="P144" s="0" t="n">
        <v>-0.335352978849397</v>
      </c>
      <c r="Q144" s="0" t="n">
        <v>-0.0546520706896604</v>
      </c>
      <c r="R144" s="0" t="n">
        <v>-0.124877724871894</v>
      </c>
      <c r="S144" s="0" t="n">
        <v>1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0.511837388105899</v>
      </c>
      <c r="AJ144" s="0" t="n">
        <v>0.333333333333333</v>
      </c>
    </row>
    <row r="145" customFormat="false" ht="15" hidden="false" customHeight="false" outlineLevel="0" collapsed="false">
      <c r="A145" s="0" t="s">
        <v>179</v>
      </c>
      <c r="B145" s="0" t="n">
        <v>1</v>
      </c>
      <c r="C145" s="0" t="n">
        <v>0.0917156766553724</v>
      </c>
      <c r="D145" s="0" t="n">
        <v>-0.57656026805306</v>
      </c>
      <c r="E145" s="0" t="n">
        <v>-0.687033937024961</v>
      </c>
      <c r="F145" s="0" t="n">
        <v>0.773498230299019</v>
      </c>
      <c r="G145" s="0" t="n">
        <v>1.01493966675087</v>
      </c>
      <c r="H145" s="0" t="n">
        <v>0.84513396795124</v>
      </c>
      <c r="I145" s="0" t="n">
        <v>-1.29067171486917</v>
      </c>
      <c r="J145" s="0" t="n">
        <v>-1.10287060342163</v>
      </c>
      <c r="K145" s="0" t="n">
        <v>-0.0839779442578759</v>
      </c>
      <c r="L145" s="0" t="n">
        <v>0.590146622879243</v>
      </c>
      <c r="M145" s="0" t="n">
        <v>0.307821172344486</v>
      </c>
      <c r="N145" s="0" t="n">
        <v>0.816322229929038</v>
      </c>
      <c r="O145" s="0" t="n">
        <v>-0.579763218198292</v>
      </c>
      <c r="P145" s="0" t="n">
        <v>-0.641907259202509</v>
      </c>
      <c r="Q145" s="0" t="n">
        <v>-0.506203628029422</v>
      </c>
      <c r="R145" s="0" t="n">
        <v>-0.326505571163973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1</v>
      </c>
      <c r="Y145" s="0" t="n">
        <v>0</v>
      </c>
      <c r="Z145" s="0" t="n">
        <v>0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0.956814399459448</v>
      </c>
      <c r="AJ145" s="0" t="n">
        <v>0.666666666666667</v>
      </c>
    </row>
    <row r="146" customFormat="false" ht="15" hidden="false" customHeight="false" outlineLevel="0" collapsed="false">
      <c r="A146" s="0" t="s">
        <v>180</v>
      </c>
      <c r="B146" s="0" t="n">
        <v>1</v>
      </c>
      <c r="C146" s="0" t="n">
        <v>-0.219139478528928</v>
      </c>
      <c r="D146" s="0" t="n">
        <v>-0.468755463486923</v>
      </c>
      <c r="E146" s="0" t="n">
        <v>-0.613415717040858</v>
      </c>
      <c r="F146" s="0" t="n">
        <v>0.20476504476804</v>
      </c>
      <c r="G146" s="0" t="n">
        <v>0.460660923479742</v>
      </c>
      <c r="H146" s="0" t="n">
        <v>0.444830116750885</v>
      </c>
      <c r="I146" s="0" t="n">
        <v>0.0888484969708475</v>
      </c>
      <c r="J146" s="0" t="n">
        <v>-0.34546406283711</v>
      </c>
      <c r="K146" s="0" t="n">
        <v>-0.27297115600898</v>
      </c>
      <c r="L146" s="0" t="n">
        <v>0.353802998280741</v>
      </c>
      <c r="M146" s="0" t="n">
        <v>-1.130271141039</v>
      </c>
      <c r="N146" s="0" t="n">
        <v>-0.0592343433859257</v>
      </c>
      <c r="O146" s="0" t="n">
        <v>0.739712932895609</v>
      </c>
      <c r="P146" s="0" t="n">
        <v>0.537043761110061</v>
      </c>
      <c r="Q146" s="0" t="n">
        <v>0.312319217860975</v>
      </c>
      <c r="R146" s="0" t="n">
        <v>-0.430578752156279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0.78728868981177</v>
      </c>
      <c r="AJ146" s="0" t="n">
        <v>0</v>
      </c>
    </row>
    <row r="147" customFormat="false" ht="15" hidden="false" customHeight="false" outlineLevel="0" collapsed="false">
      <c r="A147" s="0" t="s">
        <v>181</v>
      </c>
      <c r="B147" s="0" t="n">
        <v>1</v>
      </c>
      <c r="C147" s="0" t="n">
        <v>-0.0874942586452845</v>
      </c>
      <c r="D147" s="0" t="n">
        <v>-0.380637038582281</v>
      </c>
      <c r="E147" s="0" t="n">
        <v>-0.623348874865529</v>
      </c>
      <c r="F147" s="0" t="n">
        <v>0.179087331344658</v>
      </c>
      <c r="G147" s="0" t="n">
        <v>0.646739915127678</v>
      </c>
      <c r="H147" s="0" t="n">
        <v>0.591142061983827</v>
      </c>
      <c r="I147" s="0" t="n">
        <v>-0.0591181133796382</v>
      </c>
      <c r="J147" s="0" t="n">
        <v>-0.131981812934211</v>
      </c>
      <c r="K147" s="0" t="n">
        <v>0.183531027871613</v>
      </c>
      <c r="L147" s="0" t="n">
        <v>-0.427862517374174</v>
      </c>
      <c r="M147" s="0" t="n">
        <v>1.07207394904652</v>
      </c>
      <c r="N147" s="0" t="n">
        <v>-0.0471109362454461</v>
      </c>
      <c r="O147" s="0" t="n">
        <v>0.943307110541065</v>
      </c>
      <c r="P147" s="0" t="n">
        <v>0.202469120650742</v>
      </c>
      <c r="Q147" s="0" t="n">
        <v>-0.458084151326311</v>
      </c>
      <c r="R147" s="0" t="n">
        <v>2.78300491257751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1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0.445423823647586</v>
      </c>
      <c r="AJ147" s="0" t="n">
        <v>0</v>
      </c>
    </row>
    <row r="148" customFormat="false" ht="15" hidden="false" customHeight="false" outlineLevel="0" collapsed="false">
      <c r="A148" s="0" t="s">
        <v>182</v>
      </c>
      <c r="B148" s="0" t="n">
        <v>1</v>
      </c>
      <c r="C148" s="0" t="n">
        <v>0.890209010423199</v>
      </c>
      <c r="D148" s="0" t="n">
        <v>0.0178322110053073</v>
      </c>
      <c r="E148" s="0" t="n">
        <v>-0.269275156610426</v>
      </c>
      <c r="F148" s="0" t="n">
        <v>0.40185598378024</v>
      </c>
      <c r="G148" s="0" t="n">
        <v>1.0892813949441</v>
      </c>
      <c r="H148" s="0" t="n">
        <v>1.210240465642</v>
      </c>
      <c r="I148" s="0" t="n">
        <v>0.777959427747874</v>
      </c>
      <c r="J148" s="0" t="n">
        <v>1.20973403190234</v>
      </c>
      <c r="K148" s="0" t="n">
        <v>-1.03532422875757</v>
      </c>
      <c r="L148" s="0" t="n">
        <v>-1.314487015611</v>
      </c>
      <c r="M148" s="0" t="n">
        <v>1.21188867850836</v>
      </c>
      <c r="N148" s="0" t="n">
        <v>0.1306305413226</v>
      </c>
      <c r="O148" s="0" t="n">
        <v>0.617133615009024</v>
      </c>
      <c r="P148" s="0" t="n">
        <v>-0.453378826609495</v>
      </c>
      <c r="Q148" s="0" t="n">
        <v>-0.403652491196429</v>
      </c>
      <c r="R148" s="0" t="n">
        <v>-0.972766009860547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1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0.298285990659806</v>
      </c>
      <c r="AJ148" s="0" t="n">
        <v>0</v>
      </c>
    </row>
    <row r="149" customFormat="false" ht="15" hidden="false" customHeight="false" outlineLevel="0" collapsed="false">
      <c r="A149" s="0" t="s">
        <v>183</v>
      </c>
      <c r="B149" s="0" t="n">
        <v>1</v>
      </c>
      <c r="C149" s="0" t="n">
        <v>-0.0635909865590151</v>
      </c>
      <c r="D149" s="0" t="n">
        <v>0.220361156220073</v>
      </c>
      <c r="E149" s="0" t="n">
        <v>-0.0226164234554358</v>
      </c>
      <c r="F149" s="0" t="n">
        <v>-0.597486971520081</v>
      </c>
      <c r="G149" s="0" t="n">
        <v>-0.258233455069631</v>
      </c>
      <c r="H149" s="0" t="n">
        <v>-0.0407181569590662</v>
      </c>
      <c r="I149" s="0" t="n">
        <v>1.70099121630358</v>
      </c>
      <c r="J149" s="0" t="n">
        <v>-1.12719571635035</v>
      </c>
      <c r="K149" s="0" t="n">
        <v>0.247414725342693</v>
      </c>
      <c r="L149" s="0" t="n">
        <v>0.33300187481132</v>
      </c>
      <c r="M149" s="0" t="n">
        <v>-1.5898340849476</v>
      </c>
      <c r="N149" s="0" t="n">
        <v>0.651115122455386</v>
      </c>
      <c r="O149" s="0" t="n">
        <v>-0.208315720226954</v>
      </c>
      <c r="P149" s="0" t="n">
        <v>-0.158720354129824</v>
      </c>
      <c r="Q149" s="0" t="n">
        <v>0.13632726481786</v>
      </c>
      <c r="R149" s="0" t="n">
        <v>-0.0260069263170294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1</v>
      </c>
      <c r="X149" s="0" t="n">
        <v>0</v>
      </c>
      <c r="Y149" s="0" t="n">
        <v>0</v>
      </c>
      <c r="Z149" s="0" t="n">
        <v>0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0.823913126819522</v>
      </c>
      <c r="AJ149" s="0" t="n">
        <v>0.333333333333333</v>
      </c>
    </row>
    <row r="150" customFormat="false" ht="15" hidden="false" customHeight="false" outlineLevel="0" collapsed="false">
      <c r="A150" s="0" t="s">
        <v>184</v>
      </c>
      <c r="B150" s="0" t="n">
        <v>1</v>
      </c>
      <c r="C150" s="0" t="n">
        <v>-0.561203252424435</v>
      </c>
      <c r="D150" s="0" t="n">
        <v>0.222911374063187</v>
      </c>
      <c r="E150" s="0" t="n">
        <v>-0.0645582984852028</v>
      </c>
      <c r="F150" s="0" t="n">
        <v>-0.971296367621954</v>
      </c>
      <c r="G150" s="0" t="n">
        <v>-0.69741225011447</v>
      </c>
      <c r="H150" s="0" t="n">
        <v>-0.506907914982485</v>
      </c>
      <c r="I150" s="0" t="n">
        <v>1.30798295898768</v>
      </c>
      <c r="J150" s="0" t="n">
        <v>-1.23838355575096</v>
      </c>
      <c r="K150" s="0" t="n">
        <v>1.89905634072434</v>
      </c>
      <c r="L150" s="0" t="n">
        <v>0.887851376509003</v>
      </c>
      <c r="M150" s="0" t="n">
        <v>0.07810587832321</v>
      </c>
      <c r="N150" s="0" t="n">
        <v>0.133712763476959</v>
      </c>
      <c r="O150" s="0" t="n">
        <v>-0.484259485719661</v>
      </c>
      <c r="P150" s="0" t="n">
        <v>-0.359420696129813</v>
      </c>
      <c r="Q150" s="0" t="n">
        <v>-0.464609339656907</v>
      </c>
      <c r="R150" s="0" t="n">
        <v>0.622431073767411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0.451192949405189</v>
      </c>
      <c r="AJ150" s="0" t="n">
        <v>0</v>
      </c>
    </row>
    <row r="151" customFormat="false" ht="15" hidden="false" customHeight="false" outlineLevel="0" collapsed="false">
      <c r="A151" s="0" t="s">
        <v>185</v>
      </c>
      <c r="B151" s="0" t="n">
        <v>1</v>
      </c>
      <c r="C151" s="0" t="n">
        <v>-0.200069251206365</v>
      </c>
      <c r="D151" s="0" t="n">
        <v>0.230226660488689</v>
      </c>
      <c r="E151" s="0" t="n">
        <v>-0.168692720712997</v>
      </c>
      <c r="F151" s="0" t="n">
        <v>-0.708741695367615</v>
      </c>
      <c r="G151" s="0" t="n">
        <v>-0.214190840645845</v>
      </c>
      <c r="H151" s="0" t="n">
        <v>-0.0215223949654727</v>
      </c>
      <c r="I151" s="0" t="n">
        <v>0.749582841167513</v>
      </c>
      <c r="J151" s="0" t="n">
        <v>2.29679239082718</v>
      </c>
      <c r="K151" s="0" t="n">
        <v>-0.21990220396674</v>
      </c>
      <c r="L151" s="0" t="n">
        <v>0.823415025235726</v>
      </c>
      <c r="M151" s="0" t="n">
        <v>-0.399107657522982</v>
      </c>
      <c r="N151" s="0" t="n">
        <v>-1.05376469185915</v>
      </c>
      <c r="O151" s="0" t="n">
        <v>-0.31711489372544</v>
      </c>
      <c r="P151" s="0" t="n">
        <v>-0.0271267799083967</v>
      </c>
      <c r="Q151" s="0" t="n">
        <v>0.307065255756956</v>
      </c>
      <c r="R151" s="0" t="n">
        <v>-0.22078124884908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0.65095443425651</v>
      </c>
      <c r="AJ151" s="0" t="n">
        <v>0.333333333333333</v>
      </c>
    </row>
    <row r="152" customFormat="false" ht="15" hidden="false" customHeight="false" outlineLevel="0" collapsed="false">
      <c r="A152" s="0" t="s">
        <v>186</v>
      </c>
      <c r="B152" s="0" t="n">
        <v>1</v>
      </c>
      <c r="C152" s="0" t="n">
        <v>-0.306799401612006</v>
      </c>
      <c r="D152" s="0" t="n">
        <v>0.405125722191747</v>
      </c>
      <c r="E152" s="0" t="n">
        <v>-0.15476347462191</v>
      </c>
      <c r="F152" s="0" t="n">
        <v>-0.935730724972898</v>
      </c>
      <c r="G152" s="0" t="n">
        <v>-0.340918474731384</v>
      </c>
      <c r="H152" s="0" t="n">
        <v>-0.146564541326079</v>
      </c>
      <c r="I152" s="0" t="n">
        <v>0.214783004584115</v>
      </c>
      <c r="J152" s="0" t="n">
        <v>-0.764022348227232</v>
      </c>
      <c r="K152" s="0" t="n">
        <v>-0.542735964942045</v>
      </c>
      <c r="L152" s="0" t="n">
        <v>-0.165486532661181</v>
      </c>
      <c r="M152" s="0" t="n">
        <v>-0.663287335456506</v>
      </c>
      <c r="N152" s="0" t="n">
        <v>0.103096023410324</v>
      </c>
      <c r="O152" s="0" t="n">
        <v>-0.226083088596344</v>
      </c>
      <c r="P152" s="0" t="n">
        <v>-0.335176607133119</v>
      </c>
      <c r="Q152" s="0" t="n">
        <v>-0.436900385940359</v>
      </c>
      <c r="R152" s="0" t="n">
        <v>-0.883665667219296</v>
      </c>
      <c r="S152" s="0" t="n">
        <v>0</v>
      </c>
      <c r="T152" s="0" t="n">
        <v>1</v>
      </c>
      <c r="U152" s="0" t="n">
        <v>0</v>
      </c>
      <c r="V152" s="0" t="n">
        <v>0</v>
      </c>
      <c r="W152" s="0" t="n">
        <v>0</v>
      </c>
      <c r="X152" s="0" t="n">
        <v>1</v>
      </c>
      <c r="Y152" s="0" t="n">
        <v>0</v>
      </c>
      <c r="Z152" s="0" t="n">
        <v>0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0.774553151211494</v>
      </c>
      <c r="AJ152" s="0" t="n">
        <v>0.666666666666667</v>
      </c>
    </row>
    <row r="153" customFormat="false" ht="15" hidden="false" customHeight="false" outlineLevel="0" collapsed="false">
      <c r="A153" s="0" t="s">
        <v>187</v>
      </c>
      <c r="B153" s="0" t="n">
        <v>1</v>
      </c>
      <c r="C153" s="0" t="n">
        <v>-0.19598181568597</v>
      </c>
      <c r="D153" s="0" t="n">
        <v>0.409019216407874</v>
      </c>
      <c r="E153" s="0" t="n">
        <v>-0.165452838555407</v>
      </c>
      <c r="F153" s="0" t="n">
        <v>-0.862162174450551</v>
      </c>
      <c r="G153" s="0" t="n">
        <v>-0.214138001488521</v>
      </c>
      <c r="H153" s="0" t="n">
        <v>-0.020857005357001</v>
      </c>
      <c r="I153" s="0" t="n">
        <v>-0.497104682972623</v>
      </c>
      <c r="J153" s="0" t="n">
        <v>0.359322763392492</v>
      </c>
      <c r="K153" s="0" t="n">
        <v>-0.389151791767128</v>
      </c>
      <c r="L153" s="0" t="n">
        <v>-1.1311535969088</v>
      </c>
      <c r="M153" s="0" t="n">
        <v>0.598808864293974</v>
      </c>
      <c r="N153" s="0" t="n">
        <v>-0.393758187872375</v>
      </c>
      <c r="O153" s="0" t="n">
        <v>-0.265069215438268</v>
      </c>
      <c r="P153" s="0" t="n">
        <v>-0.590298533570597</v>
      </c>
      <c r="Q153" s="0" t="n">
        <v>-0.415416411691324</v>
      </c>
      <c r="R153" s="0" t="n">
        <v>-0.166732102481054</v>
      </c>
      <c r="S153" s="0" t="n">
        <v>0</v>
      </c>
      <c r="T153" s="0" t="n">
        <v>1</v>
      </c>
      <c r="U153" s="0" t="n">
        <v>0</v>
      </c>
      <c r="V153" s="0" t="n">
        <v>0</v>
      </c>
      <c r="W153" s="0" t="n">
        <v>1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0.574111485330426</v>
      </c>
      <c r="AJ153" s="0" t="n">
        <v>0</v>
      </c>
    </row>
    <row r="154" customFormat="false" ht="15" hidden="false" customHeight="false" outlineLevel="0" collapsed="false">
      <c r="A154" s="0" t="s">
        <v>188</v>
      </c>
      <c r="B154" s="0" t="n">
        <v>1</v>
      </c>
      <c r="C154" s="0" t="n">
        <v>-0.560439285377783</v>
      </c>
      <c r="D154" s="0" t="n">
        <v>0.262806967367575</v>
      </c>
      <c r="E154" s="0" t="n">
        <v>-0.173054075978732</v>
      </c>
      <c r="F154" s="0" t="n">
        <v>-1.00335307038635</v>
      </c>
      <c r="G154" s="0" t="n">
        <v>-0.579470456920584</v>
      </c>
      <c r="H154" s="0" t="n">
        <v>-0.387562107791225</v>
      </c>
      <c r="I154" s="0" t="n">
        <v>-0.621449712045096</v>
      </c>
      <c r="J154" s="0" t="n">
        <v>-0.945955703464847</v>
      </c>
      <c r="K154" s="0" t="n">
        <v>1.51277893841021</v>
      </c>
      <c r="L154" s="0" t="n">
        <v>-0.520194584517536</v>
      </c>
      <c r="M154" s="0" t="n">
        <v>0.812903979120474</v>
      </c>
      <c r="N154" s="0" t="n">
        <v>-0.0658097506485583</v>
      </c>
      <c r="O154" s="0" t="n">
        <v>-0.451418670732332</v>
      </c>
      <c r="P154" s="0" t="n">
        <v>-0.468060584944208</v>
      </c>
      <c r="Q154" s="0" t="n">
        <v>-0.427355977861514</v>
      </c>
      <c r="R154" s="0" t="n">
        <v>1.02108949237061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1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0.524206816402505</v>
      </c>
      <c r="AJ154" s="0" t="n">
        <v>0</v>
      </c>
    </row>
    <row r="155" customFormat="false" ht="15" hidden="false" customHeight="false" outlineLevel="0" collapsed="false">
      <c r="A155" s="0" t="s">
        <v>189</v>
      </c>
      <c r="B155" s="0" t="n">
        <v>1</v>
      </c>
      <c r="C155" s="0" t="n">
        <v>-0.268904659103881</v>
      </c>
      <c r="D155" s="0" t="n">
        <v>-0.19971353198766</v>
      </c>
      <c r="E155" s="0" t="n">
        <v>-0.164193833348012</v>
      </c>
      <c r="F155" s="0" t="n">
        <v>-0.277116495959318</v>
      </c>
      <c r="G155" s="0" t="n">
        <v>-0.29051667039806</v>
      </c>
      <c r="H155" s="0" t="n">
        <v>-0.0972673360182191</v>
      </c>
      <c r="I155" s="0" t="n">
        <v>-0.131235856938095</v>
      </c>
      <c r="J155" s="0" t="n">
        <v>-0.132217387531657</v>
      </c>
      <c r="K155" s="0" t="n">
        <v>-0.73014915470121</v>
      </c>
      <c r="L155" s="0" t="n">
        <v>-0.210132357618089</v>
      </c>
      <c r="M155" s="0" t="n">
        <v>0.208764441383687</v>
      </c>
      <c r="N155" s="0" t="n">
        <v>-0.225263376767407</v>
      </c>
      <c r="O155" s="0" t="n">
        <v>1.0301213030606</v>
      </c>
      <c r="P155" s="0" t="n">
        <v>3</v>
      </c>
      <c r="Q155" s="0" t="n">
        <v>3</v>
      </c>
      <c r="R155" s="0" t="n">
        <v>1.70953402120337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1</v>
      </c>
      <c r="Y155" s="0" t="n">
        <v>0</v>
      </c>
      <c r="Z155" s="0" t="n">
        <v>0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0.501023543081986</v>
      </c>
      <c r="AJ155" s="0" t="n">
        <v>0</v>
      </c>
    </row>
    <row r="156" customFormat="false" ht="15" hidden="false" customHeight="false" outlineLevel="0" collapsed="false">
      <c r="A156" s="0" t="s">
        <v>190</v>
      </c>
      <c r="B156" s="0" t="n">
        <v>1</v>
      </c>
      <c r="C156" s="0" t="n">
        <v>-0.377871637239462</v>
      </c>
      <c r="D156" s="0" t="n">
        <v>-0.429927439273639</v>
      </c>
      <c r="E156" s="0" t="n">
        <v>-0.200201776760959</v>
      </c>
      <c r="F156" s="0" t="n">
        <v>-0.03070555716131</v>
      </c>
      <c r="G156" s="0" t="n">
        <v>-0.358417830112529</v>
      </c>
      <c r="H156" s="0" t="n">
        <v>-0.170041780113633</v>
      </c>
      <c r="I156" s="0" t="n">
        <v>0.12940342967898</v>
      </c>
      <c r="J156" s="0" t="n">
        <v>0.280978668400685</v>
      </c>
      <c r="K156" s="0" t="n">
        <v>-0.0724615822191975</v>
      </c>
      <c r="L156" s="0" t="n">
        <v>-0.863084654534449</v>
      </c>
      <c r="M156" s="0" t="n">
        <v>0.5364319273846</v>
      </c>
      <c r="N156" s="0" t="n">
        <v>-0.524444407217204</v>
      </c>
      <c r="O156" s="0" t="n">
        <v>-0.657557945089377</v>
      </c>
      <c r="P156" s="0" t="n">
        <v>-0.449242420531901</v>
      </c>
      <c r="Q156" s="0" t="n">
        <v>-0.529569546913644</v>
      </c>
      <c r="R156" s="0" t="n">
        <v>0.205715247638497</v>
      </c>
      <c r="S156" s="0" t="n">
        <v>1</v>
      </c>
      <c r="T156" s="0" t="n">
        <v>0</v>
      </c>
      <c r="U156" s="0" t="n">
        <v>0</v>
      </c>
      <c r="V156" s="0" t="n">
        <v>0</v>
      </c>
      <c r="W156" s="0" t="n">
        <v>1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0.242134146785435</v>
      </c>
      <c r="AJ156" s="0" t="n">
        <v>0</v>
      </c>
    </row>
    <row r="157" customFormat="false" ht="15" hidden="false" customHeight="false" outlineLevel="0" collapsed="false">
      <c r="A157" s="0" t="s">
        <v>191</v>
      </c>
      <c r="B157" s="0" t="n">
        <v>1</v>
      </c>
      <c r="C157" s="0" t="n">
        <v>-0.707487408332319</v>
      </c>
      <c r="D157" s="0" t="n">
        <v>-0.405938928381597</v>
      </c>
      <c r="E157" s="0" t="n">
        <v>-0.186165338012955</v>
      </c>
      <c r="F157" s="0" t="n">
        <v>-0.40667494049984</v>
      </c>
      <c r="G157" s="0" t="n">
        <v>-0.716751756836679</v>
      </c>
      <c r="H157" s="0" t="n">
        <v>-0.524541000118475</v>
      </c>
      <c r="I157" s="0" t="n">
        <v>0.217081009224499</v>
      </c>
      <c r="J157" s="0" t="n">
        <v>-1.02551258577344</v>
      </c>
      <c r="K157" s="0" t="n">
        <v>0.911321881958047</v>
      </c>
      <c r="L157" s="0" t="n">
        <v>0.19367504724056</v>
      </c>
      <c r="M157" s="0" t="n">
        <v>-0.0213314440417299</v>
      </c>
      <c r="N157" s="0" t="n">
        <v>-0.186221896145524</v>
      </c>
      <c r="O157" s="0" t="n">
        <v>-0.284936330905675</v>
      </c>
      <c r="P157" s="0" t="n">
        <v>0.0522701912248011</v>
      </c>
      <c r="Q157" s="0" t="n">
        <v>-0.592989476416082</v>
      </c>
      <c r="R157" s="0" t="n">
        <v>0.76779668717166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1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</row>
    <row r="158" customFormat="false" ht="15" hidden="false" customHeight="false" outlineLevel="0" collapsed="false">
      <c r="A158" s="0" t="s">
        <v>192</v>
      </c>
      <c r="B158" s="0" t="n">
        <v>1</v>
      </c>
      <c r="C158" s="0" t="n">
        <v>0.189428968309385</v>
      </c>
      <c r="D158" s="0" t="n">
        <v>-0.355512229067222</v>
      </c>
      <c r="E158" s="0" t="n">
        <v>-0.194269073337229</v>
      </c>
      <c r="F158" s="0" t="n">
        <v>0.409080983709878</v>
      </c>
      <c r="G158" s="0" t="n">
        <v>0.223329573022119</v>
      </c>
      <c r="H158" s="0" t="n">
        <v>0.407203690784464</v>
      </c>
      <c r="I158" s="0" t="n">
        <v>0.183903591146192</v>
      </c>
      <c r="J158" s="0" t="n">
        <v>0.042833297402678</v>
      </c>
      <c r="K158" s="0" t="n">
        <v>-1.1869599360881</v>
      </c>
      <c r="L158" s="0" t="n">
        <v>-0.53713562276672</v>
      </c>
      <c r="M158" s="0" t="n">
        <v>-0.989097674992036</v>
      </c>
      <c r="N158" s="0" t="n">
        <v>0.123233208152138</v>
      </c>
      <c r="O158" s="0" t="n">
        <v>0.329996291650394</v>
      </c>
      <c r="P158" s="0" t="n">
        <v>-0.413932161820436</v>
      </c>
      <c r="Q158" s="0" t="n">
        <v>-0.250571155560711</v>
      </c>
      <c r="R158" s="0" t="n">
        <v>1.58108427633942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0.492707013433137</v>
      </c>
      <c r="AJ158" s="0" t="n">
        <v>0.333333333333333</v>
      </c>
    </row>
    <row r="159" customFormat="false" ht="15" hidden="false" customHeight="false" outlineLevel="0" collapsed="false">
      <c r="A159" s="0" t="s">
        <v>193</v>
      </c>
      <c r="B159" s="0" t="n">
        <v>1</v>
      </c>
      <c r="C159" s="0" t="n">
        <v>0.498126728566659</v>
      </c>
      <c r="D159" s="0" t="n">
        <v>0.165508314560044</v>
      </c>
      <c r="E159" s="0" t="n">
        <v>0.0719664962624271</v>
      </c>
      <c r="F159" s="0" t="n">
        <v>-0.112209327246569</v>
      </c>
      <c r="G159" s="0" t="n">
        <v>0.157698844998408</v>
      </c>
      <c r="H159" s="0" t="n">
        <v>0.433909449018114</v>
      </c>
      <c r="I159" s="0" t="n">
        <v>-0.280607910229997</v>
      </c>
      <c r="J159" s="0" t="n">
        <v>-0.74014968997756</v>
      </c>
      <c r="K159" s="0" t="n">
        <v>-0.890387120504088</v>
      </c>
      <c r="L159" s="0" t="n">
        <v>-1.34262744318388</v>
      </c>
      <c r="M159" s="0" t="n">
        <v>1.3928966713933</v>
      </c>
      <c r="N159" s="0" t="n">
        <v>0.976597781955715</v>
      </c>
      <c r="O159" s="0" t="n">
        <v>0.321990345658696</v>
      </c>
      <c r="P159" s="0" t="n">
        <v>-0.575198961838634</v>
      </c>
      <c r="Q159" s="0" t="n">
        <v>-0.261710240714527</v>
      </c>
      <c r="R159" s="0" t="n">
        <v>-0.605905486974367</v>
      </c>
      <c r="S159" s="0" t="n">
        <v>0</v>
      </c>
      <c r="T159" s="0" t="n">
        <v>1</v>
      </c>
      <c r="U159" s="0" t="n">
        <v>0</v>
      </c>
      <c r="V159" s="0" t="n">
        <v>0</v>
      </c>
      <c r="W159" s="0" t="n">
        <v>0</v>
      </c>
      <c r="X159" s="0" t="n">
        <v>1</v>
      </c>
      <c r="Y159" s="0" t="n">
        <v>0</v>
      </c>
      <c r="Z159" s="0" t="n">
        <v>0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0.81739569603645</v>
      </c>
      <c r="AJ159" s="0" t="n">
        <v>0.666666666666667</v>
      </c>
    </row>
    <row r="160" customFormat="false" ht="15" hidden="false" customHeight="false" outlineLevel="0" collapsed="false">
      <c r="A160" s="0" t="s">
        <v>194</v>
      </c>
      <c r="B160" s="0" t="n">
        <v>1</v>
      </c>
      <c r="C160" s="0" t="n">
        <v>-0.162663108694803</v>
      </c>
      <c r="D160" s="0" t="n">
        <v>-0.0383279050065268</v>
      </c>
      <c r="E160" s="0" t="n">
        <v>0.0980465243607911</v>
      </c>
      <c r="F160" s="0" t="n">
        <v>-0.392454845498654</v>
      </c>
      <c r="G160" s="0" t="n">
        <v>-0.48673928034505</v>
      </c>
      <c r="H160" s="0" t="n">
        <v>-0.274514707398748</v>
      </c>
      <c r="I160" s="0" t="n">
        <v>-0.0764930775639507</v>
      </c>
      <c r="J160" s="0" t="n">
        <v>-1.93194836854146</v>
      </c>
      <c r="K160" s="0" t="n">
        <v>-0.172824374472919</v>
      </c>
      <c r="L160" s="0" t="n">
        <v>0.591323686504174</v>
      </c>
      <c r="M160" s="0" t="n">
        <v>-0.842628389454219</v>
      </c>
      <c r="N160" s="0" t="n">
        <v>1.31646414484305</v>
      </c>
      <c r="O160" s="0" t="n">
        <v>-0.389397916812939</v>
      </c>
      <c r="P160" s="0" t="n">
        <v>-0.43479720695131</v>
      </c>
      <c r="Q160" s="0" t="n">
        <v>-0.381589676053971</v>
      </c>
      <c r="R160" s="0" t="n">
        <v>0.821648232630365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0.62681885554642</v>
      </c>
      <c r="AJ160" s="0" t="n">
        <v>0</v>
      </c>
    </row>
    <row r="161" customFormat="false" ht="15" hidden="false" customHeight="false" outlineLevel="0" collapsed="false">
      <c r="A161" s="0" t="s">
        <v>195</v>
      </c>
      <c r="B161" s="0" t="n">
        <v>1</v>
      </c>
      <c r="C161" s="0" t="n">
        <v>-0.116119722605867</v>
      </c>
      <c r="D161" s="0" t="n">
        <v>-0.0359497415773733</v>
      </c>
      <c r="E161" s="0" t="n">
        <v>0.102228474352101</v>
      </c>
      <c r="F161" s="0" t="n">
        <v>-0.356313019235825</v>
      </c>
      <c r="G161" s="0" t="n">
        <v>-0.448166834392622</v>
      </c>
      <c r="H161" s="0" t="n">
        <v>-0.231193381604458</v>
      </c>
      <c r="I161" s="0" t="n">
        <v>-0.0667022046699808</v>
      </c>
      <c r="J161" s="0" t="n">
        <v>0.149942533597433</v>
      </c>
      <c r="K161" s="0" t="n">
        <v>-0.518971600715087</v>
      </c>
      <c r="L161" s="0" t="n">
        <v>-0.120222787243732</v>
      </c>
      <c r="M161" s="0" t="n">
        <v>-0.228899950248245</v>
      </c>
      <c r="N161" s="0" t="n">
        <v>-0.221770191659133</v>
      </c>
      <c r="O161" s="0" t="n">
        <v>0.71047547647861</v>
      </c>
      <c r="P161" s="0" t="n">
        <v>3</v>
      </c>
      <c r="Q161" s="0" t="n">
        <v>3</v>
      </c>
      <c r="R161" s="0" t="n">
        <v>3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1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</row>
    <row r="162" customFormat="false" ht="15" hidden="false" customHeight="false" outlineLevel="0" collapsed="false">
      <c r="A162" s="0" t="s">
        <v>196</v>
      </c>
      <c r="B162" s="0" t="n">
        <v>1</v>
      </c>
      <c r="C162" s="0" t="n">
        <v>-0.0221493899533941</v>
      </c>
      <c r="D162" s="0" t="n">
        <v>0.130229580541603</v>
      </c>
      <c r="E162" s="0" t="n">
        <v>0.0707611457084193</v>
      </c>
      <c r="F162" s="0" t="n">
        <v>-0.472378101430778</v>
      </c>
      <c r="G162" s="0" t="n">
        <v>-0.326599370031623</v>
      </c>
      <c r="H162" s="0" t="n">
        <v>-0.100115657237567</v>
      </c>
      <c r="I162" s="0" t="n">
        <v>0.579305189480655</v>
      </c>
      <c r="J162" s="0" t="n">
        <v>0.0216292046429789</v>
      </c>
      <c r="K162" s="0" t="n">
        <v>-2.11720697377983</v>
      </c>
      <c r="L162" s="0" t="n">
        <v>-3</v>
      </c>
      <c r="M162" s="0" t="n">
        <v>-1.06680063404983</v>
      </c>
      <c r="N162" s="0" t="n">
        <v>-0.0670426395103021</v>
      </c>
      <c r="O162" s="0" t="n">
        <v>0.589033908665989</v>
      </c>
      <c r="P162" s="0" t="n">
        <v>0.0738700951841877</v>
      </c>
      <c r="Q162" s="0" t="n">
        <v>0.255291652026225</v>
      </c>
      <c r="R162" s="0" t="n">
        <v>0.2155113365727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1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</row>
    <row r="163" customFormat="false" ht="15" hidden="false" customHeight="false" outlineLevel="0" collapsed="false">
      <c r="A163" s="0" t="s">
        <v>197</v>
      </c>
      <c r="B163" s="0" t="n">
        <v>1</v>
      </c>
      <c r="C163" s="0" t="n">
        <v>1.92127695165289</v>
      </c>
      <c r="D163" s="0" t="n">
        <v>0.947047118750503</v>
      </c>
      <c r="E163" s="0" t="n">
        <v>0.592906416492918</v>
      </c>
      <c r="F163" s="0" t="n">
        <v>-0.0153522279088569</v>
      </c>
      <c r="G163" s="0" t="n">
        <v>0.699707825499289</v>
      </c>
      <c r="H163" s="0" t="n">
        <v>1.32900953739323</v>
      </c>
      <c r="I163" s="0" t="n">
        <v>1.29748938630534</v>
      </c>
      <c r="J163" s="0" t="n">
        <v>-0.387594524753454</v>
      </c>
      <c r="K163" s="0" t="n">
        <v>-1.60985959982055</v>
      </c>
      <c r="L163" s="0" t="n">
        <v>-0.175755881127788</v>
      </c>
      <c r="M163" s="0" t="n">
        <v>3</v>
      </c>
      <c r="N163" s="0" t="n">
        <v>2.17065064455446</v>
      </c>
      <c r="O163" s="0" t="n">
        <v>0.747283176048453</v>
      </c>
      <c r="P163" s="0" t="n">
        <v>-0.34020741971912</v>
      </c>
      <c r="Q163" s="0" t="n">
        <v>-0.272897646021354</v>
      </c>
      <c r="R163" s="0" t="n">
        <v>0.455877393684968</v>
      </c>
      <c r="S163" s="0" t="n">
        <v>0</v>
      </c>
      <c r="T163" s="0" t="n">
        <v>0</v>
      </c>
      <c r="U163" s="0" t="n">
        <v>0</v>
      </c>
      <c r="V163" s="0" t="n">
        <v>1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</row>
    <row r="164" customFormat="false" ht="15" hidden="false" customHeight="false" outlineLevel="0" collapsed="false">
      <c r="A164" s="0" t="s">
        <v>198</v>
      </c>
      <c r="B164" s="0" t="n">
        <v>1</v>
      </c>
      <c r="C164" s="0" t="n">
        <v>1.36784954990823</v>
      </c>
      <c r="D164" s="0" t="n">
        <v>0.626010544066047</v>
      </c>
      <c r="E164" s="0" t="n">
        <v>0.449176088051394</v>
      </c>
      <c r="F164" s="0" t="n">
        <v>-0.0286369461301582</v>
      </c>
      <c r="G164" s="0" t="n">
        <v>0.437612327820519</v>
      </c>
      <c r="H164" s="0" t="n">
        <v>0.916618579619408</v>
      </c>
      <c r="I164" s="0" t="n">
        <v>1.23810061162493</v>
      </c>
      <c r="J164" s="0" t="n">
        <v>-1.13877567482467</v>
      </c>
      <c r="K164" s="0" t="n">
        <v>-0.523003009674597</v>
      </c>
      <c r="L164" s="0" t="n">
        <v>0.747055933777832</v>
      </c>
      <c r="M164" s="0" t="n">
        <v>-0.266345409571383</v>
      </c>
      <c r="N164" s="0" t="n">
        <v>2.38147463991263</v>
      </c>
      <c r="O164" s="0" t="n">
        <v>0.722902241354947</v>
      </c>
      <c r="P164" s="0" t="n">
        <v>-0.131447785681898</v>
      </c>
      <c r="Q164" s="0" t="n">
        <v>-0.0492896880325438</v>
      </c>
      <c r="R164" s="0" t="n">
        <v>-0.0544620491048813</v>
      </c>
      <c r="S164" s="0" t="n">
        <v>0</v>
      </c>
      <c r="T164" s="0" t="n">
        <v>0</v>
      </c>
      <c r="U164" s="0" t="n">
        <v>0</v>
      </c>
      <c r="V164" s="0" t="n">
        <v>1</v>
      </c>
      <c r="W164" s="0" t="n">
        <v>0</v>
      </c>
      <c r="X164" s="0" t="n">
        <v>1</v>
      </c>
      <c r="Y164" s="0" t="n">
        <v>0</v>
      </c>
      <c r="Z164" s="0" t="n">
        <v>0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</row>
    <row r="165" customFormat="false" ht="15" hidden="false" customHeight="false" outlineLevel="0" collapsed="false">
      <c r="A165" s="0" t="s">
        <v>199</v>
      </c>
      <c r="B165" s="0" t="n">
        <v>1</v>
      </c>
      <c r="C165" s="0" t="n">
        <v>0.654439187583223</v>
      </c>
      <c r="D165" s="0" t="n">
        <v>0.569649512983956</v>
      </c>
      <c r="E165" s="0" t="n">
        <v>0.386234701069898</v>
      </c>
      <c r="F165" s="0" t="n">
        <v>-0.432035594724626</v>
      </c>
      <c r="G165" s="0" t="n">
        <v>-0.0780572071458806</v>
      </c>
      <c r="H165" s="0" t="n">
        <v>0.251329050068899</v>
      </c>
      <c r="I165" s="0" t="n">
        <v>1.14974273137893</v>
      </c>
      <c r="J165" s="0" t="n">
        <v>-1.31308895542303</v>
      </c>
      <c r="K165" s="0" t="n">
        <v>0.298278238975259</v>
      </c>
      <c r="L165" s="0" t="n">
        <v>1.61687731806344</v>
      </c>
      <c r="M165" s="0" t="n">
        <v>0.125123700719705</v>
      </c>
      <c r="N165" s="0" t="n">
        <v>1.70934472878537</v>
      </c>
      <c r="O165" s="0" t="n">
        <v>3</v>
      </c>
      <c r="P165" s="0" t="n">
        <v>1.5509245178652</v>
      </c>
      <c r="Q165" s="0" t="n">
        <v>0.80495130690964</v>
      </c>
      <c r="R165" s="0" t="n">
        <v>3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1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</row>
    <row r="166" customFormat="false" ht="15" hidden="false" customHeight="false" outlineLevel="0" collapsed="false">
      <c r="A166" s="0" t="s">
        <v>200</v>
      </c>
      <c r="B166" s="0" t="n">
        <v>1</v>
      </c>
      <c r="C166" s="0" t="n">
        <v>0.404830959858465</v>
      </c>
      <c r="D166" s="0" t="n">
        <v>0.855287856697211</v>
      </c>
      <c r="E166" s="0" t="n">
        <v>0.27466302721455</v>
      </c>
      <c r="F166" s="0" t="n">
        <v>-0.817598539823312</v>
      </c>
      <c r="G166" s="0" t="n">
        <v>-0.16858940887462</v>
      </c>
      <c r="H166" s="0" t="n">
        <v>0.116413602465545</v>
      </c>
      <c r="I166" s="0" t="n">
        <v>1.75855832720148</v>
      </c>
      <c r="J166" s="0" t="n">
        <v>-1.1779421378966</v>
      </c>
      <c r="K166" s="0" t="n">
        <v>-0.498424681718377</v>
      </c>
      <c r="L166" s="0" t="n">
        <v>-0.0758836377944551</v>
      </c>
      <c r="M166" s="0" t="n">
        <v>-1.59366725639392</v>
      </c>
      <c r="N166" s="0" t="n">
        <v>1.26160059049546</v>
      </c>
      <c r="O166" s="0" t="n">
        <v>1.45743330627782</v>
      </c>
      <c r="P166" s="0" t="n">
        <v>1.63121638192985</v>
      </c>
      <c r="Q166" s="0" t="n">
        <v>0.996168884179042</v>
      </c>
      <c r="R166" s="0" t="n">
        <v>3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1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</row>
    <row r="167" customFormat="false" ht="15" hidden="false" customHeight="false" outlineLevel="0" collapsed="false">
      <c r="A167" s="0" t="s">
        <v>201</v>
      </c>
      <c r="B167" s="0" t="n">
        <v>1</v>
      </c>
      <c r="C167" s="0" t="n">
        <v>0.14187326813553</v>
      </c>
      <c r="D167" s="0" t="n">
        <v>1.12508775487884</v>
      </c>
      <c r="E167" s="0" t="n">
        <v>0.413692876771667</v>
      </c>
      <c r="F167" s="0" t="n">
        <v>-1.13429683885012</v>
      </c>
      <c r="G167" s="0" t="n">
        <v>-0.531101688840461</v>
      </c>
      <c r="H167" s="0" t="n">
        <v>-0.306084906301099</v>
      </c>
      <c r="I167" s="0" t="n">
        <v>1.78616515345397</v>
      </c>
      <c r="J167" s="0" t="n">
        <v>0.655819460043146</v>
      </c>
      <c r="K167" s="0" t="n">
        <v>-0.920855953899151</v>
      </c>
      <c r="L167" s="0" t="n">
        <v>0.962231074278653</v>
      </c>
      <c r="M167" s="0" t="n">
        <v>-1.0664122130215</v>
      </c>
      <c r="N167" s="0" t="n">
        <v>-0.229989450737424</v>
      </c>
      <c r="O167" s="0" t="n">
        <v>1.48537460226737</v>
      </c>
      <c r="P167" s="0" t="n">
        <v>0.370242090513369</v>
      </c>
      <c r="Q167" s="0" t="n">
        <v>-0.0528389085187138</v>
      </c>
      <c r="R167" s="0" t="n">
        <v>1.63617511768477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1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</row>
    <row r="168" customFormat="false" ht="15" hidden="false" customHeight="false" outlineLevel="0" collapsed="false">
      <c r="A168" s="0" t="s">
        <v>202</v>
      </c>
      <c r="B168" s="0" t="n">
        <v>1</v>
      </c>
      <c r="C168" s="0" t="n">
        <v>0.801491546953913</v>
      </c>
      <c r="D168" s="0" t="n">
        <v>1.17898533687891</v>
      </c>
      <c r="E168" s="0" t="n">
        <v>0.474666914175354</v>
      </c>
      <c r="F168" s="0" t="n">
        <v>-0.813558655256191</v>
      </c>
      <c r="G168" s="0" t="n">
        <v>-0.0521486651140436</v>
      </c>
      <c r="H168" s="0" t="n">
        <v>0.306004668283494</v>
      </c>
      <c r="I168" s="0" t="n">
        <v>-0.0969848614640547</v>
      </c>
      <c r="J168" s="0" t="n">
        <v>0.0315390818954976</v>
      </c>
      <c r="K168" s="0" t="n">
        <v>-0.738536614336744</v>
      </c>
      <c r="L168" s="0" t="n">
        <v>-0.351532011190249</v>
      </c>
      <c r="M168" s="0" t="n">
        <v>0.83028547560872</v>
      </c>
      <c r="N168" s="0" t="n">
        <v>0.713786972927356</v>
      </c>
      <c r="O168" s="0" t="n">
        <v>1.2116079677213</v>
      </c>
      <c r="P168" s="0" t="n">
        <v>-0.553521295436797</v>
      </c>
      <c r="Q168" s="0" t="n">
        <v>-0.555756406327707</v>
      </c>
      <c r="R168" s="0" t="n">
        <v>0.582348905228195</v>
      </c>
      <c r="S168" s="0" t="n">
        <v>0</v>
      </c>
      <c r="T168" s="0" t="n">
        <v>1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</row>
    <row r="169" customFormat="false" ht="15" hidden="false" customHeight="false" outlineLevel="0" collapsed="false">
      <c r="A169" s="0" t="s">
        <v>203</v>
      </c>
      <c r="B169" s="0" t="n">
        <v>1</v>
      </c>
      <c r="C169" s="0" t="n">
        <v>0.411998975993037</v>
      </c>
      <c r="D169" s="0" t="n">
        <v>1.05494723242414</v>
      </c>
      <c r="E169" s="0" t="n">
        <v>0.575386002094595</v>
      </c>
      <c r="F169" s="0" t="n">
        <v>-0.945915255802403</v>
      </c>
      <c r="G169" s="0" t="n">
        <v>-0.460929875693311</v>
      </c>
      <c r="H169" s="0" t="n">
        <v>-0.204828491687327</v>
      </c>
      <c r="I169" s="0" t="n">
        <v>0.536108157822259</v>
      </c>
      <c r="J169" s="0" t="n">
        <v>-0.631872765288511</v>
      </c>
      <c r="K169" s="0" t="n">
        <v>0.337398161890676</v>
      </c>
      <c r="L169" s="0" t="n">
        <v>1.05841567335137</v>
      </c>
      <c r="M169" s="0" t="n">
        <v>0.400592046002666</v>
      </c>
      <c r="N169" s="0" t="n">
        <v>0.79577408223331</v>
      </c>
      <c r="O169" s="0" t="n">
        <v>0.67407798397975</v>
      </c>
      <c r="P169" s="0" t="n">
        <v>-0.397555421859777</v>
      </c>
      <c r="Q169" s="0" t="n">
        <v>-0.337029106522866</v>
      </c>
      <c r="R169" s="0" t="n">
        <v>-0.375207986894539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1</v>
      </c>
      <c r="Y169" s="0" t="n">
        <v>0</v>
      </c>
      <c r="Z169" s="0" t="n">
        <v>0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</row>
    <row r="170" customFormat="false" ht="15" hidden="false" customHeight="false" outlineLevel="0" collapsed="false">
      <c r="A170" s="0" t="s">
        <v>204</v>
      </c>
      <c r="B170" s="0" t="n">
        <v>1</v>
      </c>
      <c r="C170" s="0" t="n">
        <v>-0.0452939051847732</v>
      </c>
      <c r="D170" s="0" t="n">
        <v>1.32853517122222</v>
      </c>
      <c r="E170" s="0" t="n">
        <v>0.674189647955527</v>
      </c>
      <c r="F170" s="0" t="n">
        <v>-1.33478327452979</v>
      </c>
      <c r="G170" s="0" t="n">
        <v>-0.894363950670364</v>
      </c>
      <c r="H170" s="0" t="n">
        <v>-0.783332205675861</v>
      </c>
      <c r="I170" s="0" t="n">
        <v>0.90686968287059</v>
      </c>
      <c r="J170" s="0" t="n">
        <v>-0.626070985327163</v>
      </c>
      <c r="K170" s="0" t="n">
        <v>0.510414139993506</v>
      </c>
      <c r="L170" s="0" t="n">
        <v>1.79564444345645</v>
      </c>
      <c r="M170" s="0" t="n">
        <v>-1.02335302326046</v>
      </c>
      <c r="N170" s="0" t="n">
        <v>0.297686982088867</v>
      </c>
      <c r="O170" s="0" t="n">
        <v>-0.168240643304699</v>
      </c>
      <c r="P170" s="0" t="n">
        <v>-0.507071537396929</v>
      </c>
      <c r="Q170" s="0" t="n">
        <v>-0.219406212241972</v>
      </c>
      <c r="R170" s="0" t="n">
        <v>0.28063748456734</v>
      </c>
      <c r="S170" s="0" t="n">
        <v>0</v>
      </c>
      <c r="T170" s="0" t="n">
        <v>1</v>
      </c>
      <c r="U170" s="0" t="n">
        <v>0</v>
      </c>
      <c r="V170" s="0" t="n">
        <v>0</v>
      </c>
      <c r="W170" s="0" t="n">
        <v>1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</row>
    <row r="171" customFormat="false" ht="15" hidden="false" customHeight="false" outlineLevel="0" collapsed="false">
      <c r="A171" s="0" t="s">
        <v>205</v>
      </c>
      <c r="B171" s="0" t="n">
        <v>1</v>
      </c>
      <c r="C171" s="0" t="n">
        <v>-0.643977881611228</v>
      </c>
      <c r="D171" s="0" t="n">
        <v>1.5909683001412</v>
      </c>
      <c r="E171" s="0" t="n">
        <v>0.895874573616296</v>
      </c>
      <c r="F171" s="0" t="n">
        <v>-1.72955975921491</v>
      </c>
      <c r="G171" s="0" t="n">
        <v>-1.47286816211524</v>
      </c>
      <c r="H171" s="0" t="n">
        <v>-1.64160101700189</v>
      </c>
      <c r="I171" s="0" t="n">
        <v>0.93959187773589</v>
      </c>
      <c r="J171" s="0" t="n">
        <v>-1.76512821794289</v>
      </c>
      <c r="K171" s="0" t="n">
        <v>1.5007003830723</v>
      </c>
      <c r="L171" s="0" t="n">
        <v>0.686251882904306</v>
      </c>
      <c r="M171" s="0" t="n">
        <v>-1.03710083636552</v>
      </c>
      <c r="N171" s="0" t="n">
        <v>0.455291274915099</v>
      </c>
      <c r="O171" s="0" t="n">
        <v>-0.724903231037133</v>
      </c>
      <c r="P171" s="0" t="n">
        <v>-0.281249926594869</v>
      </c>
      <c r="Q171" s="0" t="n">
        <v>-0.0217710839306236</v>
      </c>
      <c r="R171" s="0" t="n">
        <v>0.341268511869128</v>
      </c>
      <c r="S171" s="0" t="n">
        <v>0</v>
      </c>
      <c r="T171" s="0" t="n">
        <v>1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1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</row>
    <row r="172" customFormat="false" ht="15" hidden="false" customHeight="false" outlineLevel="0" collapsed="false">
      <c r="A172" s="0" t="s">
        <v>206</v>
      </c>
      <c r="B172" s="0" t="n">
        <v>1</v>
      </c>
      <c r="C172" s="0" t="n">
        <v>-0.0996208189569083</v>
      </c>
      <c r="D172" s="0" t="n">
        <v>1.5484404934329</v>
      </c>
      <c r="E172" s="0" t="n">
        <v>0.906026867508161</v>
      </c>
      <c r="F172" s="0" t="n">
        <v>-1.45592299793818</v>
      </c>
      <c r="G172" s="0" t="n">
        <v>-1.09219195233783</v>
      </c>
      <c r="H172" s="0" t="n">
        <v>-1.09257448232133</v>
      </c>
      <c r="I172" s="0" t="n">
        <v>0.75645744835678</v>
      </c>
      <c r="J172" s="0" t="n">
        <v>0.177380398645427</v>
      </c>
      <c r="K172" s="0" t="n">
        <v>-1.0378416575732</v>
      </c>
      <c r="L172" s="0" t="n">
        <v>-0.879629283225127</v>
      </c>
      <c r="M172" s="0" t="n">
        <v>-0.501829951292669</v>
      </c>
      <c r="N172" s="0" t="n">
        <v>-0.219920858366517</v>
      </c>
      <c r="O172" s="0" t="n">
        <v>1.20938378399532</v>
      </c>
      <c r="P172" s="0" t="n">
        <v>0.174701208601412</v>
      </c>
      <c r="Q172" s="0" t="n">
        <v>-0.00345257485498608</v>
      </c>
      <c r="R172" s="0" t="n">
        <v>2.62781714805384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1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0.36352498466768</v>
      </c>
      <c r="AJ172" s="0" t="n">
        <v>0.333333333333333</v>
      </c>
    </row>
    <row r="173" customFormat="false" ht="15" hidden="false" customHeight="false" outlineLevel="0" collapsed="false">
      <c r="A173" s="0" t="s">
        <v>207</v>
      </c>
      <c r="B173" s="0" t="n">
        <v>1</v>
      </c>
      <c r="C173" s="0" t="n">
        <v>0.0595333882978326</v>
      </c>
      <c r="D173" s="0" t="n">
        <v>0.554892440074771</v>
      </c>
      <c r="E173" s="0" t="n">
        <v>0.88515583837241</v>
      </c>
      <c r="F173" s="0" t="n">
        <v>-0.807305520188855</v>
      </c>
      <c r="G173" s="0" t="n">
        <v>-0.965434457509911</v>
      </c>
      <c r="H173" s="0" t="n">
        <v>-0.906004489736628</v>
      </c>
      <c r="I173" s="0" t="n">
        <v>0.420277607084074</v>
      </c>
      <c r="J173" s="0" t="n">
        <v>-0.234914396823359</v>
      </c>
      <c r="K173" s="0" t="n">
        <v>0.0311141011226405</v>
      </c>
      <c r="L173" s="0" t="n">
        <v>1.49681855988478</v>
      </c>
      <c r="M173" s="0" t="n">
        <v>-0.0111759835703153</v>
      </c>
      <c r="N173" s="0" t="n">
        <v>0.157959577757917</v>
      </c>
      <c r="O173" s="0" t="n">
        <v>0.504874382969333</v>
      </c>
      <c r="P173" s="0" t="n">
        <v>-0.225796961071501</v>
      </c>
      <c r="Q173" s="0" t="n">
        <v>-0.261984619856702</v>
      </c>
      <c r="R173" s="0" t="n">
        <v>0.140818205321282</v>
      </c>
      <c r="S173" s="0" t="n">
        <v>0</v>
      </c>
      <c r="T173" s="0" t="n">
        <v>0</v>
      </c>
      <c r="U173" s="0" t="n">
        <v>0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</row>
    <row r="174" customFormat="false" ht="15" hidden="false" customHeight="false" outlineLevel="0" collapsed="false">
      <c r="A174" s="0" t="s">
        <v>208</v>
      </c>
      <c r="B174" s="0" t="n">
        <v>1</v>
      </c>
      <c r="C174" s="0" t="n">
        <v>0.150964427828387</v>
      </c>
      <c r="D174" s="0" t="n">
        <v>0.658330508302031</v>
      </c>
      <c r="E174" s="0" t="n">
        <v>0.766864420200614</v>
      </c>
      <c r="F174" s="0" t="n">
        <v>-0.828394533921367</v>
      </c>
      <c r="G174" s="0" t="n">
        <v>-0.815741504327594</v>
      </c>
      <c r="H174" s="0" t="n">
        <v>-0.682661802138703</v>
      </c>
      <c r="I174" s="0" t="n">
        <v>-0.451087796947377</v>
      </c>
      <c r="J174" s="0" t="n">
        <v>-1.1332339905856</v>
      </c>
      <c r="K174" s="0" t="n">
        <v>-0.0644408937458191</v>
      </c>
      <c r="L174" s="0" t="n">
        <v>0.200657612584945</v>
      </c>
      <c r="M174" s="0" t="n">
        <v>0.106047942462204</v>
      </c>
      <c r="N174" s="0" t="n">
        <v>0.913720450006787</v>
      </c>
      <c r="O174" s="0" t="n">
        <v>-0.251621204325564</v>
      </c>
      <c r="P174" s="0" t="n">
        <v>-0.583544864725298</v>
      </c>
      <c r="Q174" s="0" t="n">
        <v>-0.48198517162202</v>
      </c>
      <c r="R174" s="0" t="n">
        <v>0.142066522678628</v>
      </c>
      <c r="S174" s="0" t="n">
        <v>0</v>
      </c>
      <c r="T174" s="0" t="n">
        <v>1</v>
      </c>
      <c r="U174" s="0" t="n">
        <v>0</v>
      </c>
      <c r="V174" s="0" t="n">
        <v>0</v>
      </c>
      <c r="W174" s="0" t="n">
        <v>1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0.134652529994207</v>
      </c>
      <c r="AJ174" s="0" t="n">
        <v>0.333333333333333</v>
      </c>
    </row>
    <row r="175" customFormat="false" ht="15" hidden="false" customHeight="false" outlineLevel="0" collapsed="false">
      <c r="A175" s="0" t="s">
        <v>209</v>
      </c>
      <c r="B175" s="0" t="n">
        <v>1</v>
      </c>
      <c r="C175" s="0" t="n">
        <v>-0.471303677333981</v>
      </c>
      <c r="D175" s="0" t="n">
        <v>0.610651517726873</v>
      </c>
      <c r="E175" s="0" t="n">
        <v>0.758667718246423</v>
      </c>
      <c r="F175" s="0" t="n">
        <v>-1.19047417909401</v>
      </c>
      <c r="G175" s="0" t="n">
        <v>-1.2704376509777</v>
      </c>
      <c r="H175" s="0" t="n">
        <v>-1.3139925160273</v>
      </c>
      <c r="I175" s="0" t="n">
        <v>-1.65489350176457</v>
      </c>
      <c r="J175" s="0" t="n">
        <v>-1.25252609640861</v>
      </c>
      <c r="K175" s="0" t="n">
        <v>3</v>
      </c>
      <c r="L175" s="0" t="n">
        <v>1.28529160171071</v>
      </c>
      <c r="M175" s="0" t="n">
        <v>1.23159377696529</v>
      </c>
      <c r="N175" s="0" t="n">
        <v>0.254946834881753</v>
      </c>
      <c r="O175" s="0" t="n">
        <v>-0.578477505170707</v>
      </c>
      <c r="P175" s="0" t="n">
        <v>-0.46806058494421</v>
      </c>
      <c r="Q175" s="0" t="n">
        <v>-0.209857049991569</v>
      </c>
      <c r="R175" s="0" t="n">
        <v>0.23959093913319</v>
      </c>
      <c r="S175" s="0" t="n">
        <v>0</v>
      </c>
      <c r="T175" s="0" t="n">
        <v>1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1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0.466315120882379</v>
      </c>
      <c r="AJ175" s="0" t="n">
        <v>0.666666666666667</v>
      </c>
    </row>
    <row r="176" customFormat="false" ht="15" hidden="false" customHeight="false" outlineLevel="0" collapsed="false">
      <c r="A176" s="0" t="s">
        <v>210</v>
      </c>
      <c r="B176" s="0" t="n">
        <v>1</v>
      </c>
      <c r="C176" s="0" t="n">
        <v>1.00695490620293</v>
      </c>
      <c r="D176" s="0" t="n">
        <v>0.584665422020487</v>
      </c>
      <c r="E176" s="0" t="n">
        <v>0.874123057734316</v>
      </c>
      <c r="F176" s="0" t="n">
        <v>-0.217871143326754</v>
      </c>
      <c r="G176" s="0" t="n">
        <v>-0.280036073967954</v>
      </c>
      <c r="H176" s="0" t="n">
        <v>0.0809086093604464</v>
      </c>
      <c r="I176" s="0" t="n">
        <v>-1.05290559854559</v>
      </c>
      <c r="J176" s="0" t="n">
        <v>0.50704979840508</v>
      </c>
      <c r="K176" s="0" t="n">
        <v>-1.1056805186528</v>
      </c>
      <c r="L176" s="0" t="n">
        <v>-1.71102587752956</v>
      </c>
      <c r="M176" s="0" t="n">
        <v>1.33053752657271</v>
      </c>
      <c r="N176" s="0" t="n">
        <v>0.60097764207781</v>
      </c>
      <c r="O176" s="0" t="n">
        <v>-0.280847538512592</v>
      </c>
      <c r="P176" s="0" t="n">
        <v>-0.505523213076315</v>
      </c>
      <c r="Q176" s="0" t="n">
        <v>-0.14186555013743</v>
      </c>
      <c r="R176" s="0" t="n">
        <v>-0.402607458963626</v>
      </c>
      <c r="S176" s="0" t="n">
        <v>0</v>
      </c>
      <c r="T176" s="0" t="n">
        <v>1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0.218353215366321</v>
      </c>
      <c r="AJ176" s="0" t="n">
        <v>0</v>
      </c>
    </row>
    <row r="177" customFormat="false" ht="15" hidden="false" customHeight="false" outlineLevel="0" collapsed="false">
      <c r="A177" s="0" t="s">
        <v>211</v>
      </c>
      <c r="B177" s="0" t="n">
        <v>1</v>
      </c>
      <c r="C177" s="0" t="n">
        <v>0.346744045816011</v>
      </c>
      <c r="D177" s="0" t="n">
        <v>0.672516240316688</v>
      </c>
      <c r="E177" s="0" t="n">
        <v>0.995593982290105</v>
      </c>
      <c r="F177" s="0" t="n">
        <v>-0.716380525368408</v>
      </c>
      <c r="G177" s="0" t="n">
        <v>-0.83869502058311</v>
      </c>
      <c r="H177" s="0" t="n">
        <v>-0.731159047117495</v>
      </c>
      <c r="I177" s="0" t="n">
        <v>0.305140270367668</v>
      </c>
      <c r="J177" s="0" t="n">
        <v>-1.19009928672308</v>
      </c>
      <c r="K177" s="0" t="n">
        <v>0.471679925386237</v>
      </c>
      <c r="L177" s="0" t="n">
        <v>1.18945942148358</v>
      </c>
      <c r="M177" s="0" t="n">
        <v>-0.757419290879748</v>
      </c>
      <c r="N177" s="0" t="n">
        <v>1.20283288808568</v>
      </c>
      <c r="O177" s="0" t="n">
        <v>-0.454682511074531</v>
      </c>
      <c r="P177" s="0" t="n">
        <v>-0.63580371797943</v>
      </c>
      <c r="Q177" s="0" t="n">
        <v>-0.547357072359527</v>
      </c>
      <c r="R177" s="0" t="n">
        <v>-0.580329889418288</v>
      </c>
      <c r="S177" s="0" t="n">
        <v>0</v>
      </c>
      <c r="T177" s="0" t="n">
        <v>1</v>
      </c>
      <c r="U177" s="0" t="n">
        <v>0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0.041968121287664</v>
      </c>
      <c r="AJ177" s="0" t="n">
        <v>0</v>
      </c>
    </row>
    <row r="178" customFormat="false" ht="15" hidden="false" customHeight="false" outlineLevel="0" collapsed="false">
      <c r="A178" s="0" t="s">
        <v>212</v>
      </c>
      <c r="B178" s="0" t="n">
        <v>1</v>
      </c>
      <c r="C178" s="0" t="n">
        <v>-0.567570585905677</v>
      </c>
      <c r="D178" s="0" t="n">
        <v>0.426849915384366</v>
      </c>
      <c r="E178" s="0" t="n">
        <v>1.07644823694749</v>
      </c>
      <c r="F178" s="0" t="n">
        <v>-1.13170249004715</v>
      </c>
      <c r="G178" s="0" t="n">
        <v>-1.51080097617506</v>
      </c>
      <c r="H178" s="0" t="n">
        <v>-1.7603045826822</v>
      </c>
      <c r="I178" s="0" t="n">
        <v>0.672887705393652</v>
      </c>
      <c r="J178" s="0" t="n">
        <v>-1.57095713691286</v>
      </c>
      <c r="K178" s="0" t="n">
        <v>1.72898859488064</v>
      </c>
      <c r="L178" s="0" t="n">
        <v>1.17669354756393</v>
      </c>
      <c r="M178" s="0" t="n">
        <v>-1.5530237378774</v>
      </c>
      <c r="N178" s="0" t="n">
        <v>0.38809883195007</v>
      </c>
      <c r="O178" s="0" t="n">
        <v>-0.397325383860023</v>
      </c>
      <c r="P178" s="0" t="n">
        <v>-0.345293389478368</v>
      </c>
      <c r="Q178" s="0" t="n">
        <v>-0.284346967213039</v>
      </c>
      <c r="R178" s="0" t="n">
        <v>0.783927220854735</v>
      </c>
      <c r="S178" s="0" t="n">
        <v>0</v>
      </c>
      <c r="T178" s="0" t="n">
        <v>1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1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</row>
    <row r="179" customFormat="false" ht="15" hidden="false" customHeight="false" outlineLevel="0" collapsed="false">
      <c r="A179" s="0" t="s">
        <v>213</v>
      </c>
      <c r="B179" s="0" t="n">
        <v>1</v>
      </c>
      <c r="C179" s="0" t="n">
        <v>-0.175448533829966</v>
      </c>
      <c r="D179" s="0" t="n">
        <v>0.500986021515665</v>
      </c>
      <c r="E179" s="0" t="n">
        <v>1.06821800334267</v>
      </c>
      <c r="F179" s="0" t="n">
        <v>-0.920657625220381</v>
      </c>
      <c r="G179" s="0" t="n">
        <v>-1.24119114167094</v>
      </c>
      <c r="H179" s="0" t="n">
        <v>-1.34783380794029</v>
      </c>
      <c r="I179" s="0" t="n">
        <v>0.782140115752483</v>
      </c>
      <c r="J179" s="0" t="n">
        <v>-0.0306783196320037</v>
      </c>
      <c r="K179" s="0" t="n">
        <v>-0.578367549796862</v>
      </c>
      <c r="L179" s="0" t="n">
        <v>0.509443699031232</v>
      </c>
      <c r="M179" s="0" t="n">
        <v>-0.530922573881274</v>
      </c>
      <c r="N179" s="0" t="n">
        <v>-0.186838340576395</v>
      </c>
      <c r="O179" s="0" t="n">
        <v>0.587376551071166</v>
      </c>
      <c r="P179" s="0" t="n">
        <v>-0.151541248657261</v>
      </c>
      <c r="Q179" s="0" t="n">
        <v>-0.46357764770593</v>
      </c>
      <c r="R179" s="0" t="n">
        <v>0.807940724652914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1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</row>
    <row r="180" customFormat="false" ht="15" hidden="false" customHeight="false" outlineLevel="0" collapsed="false">
      <c r="A180" s="0" t="s">
        <v>214</v>
      </c>
      <c r="B180" s="0" t="n">
        <v>1</v>
      </c>
      <c r="C180" s="0" t="n">
        <v>0.369817686405223</v>
      </c>
      <c r="D180" s="0" t="n">
        <v>0.495119098544664</v>
      </c>
      <c r="E180" s="0" t="n">
        <v>0.552577678561304</v>
      </c>
      <c r="F180" s="0" t="n">
        <v>-0.551524315122925</v>
      </c>
      <c r="G180" s="0" t="n">
        <v>-0.473606050739916</v>
      </c>
      <c r="H180" s="0" t="n">
        <v>-0.223307269607446</v>
      </c>
      <c r="I180" s="0" t="n">
        <v>0.893845512953186</v>
      </c>
      <c r="J180" s="0" t="n">
        <v>0.0294592861209058</v>
      </c>
      <c r="K180" s="0" t="n">
        <v>-0.596594231063068</v>
      </c>
      <c r="L180" s="0" t="n">
        <v>-1.23739319187229</v>
      </c>
      <c r="M180" s="0" t="n">
        <v>0.435168536161028</v>
      </c>
      <c r="N180" s="0" t="n">
        <v>0.303029500489756</v>
      </c>
      <c r="O180" s="0" t="n">
        <v>2.37848768483206</v>
      </c>
      <c r="P180" s="0" t="n">
        <v>1.83298234239294</v>
      </c>
      <c r="Q180" s="0" t="n">
        <v>2.6740384473416</v>
      </c>
      <c r="R180" s="0" t="n">
        <v>0.491208673170524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0.0313180851721215</v>
      </c>
      <c r="AJ180" s="0" t="n">
        <v>0.333333333333333</v>
      </c>
    </row>
    <row r="181" customFormat="false" ht="15" hidden="false" customHeight="false" outlineLevel="0" collapsed="false">
      <c r="A181" s="0" t="s">
        <v>215</v>
      </c>
      <c r="B181" s="0" t="n">
        <v>1</v>
      </c>
      <c r="C181" s="0" t="n">
        <v>-0.299066529990078</v>
      </c>
      <c r="D181" s="0" t="n">
        <v>0.65763183410154</v>
      </c>
      <c r="E181" s="0" t="n">
        <v>0.607152272502326</v>
      </c>
      <c r="F181" s="0" t="n">
        <v>-1.11128037159488</v>
      </c>
      <c r="G181" s="0" t="n">
        <v>-1.04084833429589</v>
      </c>
      <c r="H181" s="0" t="n">
        <v>-0.971197890015886</v>
      </c>
      <c r="I181" s="0" t="n">
        <v>-1.14544469801955</v>
      </c>
      <c r="J181" s="0" t="n">
        <v>-0.266551419628523</v>
      </c>
      <c r="K181" s="0" t="n">
        <v>-0.14404875421557</v>
      </c>
      <c r="L181" s="0" t="n">
        <v>-0.290132031276223</v>
      </c>
      <c r="M181" s="0" t="n">
        <v>-1.28950959638681</v>
      </c>
      <c r="N181" s="0" t="n">
        <v>-0.18416708137595</v>
      </c>
      <c r="O181" s="0" t="n">
        <v>-0.134933941245002</v>
      </c>
      <c r="P181" s="0" t="n">
        <v>-0.320860179526266</v>
      </c>
      <c r="Q181" s="0" t="n">
        <v>-0.242321953255104</v>
      </c>
      <c r="R181" s="0" t="n">
        <v>-0.00976962936006643</v>
      </c>
      <c r="S181" s="0" t="n">
        <v>1</v>
      </c>
      <c r="T181" s="0" t="n">
        <v>0</v>
      </c>
      <c r="U181" s="0" t="n">
        <v>0</v>
      </c>
      <c r="V181" s="0" t="n">
        <v>0</v>
      </c>
      <c r="W181" s="0" t="n">
        <v>1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0.129422542277704</v>
      </c>
      <c r="AJ181" s="0" t="n">
        <v>0.666666666666667</v>
      </c>
    </row>
    <row r="182" customFormat="false" ht="15" hidden="false" customHeight="false" outlineLevel="0" collapsed="false">
      <c r="A182" s="0" t="s">
        <v>216</v>
      </c>
      <c r="B182" s="0" t="n">
        <v>1</v>
      </c>
      <c r="C182" s="0" t="n">
        <v>-0.451980677180824</v>
      </c>
      <c r="D182" s="0" t="n">
        <v>0.627886104668599</v>
      </c>
      <c r="E182" s="0" t="n">
        <v>0.545134056464433</v>
      </c>
      <c r="F182" s="0" t="n">
        <v>-1.18902912309846</v>
      </c>
      <c r="G182" s="0" t="n">
        <v>-1.11721411525904</v>
      </c>
      <c r="H182" s="0" t="n">
        <v>-1.06076916970641</v>
      </c>
      <c r="I182" s="0" t="n">
        <v>-1.17269573624338</v>
      </c>
      <c r="J182" s="0" t="n">
        <v>0.0889192541206711</v>
      </c>
      <c r="K182" s="0" t="n">
        <v>0.701485490907967</v>
      </c>
      <c r="L182" s="0" t="n">
        <v>-0.513643805314123</v>
      </c>
      <c r="M182" s="0" t="n">
        <v>0.426859513951377</v>
      </c>
      <c r="N182" s="0" t="n">
        <v>-0.508622333491493</v>
      </c>
      <c r="O182" s="0" t="n">
        <v>1.13250292411206</v>
      </c>
      <c r="P182" s="0" t="n">
        <v>0.421448159217817</v>
      </c>
      <c r="Q182" s="0" t="n">
        <v>-0.388641001916261</v>
      </c>
      <c r="R182" s="0" t="n">
        <v>3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1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</row>
    <row r="183" customFormat="false" ht="15" hidden="false" customHeight="false" outlineLevel="0" collapsed="false">
      <c r="A183" s="0" t="s">
        <v>217</v>
      </c>
      <c r="B183" s="0" t="n">
        <v>1</v>
      </c>
      <c r="C183" s="0" t="n">
        <v>-0.279063603484456</v>
      </c>
      <c r="D183" s="0" t="n">
        <v>0.61966356815035</v>
      </c>
      <c r="E183" s="0" t="n">
        <v>0.438932405943641</v>
      </c>
      <c r="F183" s="0" t="n">
        <v>-1.07343011737008</v>
      </c>
      <c r="G183" s="0" t="n">
        <v>-0.89908784724721</v>
      </c>
      <c r="H183" s="0" t="n">
        <v>-0.766791977202222</v>
      </c>
      <c r="I183" s="0" t="n">
        <v>-1.17153062122029</v>
      </c>
      <c r="J183" s="0" t="n">
        <v>1.40484081243791</v>
      </c>
      <c r="K183" s="0" t="n">
        <v>-0.115424867731592</v>
      </c>
      <c r="L183" s="0" t="n">
        <v>0.810153434078948</v>
      </c>
      <c r="M183" s="0" t="n">
        <v>-0.293931664592462</v>
      </c>
      <c r="N183" s="0" t="n">
        <v>-0.857118918411038</v>
      </c>
      <c r="O183" s="0" t="n">
        <v>-0.0488719450433236</v>
      </c>
      <c r="P183" s="0" t="n">
        <v>-0.541200970787409</v>
      </c>
      <c r="Q183" s="0" t="n">
        <v>-0.282778529864267</v>
      </c>
      <c r="R183" s="0" t="n">
        <v>-0.165793411868141</v>
      </c>
      <c r="S183" s="0" t="n">
        <v>1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1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</row>
    <row r="184" customFormat="false" ht="15" hidden="false" customHeight="false" outlineLevel="0" collapsed="false">
      <c r="A184" s="0" t="s">
        <v>218</v>
      </c>
      <c r="B184" s="0" t="n">
        <v>1</v>
      </c>
      <c r="C184" s="0" t="n">
        <v>-0.162425516355433</v>
      </c>
      <c r="D184" s="0" t="n">
        <v>-0.625315453144136</v>
      </c>
      <c r="E184" s="0" t="n">
        <v>0.330408467128502</v>
      </c>
      <c r="F184" s="0" t="n">
        <v>0.59689803029719</v>
      </c>
      <c r="G184" s="0" t="n">
        <v>-0.710705907364277</v>
      </c>
      <c r="H184" s="0" t="n">
        <v>-0.528185796001409</v>
      </c>
      <c r="I184" s="0" t="n">
        <v>-0.654938826554008</v>
      </c>
      <c r="J184" s="0" t="n">
        <v>1.03188745332821</v>
      </c>
      <c r="K184" s="0" t="n">
        <v>-0.313097307533531</v>
      </c>
      <c r="L184" s="0" t="n">
        <v>0.703731458006232</v>
      </c>
      <c r="M184" s="0" t="n">
        <v>-0.207197594129688</v>
      </c>
      <c r="N184" s="0" t="n">
        <v>-0.637870182497621</v>
      </c>
      <c r="O184" s="0" t="n">
        <v>0.366260183063892</v>
      </c>
      <c r="P184" s="0" t="n">
        <v>1.03135400555576</v>
      </c>
      <c r="Q184" s="0" t="n">
        <v>1.0883907215358</v>
      </c>
      <c r="R184" s="0" t="n">
        <v>0.659061957452105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1</v>
      </c>
      <c r="Y184" s="0" t="n">
        <v>0</v>
      </c>
      <c r="Z184" s="0" t="n">
        <v>0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</row>
    <row r="185" customFormat="false" ht="15" hidden="false" customHeight="false" outlineLevel="0" collapsed="false">
      <c r="A185" s="0" t="s">
        <v>219</v>
      </c>
      <c r="B185" s="0" t="n">
        <v>1</v>
      </c>
      <c r="C185" s="0" t="n">
        <v>-0.510024520992368</v>
      </c>
      <c r="D185" s="0" t="n">
        <v>-0.62489471770026</v>
      </c>
      <c r="E185" s="0" t="n">
        <v>0.243761426272056</v>
      </c>
      <c r="F185" s="0" t="n">
        <v>0.190435828325335</v>
      </c>
      <c r="G185" s="0" t="n">
        <v>-0.936052350568728</v>
      </c>
      <c r="H185" s="0" t="n">
        <v>-0.791166247836788</v>
      </c>
      <c r="I185" s="0" t="n">
        <v>-0.562480763706664</v>
      </c>
      <c r="J185" s="0" t="n">
        <v>-0.427587499239774</v>
      </c>
      <c r="K185" s="0" t="n">
        <v>-0.338120666919434</v>
      </c>
      <c r="L185" s="0" t="n">
        <v>-0.0941422533639715</v>
      </c>
      <c r="M185" s="0" t="n">
        <v>-1.18290067028296</v>
      </c>
      <c r="N185" s="0" t="n">
        <v>-0.313620411859036</v>
      </c>
      <c r="O185" s="0" t="n">
        <v>-0.075358585850947</v>
      </c>
      <c r="P185" s="0" t="n">
        <v>-0.473909868871186</v>
      </c>
      <c r="Q185" s="0" t="n">
        <v>-0.537972994032042</v>
      </c>
      <c r="R185" s="0" t="n">
        <v>-0.466687388615377</v>
      </c>
      <c r="S185" s="0" t="n">
        <v>1</v>
      </c>
      <c r="T185" s="0" t="n">
        <v>0</v>
      </c>
      <c r="U185" s="0" t="n">
        <v>0</v>
      </c>
      <c r="V185" s="0" t="n">
        <v>0</v>
      </c>
      <c r="W185" s="0" t="n">
        <v>1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</row>
    <row r="186" customFormat="false" ht="15" hidden="false" customHeight="false" outlineLevel="0" collapsed="false">
      <c r="A186" s="0" t="s">
        <v>220</v>
      </c>
      <c r="B186" s="0" t="n">
        <v>1</v>
      </c>
      <c r="C186" s="0" t="n">
        <v>-0.876278231133979</v>
      </c>
      <c r="D186" s="0" t="n">
        <v>-0.672456536632891</v>
      </c>
      <c r="E186" s="0" t="n">
        <v>0.0907402168318333</v>
      </c>
      <c r="F186" s="0" t="n">
        <v>-0.148987150653594</v>
      </c>
      <c r="G186" s="0" t="n">
        <v>-1.14046111868132</v>
      </c>
      <c r="H186" s="0" t="n">
        <v>-1.00081064997514</v>
      </c>
      <c r="I186" s="0" t="n">
        <v>-0.82540690201747</v>
      </c>
      <c r="J186" s="0" t="n">
        <v>-0.945579773305591</v>
      </c>
      <c r="K186" s="0" t="n">
        <v>1.00551160109638</v>
      </c>
      <c r="L186" s="0" t="n">
        <v>-1.46153645153945</v>
      </c>
      <c r="M186" s="0" t="n">
        <v>0.0339829476857019</v>
      </c>
      <c r="N186" s="0" t="n">
        <v>-0.430128409293813</v>
      </c>
      <c r="O186" s="0" t="n">
        <v>0.214095587799124</v>
      </c>
      <c r="P186" s="0" t="n">
        <v>0.101603459913206</v>
      </c>
      <c r="Q186" s="0" t="n">
        <v>-0.0711575448415674</v>
      </c>
      <c r="R186" s="0" t="n">
        <v>0.974106037456132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1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</row>
    <row r="187" customFormat="false" ht="15" hidden="false" customHeight="false" outlineLevel="0" collapsed="false">
      <c r="A187" s="0" t="s">
        <v>221</v>
      </c>
      <c r="B187" s="0" t="n">
        <v>1</v>
      </c>
      <c r="C187" s="0" t="n">
        <v>-0.0872358372598191</v>
      </c>
      <c r="D187" s="0" t="n">
        <v>-0.326374683701437</v>
      </c>
      <c r="E187" s="0" t="n">
        <v>0.214057986342346</v>
      </c>
      <c r="F187" s="0" t="n">
        <v>0.0858657322261358</v>
      </c>
      <c r="G187" s="0" t="n">
        <v>-0.536544382736048</v>
      </c>
      <c r="H187" s="0" t="n">
        <v>-0.323675762257807</v>
      </c>
      <c r="I187" s="0" t="n">
        <v>-0.213928267561277</v>
      </c>
      <c r="J187" s="0" t="n">
        <v>0.0291806838508715</v>
      </c>
      <c r="K187" s="0" t="n">
        <v>-0.214210345071706</v>
      </c>
      <c r="L187" s="0" t="n">
        <v>0.496724753046104</v>
      </c>
      <c r="M187" s="0" t="n">
        <v>-0.780233146330877</v>
      </c>
      <c r="N187" s="0" t="n">
        <v>-0.133207675090546</v>
      </c>
      <c r="O187" s="0" t="n">
        <v>-0.445832315197223</v>
      </c>
      <c r="P187" s="0" t="n">
        <v>-0.250020622222537</v>
      </c>
      <c r="Q187" s="0" t="n">
        <v>0.0425215712636029</v>
      </c>
      <c r="R187" s="0" t="n">
        <v>-0.207556085694949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1</v>
      </c>
      <c r="Y187" s="0" t="n">
        <v>0</v>
      </c>
      <c r="Z187" s="0" t="n">
        <v>0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</row>
    <row r="188" customFormat="false" ht="15" hidden="false" customHeight="false" outlineLevel="0" collapsed="false">
      <c r="A188" s="0" t="s">
        <v>222</v>
      </c>
      <c r="B188" s="0" t="n">
        <v>1</v>
      </c>
      <c r="C188" s="0" t="n">
        <v>-0.463011598779566</v>
      </c>
      <c r="D188" s="0" t="n">
        <v>-0.341154918629273</v>
      </c>
      <c r="E188" s="0" t="n">
        <v>0.185491811745963</v>
      </c>
      <c r="F188" s="0" t="n">
        <v>-0.258037516005831</v>
      </c>
      <c r="G188" s="0" t="n">
        <v>-0.844327620329611</v>
      </c>
      <c r="H188" s="0" t="n">
        <v>-0.679117291489458</v>
      </c>
      <c r="I188" s="0" t="n">
        <v>-0.346374049410566</v>
      </c>
      <c r="J188" s="0" t="n">
        <v>-0.0488586074377045</v>
      </c>
      <c r="K188" s="0" t="n">
        <v>0.924547504506065</v>
      </c>
      <c r="L188" s="0" t="n">
        <v>1.46257977289618</v>
      </c>
      <c r="M188" s="0" t="n">
        <v>0.277374995189417</v>
      </c>
      <c r="N188" s="0" t="n">
        <v>-0.455813593913473</v>
      </c>
      <c r="O188" s="0" t="n">
        <v>-0.275148124779029</v>
      </c>
      <c r="P188" s="0" t="n">
        <v>-0.0225719405895973</v>
      </c>
      <c r="Q188" s="0" t="n">
        <v>0.286276555220779</v>
      </c>
      <c r="R188" s="0" t="n">
        <v>2.79173054023001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1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</row>
    <row r="189" customFormat="false" ht="15" hidden="false" customHeight="false" outlineLevel="0" collapsed="false">
      <c r="A189" s="0" t="s">
        <v>223</v>
      </c>
      <c r="B189" s="0" t="n">
        <v>1</v>
      </c>
      <c r="C189" s="0" t="n">
        <v>-0.733414275202047</v>
      </c>
      <c r="D189" s="0" t="n">
        <v>-0.387963828984828</v>
      </c>
      <c r="E189" s="0" t="n">
        <v>0.171412651094258</v>
      </c>
      <c r="F189" s="0" t="n">
        <v>-0.458818471059455</v>
      </c>
      <c r="G189" s="0" t="n">
        <v>-1.07502252016899</v>
      </c>
      <c r="H189" s="0" t="n">
        <v>-0.941965156170212</v>
      </c>
      <c r="I189" s="0" t="n">
        <v>-0.257478410465772</v>
      </c>
      <c r="J189" s="0" t="n">
        <v>-0.840449816006857</v>
      </c>
      <c r="K189" s="0" t="n">
        <v>1.26026463666052</v>
      </c>
      <c r="L189" s="0" t="n">
        <v>0.130097421499797</v>
      </c>
      <c r="M189" s="0" t="n">
        <v>-0.871955397034057</v>
      </c>
      <c r="N189" s="0" t="n">
        <v>-0.327182189338217</v>
      </c>
      <c r="O189" s="0" t="n">
        <v>0.896448333113927</v>
      </c>
      <c r="P189" s="0" t="n">
        <v>3</v>
      </c>
      <c r="Q189" s="0" t="n">
        <v>3</v>
      </c>
      <c r="R189" s="0" t="n">
        <v>1.99687231302885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1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</row>
    <row r="190" customFormat="false" ht="15" hidden="false" customHeight="false" outlineLevel="0" collapsed="false">
      <c r="A190" s="0" t="s">
        <v>224</v>
      </c>
      <c r="B190" s="0" t="n">
        <v>1</v>
      </c>
      <c r="C190" s="0" t="n">
        <v>-0.348888534198995</v>
      </c>
      <c r="D190" s="0" t="n">
        <v>-0.452271100077509</v>
      </c>
      <c r="E190" s="0" t="n">
        <v>0.17137435819444</v>
      </c>
      <c r="F190" s="0" t="n">
        <v>0.0382079329454049</v>
      </c>
      <c r="G190" s="0" t="n">
        <v>-0.729107294309749</v>
      </c>
      <c r="H190" s="0" t="n">
        <v>-0.546262481735382</v>
      </c>
      <c r="I190" s="0" t="n">
        <v>-1.43021820124316</v>
      </c>
      <c r="J190" s="0" t="n">
        <v>1.32447120220887</v>
      </c>
      <c r="K190" s="0" t="n">
        <v>-0.407879242313621</v>
      </c>
      <c r="L190" s="0" t="n">
        <v>-1.38302451835479</v>
      </c>
      <c r="M190" s="0" t="n">
        <v>-0.264318078935367</v>
      </c>
      <c r="N190" s="0" t="n">
        <v>-0.885680843708099</v>
      </c>
      <c r="O190" s="0" t="n">
        <v>-0.400851453893393</v>
      </c>
      <c r="P190" s="0" t="n">
        <v>-0.704579879412242</v>
      </c>
      <c r="Q190" s="0" t="n">
        <v>-0.491314693541746</v>
      </c>
      <c r="R190" s="0" t="n">
        <v>-0.940186185266045</v>
      </c>
      <c r="S190" s="0" t="n">
        <v>0</v>
      </c>
      <c r="T190" s="0" t="n">
        <v>1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1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</row>
    <row r="191" customFormat="false" ht="15" hidden="false" customHeight="false" outlineLevel="0" collapsed="false">
      <c r="A191" s="0" t="s">
        <v>225</v>
      </c>
      <c r="B191" s="0" t="n">
        <v>1</v>
      </c>
      <c r="C191" s="0" t="n">
        <v>-0.306800107681366</v>
      </c>
      <c r="D191" s="0" t="n">
        <v>-0.41652487403516</v>
      </c>
      <c r="E191" s="0" t="n">
        <v>-0.126193971864377</v>
      </c>
      <c r="F191" s="0" t="n">
        <v>0.0194550507169319</v>
      </c>
      <c r="G191" s="0" t="n">
        <v>-0.375355273036148</v>
      </c>
      <c r="H191" s="0" t="n">
        <v>-0.177784843808707</v>
      </c>
      <c r="I191" s="0" t="n">
        <v>-1.10759001718532</v>
      </c>
      <c r="J191" s="0" t="n">
        <v>-0.471066029791099</v>
      </c>
      <c r="K191" s="0" t="n">
        <v>0.256372628100804</v>
      </c>
      <c r="L191" s="0" t="n">
        <v>0.208717328057102</v>
      </c>
      <c r="M191" s="0" t="n">
        <v>-0.210575049421166</v>
      </c>
      <c r="N191" s="0" t="n">
        <v>-0.0775221948351235</v>
      </c>
      <c r="O191" s="0" t="n">
        <v>0.0123383628075141</v>
      </c>
      <c r="P191" s="0" t="n">
        <v>-0.35205204271144</v>
      </c>
      <c r="Q191" s="0" t="n">
        <v>-0.360734208599428</v>
      </c>
      <c r="R191" s="0" t="n">
        <v>-0.710406655336904</v>
      </c>
      <c r="S191" s="0" t="n">
        <v>1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</row>
    <row r="192" customFormat="false" ht="15" hidden="false" customHeight="false" outlineLevel="0" collapsed="false">
      <c r="A192" s="0" t="s">
        <v>226</v>
      </c>
      <c r="B192" s="0" t="n">
        <v>1</v>
      </c>
      <c r="C192" s="0" t="n">
        <v>-0.551400538476017</v>
      </c>
      <c r="D192" s="0" t="n">
        <v>-0.663512633832116</v>
      </c>
      <c r="E192" s="0" t="n">
        <v>-0.860114798103373</v>
      </c>
      <c r="F192" s="0" t="n">
        <v>0.223018701412676</v>
      </c>
      <c r="G192" s="0" t="n">
        <v>0.522391334153698</v>
      </c>
      <c r="H192" s="0" t="n">
        <v>0.372530043222661</v>
      </c>
      <c r="I192" s="0" t="n">
        <v>-1.11002395686654</v>
      </c>
      <c r="J192" s="0" t="n">
        <v>0.691950772070409</v>
      </c>
      <c r="K192" s="0" t="n">
        <v>0.391606736097203</v>
      </c>
      <c r="L192" s="0" t="n">
        <v>0.42287298482589</v>
      </c>
      <c r="M192" s="0" t="n">
        <v>-0.652466217738876</v>
      </c>
      <c r="N192" s="0" t="n">
        <v>-0.839036548438797</v>
      </c>
      <c r="O192" s="0" t="n">
        <v>-0.170768184329013</v>
      </c>
      <c r="P192" s="0" t="n">
        <v>-0.576570597963749</v>
      </c>
      <c r="Q192" s="0" t="n">
        <v>-0.524407580039171</v>
      </c>
      <c r="R192" s="0" t="n">
        <v>-0.78783669995865</v>
      </c>
      <c r="S192" s="0" t="n">
        <v>1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1</v>
      </c>
      <c r="Y192" s="0" t="n">
        <v>0</v>
      </c>
      <c r="Z192" s="0" t="n">
        <v>0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</row>
    <row r="193" customFormat="false" ht="15" hidden="false" customHeight="false" outlineLevel="0" collapsed="false">
      <c r="A193" s="0" t="s">
        <v>227</v>
      </c>
      <c r="B193" s="0" t="n">
        <v>1</v>
      </c>
      <c r="C193" s="0" t="n">
        <v>-0.191650786236653</v>
      </c>
      <c r="D193" s="0" t="n">
        <v>-0.362688941480368</v>
      </c>
      <c r="E193" s="0" t="n">
        <v>-0.617121627541463</v>
      </c>
      <c r="F193" s="0" t="n">
        <v>0.0440643790744096</v>
      </c>
      <c r="G193" s="0" t="n">
        <v>0.502526760148422</v>
      </c>
      <c r="H193" s="0" t="n">
        <v>0.477164492396881</v>
      </c>
      <c r="I193" s="0" t="n">
        <v>0.340546722598242</v>
      </c>
      <c r="J193" s="0" t="n">
        <v>0.0413841365086622</v>
      </c>
      <c r="K193" s="0" t="n">
        <v>0.836500277616877</v>
      </c>
      <c r="L193" s="0" t="n">
        <v>-0.557038716122215</v>
      </c>
      <c r="M193" s="0" t="n">
        <v>1.98363489622104</v>
      </c>
      <c r="N193" s="0" t="n">
        <v>-0.239030635723544</v>
      </c>
      <c r="O193" s="0" t="n">
        <v>-0.0462899422365662</v>
      </c>
      <c r="P193" s="0" t="n">
        <v>-0.0698988275581187</v>
      </c>
      <c r="Q193" s="0" t="n">
        <v>0.0874783647264439</v>
      </c>
      <c r="R193" s="0" t="n">
        <v>-0.178852896102275</v>
      </c>
      <c r="S193" s="0" t="n">
        <v>0</v>
      </c>
      <c r="T193" s="0" t="n">
        <v>1</v>
      </c>
      <c r="U193" s="0" t="n">
        <v>0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0.480918646468472</v>
      </c>
      <c r="AJ193" s="0" t="n">
        <v>0.333333333333333</v>
      </c>
    </row>
    <row r="194" customFormat="false" ht="15" hidden="false" customHeight="false" outlineLevel="0" collapsed="false">
      <c r="A194" s="0" t="s">
        <v>228</v>
      </c>
      <c r="B194" s="0" t="n">
        <v>1</v>
      </c>
      <c r="C194" s="0" t="n">
        <v>-0.777645990208972</v>
      </c>
      <c r="D194" s="0" t="n">
        <v>-0.250539917621791</v>
      </c>
      <c r="E194" s="0" t="n">
        <v>-0.512109101496896</v>
      </c>
      <c r="F194" s="0" t="n">
        <v>-0.680660218907385</v>
      </c>
      <c r="G194" s="0" t="n">
        <v>-0.393820372925404</v>
      </c>
      <c r="H194" s="0" t="n">
        <v>-0.240553312161616</v>
      </c>
      <c r="I194" s="0" t="n">
        <v>-0.0588954221655425</v>
      </c>
      <c r="J194" s="0" t="n">
        <v>-1.69942326526607</v>
      </c>
      <c r="K194" s="0" t="n">
        <v>1.48088802402692</v>
      </c>
      <c r="L194" s="0" t="n">
        <v>-0.302911445891623</v>
      </c>
      <c r="M194" s="0" t="n">
        <v>-1.34464451629268</v>
      </c>
      <c r="N194" s="0" t="n">
        <v>0.212823132105511</v>
      </c>
      <c r="O194" s="0" t="n">
        <v>-0.398533591726003</v>
      </c>
      <c r="P194" s="0" t="n">
        <v>-0.20621693068865</v>
      </c>
      <c r="Q194" s="0" t="n">
        <v>-0.169513557725922</v>
      </c>
      <c r="R194" s="0" t="n">
        <v>0.0282357895109592</v>
      </c>
      <c r="S194" s="0" t="n">
        <v>0</v>
      </c>
      <c r="T194" s="0" t="n">
        <v>1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1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0.049799900283421</v>
      </c>
      <c r="AJ194" s="0" t="n">
        <v>0</v>
      </c>
    </row>
    <row r="195" customFormat="false" ht="15" hidden="false" customHeight="false" outlineLevel="0" collapsed="false">
      <c r="A195" s="0" t="s">
        <v>229</v>
      </c>
      <c r="B195" s="0" t="n">
        <v>1</v>
      </c>
      <c r="C195" s="0" t="n">
        <v>0.301649187239008</v>
      </c>
      <c r="D195" s="0" t="n">
        <v>-0.270352485795532</v>
      </c>
      <c r="E195" s="0" t="n">
        <v>-0.391136413458641</v>
      </c>
      <c r="F195" s="0" t="n">
        <v>0.362213684828903</v>
      </c>
      <c r="G195" s="0" t="n">
        <v>0.667799812925067</v>
      </c>
      <c r="H195" s="0" t="n">
        <v>0.737802101737938</v>
      </c>
      <c r="I195" s="0" t="n">
        <v>-0.305052639504712</v>
      </c>
      <c r="J195" s="0" t="n">
        <v>0.951197450071852</v>
      </c>
      <c r="K195" s="0" t="n">
        <v>-1.4434873057437</v>
      </c>
      <c r="L195" s="0" t="n">
        <v>-2.4159924576046</v>
      </c>
      <c r="M195" s="0" t="n">
        <v>0.0769766543993566</v>
      </c>
      <c r="N195" s="0" t="n">
        <v>-0.226701747106107</v>
      </c>
      <c r="O195" s="0" t="n">
        <v>3</v>
      </c>
      <c r="P195" s="0" t="n">
        <v>0.436604534718858</v>
      </c>
      <c r="Q195" s="0" t="n">
        <v>0.307297797243478</v>
      </c>
      <c r="R195" s="0" t="n">
        <v>1.067920424542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1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0.0374407620291155</v>
      </c>
      <c r="AJ195" s="0" t="n">
        <v>0</v>
      </c>
    </row>
    <row r="196" customFormat="false" ht="15" hidden="false" customHeight="false" outlineLevel="0" collapsed="false">
      <c r="A196" s="0" t="s">
        <v>230</v>
      </c>
      <c r="B196" s="0" t="n">
        <v>1</v>
      </c>
      <c r="C196" s="0" t="n">
        <v>1.7528049191669</v>
      </c>
      <c r="D196" s="0" t="n">
        <v>-0.133202721417932</v>
      </c>
      <c r="E196" s="0" t="n">
        <v>-0.28654405867285</v>
      </c>
      <c r="F196" s="0" t="n">
        <v>1.41212113506483</v>
      </c>
      <c r="G196" s="0" t="n">
        <v>2.05439829279307</v>
      </c>
      <c r="H196" s="0" t="n">
        <v>2.11668615398123</v>
      </c>
      <c r="I196" s="0" t="n">
        <v>-0.632421985711021</v>
      </c>
      <c r="J196" s="0" t="n">
        <v>-0.281757039321017</v>
      </c>
      <c r="K196" s="0" t="n">
        <v>-1.93504567180556</v>
      </c>
      <c r="L196" s="0" t="n">
        <v>-0.543575176044516</v>
      </c>
      <c r="M196" s="0" t="n">
        <v>0.953010262785476</v>
      </c>
      <c r="N196" s="0" t="n">
        <v>1.89674383577041</v>
      </c>
      <c r="O196" s="0" t="n">
        <v>-0.0212124462242991</v>
      </c>
      <c r="P196" s="0" t="n">
        <v>-0.189868134781555</v>
      </c>
      <c r="Q196" s="0" t="n">
        <v>0.251308492374598</v>
      </c>
      <c r="R196" s="0" t="n">
        <v>-0.501725747981673</v>
      </c>
      <c r="S196" s="0" t="n">
        <v>0</v>
      </c>
      <c r="T196" s="0" t="n">
        <v>0</v>
      </c>
      <c r="U196" s="0" t="n">
        <v>0</v>
      </c>
      <c r="V196" s="0" t="n">
        <v>1</v>
      </c>
      <c r="W196" s="0" t="n">
        <v>0</v>
      </c>
      <c r="X196" s="0" t="n">
        <v>0</v>
      </c>
      <c r="Y196" s="0" t="n">
        <v>1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</row>
    <row r="197" customFormat="false" ht="15" hidden="false" customHeight="false" outlineLevel="0" collapsed="false">
      <c r="A197" s="0" t="s">
        <v>231</v>
      </c>
      <c r="B197" s="0" t="n">
        <v>1</v>
      </c>
      <c r="C197" s="0" t="n">
        <v>2.1790674641467</v>
      </c>
      <c r="D197" s="0" t="n">
        <v>0.385154244354249</v>
      </c>
      <c r="E197" s="0" t="n">
        <v>0.311707223601023</v>
      </c>
      <c r="F197" s="0" t="n">
        <v>0.815206977523011</v>
      </c>
      <c r="G197" s="0" t="n">
        <v>1.3093756710097</v>
      </c>
      <c r="H197" s="0" t="n">
        <v>1.90154803895497</v>
      </c>
      <c r="I197" s="0" t="n">
        <v>-0.547033803825163</v>
      </c>
      <c r="J197" s="0" t="n">
        <v>-0.140824154584538</v>
      </c>
      <c r="K197" s="0" t="n">
        <v>-1.25286640361159</v>
      </c>
      <c r="L197" s="0" t="n">
        <v>-1.70978102913802</v>
      </c>
      <c r="M197" s="0" t="n">
        <v>2.94313906236428</v>
      </c>
      <c r="N197" s="0" t="n">
        <v>2.1887330145267</v>
      </c>
      <c r="O197" s="0" t="n">
        <v>0.0346266121314195</v>
      </c>
      <c r="P197" s="0" t="n">
        <v>-0.634389485894061</v>
      </c>
      <c r="Q197" s="0" t="n">
        <v>-0.3195881512275</v>
      </c>
      <c r="R197" s="0" t="n">
        <v>0.347451962911642</v>
      </c>
      <c r="S197" s="0" t="n">
        <v>1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1</v>
      </c>
      <c r="Y197" s="0" t="n">
        <v>0</v>
      </c>
      <c r="Z197" s="0" t="n">
        <v>0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0.743620844305672</v>
      </c>
      <c r="AJ197" s="0" t="n">
        <v>0.333333333333333</v>
      </c>
    </row>
    <row r="198" customFormat="false" ht="15" hidden="false" customHeight="false" outlineLevel="0" collapsed="false">
      <c r="A198" s="0" t="s">
        <v>232</v>
      </c>
      <c r="B198" s="0" t="n">
        <v>1</v>
      </c>
      <c r="C198" s="0" t="n">
        <v>2.192816046709</v>
      </c>
      <c r="D198" s="0" t="n">
        <v>0.509707849836766</v>
      </c>
      <c r="E198" s="0" t="n">
        <v>0.30064761050058</v>
      </c>
      <c r="F198" s="0" t="n">
        <v>0.647739825928335</v>
      </c>
      <c r="G198" s="0" t="n">
        <v>1.33890147928989</v>
      </c>
      <c r="H198" s="0" t="n">
        <v>1.92778024239089</v>
      </c>
      <c r="I198" s="0" t="n">
        <v>0.687193460296854</v>
      </c>
      <c r="J198" s="0" t="n">
        <v>-1.02841381273283</v>
      </c>
      <c r="K198" s="0" t="n">
        <v>-0.676649487578499</v>
      </c>
      <c r="L198" s="0" t="n">
        <v>-2.185345690746</v>
      </c>
      <c r="M198" s="0" t="n">
        <v>-2.39365809776339</v>
      </c>
      <c r="N198" s="0" t="n">
        <v>3</v>
      </c>
      <c r="O198" s="0" t="n">
        <v>-0.163245938710202</v>
      </c>
      <c r="P198" s="0" t="n">
        <v>-0.486324075079831</v>
      </c>
      <c r="Q198" s="0" t="n">
        <v>-0.293019871569998</v>
      </c>
      <c r="R198" s="0" t="n">
        <v>0.306010547783145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1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0.112673812647699</v>
      </c>
      <c r="AJ198" s="0" t="n">
        <v>0</v>
      </c>
    </row>
    <row r="199" customFormat="false" ht="15" hidden="false" customHeight="false" outlineLevel="0" collapsed="false">
      <c r="A199" s="0" t="s">
        <v>233</v>
      </c>
      <c r="B199" s="0" t="n">
        <v>1</v>
      </c>
      <c r="C199" s="0" t="n">
        <v>2.81981093319651</v>
      </c>
      <c r="D199" s="0" t="n">
        <v>0.196665661876253</v>
      </c>
      <c r="E199" s="0" t="n">
        <v>0.369511604362775</v>
      </c>
      <c r="F199" s="0" t="n">
        <v>1.60191103086623</v>
      </c>
      <c r="G199" s="0" t="n">
        <v>1.75636312947733</v>
      </c>
      <c r="H199" s="0" t="n">
        <v>2.49767989765122</v>
      </c>
      <c r="I199" s="0" t="n">
        <v>0.76415197372835</v>
      </c>
      <c r="J199" s="0" t="n">
        <v>0.0312775610679418</v>
      </c>
      <c r="K199" s="0" t="n">
        <v>0.160211029127193</v>
      </c>
      <c r="L199" s="0" t="n">
        <v>1.2910767131741</v>
      </c>
      <c r="M199" s="0" t="n">
        <v>0.359100957571782</v>
      </c>
      <c r="N199" s="0" t="n">
        <v>2.6403813008788</v>
      </c>
      <c r="O199" s="0" t="n">
        <v>1.12315498750161</v>
      </c>
      <c r="P199" s="0" t="n">
        <v>0.760028810024525</v>
      </c>
      <c r="Q199" s="0" t="n">
        <v>0.979477268271146</v>
      </c>
      <c r="R199" s="0" t="n">
        <v>0.192861631238517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</row>
    <row r="200" customFormat="false" ht="15" hidden="false" customHeight="false" outlineLevel="0" collapsed="false">
      <c r="A200" s="0" t="s">
        <v>234</v>
      </c>
      <c r="B200" s="0" t="n">
        <v>1</v>
      </c>
      <c r="C200" s="0" t="n">
        <v>3</v>
      </c>
      <c r="D200" s="0" t="n">
        <v>0.652594048950744</v>
      </c>
      <c r="E200" s="0" t="n">
        <v>0.46220434750288</v>
      </c>
      <c r="F200" s="0" t="n">
        <v>1.31932700298258</v>
      </c>
      <c r="G200" s="0" t="n">
        <v>2.19440824706835</v>
      </c>
      <c r="H200" s="0" t="n">
        <v>3</v>
      </c>
      <c r="I200" s="0" t="n">
        <v>1.46325674893228</v>
      </c>
      <c r="J200" s="0" t="n">
        <v>0.734093016113254</v>
      </c>
      <c r="K200" s="0" t="n">
        <v>-0.090780329524974</v>
      </c>
      <c r="L200" s="0" t="n">
        <v>0.916543604471488</v>
      </c>
      <c r="M200" s="0" t="n">
        <v>0.956674229108429</v>
      </c>
      <c r="N200" s="0" t="n">
        <v>2.62825789373832</v>
      </c>
      <c r="O200" s="0" t="n">
        <v>-0.396627084695819</v>
      </c>
      <c r="P200" s="0" t="n">
        <v>-0.648084006442446</v>
      </c>
      <c r="Q200" s="0" t="n">
        <v>-0.487356029885755</v>
      </c>
      <c r="R200" s="0" t="n">
        <v>-0.391874184930727</v>
      </c>
      <c r="S200" s="0" t="n">
        <v>0</v>
      </c>
      <c r="T200" s="0" t="n">
        <v>1</v>
      </c>
      <c r="U200" s="0" t="n">
        <v>0</v>
      </c>
      <c r="V200" s="0" t="n">
        <v>0</v>
      </c>
      <c r="W200" s="0" t="n">
        <v>0</v>
      </c>
      <c r="X200" s="0" t="n">
        <v>1</v>
      </c>
      <c r="Y200" s="0" t="n">
        <v>0</v>
      </c>
      <c r="Z200" s="0" t="n">
        <v>0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1</v>
      </c>
      <c r="AH200" s="0" t="n">
        <v>0</v>
      </c>
      <c r="AI200" s="0" t="n">
        <v>0.612178140995366</v>
      </c>
      <c r="AJ200" s="0" t="n">
        <v>0.333333333333333</v>
      </c>
    </row>
    <row r="201" customFormat="false" ht="15" hidden="false" customHeight="false" outlineLevel="0" collapsed="false">
      <c r="A201" s="0" t="s">
        <v>235</v>
      </c>
      <c r="B201" s="0" t="n">
        <v>1</v>
      </c>
      <c r="C201" s="0" t="n">
        <v>-0.766983636815731</v>
      </c>
      <c r="D201" s="0" t="n">
        <v>1.12164973056491</v>
      </c>
      <c r="E201" s="0" t="n">
        <v>0.444862436433344</v>
      </c>
      <c r="F201" s="0" t="n">
        <v>-1.6230778830638</v>
      </c>
      <c r="G201" s="0" t="n">
        <v>-1.30276174872692</v>
      </c>
      <c r="H201" s="0" t="n">
        <v>-1.27532128194831</v>
      </c>
      <c r="I201" s="0" t="n">
        <v>0.169160825829678</v>
      </c>
      <c r="J201" s="0" t="n">
        <v>-1.64454033203642</v>
      </c>
      <c r="K201" s="0" t="n">
        <v>2.88410534650533</v>
      </c>
      <c r="L201" s="0" t="n">
        <v>-0.121894144591007</v>
      </c>
      <c r="M201" s="0" t="n">
        <v>-3</v>
      </c>
      <c r="N201" s="0" t="n">
        <v>0.182000910561919</v>
      </c>
      <c r="O201" s="0" t="n">
        <v>-0.026940784653189</v>
      </c>
      <c r="P201" s="0" t="n">
        <v>-0.307093789124679</v>
      </c>
      <c r="Q201" s="0" t="n">
        <v>-0.314990882635447</v>
      </c>
      <c r="R201" s="0" t="n">
        <v>1.31353186852915</v>
      </c>
      <c r="S201" s="0" t="n">
        <v>0</v>
      </c>
      <c r="T201" s="0" t="n">
        <v>1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1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0.777527334476496</v>
      </c>
      <c r="AJ201" s="0" t="n">
        <v>0.666666666666667</v>
      </c>
    </row>
    <row r="202" customFormat="false" ht="15" hidden="false" customHeight="false" outlineLevel="0" collapsed="false">
      <c r="A202" s="0" t="s">
        <v>236</v>
      </c>
      <c r="B202" s="0" t="n">
        <v>1</v>
      </c>
      <c r="C202" s="0" t="n">
        <v>0.364221581569193</v>
      </c>
      <c r="D202" s="0" t="n">
        <v>1.22424725163585</v>
      </c>
      <c r="E202" s="0" t="n">
        <v>0.53496749498972</v>
      </c>
      <c r="F202" s="0" t="n">
        <v>-1.0709374286162</v>
      </c>
      <c r="G202" s="0" t="n">
        <v>-0.46210691937563</v>
      </c>
      <c r="H202" s="0" t="n">
        <v>-0.209821743008132</v>
      </c>
      <c r="I202" s="0" t="n">
        <v>0.508575692956231</v>
      </c>
      <c r="J202" s="0" t="n">
        <v>1.09245615504511</v>
      </c>
      <c r="K202" s="0" t="n">
        <v>-0.140542026000177</v>
      </c>
      <c r="L202" s="0" t="n">
        <v>0.471199782458792</v>
      </c>
      <c r="M202" s="0" t="n">
        <v>0.836062691858265</v>
      </c>
      <c r="N202" s="0" t="n">
        <v>-0.236359376523099</v>
      </c>
      <c r="O202" s="0" t="n">
        <v>-0.508335353207116</v>
      </c>
      <c r="P202" s="0" t="n">
        <v>-0.649881758400032</v>
      </c>
      <c r="Q202" s="0" t="n">
        <v>-0.466420447722005</v>
      </c>
      <c r="R202" s="0" t="n">
        <v>-0.180285757153136</v>
      </c>
      <c r="S202" s="0" t="n">
        <v>0</v>
      </c>
      <c r="T202" s="0" t="n">
        <v>1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1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0.671149889457198</v>
      </c>
      <c r="AJ202" s="0" t="n">
        <v>0</v>
      </c>
    </row>
    <row r="203" customFormat="false" ht="15" hidden="false" customHeight="false" outlineLevel="0" collapsed="false">
      <c r="A203" s="0" t="s">
        <v>237</v>
      </c>
      <c r="B203" s="0" t="n">
        <v>1</v>
      </c>
      <c r="C203" s="0" t="n">
        <v>0.353661242999631</v>
      </c>
      <c r="D203" s="0" t="n">
        <v>0.667446010255019</v>
      </c>
      <c r="E203" s="0" t="n">
        <v>0.547176933239113</v>
      </c>
      <c r="F203" s="0" t="n">
        <v>-0.708031974709024</v>
      </c>
      <c r="G203" s="0" t="n">
        <v>-0.481512964473137</v>
      </c>
      <c r="H203" s="0" t="n">
        <v>-0.234029858913873</v>
      </c>
      <c r="I203" s="0" t="n">
        <v>0.503288792367651</v>
      </c>
      <c r="J203" s="0" t="n">
        <v>-0.067659484746046</v>
      </c>
      <c r="K203" s="0" t="n">
        <v>-0.149766442883367</v>
      </c>
      <c r="L203" s="0" t="n">
        <v>0.131698260101833</v>
      </c>
      <c r="M203" s="0" t="n">
        <v>-0.107974637549722</v>
      </c>
      <c r="N203" s="0" t="n">
        <v>-0.180160192575284</v>
      </c>
      <c r="O203" s="0" t="n">
        <v>-0.319185332251216</v>
      </c>
      <c r="P203" s="0" t="n">
        <v>-0.335176607133119</v>
      </c>
      <c r="Q203" s="0" t="n">
        <v>-0.300944850024711</v>
      </c>
      <c r="R203" s="0" t="n">
        <v>-0.248813617506255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1</v>
      </c>
      <c r="AI203" s="0" t="n">
        <v>0.206260340168434</v>
      </c>
      <c r="AJ203" s="0" t="n">
        <v>0</v>
      </c>
    </row>
    <row r="204" customFormat="false" ht="15" hidden="false" customHeight="false" outlineLevel="0" collapsed="false">
      <c r="A204" s="0" t="s">
        <v>238</v>
      </c>
      <c r="B204" s="0" t="n">
        <v>1</v>
      </c>
      <c r="C204" s="0" t="n">
        <v>-0.511360404219969</v>
      </c>
      <c r="D204" s="0" t="n">
        <v>0.764143691481744</v>
      </c>
      <c r="E204" s="0" t="n">
        <v>0.66591042170895</v>
      </c>
      <c r="F204" s="0" t="n">
        <v>-1.30689574434025</v>
      </c>
      <c r="G204" s="0" t="n">
        <v>-1.24327501610612</v>
      </c>
      <c r="H204" s="0" t="n">
        <v>-1.25384785138014</v>
      </c>
      <c r="I204" s="0" t="n">
        <v>0.393791025205749</v>
      </c>
      <c r="J204" s="0" t="n">
        <v>-0.790922879743624</v>
      </c>
      <c r="K204" s="0" t="n">
        <v>0.695114398839609</v>
      </c>
      <c r="L204" s="0" t="n">
        <v>0.755817746527214</v>
      </c>
      <c r="M204" s="0" t="n">
        <v>-1.4510564831526</v>
      </c>
      <c r="N204" s="0" t="n">
        <v>-0.107522490470886</v>
      </c>
      <c r="O204" s="0" t="n">
        <v>0.0586346805854012</v>
      </c>
      <c r="P204" s="0" t="n">
        <v>0.114441040365953</v>
      </c>
      <c r="Q204" s="0" t="n">
        <v>-0.554705602078095</v>
      </c>
      <c r="R204" s="0" t="n">
        <v>-0.155868430019412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1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</row>
    <row r="205" customFormat="false" ht="15" hidden="false" customHeight="false" outlineLevel="0" collapsed="false">
      <c r="A205" s="0" t="s">
        <v>239</v>
      </c>
      <c r="B205" s="0" t="n">
        <v>1</v>
      </c>
      <c r="C205" s="0" t="n">
        <v>0.0845159321658503</v>
      </c>
      <c r="D205" s="0" t="n">
        <v>0.64220066395106</v>
      </c>
      <c r="E205" s="0" t="n">
        <v>0.651659807336931</v>
      </c>
      <c r="F205" s="0" t="n">
        <v>-0.858260385351058</v>
      </c>
      <c r="G205" s="0" t="n">
        <v>-0.778337180978449</v>
      </c>
      <c r="H205" s="0" t="n">
        <v>-0.625143655787983</v>
      </c>
      <c r="I205" s="0" t="n">
        <v>0.183505490404693</v>
      </c>
      <c r="J205" s="0" t="n">
        <v>0.588298086598332</v>
      </c>
      <c r="K205" s="0" t="n">
        <v>-1.15653203142463</v>
      </c>
      <c r="L205" s="0" t="n">
        <v>-2.58158853111751</v>
      </c>
      <c r="M205" s="0" t="n">
        <v>-0.308937052812102</v>
      </c>
      <c r="N205" s="0" t="n">
        <v>-0.248893746617493</v>
      </c>
      <c r="O205" s="0" t="n">
        <v>-0.175861841579929</v>
      </c>
      <c r="P205" s="0" t="n">
        <v>-0.666053974684514</v>
      </c>
      <c r="Q205" s="0" t="n">
        <v>-0.563607486330871</v>
      </c>
      <c r="R205" s="0" t="n">
        <v>-0.52407971815289</v>
      </c>
      <c r="S205" s="0" t="n">
        <v>1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1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</row>
    <row r="206" customFormat="false" ht="15" hidden="false" customHeight="false" outlineLevel="0" collapsed="false">
      <c r="A206" s="0" t="s">
        <v>240</v>
      </c>
      <c r="B206" s="0" t="n">
        <v>1</v>
      </c>
      <c r="C206" s="0" t="n">
        <v>2.1109794306659</v>
      </c>
      <c r="D206" s="0" t="n">
        <v>0.931050294152334</v>
      </c>
      <c r="E206" s="0" t="n">
        <v>0.731031817979398</v>
      </c>
      <c r="F206" s="0" t="n">
        <v>0.108662104497449</v>
      </c>
      <c r="G206" s="0" t="n">
        <v>0.674557918700824</v>
      </c>
      <c r="H206" s="0" t="n">
        <v>1.37326766691197</v>
      </c>
      <c r="I206" s="0" t="n">
        <v>0.561891785498946</v>
      </c>
      <c r="J206" s="0" t="n">
        <v>0.697473203179499</v>
      </c>
      <c r="K206" s="0" t="n">
        <v>-2.64096540457899</v>
      </c>
      <c r="L206" s="0" t="n">
        <v>-3</v>
      </c>
      <c r="M206" s="0" t="n">
        <v>1.5273150479707</v>
      </c>
      <c r="N206" s="0" t="n">
        <v>1.43338310523174</v>
      </c>
      <c r="O206" s="0" t="n">
        <v>0.699011357640188</v>
      </c>
      <c r="P206" s="0" t="n">
        <v>0.348180127993544</v>
      </c>
      <c r="Q206" s="0" t="n">
        <v>0.956609968737001</v>
      </c>
      <c r="R206" s="0" t="n">
        <v>-0.676349432615207</v>
      </c>
      <c r="S206" s="0" t="n">
        <v>0</v>
      </c>
      <c r="T206" s="0" t="n">
        <v>1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0.0578235224251997</v>
      </c>
      <c r="AJ206" s="0" t="n">
        <v>0.333333333333333</v>
      </c>
    </row>
    <row r="207" customFormat="false" ht="15" hidden="false" customHeight="false" outlineLevel="0" collapsed="false">
      <c r="A207" s="0" t="s">
        <v>241</v>
      </c>
      <c r="B207" s="0" t="n">
        <v>1</v>
      </c>
      <c r="C207" s="0" t="n">
        <v>1.00263429463709</v>
      </c>
      <c r="D207" s="0" t="n">
        <v>2.2535186245705</v>
      </c>
      <c r="E207" s="0" t="n">
        <v>1.74094923135315</v>
      </c>
      <c r="F207" s="0" t="n">
        <v>-1.25118858791012</v>
      </c>
      <c r="G207" s="0" t="n">
        <v>-0.886330623019892</v>
      </c>
      <c r="H207" s="0" t="n">
        <v>-0.87076906033129</v>
      </c>
      <c r="I207" s="0" t="n">
        <v>1.67422897839814</v>
      </c>
      <c r="J207" s="0" t="n">
        <v>-0.067659484746046</v>
      </c>
      <c r="K207" s="0" t="n">
        <v>-0.149766442883367</v>
      </c>
      <c r="L207" s="0" t="n">
        <v>0.131698260101833</v>
      </c>
      <c r="M207" s="0" t="n">
        <v>-0.107974637549722</v>
      </c>
      <c r="N207" s="0" t="n">
        <v>-0.180160192575284</v>
      </c>
      <c r="O207" s="0" t="n">
        <v>-0.319185332251216</v>
      </c>
      <c r="P207" s="0" t="n">
        <v>-0.335176607133119</v>
      </c>
      <c r="Q207" s="0" t="n">
        <v>-0.300944850024711</v>
      </c>
      <c r="R207" s="0" t="n">
        <v>-0.248813617506255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1</v>
      </c>
      <c r="AI207" s="0" t="n">
        <v>0.591663601411201</v>
      </c>
      <c r="AJ207" s="0" t="n">
        <v>0.666666666666667</v>
      </c>
    </row>
    <row r="208" customFormat="false" ht="15" hidden="false" customHeight="false" outlineLevel="0" collapsed="false">
      <c r="A208" s="0" t="s">
        <v>242</v>
      </c>
      <c r="B208" s="0" t="n">
        <v>1</v>
      </c>
      <c r="C208" s="0" t="n">
        <v>-0.40522547028413</v>
      </c>
      <c r="D208" s="0" t="n">
        <v>2.10342248997759</v>
      </c>
      <c r="E208" s="0" t="n">
        <v>1.70448575784525</v>
      </c>
      <c r="F208" s="0" t="n">
        <v>-1.77555402133564</v>
      </c>
      <c r="G208" s="0" t="n">
        <v>-1.67732965249858</v>
      </c>
      <c r="H208" s="0" t="n">
        <v>-2.27955181738759</v>
      </c>
      <c r="I208" s="0" t="n">
        <v>1.56533232005239</v>
      </c>
      <c r="J208" s="0" t="n">
        <v>-2.4608802635153</v>
      </c>
      <c r="K208" s="0" t="n">
        <v>3</v>
      </c>
      <c r="L208" s="0" t="n">
        <v>0.93693669279665</v>
      </c>
      <c r="M208" s="0" t="n">
        <v>-0.38659073872826</v>
      </c>
      <c r="N208" s="0" t="n">
        <v>1.63496043412683</v>
      </c>
      <c r="O208" s="0" t="n">
        <v>-0.110989754942077</v>
      </c>
      <c r="P208" s="0" t="n">
        <v>-0.473810124217529</v>
      </c>
      <c r="Q208" s="0" t="n">
        <v>-0.367622142157065</v>
      </c>
      <c r="R208" s="0" t="n">
        <v>-0.214211892412269</v>
      </c>
      <c r="S208" s="0" t="n">
        <v>1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1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1.18656790670311</v>
      </c>
      <c r="AJ208" s="0" t="n">
        <v>1</v>
      </c>
    </row>
    <row r="209" customFormat="false" ht="15" hidden="false" customHeight="false" outlineLevel="0" collapsed="false">
      <c r="A209" s="0" t="s">
        <v>243</v>
      </c>
      <c r="B209" s="0" t="n">
        <v>1</v>
      </c>
      <c r="C209" s="0" t="n">
        <v>1.62175285022012</v>
      </c>
      <c r="D209" s="0" t="n">
        <v>1.97994592437542</v>
      </c>
      <c r="E209" s="0" t="n">
        <v>1.68113330266704</v>
      </c>
      <c r="F209" s="0" t="n">
        <v>-0.875168196498031</v>
      </c>
      <c r="G209" s="0" t="n">
        <v>-0.493821509068137</v>
      </c>
      <c r="H209" s="0" t="n">
        <v>-0.168357698978149</v>
      </c>
      <c r="I209" s="0" t="n">
        <v>1.48303288010325</v>
      </c>
      <c r="J209" s="0" t="n">
        <v>0.126499291015474</v>
      </c>
      <c r="K209" s="0" t="n">
        <v>-1.09170630553046</v>
      </c>
      <c r="L209" s="0" t="n">
        <v>-0.0341205344958184</v>
      </c>
      <c r="M209" s="0" t="n">
        <v>0.797113649270812</v>
      </c>
      <c r="N209" s="0" t="n">
        <v>1.42125969809127</v>
      </c>
      <c r="O209" s="0" t="n">
        <v>1.8071780240037</v>
      </c>
      <c r="P209" s="0" t="n">
        <v>2.84895007053665</v>
      </c>
      <c r="Q209" s="0" t="n">
        <v>1.99445486793182</v>
      </c>
      <c r="R209" s="0" t="n">
        <v>0.242645713464576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1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1.65460004169626</v>
      </c>
      <c r="AJ209" s="0" t="n">
        <v>1.33333333333333</v>
      </c>
    </row>
    <row r="210" customFormat="false" ht="15" hidden="false" customHeight="false" outlineLevel="0" collapsed="false">
      <c r="A210" s="0" t="s">
        <v>244</v>
      </c>
      <c r="B210" s="0" t="n">
        <v>1</v>
      </c>
      <c r="C210" s="0" t="n">
        <v>1.58751337610943</v>
      </c>
      <c r="D210" s="0" t="n">
        <v>1.98032204931196</v>
      </c>
      <c r="E210" s="0" t="n">
        <v>1.65277578756223</v>
      </c>
      <c r="F210" s="0" t="n">
        <v>-0.889979321271485</v>
      </c>
      <c r="G210" s="0" t="n">
        <v>-0.495069080387351</v>
      </c>
      <c r="H210" s="0" t="n">
        <v>-0.172600754487646</v>
      </c>
      <c r="I210" s="0" t="n">
        <v>1.36099680883331</v>
      </c>
      <c r="J210" s="0" t="n">
        <v>0.833020864412282</v>
      </c>
      <c r="K210" s="0" t="n">
        <v>-0.0427603430410914</v>
      </c>
      <c r="L210" s="0" t="n">
        <v>-0.374072961048244</v>
      </c>
      <c r="M210" s="0" t="n">
        <v>-0.0101081541358488</v>
      </c>
      <c r="N210" s="0" t="n">
        <v>0.900980598435436</v>
      </c>
      <c r="O210" s="0" t="n">
        <v>2.04953319102658</v>
      </c>
      <c r="P210" s="0" t="n">
        <v>-0.0808756026571342</v>
      </c>
      <c r="Q210" s="0" t="n">
        <v>0.115557719486881</v>
      </c>
      <c r="R210" s="0" t="n">
        <v>0.130263245481532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1.03443815742279</v>
      </c>
      <c r="AJ210" s="0" t="n">
        <v>0</v>
      </c>
    </row>
    <row r="211" customFormat="false" ht="15" hidden="false" customHeight="false" outlineLevel="0" collapsed="false">
      <c r="A211" s="0" t="s">
        <v>245</v>
      </c>
      <c r="B211" s="0" t="n">
        <v>1</v>
      </c>
      <c r="C211" s="0" t="n">
        <v>2.09071135667546</v>
      </c>
      <c r="D211" s="0" t="n">
        <v>1.75326877876203</v>
      </c>
      <c r="E211" s="0" t="n">
        <v>1.61612349769476</v>
      </c>
      <c r="F211" s="0" t="n">
        <v>-0.543370285494694</v>
      </c>
      <c r="G211" s="0" t="n">
        <v>-0.174504689989369</v>
      </c>
      <c r="H211" s="0" t="n">
        <v>0.3852209357155</v>
      </c>
      <c r="I211" s="0" t="n">
        <v>0.129201696541763</v>
      </c>
      <c r="J211" s="0" t="n">
        <v>1.1959511336842</v>
      </c>
      <c r="K211" s="0" t="n">
        <v>-1.48009026297701</v>
      </c>
      <c r="L211" s="0" t="n">
        <v>-2.22143048833501</v>
      </c>
      <c r="M211" s="0" t="n">
        <v>-0.798932893336029</v>
      </c>
      <c r="N211" s="0" t="n">
        <v>1.08796874246656</v>
      </c>
      <c r="O211" s="0" t="n">
        <v>3</v>
      </c>
      <c r="P211" s="0" t="n">
        <v>3</v>
      </c>
      <c r="Q211" s="0" t="n">
        <v>3</v>
      </c>
      <c r="R211" s="0" t="n">
        <v>1.5774737473973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1</v>
      </c>
      <c r="Y211" s="0" t="n">
        <v>0</v>
      </c>
      <c r="Z211" s="0" t="n">
        <v>0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0.246705415873081</v>
      </c>
      <c r="AJ211" s="0" t="n">
        <v>0</v>
      </c>
    </row>
    <row r="212" customFormat="false" ht="15" hidden="false" customHeight="false" outlineLevel="0" collapsed="false">
      <c r="A212" s="0" t="s">
        <v>246</v>
      </c>
      <c r="B212" s="0" t="n">
        <v>1</v>
      </c>
      <c r="C212" s="0" t="n">
        <v>1.77871740710224</v>
      </c>
      <c r="D212" s="0" t="n">
        <v>1.78642027549471</v>
      </c>
      <c r="E212" s="0" t="n">
        <v>1.29010711933993</v>
      </c>
      <c r="F212" s="0" t="n">
        <v>-0.703398451180861</v>
      </c>
      <c r="G212" s="0" t="n">
        <v>-0.111062375321083</v>
      </c>
      <c r="H212" s="0" t="n">
        <v>0.420449542894155</v>
      </c>
      <c r="I212" s="0" t="n">
        <v>-1.96155537184524</v>
      </c>
      <c r="J212" s="0" t="n">
        <v>-0.067659484746046</v>
      </c>
      <c r="K212" s="0" t="n">
        <v>-0.149766442883367</v>
      </c>
      <c r="L212" s="0" t="n">
        <v>0.131698260101833</v>
      </c>
      <c r="M212" s="0" t="n">
        <v>-0.107974637549722</v>
      </c>
      <c r="N212" s="0" t="n">
        <v>-0.180160192575284</v>
      </c>
      <c r="O212" s="0" t="n">
        <v>-0.319185332251216</v>
      </c>
      <c r="P212" s="0" t="n">
        <v>-0.335176607133119</v>
      </c>
      <c r="Q212" s="0" t="n">
        <v>-0.300944850024711</v>
      </c>
      <c r="R212" s="0" t="n">
        <v>-0.248813617506255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1</v>
      </c>
      <c r="AI212" s="0" t="n">
        <v>0</v>
      </c>
      <c r="AJ212" s="0" t="n">
        <v>0</v>
      </c>
    </row>
    <row r="213" customFormat="false" ht="15" hidden="false" customHeight="false" outlineLevel="0" collapsed="false">
      <c r="A213" s="0" t="s">
        <v>247</v>
      </c>
      <c r="B213" s="0" t="n">
        <v>1</v>
      </c>
      <c r="C213" s="0" t="n">
        <v>3</v>
      </c>
      <c r="D213" s="0" t="n">
        <v>1.62890693560659</v>
      </c>
      <c r="E213" s="0" t="n">
        <v>1.25592150297423</v>
      </c>
      <c r="F213" s="0" t="n">
        <v>0.025903228188009</v>
      </c>
      <c r="G213" s="0" t="n">
        <v>0.794523944662926</v>
      </c>
      <c r="H213" s="0" t="n">
        <v>1.85929155497654</v>
      </c>
      <c r="I213" s="0" t="n">
        <v>-1.87275028481765</v>
      </c>
      <c r="J213" s="0" t="n">
        <v>2.999085788859</v>
      </c>
      <c r="K213" s="0" t="n">
        <v>-2.94992689144992</v>
      </c>
      <c r="L213" s="0" t="n">
        <v>-3</v>
      </c>
      <c r="M213" s="0" t="n">
        <v>-1.6835670463129</v>
      </c>
      <c r="N213" s="0" t="n">
        <v>0.875295413815776</v>
      </c>
      <c r="O213" s="0" t="n">
        <v>0.234928618994478</v>
      </c>
      <c r="P213" s="0" t="n">
        <v>0.295415114157911</v>
      </c>
      <c r="Q213" s="0" t="n">
        <v>0.758835994613546</v>
      </c>
      <c r="R213" s="0" t="n">
        <v>0.511471503770822</v>
      </c>
      <c r="S213" s="0" t="n">
        <v>0</v>
      </c>
      <c r="T213" s="0" t="n">
        <v>1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1</v>
      </c>
      <c r="AD213" s="0" t="n">
        <v>0</v>
      </c>
      <c r="AE213" s="0" t="n">
        <v>0</v>
      </c>
      <c r="AF213" s="0" t="n">
        <v>0</v>
      </c>
      <c r="AG213" s="0" t="n">
        <v>1</v>
      </c>
      <c r="AH213" s="0" t="n">
        <v>0</v>
      </c>
      <c r="AI213" s="0" t="n">
        <v>0</v>
      </c>
      <c r="AJ213" s="0" t="n">
        <v>0</v>
      </c>
    </row>
    <row r="214" customFormat="false" ht="15" hidden="false" customHeight="false" outlineLevel="0" collapsed="false">
      <c r="A214" s="0" t="s">
        <v>248</v>
      </c>
      <c r="B214" s="0" t="n">
        <v>1</v>
      </c>
      <c r="C214" s="0" t="n">
        <v>3</v>
      </c>
      <c r="D214" s="0" t="n">
        <v>3</v>
      </c>
      <c r="E214" s="0" t="n">
        <v>2.55245052369492</v>
      </c>
      <c r="F214" s="0" t="n">
        <v>-0.328203836356751</v>
      </c>
      <c r="G214" s="0" t="n">
        <v>0.420582600152627</v>
      </c>
      <c r="H214" s="0" t="n">
        <v>1.85123377936355</v>
      </c>
      <c r="I214" s="0" t="n">
        <v>1.56847608225963</v>
      </c>
      <c r="J214" s="0" t="n">
        <v>0.322932425439274</v>
      </c>
      <c r="K214" s="0" t="n">
        <v>0.327762329617467</v>
      </c>
      <c r="L214" s="0" t="n">
        <v>-0.756261150943635</v>
      </c>
      <c r="M214" s="0" t="n">
        <v>2.95530561192194</v>
      </c>
      <c r="N214" s="0" t="n">
        <v>3</v>
      </c>
      <c r="O214" s="0" t="n">
        <v>1.26917058088619</v>
      </c>
      <c r="P214" s="0" t="n">
        <v>-0.620075861331468</v>
      </c>
      <c r="Q214" s="0" t="n">
        <v>-0.414626742955832</v>
      </c>
      <c r="R214" s="0" t="n">
        <v>-1.08746166328711</v>
      </c>
      <c r="S214" s="0" t="n">
        <v>0</v>
      </c>
      <c r="T214" s="0" t="n">
        <v>1</v>
      </c>
      <c r="U214" s="0" t="n">
        <v>0</v>
      </c>
      <c r="V214" s="0" t="n">
        <v>0</v>
      </c>
      <c r="W214" s="0" t="n">
        <v>1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1</v>
      </c>
      <c r="AH214" s="0" t="n">
        <v>0</v>
      </c>
      <c r="AI214" s="0" t="n">
        <v>0</v>
      </c>
      <c r="AJ214" s="0" t="n">
        <v>0</v>
      </c>
    </row>
    <row r="215" customFormat="false" ht="15" hidden="false" customHeight="false" outlineLevel="0" collapsed="false">
      <c r="A215" s="0" t="s">
        <v>249</v>
      </c>
      <c r="B215" s="0" t="n">
        <v>1</v>
      </c>
      <c r="C215" s="0" t="n">
        <v>3</v>
      </c>
      <c r="D215" s="0" t="n">
        <v>2.38540512560051</v>
      </c>
      <c r="E215" s="0" t="n">
        <v>2.48874853275334</v>
      </c>
      <c r="F215" s="0" t="n">
        <v>-0.345295850301828</v>
      </c>
      <c r="G215" s="0" t="n">
        <v>-0.0445626347956284</v>
      </c>
      <c r="H215" s="0" t="n">
        <v>0.839262154265379</v>
      </c>
      <c r="I215" s="0" t="n">
        <v>1.63699245602713</v>
      </c>
      <c r="J215" s="0" t="n">
        <v>-0.067659484746046</v>
      </c>
      <c r="K215" s="0" t="n">
        <v>-0.149766442883367</v>
      </c>
      <c r="L215" s="0" t="n">
        <v>0.131698260101833</v>
      </c>
      <c r="M215" s="0" t="n">
        <v>-0.107974637549722</v>
      </c>
      <c r="N215" s="0" t="n">
        <v>-0.180160192575284</v>
      </c>
      <c r="O215" s="0" t="n">
        <v>-0.319185332251216</v>
      </c>
      <c r="P215" s="0" t="n">
        <v>-0.335176607133119</v>
      </c>
      <c r="Q215" s="0" t="n">
        <v>-0.300944850024711</v>
      </c>
      <c r="R215" s="0" t="n">
        <v>-0.248813617506255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1</v>
      </c>
      <c r="AI215" s="0" t="n">
        <v>0</v>
      </c>
      <c r="AJ215" s="0" t="n">
        <v>0</v>
      </c>
    </row>
    <row r="216" customFormat="false" ht="15" hidden="false" customHeight="false" outlineLevel="0" collapsed="false">
      <c r="A216" s="0" t="s">
        <v>250</v>
      </c>
      <c r="B216" s="0" t="n">
        <v>1</v>
      </c>
      <c r="C216" s="0" t="n">
        <v>3</v>
      </c>
      <c r="D216" s="0" t="n">
        <v>2.78788348853407</v>
      </c>
      <c r="E216" s="0" t="n">
        <v>2.55809956821686</v>
      </c>
      <c r="F216" s="0" t="n">
        <v>-0.713539200379293</v>
      </c>
      <c r="G216" s="0" t="n">
        <v>-0.299491103060678</v>
      </c>
      <c r="H216" s="0" t="n">
        <v>0.311142708108026</v>
      </c>
      <c r="I216" s="0" t="n">
        <v>-0.701678899955738</v>
      </c>
      <c r="J216" s="0" t="n">
        <v>-0.162077702698572</v>
      </c>
      <c r="K216" s="0" t="n">
        <v>1.09200519018036</v>
      </c>
      <c r="L216" s="0" t="n">
        <v>0.279239119232849</v>
      </c>
      <c r="M216" s="0" t="n">
        <v>-0.375088386112395</v>
      </c>
      <c r="N216" s="0" t="n">
        <v>3</v>
      </c>
      <c r="O216" s="0" t="n">
        <v>0.37356795259644</v>
      </c>
      <c r="P216" s="0" t="n">
        <v>-0.0903480100070156</v>
      </c>
      <c r="Q216" s="0" t="n">
        <v>-0.0644652749679114</v>
      </c>
      <c r="R216" s="0" t="n">
        <v>-0.270770293980784</v>
      </c>
      <c r="S216" s="0" t="n">
        <v>0</v>
      </c>
      <c r="T216" s="0" t="n">
        <v>1</v>
      </c>
      <c r="U216" s="0" t="n">
        <v>0</v>
      </c>
      <c r="V216" s="0" t="n">
        <v>0</v>
      </c>
      <c r="W216" s="0" t="n">
        <v>1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1</v>
      </c>
      <c r="AH216" s="0" t="n">
        <v>0</v>
      </c>
      <c r="AI216" s="0" t="n">
        <v>0</v>
      </c>
      <c r="AJ216" s="0" t="n">
        <v>0</v>
      </c>
    </row>
    <row r="217" customFormat="false" ht="15" hidden="false" customHeight="false" outlineLevel="0" collapsed="false">
      <c r="A217" s="0" t="s">
        <v>251</v>
      </c>
      <c r="B217" s="0" t="n">
        <v>1</v>
      </c>
      <c r="C217" s="0" t="n">
        <v>2.34525129439527</v>
      </c>
      <c r="D217" s="0" t="n">
        <v>3</v>
      </c>
      <c r="E217" s="0" t="n">
        <v>2.82802879990123</v>
      </c>
      <c r="F217" s="0" t="n">
        <v>-1.19389522773092</v>
      </c>
      <c r="G217" s="0" t="n">
        <v>-0.756072282376528</v>
      </c>
      <c r="H217" s="0" t="n">
        <v>-0.677188365706481</v>
      </c>
      <c r="I217" s="0" t="n">
        <v>0.286389976056886</v>
      </c>
      <c r="J217" s="0" t="n">
        <v>-1.13737680284803</v>
      </c>
      <c r="K217" s="0" t="n">
        <v>-0.279173813449007</v>
      </c>
      <c r="L217" s="0" t="n">
        <v>-0.705431328155872</v>
      </c>
      <c r="M217" s="0" t="n">
        <v>-0.609709057320222</v>
      </c>
      <c r="N217" s="0" t="n">
        <v>3</v>
      </c>
      <c r="O217" s="0" t="n">
        <v>-0.393714139345267</v>
      </c>
      <c r="P217" s="0" t="n">
        <v>-0.58288397063465</v>
      </c>
      <c r="Q217" s="0" t="n">
        <v>-0.460929489672666</v>
      </c>
      <c r="R217" s="0" t="n">
        <v>-0.109117220087529</v>
      </c>
      <c r="S217" s="0" t="n">
        <v>0</v>
      </c>
      <c r="T217" s="0" t="n">
        <v>0</v>
      </c>
      <c r="U217" s="0" t="n">
        <v>0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1</v>
      </c>
      <c r="AE217" s="0" t="n">
        <v>0</v>
      </c>
      <c r="AF217" s="0" t="n">
        <v>0</v>
      </c>
      <c r="AG217" s="0" t="n">
        <v>1</v>
      </c>
      <c r="AH217" s="0" t="n">
        <v>0</v>
      </c>
      <c r="AI217" s="0" t="n">
        <v>0.0190986198859597</v>
      </c>
      <c r="AJ217" s="0" t="n">
        <v>0.333333333333333</v>
      </c>
    </row>
    <row r="218" customFormat="false" ht="15" hidden="false" customHeight="false" outlineLevel="0" collapsed="false">
      <c r="A218" s="0" t="s">
        <v>252</v>
      </c>
      <c r="B218" s="0" t="n">
        <v>1</v>
      </c>
      <c r="C218" s="0" t="n">
        <v>2.59040864535859</v>
      </c>
      <c r="D218" s="0" t="n">
        <v>1.77294469807273</v>
      </c>
      <c r="E218" s="0" t="n">
        <v>2.79408489297934</v>
      </c>
      <c r="F218" s="0" t="n">
        <v>-0.330633413911503</v>
      </c>
      <c r="G218" s="0" t="n">
        <v>-0.627531607413023</v>
      </c>
      <c r="H218" s="0" t="n">
        <v>-0.387839249707193</v>
      </c>
      <c r="I218" s="0" t="n">
        <v>-0.00854089905649177</v>
      </c>
      <c r="J218" s="0" t="n">
        <v>-0.0646239581524435</v>
      </c>
      <c r="K218" s="0" t="n">
        <v>0.0461485071180055</v>
      </c>
      <c r="L218" s="0" t="n">
        <v>0.524832053107317</v>
      </c>
      <c r="M218" s="0" t="n">
        <v>-0.160371895697035</v>
      </c>
      <c r="N218" s="0" t="n">
        <v>2.51606500731964</v>
      </c>
      <c r="O218" s="0" t="n">
        <v>0.0665758867690279</v>
      </c>
      <c r="P218" s="0" t="n">
        <v>-0.697952233185447</v>
      </c>
      <c r="Q218" s="0" t="n">
        <v>-0.497306260138359</v>
      </c>
      <c r="R218" s="0" t="n">
        <v>-0.676529714706043</v>
      </c>
      <c r="S218" s="0" t="n">
        <v>0</v>
      </c>
      <c r="T218" s="0" t="n">
        <v>1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1</v>
      </c>
      <c r="AH218" s="0" t="n">
        <v>0</v>
      </c>
      <c r="AI218" s="0" t="n">
        <v>0</v>
      </c>
      <c r="AJ218" s="0" t="n">
        <v>0</v>
      </c>
    </row>
    <row r="219" customFormat="false" ht="15" hidden="false" customHeight="false" outlineLevel="0" collapsed="false">
      <c r="A219" s="0" t="s">
        <v>253</v>
      </c>
      <c r="B219" s="0" t="n">
        <v>1</v>
      </c>
      <c r="C219" s="0" t="n">
        <v>2.68606551000394</v>
      </c>
      <c r="D219" s="0" t="n">
        <v>1.51442233857296</v>
      </c>
      <c r="E219" s="0" t="n">
        <v>2.84448189708609</v>
      </c>
      <c r="F219" s="0" t="n">
        <v>-0.100341113646751</v>
      </c>
      <c r="G219" s="0" t="n">
        <v>-0.608725009922996</v>
      </c>
      <c r="H219" s="0" t="n">
        <v>-0.344484126002613</v>
      </c>
      <c r="I219" s="0" t="n">
        <v>-1.47671435497927</v>
      </c>
      <c r="J219" s="0" t="n">
        <v>1.62137925745214</v>
      </c>
      <c r="K219" s="0" t="n">
        <v>0.204016404331885</v>
      </c>
      <c r="L219" s="0" t="n">
        <v>0.427860587135356</v>
      </c>
      <c r="M219" s="0" t="n">
        <v>0.420014169286782</v>
      </c>
      <c r="N219" s="0" t="n">
        <v>1.28749125659208</v>
      </c>
      <c r="O219" s="0" t="n">
        <v>-0.50233722157347</v>
      </c>
      <c r="P219" s="0" t="n">
        <v>-0.758965207757542</v>
      </c>
      <c r="Q219" s="0" t="n">
        <v>-0.500664684738012</v>
      </c>
      <c r="R219" s="0" t="n">
        <v>-1.24984363826906</v>
      </c>
      <c r="S219" s="0" t="n">
        <v>0</v>
      </c>
      <c r="T219" s="0" t="n">
        <v>1</v>
      </c>
      <c r="U219" s="0" t="n">
        <v>0</v>
      </c>
      <c r="V219" s="0" t="n">
        <v>0</v>
      </c>
      <c r="W219" s="0" t="n">
        <v>0</v>
      </c>
      <c r="X219" s="0" t="n">
        <v>1</v>
      </c>
      <c r="Y219" s="0" t="n">
        <v>0</v>
      </c>
      <c r="Z219" s="0" t="n">
        <v>0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1</v>
      </c>
      <c r="AH219" s="0" t="n">
        <v>0</v>
      </c>
      <c r="AI219" s="0" t="n">
        <v>0.182516743067748</v>
      </c>
      <c r="AJ219" s="0" t="n">
        <v>0.333333333333333</v>
      </c>
    </row>
    <row r="220" customFormat="false" ht="15" hidden="false" customHeight="false" outlineLevel="0" collapsed="false">
      <c r="A220" s="0" t="s">
        <v>254</v>
      </c>
      <c r="B220" s="0" t="n">
        <v>1</v>
      </c>
      <c r="C220" s="0" t="n">
        <v>2.28878781562046</v>
      </c>
      <c r="D220" s="0" t="n">
        <v>1.61604190045664</v>
      </c>
      <c r="E220" s="0" t="n">
        <v>2.55713651973414</v>
      </c>
      <c r="F220" s="0" t="n">
        <v>-0.363209634418948</v>
      </c>
      <c r="G220" s="0" t="n">
        <v>-0.64976008330579</v>
      </c>
      <c r="H220" s="0" t="n">
        <v>-0.43926698578389</v>
      </c>
      <c r="I220" s="0" t="n">
        <v>-0.474219509594519</v>
      </c>
      <c r="J220" s="0" t="n">
        <v>-0.067659484746046</v>
      </c>
      <c r="K220" s="0" t="n">
        <v>-0.149766442883367</v>
      </c>
      <c r="L220" s="0" t="n">
        <v>0.131698260101833</v>
      </c>
      <c r="M220" s="0" t="n">
        <v>-0.107974637549722</v>
      </c>
      <c r="N220" s="0" t="n">
        <v>-0.180160192575284</v>
      </c>
      <c r="O220" s="0" t="n">
        <v>-0.319185332251216</v>
      </c>
      <c r="P220" s="0" t="n">
        <v>-0.335176607133119</v>
      </c>
      <c r="Q220" s="0" t="n">
        <v>-0.300944850024711</v>
      </c>
      <c r="R220" s="0" t="n">
        <v>-0.248813617506255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0.146152514579092</v>
      </c>
      <c r="AJ220" s="0" t="n">
        <v>0</v>
      </c>
    </row>
    <row r="221" customFormat="false" ht="15" hidden="false" customHeight="false" outlineLevel="0" collapsed="false">
      <c r="A221" s="0" t="s">
        <v>255</v>
      </c>
      <c r="B221" s="0" t="n">
        <v>1</v>
      </c>
      <c r="C221" s="0" t="n">
        <v>1.53804367525428</v>
      </c>
      <c r="D221" s="0" t="n">
        <v>1.81579846631618</v>
      </c>
      <c r="E221" s="0" t="n">
        <v>2.32934021372358</v>
      </c>
      <c r="F221" s="0" t="n">
        <v>-0.827033262229966</v>
      </c>
      <c r="G221" s="0" t="n">
        <v>-0.904813207953409</v>
      </c>
      <c r="H221" s="0" t="n">
        <v>-0.962824738256454</v>
      </c>
      <c r="I221" s="0" t="n">
        <v>-0.465668942413863</v>
      </c>
      <c r="J221" s="0" t="n">
        <v>-0.067659484746046</v>
      </c>
      <c r="K221" s="0" t="n">
        <v>-0.149766442883367</v>
      </c>
      <c r="L221" s="0" t="n">
        <v>0.131698260101833</v>
      </c>
      <c r="M221" s="0" t="n">
        <v>-0.107974637549722</v>
      </c>
      <c r="N221" s="0" t="n">
        <v>-0.180160192575284</v>
      </c>
      <c r="O221" s="0" t="n">
        <v>-0.319185332251216</v>
      </c>
      <c r="P221" s="0" t="n">
        <v>-0.335176607133119</v>
      </c>
      <c r="Q221" s="0" t="n">
        <v>-0.300944850024711</v>
      </c>
      <c r="R221" s="0" t="n">
        <v>-0.248813617506255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1</v>
      </c>
      <c r="AI221" s="0" t="n">
        <v>0</v>
      </c>
      <c r="AJ221" s="0" t="n">
        <v>0</v>
      </c>
    </row>
    <row r="222" customFormat="false" ht="15" hidden="false" customHeight="false" outlineLevel="0" collapsed="false">
      <c r="A222" s="0" t="s">
        <v>256</v>
      </c>
      <c r="B222" s="0" t="n">
        <v>1</v>
      </c>
      <c r="C222" s="0" t="n">
        <v>1.86746422847633</v>
      </c>
      <c r="D222" s="0" t="n">
        <v>1.9071631770182</v>
      </c>
      <c r="E222" s="0" t="n">
        <v>2.47706930057236</v>
      </c>
      <c r="F222" s="0" t="n">
        <v>-0.731326313167094</v>
      </c>
      <c r="G222" s="0" t="n">
        <v>-0.813616486413063</v>
      </c>
      <c r="H222" s="0" t="n">
        <v>-0.785297093231198</v>
      </c>
      <c r="I222" s="0" t="n">
        <v>-0.435880734427247</v>
      </c>
      <c r="J222" s="0" t="n">
        <v>-0.228785153767521</v>
      </c>
      <c r="K222" s="0" t="n">
        <v>-0.129828274232431</v>
      </c>
      <c r="L222" s="0" t="n">
        <v>0.517509233869496</v>
      </c>
      <c r="M222" s="0" t="n">
        <v>-1.72635649399645</v>
      </c>
      <c r="N222" s="0" t="n">
        <v>1.96270338987369</v>
      </c>
      <c r="O222" s="0" t="n">
        <v>0.182408643269505</v>
      </c>
      <c r="P222" s="0" t="n">
        <v>-0.569773007048673</v>
      </c>
      <c r="Q222" s="0" t="n">
        <v>-0.297323585938697</v>
      </c>
      <c r="R222" s="0" t="n">
        <v>-0.843656275455621</v>
      </c>
      <c r="S222" s="0" t="n">
        <v>0</v>
      </c>
      <c r="T222" s="0" t="n">
        <v>1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1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1</v>
      </c>
      <c r="AH222" s="0" t="n">
        <v>0</v>
      </c>
      <c r="AI222" s="0" t="n">
        <v>0</v>
      </c>
      <c r="AJ222" s="0" t="n">
        <v>0</v>
      </c>
    </row>
    <row r="223" customFormat="false" ht="15" hidden="false" customHeight="false" outlineLevel="0" collapsed="false">
      <c r="A223" s="0" t="s">
        <v>257</v>
      </c>
      <c r="B223" s="0" t="n">
        <v>1</v>
      </c>
      <c r="C223" s="0" t="n">
        <v>2.12759783213865</v>
      </c>
      <c r="D223" s="0" t="n">
        <v>1.74228031185944</v>
      </c>
      <c r="E223" s="0" t="n">
        <v>2.51224043685619</v>
      </c>
      <c r="F223" s="0" t="n">
        <v>-0.519882416170599</v>
      </c>
      <c r="G223" s="0" t="n">
        <v>-0.704626758355874</v>
      </c>
      <c r="H223" s="0" t="n">
        <v>-0.556064115198418</v>
      </c>
      <c r="I223" s="0" t="n">
        <v>-0.131101982065386</v>
      </c>
      <c r="J223" s="0" t="n">
        <v>1.20974900831116</v>
      </c>
      <c r="K223" s="0" t="n">
        <v>0.202400372721996</v>
      </c>
      <c r="L223" s="0" t="n">
        <v>-0.0778603635577357</v>
      </c>
      <c r="M223" s="0" t="n">
        <v>1.00682462557646</v>
      </c>
      <c r="N223" s="0" t="n">
        <v>1.10872237163925</v>
      </c>
      <c r="O223" s="0" t="n">
        <v>0.130522934305346</v>
      </c>
      <c r="P223" s="0" t="n">
        <v>-0.675187434769573</v>
      </c>
      <c r="Q223" s="0" t="n">
        <v>-0.467919202713651</v>
      </c>
      <c r="R223" s="0" t="n">
        <v>-0.588531427661194</v>
      </c>
      <c r="S223" s="0" t="n">
        <v>0</v>
      </c>
      <c r="T223" s="0" t="n">
        <v>1</v>
      </c>
      <c r="U223" s="0" t="n">
        <v>0</v>
      </c>
      <c r="V223" s="0" t="n">
        <v>0</v>
      </c>
      <c r="W223" s="0" t="n">
        <v>0</v>
      </c>
      <c r="X223" s="0" t="n">
        <v>1</v>
      </c>
      <c r="Y223" s="0" t="n">
        <v>0</v>
      </c>
      <c r="Z223" s="0" t="n">
        <v>0</v>
      </c>
      <c r="AA223" s="0" t="n">
        <v>1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1</v>
      </c>
      <c r="AH223" s="0" t="n">
        <v>0</v>
      </c>
      <c r="AI223" s="0" t="n">
        <v>0.00189375653767153</v>
      </c>
      <c r="AJ223" s="0" t="n">
        <v>0.333333333333333</v>
      </c>
    </row>
    <row r="224" customFormat="false" ht="15" hidden="false" customHeight="false" outlineLevel="0" collapsed="false">
      <c r="A224" s="0" t="s">
        <v>258</v>
      </c>
      <c r="B224" s="0" t="n">
        <v>1</v>
      </c>
      <c r="C224" s="0" t="n">
        <v>0.835516323304278</v>
      </c>
      <c r="D224" s="0" t="n">
        <v>0.822830319391311</v>
      </c>
      <c r="E224" s="0" t="n">
        <v>2.57349869351442</v>
      </c>
      <c r="F224" s="0" t="n">
        <v>-0.538353017105453</v>
      </c>
      <c r="G224" s="0" t="n">
        <v>-1.3540337776992</v>
      </c>
      <c r="H224" s="0" t="n">
        <v>-1.95250219381735</v>
      </c>
      <c r="I224" s="0" t="n">
        <v>-0.202852424634748</v>
      </c>
      <c r="J224" s="0" t="n">
        <v>-0.43261925110305</v>
      </c>
      <c r="K224" s="0" t="n">
        <v>1.6512479244151</v>
      </c>
      <c r="L224" s="0" t="n">
        <v>0.905212755535341</v>
      </c>
      <c r="M224" s="0" t="n">
        <v>-1.10368194894385</v>
      </c>
      <c r="N224" s="0" t="n">
        <v>1.08755777951265</v>
      </c>
      <c r="O224" s="0" t="n">
        <v>-0.387148931265971</v>
      </c>
      <c r="P224" s="0" t="n">
        <v>-0.679306823630353</v>
      </c>
      <c r="Q224" s="0" t="n">
        <v>-0.543607712290199</v>
      </c>
      <c r="R224" s="0" t="n">
        <v>-0.437212242945057</v>
      </c>
      <c r="S224" s="0" t="n">
        <v>0</v>
      </c>
      <c r="T224" s="0" t="n">
        <v>1</v>
      </c>
      <c r="U224" s="0" t="n">
        <v>0</v>
      </c>
      <c r="V224" s="0" t="n">
        <v>0</v>
      </c>
      <c r="W224" s="0" t="n">
        <v>1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1</v>
      </c>
      <c r="AH224" s="0" t="n">
        <v>0</v>
      </c>
      <c r="AI224" s="0" t="n">
        <v>0</v>
      </c>
      <c r="AJ224" s="0" t="n">
        <v>0</v>
      </c>
    </row>
    <row r="225" customFormat="false" ht="15" hidden="false" customHeight="false" outlineLevel="0" collapsed="false">
      <c r="A225" s="0" t="s">
        <v>259</v>
      </c>
      <c r="B225" s="0" t="n">
        <v>1</v>
      </c>
      <c r="C225" s="0" t="n">
        <v>0.332239969039377</v>
      </c>
      <c r="D225" s="0" t="n">
        <v>1.01314024209246</v>
      </c>
      <c r="E225" s="0" t="n">
        <v>2.57639638020152</v>
      </c>
      <c r="F225" s="0" t="n">
        <v>-0.964105327350536</v>
      </c>
      <c r="G225" s="0" t="n">
        <v>-1.59597732607299</v>
      </c>
      <c r="H225" s="0" t="n">
        <v>-2.47351888710478</v>
      </c>
      <c r="I225" s="0" t="n">
        <v>-0.515202842581024</v>
      </c>
      <c r="J225" s="0" t="n">
        <v>-1.5140462335142</v>
      </c>
      <c r="K225" s="0" t="n">
        <v>3</v>
      </c>
      <c r="L225" s="0" t="n">
        <v>-0.681207468103457</v>
      </c>
      <c r="M225" s="0" t="n">
        <v>0.118160442702981</v>
      </c>
      <c r="N225" s="0" t="n">
        <v>1.52009628850772</v>
      </c>
      <c r="O225" s="0" t="n">
        <v>-0.669419878208069</v>
      </c>
      <c r="P225" s="0" t="n">
        <v>-0.449650808053477</v>
      </c>
      <c r="Q225" s="0" t="n">
        <v>-0.275319540389077</v>
      </c>
      <c r="R225" s="0" t="n">
        <v>-0.271661515762391</v>
      </c>
      <c r="S225" s="0" t="n">
        <v>0</v>
      </c>
      <c r="T225" s="0" t="n">
        <v>1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1</v>
      </c>
      <c r="AD225" s="0" t="n">
        <v>0</v>
      </c>
      <c r="AE225" s="0" t="n">
        <v>0</v>
      </c>
      <c r="AF225" s="0" t="n">
        <v>0</v>
      </c>
      <c r="AG225" s="0" t="n">
        <v>1</v>
      </c>
      <c r="AH225" s="0" t="n">
        <v>0</v>
      </c>
      <c r="AI225" s="0" t="n">
        <v>0</v>
      </c>
      <c r="AJ225" s="0" t="n">
        <v>0</v>
      </c>
    </row>
    <row r="226" customFormat="false" ht="15" hidden="false" customHeight="false" outlineLevel="0" collapsed="false">
      <c r="A226" s="0" t="s">
        <v>260</v>
      </c>
      <c r="B226" s="0" t="n">
        <v>1</v>
      </c>
      <c r="C226" s="0" t="n">
        <v>0.91668223636204</v>
      </c>
      <c r="D226" s="0" t="n">
        <v>0.805453027978712</v>
      </c>
      <c r="E226" s="0" t="n">
        <v>2.5519937090258</v>
      </c>
      <c r="F226" s="0" t="n">
        <v>-0.475668510963302</v>
      </c>
      <c r="G226" s="0" t="n">
        <v>-1.3069143645054</v>
      </c>
      <c r="H226" s="0" t="n">
        <v>-1.84548611855488</v>
      </c>
      <c r="I226" s="0" t="n">
        <v>-0.777118628614691</v>
      </c>
      <c r="J226" s="0" t="n">
        <v>-0.202405130329034</v>
      </c>
      <c r="K226" s="0" t="n">
        <v>0.226888105968126</v>
      </c>
      <c r="L226" s="0" t="n">
        <v>0.469943325718514</v>
      </c>
      <c r="M226" s="0" t="n">
        <v>-1.15075320179066</v>
      </c>
      <c r="N226" s="0" t="n">
        <v>0.991803411250553</v>
      </c>
      <c r="O226" s="0" t="n">
        <v>0.110571687017729</v>
      </c>
      <c r="P226" s="0" t="n">
        <v>-0.603945393766323</v>
      </c>
      <c r="Q226" s="0" t="n">
        <v>-0.377539065510253</v>
      </c>
      <c r="R226" s="0" t="n">
        <v>-0.410019493484439</v>
      </c>
      <c r="S226" s="0" t="n">
        <v>1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0</v>
      </c>
      <c r="AC226" s="0" t="n">
        <v>0</v>
      </c>
      <c r="AD226" s="0" t="n">
        <v>1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</row>
    <row r="227" customFormat="false" ht="15" hidden="false" customHeight="false" outlineLevel="0" collapsed="false">
      <c r="A227" s="0" t="s">
        <v>261</v>
      </c>
      <c r="B227" s="0" t="n">
        <v>1</v>
      </c>
      <c r="C227" s="0" t="n">
        <v>1.1491466841049</v>
      </c>
      <c r="D227" s="0" t="n">
        <v>0.761019776024737</v>
      </c>
      <c r="E227" s="0" t="n">
        <v>2.55765179133568</v>
      </c>
      <c r="F227" s="0" t="n">
        <v>-0.296823046685188</v>
      </c>
      <c r="G227" s="0" t="n">
        <v>-1.19743209335714</v>
      </c>
      <c r="H227" s="0" t="n">
        <v>-1.61247288941595</v>
      </c>
      <c r="I227" s="0" t="n">
        <v>-1.31859949822466</v>
      </c>
      <c r="J227" s="0" t="n">
        <v>0.370706920869791</v>
      </c>
      <c r="K227" s="0" t="n">
        <v>0.208713188591538</v>
      </c>
      <c r="L227" s="0" t="n">
        <v>0.217643400514958</v>
      </c>
      <c r="M227" s="0" t="n">
        <v>-0.648488677545398</v>
      </c>
      <c r="N227" s="0" t="n">
        <v>0.812623563343807</v>
      </c>
      <c r="O227" s="0" t="n">
        <v>-0.123523787371468</v>
      </c>
      <c r="P227" s="0" t="n">
        <v>-0.33313940986491</v>
      </c>
      <c r="Q227" s="0" t="n">
        <v>-0.318914934020228</v>
      </c>
      <c r="R227" s="0" t="n">
        <v>-0.254881257594802</v>
      </c>
      <c r="S227" s="0" t="n">
        <v>1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</row>
    <row r="228" customFormat="false" ht="15" hidden="false" customHeight="false" outlineLevel="0" collapsed="false">
      <c r="A228" s="0" t="s">
        <v>262</v>
      </c>
      <c r="B228" s="0" t="n">
        <v>1</v>
      </c>
      <c r="C228" s="0" t="n">
        <v>0.212991208895163</v>
      </c>
      <c r="D228" s="0" t="n">
        <v>0.760016345785842</v>
      </c>
      <c r="E228" s="0" t="n">
        <v>1.32453751112166</v>
      </c>
      <c r="F228" s="0" t="n">
        <v>-0.864575385268346</v>
      </c>
      <c r="G228" s="0" t="n">
        <v>-1.12973284180184</v>
      </c>
      <c r="H228" s="0" t="n">
        <v>-1.22824103658401</v>
      </c>
      <c r="I228" s="0" t="n">
        <v>-1.15374505998233</v>
      </c>
      <c r="J228" s="0" t="n">
        <v>-0.53147438676484</v>
      </c>
      <c r="K228" s="0" t="n">
        <v>0.996202017758495</v>
      </c>
      <c r="L228" s="0" t="n">
        <v>0.628832274391258</v>
      </c>
      <c r="M228" s="0" t="n">
        <v>-1.40675179664967</v>
      </c>
      <c r="N228" s="0" t="n">
        <v>0.508716458923992</v>
      </c>
      <c r="O228" s="0" t="n">
        <v>-0.721976590333242</v>
      </c>
      <c r="P228" s="0" t="n">
        <v>-0.184573462670372</v>
      </c>
      <c r="Q228" s="0" t="n">
        <v>-0.203626786902755</v>
      </c>
      <c r="R228" s="0" t="n">
        <v>-1.20341023649772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1</v>
      </c>
      <c r="Y228" s="0" t="n">
        <v>0</v>
      </c>
      <c r="Z228" s="0" t="n">
        <v>0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</row>
    <row r="229" customFormat="false" ht="15" hidden="false" customHeight="false" outlineLevel="0" collapsed="false">
      <c r="A229" s="0" t="s">
        <v>263</v>
      </c>
      <c r="B229" s="0" t="n">
        <v>1</v>
      </c>
      <c r="C229" s="0" t="n">
        <v>0.454003054565802</v>
      </c>
      <c r="D229" s="0" t="n">
        <v>0.619792693927774</v>
      </c>
      <c r="E229" s="0" t="n">
        <v>1.09218718421966</v>
      </c>
      <c r="F229" s="0" t="n">
        <v>-0.605506889896376</v>
      </c>
      <c r="G229" s="0" t="n">
        <v>-0.830985087860444</v>
      </c>
      <c r="H229" s="0" t="n">
        <v>-0.726347107028962</v>
      </c>
      <c r="I229" s="0" t="n">
        <v>-1.51858532693196</v>
      </c>
      <c r="J229" s="0" t="n">
        <v>-0.067659484746046</v>
      </c>
      <c r="K229" s="0" t="n">
        <v>-0.149766442883367</v>
      </c>
      <c r="L229" s="0" t="n">
        <v>0.131698260101833</v>
      </c>
      <c r="M229" s="0" t="n">
        <v>-0.107974637549722</v>
      </c>
      <c r="N229" s="0" t="n">
        <v>-0.180160192575284</v>
      </c>
      <c r="O229" s="0" t="n">
        <v>-0.319185332251216</v>
      </c>
      <c r="P229" s="0" t="n">
        <v>-0.335176607133119</v>
      </c>
      <c r="Q229" s="0" t="n">
        <v>-0.300944850024711</v>
      </c>
      <c r="R229" s="0" t="n">
        <v>-0.248813617506255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1</v>
      </c>
      <c r="AI229" s="0" t="n">
        <v>0</v>
      </c>
      <c r="AJ229" s="0" t="n">
        <v>0</v>
      </c>
    </row>
    <row r="230" customFormat="false" ht="15" hidden="false" customHeight="false" outlineLevel="0" collapsed="false">
      <c r="A230" s="0" t="s">
        <v>264</v>
      </c>
      <c r="B230" s="0" t="n">
        <v>1</v>
      </c>
      <c r="C230" s="0" t="n">
        <v>-0.637004034550435</v>
      </c>
      <c r="D230" s="0" t="n">
        <v>0.285421587432618</v>
      </c>
      <c r="E230" s="0" t="n">
        <v>1.09708649853114</v>
      </c>
      <c r="F230" s="0" t="n">
        <v>-1.07701736453366</v>
      </c>
      <c r="G230" s="0" t="n">
        <v>-1.56742644187379</v>
      </c>
      <c r="H230" s="0" t="n">
        <v>-1.8543013259734</v>
      </c>
      <c r="I230" s="0" t="n">
        <v>-1.46010000919319</v>
      </c>
      <c r="J230" s="0" t="n">
        <v>-0.625039778350018</v>
      </c>
      <c r="K230" s="0" t="n">
        <v>2.41329890934599</v>
      </c>
      <c r="L230" s="0" t="n">
        <v>0.340990252096233</v>
      </c>
      <c r="M230" s="0" t="n">
        <v>0.408005040819223</v>
      </c>
      <c r="N230" s="0" t="n">
        <v>-0.341565892725226</v>
      </c>
      <c r="O230" s="0" t="n">
        <v>0.882831157564611</v>
      </c>
      <c r="P230" s="0" t="n">
        <v>1.78447864573795</v>
      </c>
      <c r="Q230" s="0" t="n">
        <v>1.00187130056144</v>
      </c>
      <c r="R230" s="0" t="n">
        <v>1.5588124395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1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0.178629739151632</v>
      </c>
      <c r="AJ230" s="0" t="n">
        <v>0.333333333333333</v>
      </c>
    </row>
    <row r="231" customFormat="false" ht="15" hidden="false" customHeight="false" outlineLevel="0" collapsed="false">
      <c r="A231" s="0" t="s">
        <v>265</v>
      </c>
      <c r="B231" s="0" t="n">
        <v>1</v>
      </c>
      <c r="C231" s="0" t="n">
        <v>0.530017787424643</v>
      </c>
      <c r="D231" s="0" t="n">
        <v>-0.0428194921238873</v>
      </c>
      <c r="E231" s="0" t="n">
        <v>1.00564673194617</v>
      </c>
      <c r="F231" s="0" t="n">
        <v>0.195642465387899</v>
      </c>
      <c r="G231" s="0" t="n">
        <v>-0.719249677618006</v>
      </c>
      <c r="H231" s="0" t="n">
        <v>-0.553563299052745</v>
      </c>
      <c r="I231" s="0" t="n">
        <v>-1.41340909604915</v>
      </c>
      <c r="J231" s="0" t="n">
        <v>2.00457960208011</v>
      </c>
      <c r="K231" s="0" t="n">
        <v>-0.592459819439519</v>
      </c>
      <c r="L231" s="0" t="n">
        <v>-0.295815528285741</v>
      </c>
      <c r="M231" s="0" t="n">
        <v>0.141256693985287</v>
      </c>
      <c r="N231" s="0" t="n">
        <v>-0.458895816067832</v>
      </c>
      <c r="O231" s="0" t="n">
        <v>0.518301074958976</v>
      </c>
      <c r="P231" s="0" t="n">
        <v>0.540791573419801</v>
      </c>
      <c r="Q231" s="0" t="n">
        <v>-0.0694093311481769</v>
      </c>
      <c r="R231" s="0" t="n">
        <v>0.43669653308354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1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</row>
    <row r="232" customFormat="false" ht="15" hidden="false" customHeight="false" outlineLevel="0" collapsed="false">
      <c r="A232" s="0" t="s">
        <v>266</v>
      </c>
      <c r="B232" s="0" t="n">
        <v>1</v>
      </c>
      <c r="C232" s="0" t="n">
        <v>-0.02223791632954</v>
      </c>
      <c r="D232" s="0" t="n">
        <v>-0.0802928030368771</v>
      </c>
      <c r="E232" s="0" t="n">
        <v>0.938991106972305</v>
      </c>
      <c r="F232" s="0" t="n">
        <v>-0.22027208092581</v>
      </c>
      <c r="G232" s="0" t="n">
        <v>-1.05841881030323</v>
      </c>
      <c r="H232" s="0" t="n">
        <v>-1.04897269042637</v>
      </c>
      <c r="I232" s="0" t="n">
        <v>-0.639842312363389</v>
      </c>
      <c r="J232" s="0" t="n">
        <v>-0.947945014193061</v>
      </c>
      <c r="K232" s="0" t="n">
        <v>-0.367573994036809</v>
      </c>
      <c r="L232" s="0" t="n">
        <v>0.229346420713854</v>
      </c>
      <c r="M232" s="0" t="n">
        <v>-0.825660293152723</v>
      </c>
      <c r="N232" s="0" t="n">
        <v>0.556182680101124</v>
      </c>
      <c r="O232" s="0" t="n">
        <v>-0.171201252264382</v>
      </c>
      <c r="P232" s="0" t="n">
        <v>-0.263327603216832</v>
      </c>
      <c r="Q232" s="0" t="n">
        <v>-0.215236664766188</v>
      </c>
      <c r="R232" s="0" t="n">
        <v>0.311183392803373</v>
      </c>
      <c r="S232" s="0" t="n">
        <v>1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1</v>
      </c>
      <c r="Y232" s="0" t="n">
        <v>0</v>
      </c>
      <c r="Z232" s="0" t="n">
        <v>0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</row>
    <row r="233" customFormat="false" ht="15" hidden="false" customHeight="false" outlineLevel="0" collapsed="false">
      <c r="A233" s="0" t="s">
        <v>267</v>
      </c>
      <c r="B233" s="0" t="n">
        <v>1</v>
      </c>
      <c r="C233" s="0" t="n">
        <v>-0.262826814059911</v>
      </c>
      <c r="D233" s="0" t="n">
        <v>-0.0505795469090403</v>
      </c>
      <c r="E233" s="0" t="n">
        <v>0.430679002603058</v>
      </c>
      <c r="F233" s="0" t="n">
        <v>-0.462083691111204</v>
      </c>
      <c r="G233" s="0" t="n">
        <v>-0.879188849878872</v>
      </c>
      <c r="H233" s="0" t="n">
        <v>-0.741066023911418</v>
      </c>
      <c r="I233" s="0" t="n">
        <v>0.172614473560761</v>
      </c>
      <c r="J233" s="0" t="n">
        <v>-0.682309276960211</v>
      </c>
      <c r="K233" s="0" t="n">
        <v>0.502986562811882</v>
      </c>
      <c r="L233" s="0" t="n">
        <v>-1.11408473980739</v>
      </c>
      <c r="M233" s="0" t="n">
        <v>0.168500685563111</v>
      </c>
      <c r="N233" s="0" t="n">
        <v>0.0985754309172639</v>
      </c>
      <c r="O233" s="0" t="n">
        <v>0.106352324377121</v>
      </c>
      <c r="P233" s="0" t="n">
        <v>-0.267804806774058</v>
      </c>
      <c r="Q233" s="0" t="n">
        <v>0.0177711006163463</v>
      </c>
      <c r="R233" s="0" t="n">
        <v>-0.360385061741587</v>
      </c>
      <c r="S233" s="0" t="n">
        <v>1</v>
      </c>
      <c r="T233" s="0" t="n">
        <v>0</v>
      </c>
      <c r="U233" s="0" t="n">
        <v>0</v>
      </c>
      <c r="V233" s="0" t="n">
        <v>0</v>
      </c>
      <c r="W233" s="0" t="n">
        <v>1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</row>
    <row r="234" customFormat="false" ht="15" hidden="false" customHeight="false" outlineLevel="0" collapsed="false">
      <c r="A234" s="0" t="s">
        <v>268</v>
      </c>
      <c r="B234" s="0" t="n">
        <v>1</v>
      </c>
      <c r="C234" s="0" t="n">
        <v>-0.770730040835632</v>
      </c>
      <c r="D234" s="0" t="n">
        <v>0.0772403042919637</v>
      </c>
      <c r="E234" s="0" t="n">
        <v>0.574169104207806</v>
      </c>
      <c r="F234" s="0" t="n">
        <v>-1.00884034923559</v>
      </c>
      <c r="G234" s="0" t="n">
        <v>-1.38711952180354</v>
      </c>
      <c r="H234" s="0" t="n">
        <v>-1.42047717525566</v>
      </c>
      <c r="I234" s="0" t="n">
        <v>0.531704998396704</v>
      </c>
      <c r="J234" s="0" t="n">
        <v>-1.8574626336139</v>
      </c>
      <c r="K234" s="0" t="n">
        <v>2.11982547633773</v>
      </c>
      <c r="L234" s="0" t="n">
        <v>-0.633179439049401</v>
      </c>
      <c r="M234" s="0" t="n">
        <v>-0.0961500320955798</v>
      </c>
      <c r="N234" s="0" t="n">
        <v>0.360358832560837</v>
      </c>
      <c r="O234" s="0" t="n">
        <v>-0.00768459931396207</v>
      </c>
      <c r="P234" s="0" t="n">
        <v>-0.173031325387901</v>
      </c>
      <c r="Q234" s="0" t="n">
        <v>-0.330280741569476</v>
      </c>
      <c r="R234" s="0" t="n">
        <v>0.441426785953618</v>
      </c>
      <c r="S234" s="0" t="n">
        <v>1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1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</row>
    <row r="235" customFormat="false" ht="15" hidden="false" customHeight="false" outlineLevel="0" collapsed="false">
      <c r="A235" s="0" t="s">
        <v>269</v>
      </c>
      <c r="B235" s="0" t="n">
        <v>1</v>
      </c>
      <c r="C235" s="0" t="n">
        <v>0.307927280664813</v>
      </c>
      <c r="D235" s="0" t="n">
        <v>0.219374157426034</v>
      </c>
      <c r="E235" s="0" t="n">
        <v>0.468646947719221</v>
      </c>
      <c r="F235" s="0" t="n">
        <v>-0.318889403185556</v>
      </c>
      <c r="G235" s="0" t="n">
        <v>-0.446175506689421</v>
      </c>
      <c r="H235" s="0" t="n">
        <v>-0.195273850505789</v>
      </c>
      <c r="I235" s="0" t="n">
        <v>0.86291395859347</v>
      </c>
      <c r="J235" s="0" t="n">
        <v>0.60909048342923</v>
      </c>
      <c r="K235" s="0" t="n">
        <v>-0.49600493727381</v>
      </c>
      <c r="L235" s="0" t="n">
        <v>0.618889936617772</v>
      </c>
      <c r="M235" s="0" t="n">
        <v>0.0414556635634525</v>
      </c>
      <c r="N235" s="0" t="n">
        <v>-0.064782343263772</v>
      </c>
      <c r="O235" s="0" t="n">
        <v>-0.307674834055299</v>
      </c>
      <c r="P235" s="0" t="n">
        <v>-0.494182666625961</v>
      </c>
      <c r="Q235" s="0" t="n">
        <v>-0.268137882690481</v>
      </c>
      <c r="R235" s="0" t="n">
        <v>-0.909743373680732</v>
      </c>
      <c r="S235" s="0" t="n">
        <v>1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1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</row>
    <row r="236" customFormat="false" ht="15" hidden="false" customHeight="false" outlineLevel="0" collapsed="false">
      <c r="A236" s="0" t="s">
        <v>270</v>
      </c>
      <c r="B236" s="0" t="n">
        <v>1</v>
      </c>
      <c r="C236" s="0" t="n">
        <v>0.263718055937342</v>
      </c>
      <c r="D236" s="0" t="n">
        <v>0.200529524575335</v>
      </c>
      <c r="E236" s="0" t="n">
        <v>0.405046077874942</v>
      </c>
      <c r="F236" s="0" t="n">
        <v>-0.331097547375125</v>
      </c>
      <c r="G236" s="0" t="n">
        <v>-0.422126887883094</v>
      </c>
      <c r="H236" s="0" t="n">
        <v>-0.171262873918623</v>
      </c>
      <c r="I236" s="0" t="n">
        <v>0.895225470395469</v>
      </c>
      <c r="J236" s="0" t="n">
        <v>-0.357118875778806</v>
      </c>
      <c r="K236" s="0" t="n">
        <v>0.224983513701052</v>
      </c>
      <c r="L236" s="0" t="n">
        <v>-0.81740237332911</v>
      </c>
      <c r="M236" s="0" t="n">
        <v>-0.900694800343542</v>
      </c>
      <c r="N236" s="0" t="n">
        <v>0.442140460389834</v>
      </c>
      <c r="O236" s="0" t="n">
        <v>-0.319185332251216</v>
      </c>
      <c r="P236" s="0" t="n">
        <v>-0.152349148857993</v>
      </c>
      <c r="Q236" s="0" t="n">
        <v>-0.0682968115348994</v>
      </c>
      <c r="R236" s="0" t="n">
        <v>-0.0257098984853351</v>
      </c>
      <c r="S236" s="0" t="n">
        <v>1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1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</row>
    <row r="237" customFormat="false" ht="15" hidden="false" customHeight="false" outlineLevel="0" collapsed="false">
      <c r="A237" s="0" t="s">
        <v>271</v>
      </c>
      <c r="B237" s="0" t="n">
        <v>1</v>
      </c>
      <c r="C237" s="0" t="n">
        <v>-0.474303388088475</v>
      </c>
      <c r="D237" s="0" t="n">
        <v>0.471916486895639</v>
      </c>
      <c r="E237" s="0" t="n">
        <v>0.47570796194764</v>
      </c>
      <c r="F237" s="0" t="n">
        <v>-1.09987821525197</v>
      </c>
      <c r="G237" s="0" t="n">
        <v>-1.08591147972212</v>
      </c>
      <c r="H237" s="0" t="n">
        <v>-1.00787232447285</v>
      </c>
      <c r="I237" s="0" t="n">
        <v>-0.656682071273539</v>
      </c>
      <c r="J237" s="0" t="n">
        <v>-0.067659484746046</v>
      </c>
      <c r="K237" s="0" t="n">
        <v>-0.149766442883367</v>
      </c>
      <c r="L237" s="0" t="n">
        <v>0.131698260101833</v>
      </c>
      <c r="M237" s="0" t="n">
        <v>-0.107974637549722</v>
      </c>
      <c r="N237" s="0" t="n">
        <v>-0.180160192575284</v>
      </c>
      <c r="O237" s="0" t="n">
        <v>-0.319185332251216</v>
      </c>
      <c r="P237" s="0" t="n">
        <v>-0.335176607133119</v>
      </c>
      <c r="Q237" s="0" t="n">
        <v>-0.300944850024711</v>
      </c>
      <c r="R237" s="0" t="n">
        <v>-0.248813617506255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1</v>
      </c>
      <c r="AI237" s="0" t="n">
        <v>0</v>
      </c>
      <c r="AJ237" s="0" t="n">
        <v>0</v>
      </c>
    </row>
    <row r="238" customFormat="false" ht="15" hidden="false" customHeight="false" outlineLevel="0" collapsed="false">
      <c r="A238" s="0" t="s">
        <v>272</v>
      </c>
      <c r="B238" s="0" t="n">
        <v>1</v>
      </c>
      <c r="C238" s="0" t="n">
        <v>0.661451162389412</v>
      </c>
      <c r="D238" s="0" t="n">
        <v>0.390419968387941</v>
      </c>
      <c r="E238" s="0" t="n">
        <v>0.332184785141265</v>
      </c>
      <c r="F238" s="0" t="n">
        <v>-0.249687587352637</v>
      </c>
      <c r="G238" s="0" t="n">
        <v>-0.0123586496288537</v>
      </c>
      <c r="H238" s="0" t="n">
        <v>0.317607599557031</v>
      </c>
      <c r="I238" s="0" t="n">
        <v>-0.649953400963771</v>
      </c>
      <c r="J238" s="0" t="n">
        <v>0.769254722078224</v>
      </c>
      <c r="K238" s="0" t="n">
        <v>-0.973590610474715</v>
      </c>
      <c r="L238" s="0" t="n">
        <v>-2.68582401663293</v>
      </c>
      <c r="M238" s="0" t="n">
        <v>-0.508632558896855</v>
      </c>
      <c r="N238" s="0" t="n">
        <v>0.158370540711832</v>
      </c>
      <c r="O238" s="0" t="n">
        <v>0.539749324819181</v>
      </c>
      <c r="P238" s="0" t="n">
        <v>3</v>
      </c>
      <c r="Q238" s="0" t="n">
        <v>3</v>
      </c>
      <c r="R238" s="0" t="n">
        <v>0.660007226493827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0.594314980693162</v>
      </c>
      <c r="AJ238" s="0" t="n">
        <v>0.333333333333333</v>
      </c>
    </row>
    <row r="239" customFormat="false" ht="15" hidden="false" customHeight="false" outlineLevel="0" collapsed="false">
      <c r="A239" s="0" t="s">
        <v>273</v>
      </c>
      <c r="B239" s="0" t="n">
        <v>1</v>
      </c>
      <c r="C239" s="0" t="n">
        <v>0.287028229761888</v>
      </c>
      <c r="D239" s="0" t="n">
        <v>0.676724171603218</v>
      </c>
      <c r="E239" s="0" t="n">
        <v>0.227613698111463</v>
      </c>
      <c r="F239" s="0" t="n">
        <v>-0.757046447196453</v>
      </c>
      <c r="G239" s="0" t="n">
        <v>-0.219992444972795</v>
      </c>
      <c r="H239" s="0" t="n">
        <v>0.0466131124231747</v>
      </c>
      <c r="I239" s="0" t="n">
        <v>-0.983384167297341</v>
      </c>
      <c r="J239" s="0" t="n">
        <v>-1.16287403948854</v>
      </c>
      <c r="K239" s="0" t="n">
        <v>-0.153324199254752</v>
      </c>
      <c r="L239" s="0" t="n">
        <v>0.767288104903731</v>
      </c>
      <c r="M239" s="0" t="n">
        <v>-0.475859923876724</v>
      </c>
      <c r="N239" s="0" t="n">
        <v>1.1046127421001</v>
      </c>
      <c r="O239" s="0" t="n">
        <v>-0.0876065984783529</v>
      </c>
      <c r="P239" s="0" t="n">
        <v>0.141238244482015</v>
      </c>
      <c r="Q239" s="0" t="n">
        <v>0.0281470874119654</v>
      </c>
      <c r="R239" s="0" t="n">
        <v>-0.334876798687143</v>
      </c>
      <c r="S239" s="0" t="n">
        <v>0</v>
      </c>
      <c r="T239" s="0" t="n">
        <v>1</v>
      </c>
      <c r="U239" s="0" t="n">
        <v>0</v>
      </c>
      <c r="V239" s="0" t="n">
        <v>0</v>
      </c>
      <c r="W239" s="0" t="n">
        <v>1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</row>
    <row r="240" customFormat="false" ht="15" hidden="false" customHeight="false" outlineLevel="0" collapsed="false">
      <c r="A240" s="0" t="s">
        <v>274</v>
      </c>
      <c r="B240" s="0" t="n">
        <v>1</v>
      </c>
      <c r="C240" s="0" t="n">
        <v>0.136841897045072</v>
      </c>
      <c r="D240" s="0" t="n">
        <v>0.0364333930209876</v>
      </c>
      <c r="E240" s="0" t="n">
        <v>0.265196954347307</v>
      </c>
      <c r="F240" s="0" t="n">
        <v>-0.237234707019543</v>
      </c>
      <c r="G240" s="0" t="n">
        <v>-0.391243590804838</v>
      </c>
      <c r="H240" s="0" t="n">
        <v>-0.148991747571668</v>
      </c>
      <c r="I240" s="0" t="n">
        <v>0.459798442112839</v>
      </c>
      <c r="J240" s="0" t="n">
        <v>-0.067659484746046</v>
      </c>
      <c r="K240" s="0" t="n">
        <v>-0.149766442883367</v>
      </c>
      <c r="L240" s="0" t="n">
        <v>0.131698260101833</v>
      </c>
      <c r="M240" s="0" t="n">
        <v>-0.107974637549722</v>
      </c>
      <c r="N240" s="0" t="n">
        <v>-0.180160192575284</v>
      </c>
      <c r="O240" s="0" t="n">
        <v>-0.319185332251216</v>
      </c>
      <c r="P240" s="0" t="n">
        <v>-0.335176607133119</v>
      </c>
      <c r="Q240" s="0" t="n">
        <v>-0.300944850024711</v>
      </c>
      <c r="R240" s="0" t="n">
        <v>-0.248813617506255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1</v>
      </c>
      <c r="AI240" s="0" t="n">
        <v>0</v>
      </c>
      <c r="AJ240" s="0" t="n">
        <v>0</v>
      </c>
    </row>
    <row r="241" customFormat="false" ht="15" hidden="false" customHeight="false" outlineLevel="0" collapsed="false">
      <c r="A241" s="0" t="s">
        <v>275</v>
      </c>
      <c r="B241" s="0" t="n">
        <v>1</v>
      </c>
      <c r="C241" s="0" t="n">
        <v>0.168674256589365</v>
      </c>
      <c r="D241" s="0" t="n">
        <v>0.520157183962035</v>
      </c>
      <c r="E241" s="0" t="n">
        <v>0.311614265731372</v>
      </c>
      <c r="F241" s="0" t="n">
        <v>-0.707217018218577</v>
      </c>
      <c r="G241" s="0" t="n">
        <v>-0.410622291552579</v>
      </c>
      <c r="H241" s="0" t="n">
        <v>-0.16696051337682</v>
      </c>
      <c r="I241" s="0" t="n">
        <v>1.26372926304419</v>
      </c>
      <c r="J241" s="0" t="n">
        <v>0.713498405790132</v>
      </c>
      <c r="K241" s="0" t="n">
        <v>-0.616630847988168</v>
      </c>
      <c r="L241" s="0" t="n">
        <v>-2.22294554914095</v>
      </c>
      <c r="M241" s="0" t="n">
        <v>-0.55244810777356</v>
      </c>
      <c r="N241" s="0" t="n">
        <v>-0.233071672891783</v>
      </c>
      <c r="O241" s="0" t="n">
        <v>-0.77061018377662</v>
      </c>
      <c r="P241" s="0" t="n">
        <v>-0.427501183546087</v>
      </c>
      <c r="Q241" s="0" t="n">
        <v>-0.323662070046796</v>
      </c>
      <c r="R241" s="0" t="n">
        <v>-1.06692012314803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1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0.523268863915491</v>
      </c>
      <c r="AJ241" s="0" t="n">
        <v>0.333333333333333</v>
      </c>
    </row>
    <row r="242" customFormat="false" ht="15" hidden="false" customHeight="false" outlineLevel="0" collapsed="false">
      <c r="A242" s="0" t="s">
        <v>276</v>
      </c>
      <c r="B242" s="0" t="n">
        <v>1</v>
      </c>
      <c r="C242" s="0" t="n">
        <v>0.819459600006769</v>
      </c>
      <c r="D242" s="0" t="n">
        <v>0.597472445336958</v>
      </c>
      <c r="E242" s="0" t="n">
        <v>0.417692276460819</v>
      </c>
      <c r="F242" s="0" t="n">
        <v>-0.351276935081317</v>
      </c>
      <c r="G242" s="0" t="n">
        <v>0.0243411215866359</v>
      </c>
      <c r="H242" s="0" t="n">
        <v>0.386752577419425</v>
      </c>
      <c r="I242" s="0" t="n">
        <v>1.36377818628188</v>
      </c>
      <c r="J242" s="0" t="n">
        <v>-0.632857577793763</v>
      </c>
      <c r="K242" s="0" t="n">
        <v>-0.73824112663433</v>
      </c>
      <c r="L242" s="0" t="n">
        <v>-2.18835228145971</v>
      </c>
      <c r="M242" s="0" t="n">
        <v>0.295011002273079</v>
      </c>
      <c r="N242" s="0" t="n">
        <v>1.23694281326059</v>
      </c>
      <c r="O242" s="0" t="n">
        <v>-0.344178052347441</v>
      </c>
      <c r="P242" s="0" t="n">
        <v>-0.686658596988008</v>
      </c>
      <c r="Q242" s="0" t="n">
        <v>-0.467102007939088</v>
      </c>
      <c r="R242" s="0" t="n">
        <v>-0.462805357023046</v>
      </c>
      <c r="S242" s="0" t="n">
        <v>0</v>
      </c>
      <c r="T242" s="0" t="n">
        <v>0</v>
      </c>
      <c r="U242" s="0" t="n">
        <v>0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0.274172050742042</v>
      </c>
      <c r="AJ242" s="0" t="n">
        <v>0</v>
      </c>
    </row>
    <row r="243" customFormat="false" ht="15" hidden="false" customHeight="false" outlineLevel="0" collapsed="false">
      <c r="A243" s="0" t="s">
        <v>277</v>
      </c>
      <c r="B243" s="0" t="n">
        <v>1</v>
      </c>
      <c r="C243" s="0" t="n">
        <v>0.243753238736676</v>
      </c>
      <c r="D243" s="0" t="n">
        <v>0.903739879808719</v>
      </c>
      <c r="E243" s="0" t="n">
        <v>0.674224389437609</v>
      </c>
      <c r="F243" s="0" t="n">
        <v>-0.944506742287298</v>
      </c>
      <c r="G243" s="0" t="n">
        <v>-0.67477511932091</v>
      </c>
      <c r="H243" s="0" t="n">
        <v>-0.485952804544891</v>
      </c>
      <c r="I243" s="0" t="n">
        <v>0.911565103328712</v>
      </c>
      <c r="J243" s="0" t="n">
        <v>-0.996578028947468</v>
      </c>
      <c r="K243" s="0" t="n">
        <v>-0.241249692642844</v>
      </c>
      <c r="L243" s="0" t="n">
        <v>-1.20247753126494</v>
      </c>
      <c r="M243" s="0" t="n">
        <v>-1.86004633925811</v>
      </c>
      <c r="N243" s="0" t="n">
        <v>0.904268302066753</v>
      </c>
      <c r="O243" s="0" t="n">
        <v>-0.197841258991501</v>
      </c>
      <c r="P243" s="0" t="n">
        <v>-0.361461495316868</v>
      </c>
      <c r="Q243" s="0" t="n">
        <v>-0.0400742208308103</v>
      </c>
      <c r="R243" s="0" t="n">
        <v>-0.108706564223199</v>
      </c>
      <c r="S243" s="0" t="n">
        <v>1</v>
      </c>
      <c r="T243" s="0" t="n">
        <v>0</v>
      </c>
      <c r="U243" s="0" t="n">
        <v>0</v>
      </c>
      <c r="V243" s="0" t="n">
        <v>0</v>
      </c>
      <c r="W243" s="0" t="n">
        <v>1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1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0.37315474393606</v>
      </c>
      <c r="AJ243" s="0" t="n">
        <v>0.333333333333333</v>
      </c>
    </row>
    <row r="244" customFormat="false" ht="15" hidden="false" customHeight="false" outlineLevel="0" collapsed="false">
      <c r="A244" s="0" t="s">
        <v>278</v>
      </c>
      <c r="B244" s="0" t="n">
        <v>1</v>
      </c>
      <c r="C244" s="0" t="n">
        <v>0.571252242524311</v>
      </c>
      <c r="D244" s="0" t="n">
        <v>0.90520834356991</v>
      </c>
      <c r="E244" s="0" t="n">
        <v>0.70065532899132</v>
      </c>
      <c r="F244" s="0" t="n">
        <v>-0.75604496421656</v>
      </c>
      <c r="G244" s="0" t="n">
        <v>-0.449044063022713</v>
      </c>
      <c r="H244" s="0" t="n">
        <v>-0.177852733492317</v>
      </c>
      <c r="I244" s="0" t="n">
        <v>0.859205582759794</v>
      </c>
      <c r="J244" s="0" t="n">
        <v>-0.067659484746046</v>
      </c>
      <c r="K244" s="0" t="n">
        <v>-0.149766442883367</v>
      </c>
      <c r="L244" s="0" t="n">
        <v>0.131698260101833</v>
      </c>
      <c r="M244" s="0" t="n">
        <v>-0.107974637549722</v>
      </c>
      <c r="N244" s="0" t="n">
        <v>-0.180160192575284</v>
      </c>
      <c r="O244" s="0" t="n">
        <v>-0.319185332251216</v>
      </c>
      <c r="P244" s="0" t="n">
        <v>-0.335176607133119</v>
      </c>
      <c r="Q244" s="0" t="n">
        <v>-0.300944850024711</v>
      </c>
      <c r="R244" s="0" t="n">
        <v>-0.248813617506255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1</v>
      </c>
      <c r="AI244" s="0" t="n">
        <v>0.378730530160277</v>
      </c>
      <c r="AJ244" s="0" t="n">
        <v>0.666666666666667</v>
      </c>
    </row>
    <row r="245" customFormat="false" ht="15" hidden="false" customHeight="false" outlineLevel="0" collapsed="false">
      <c r="A245" s="0" t="s">
        <v>279</v>
      </c>
      <c r="B245" s="0" t="n">
        <v>1</v>
      </c>
      <c r="C245" s="0" t="n">
        <v>0.667512061768764</v>
      </c>
      <c r="D245" s="0" t="n">
        <v>1.09241071383469</v>
      </c>
      <c r="E245" s="0" t="n">
        <v>0.718991640848079</v>
      </c>
      <c r="F245" s="0" t="n">
        <v>-0.82975388868186</v>
      </c>
      <c r="G245" s="0" t="n">
        <v>-0.392710590042673</v>
      </c>
      <c r="H245" s="0" t="n">
        <v>-0.0988425907834745</v>
      </c>
      <c r="I245" s="0" t="n">
        <v>0.374387490779367</v>
      </c>
      <c r="J245" s="0" t="n">
        <v>-0.52231827706267</v>
      </c>
      <c r="K245" s="0" t="n">
        <v>-0.55916854329643</v>
      </c>
      <c r="L245" s="0" t="n">
        <v>-1.63694808717197</v>
      </c>
      <c r="M245" s="0" t="n">
        <v>-0.10706357058315</v>
      </c>
      <c r="N245" s="0" t="n">
        <v>0.98296770774139</v>
      </c>
      <c r="O245" s="0" t="n">
        <v>0.150767134034754</v>
      </c>
      <c r="P245" s="0" t="n">
        <v>-0.608082220940265</v>
      </c>
      <c r="Q245" s="0" t="n">
        <v>-0.390853997878938</v>
      </c>
      <c r="R245" s="0" t="n">
        <v>-0.560970209022539</v>
      </c>
      <c r="S245" s="0" t="n">
        <v>0</v>
      </c>
      <c r="T245" s="0" t="n">
        <v>0</v>
      </c>
      <c r="U245" s="0" t="n">
        <v>0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0.182414959338688</v>
      </c>
      <c r="AJ245" s="0" t="n">
        <v>0</v>
      </c>
    </row>
    <row r="246" customFormat="false" ht="15" hidden="false" customHeight="false" outlineLevel="0" collapsed="false">
      <c r="A246" s="0" t="s">
        <v>280</v>
      </c>
      <c r="B246" s="0" t="n">
        <v>1</v>
      </c>
      <c r="C246" s="0" t="n">
        <v>1.04000602213137</v>
      </c>
      <c r="D246" s="0" t="n">
        <v>0.809600582713147</v>
      </c>
      <c r="E246" s="0" t="n">
        <v>0.721001245273365</v>
      </c>
      <c r="F246" s="0" t="n">
        <v>-0.405478926062277</v>
      </c>
      <c r="G246" s="0" t="n">
        <v>-0.115491193527654</v>
      </c>
      <c r="H246" s="0" t="n">
        <v>0.282242029100289</v>
      </c>
      <c r="I246" s="0" t="n">
        <v>-0.0520567107773922</v>
      </c>
      <c r="J246" s="0" t="n">
        <v>-0.067659484746046</v>
      </c>
      <c r="K246" s="0" t="n">
        <v>-0.149766442883367</v>
      </c>
      <c r="L246" s="0" t="n">
        <v>0.131698260101833</v>
      </c>
      <c r="M246" s="0" t="n">
        <v>-0.107974637549722</v>
      </c>
      <c r="N246" s="0" t="n">
        <v>-0.180160192575284</v>
      </c>
      <c r="O246" s="0" t="n">
        <v>-0.319185332251216</v>
      </c>
      <c r="P246" s="0" t="n">
        <v>-0.335176607133119</v>
      </c>
      <c r="Q246" s="0" t="n">
        <v>-0.300944850024711</v>
      </c>
      <c r="R246" s="0" t="n">
        <v>-0.248813617506255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1</v>
      </c>
      <c r="AI246" s="0" t="n">
        <v>0</v>
      </c>
      <c r="AJ246" s="0" t="n">
        <v>0</v>
      </c>
    </row>
    <row r="247" customFormat="false" ht="15" hidden="false" customHeight="false" outlineLevel="0" collapsed="false">
      <c r="A247" s="0" t="s">
        <v>281</v>
      </c>
      <c r="B247" s="0" t="n">
        <v>1</v>
      </c>
      <c r="C247" s="0" t="n">
        <v>0.118289656092808</v>
      </c>
      <c r="D247" s="0" t="n">
        <v>1.13648444714085</v>
      </c>
      <c r="E247" s="0" t="n">
        <v>0.89837484776846</v>
      </c>
      <c r="F247" s="0" t="n">
        <v>-1.15322780233255</v>
      </c>
      <c r="G247" s="0" t="n">
        <v>-0.932515294204431</v>
      </c>
      <c r="H247" s="0" t="n">
        <v>-0.85999194818069</v>
      </c>
      <c r="I247" s="0" t="n">
        <v>0.105652525748905</v>
      </c>
      <c r="J247" s="0" t="n">
        <v>-1.9018215313498</v>
      </c>
      <c r="K247" s="0" t="n">
        <v>3</v>
      </c>
      <c r="L247" s="0" t="n">
        <v>1.21930315081855</v>
      </c>
      <c r="M247" s="0" t="n">
        <v>0.747401950016252</v>
      </c>
      <c r="N247" s="0" t="n">
        <v>1.6875636922279</v>
      </c>
      <c r="O247" s="0" t="n">
        <v>-0.657779062562713</v>
      </c>
      <c r="P247" s="0" t="n">
        <v>-0.139657670536203</v>
      </c>
      <c r="Q247" s="0" t="n">
        <v>0.11738231116137</v>
      </c>
      <c r="R247" s="0" t="n">
        <v>-0.466355362402887</v>
      </c>
      <c r="S247" s="0" t="n">
        <v>0</v>
      </c>
      <c r="T247" s="0" t="n">
        <v>1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1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0.544505679336235</v>
      </c>
      <c r="AJ247" s="0" t="n">
        <v>0.333333333333333</v>
      </c>
    </row>
    <row r="248" customFormat="false" ht="15" hidden="false" customHeight="false" outlineLevel="0" collapsed="false">
      <c r="A248" s="0" t="s">
        <v>282</v>
      </c>
      <c r="B248" s="0" t="n">
        <v>1</v>
      </c>
      <c r="C248" s="0" t="n">
        <v>1.25132448522245</v>
      </c>
      <c r="D248" s="0" t="n">
        <v>0.961765540151226</v>
      </c>
      <c r="E248" s="0" t="n">
        <v>0.475983722473666</v>
      </c>
      <c r="F248" s="0" t="n">
        <v>-0.409618847189436</v>
      </c>
      <c r="G248" s="0" t="n">
        <v>0.310525539429746</v>
      </c>
      <c r="H248" s="0" t="n">
        <v>0.767424905684968</v>
      </c>
      <c r="I248" s="0" t="n">
        <v>0.49883287149585</v>
      </c>
      <c r="J248" s="0" t="n">
        <v>-0.0898066004108254</v>
      </c>
      <c r="K248" s="0" t="n">
        <v>-1.29551551892586</v>
      </c>
      <c r="L248" s="0" t="n">
        <v>-2.31207408270906</v>
      </c>
      <c r="M248" s="0" t="n">
        <v>-1.92216312780127</v>
      </c>
      <c r="N248" s="0" t="n">
        <v>1.23550444292189</v>
      </c>
      <c r="O248" s="0" t="n">
        <v>0.422573026540385</v>
      </c>
      <c r="P248" s="0" t="n">
        <v>-0.155884034230131</v>
      </c>
      <c r="Q248" s="0" t="n">
        <v>-0.113453234536255</v>
      </c>
      <c r="R248" s="0" t="n">
        <v>-0.66214582363354</v>
      </c>
      <c r="S248" s="0" t="n">
        <v>0</v>
      </c>
      <c r="T248" s="0" t="n">
        <v>1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1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0.740425334199984</v>
      </c>
      <c r="AJ248" s="0" t="n">
        <v>0.666666666666667</v>
      </c>
    </row>
    <row r="249" customFormat="false" ht="15" hidden="false" customHeight="false" outlineLevel="0" collapsed="false">
      <c r="A249" s="0" t="s">
        <v>283</v>
      </c>
      <c r="B249" s="0" t="n">
        <v>1</v>
      </c>
      <c r="C249" s="0" t="n">
        <v>1.32153704849975</v>
      </c>
      <c r="D249" s="0" t="n">
        <v>0.661803518265179</v>
      </c>
      <c r="E249" s="0" t="n">
        <v>0.563219988633312</v>
      </c>
      <c r="F249" s="0" t="n">
        <v>-0.0949265451332843</v>
      </c>
      <c r="G249" s="0" t="n">
        <v>0.265626446533495</v>
      </c>
      <c r="H249" s="0" t="n">
        <v>0.744342484132386</v>
      </c>
      <c r="I249" s="0" t="n">
        <v>-0.271302545879833</v>
      </c>
      <c r="J249" s="0" t="n">
        <v>-0.961065621213219</v>
      </c>
      <c r="K249" s="0" t="n">
        <v>-0.0572209910823614</v>
      </c>
      <c r="L249" s="0" t="n">
        <v>0.388983004612516</v>
      </c>
      <c r="M249" s="0" t="n">
        <v>-0.3829015252875</v>
      </c>
      <c r="N249" s="0" t="n">
        <v>2.12051316417688</v>
      </c>
      <c r="O249" s="0" t="n">
        <v>3</v>
      </c>
      <c r="P249" s="0" t="n">
        <v>0.592759261908717</v>
      </c>
      <c r="Q249" s="0" t="n">
        <v>0.045353846712063</v>
      </c>
      <c r="R249" s="0" t="n">
        <v>-0.2331356567833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1</v>
      </c>
      <c r="Y249" s="0" t="n">
        <v>0</v>
      </c>
      <c r="Z249" s="0" t="n">
        <v>0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0.300038110167528</v>
      </c>
      <c r="AJ249" s="0" t="n">
        <v>0</v>
      </c>
    </row>
    <row r="250" customFormat="false" ht="15" hidden="false" customHeight="false" outlineLevel="0" collapsed="false">
      <c r="A250" s="0" t="s">
        <v>284</v>
      </c>
      <c r="B250" s="0" t="n">
        <v>1</v>
      </c>
      <c r="C250" s="0" t="n">
        <v>1.00987097265642</v>
      </c>
      <c r="D250" s="0" t="n">
        <v>0.582533215876306</v>
      </c>
      <c r="E250" s="0" t="n">
        <v>0.556344702454307</v>
      </c>
      <c r="F250" s="0" t="n">
        <v>-0.213853844647082</v>
      </c>
      <c r="G250" s="0" t="n">
        <v>0.0276886612627073</v>
      </c>
      <c r="H250" s="0" t="n">
        <v>0.431164218026662</v>
      </c>
      <c r="I250" s="0" t="n">
        <v>-0.257655230853073</v>
      </c>
      <c r="J250" s="0" t="n">
        <v>-0.235865582855436</v>
      </c>
      <c r="K250" s="0" t="n">
        <v>0.582831564088755</v>
      </c>
      <c r="L250" s="0" t="n">
        <v>0.511957457015682</v>
      </c>
      <c r="M250" s="0" t="n">
        <v>0.0878955202332134</v>
      </c>
      <c r="N250" s="0" t="n">
        <v>1.1103662234549</v>
      </c>
      <c r="O250" s="0" t="n">
        <v>1.47860184780212</v>
      </c>
      <c r="P250" s="0" t="n">
        <v>1.11663717552744</v>
      </c>
      <c r="Q250" s="0" t="n">
        <v>1.49951745345901</v>
      </c>
      <c r="R250" s="0" t="n">
        <v>1.12058795872392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1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</row>
    <row r="251" customFormat="false" ht="15" hidden="false" customHeight="false" outlineLevel="0" collapsed="false">
      <c r="A251" s="0" t="s">
        <v>285</v>
      </c>
      <c r="B251" s="0" t="n">
        <v>1</v>
      </c>
      <c r="C251" s="0" t="n">
        <v>0.959536700177948</v>
      </c>
      <c r="D251" s="0" t="n">
        <v>0.0450696566238692</v>
      </c>
      <c r="E251" s="0" t="n">
        <v>0.441958014305354</v>
      </c>
      <c r="F251" s="0" t="n">
        <v>0.416117724027264</v>
      </c>
      <c r="G251" s="0" t="n">
        <v>0.112328039209851</v>
      </c>
      <c r="H251" s="0" t="n">
        <v>0.504369428464494</v>
      </c>
      <c r="I251" s="0" t="n">
        <v>-0.994949811586778</v>
      </c>
      <c r="J251" s="0" t="n">
        <v>-1.1629717296697</v>
      </c>
      <c r="K251" s="0" t="n">
        <v>1.29193183982949</v>
      </c>
      <c r="L251" s="0" t="n">
        <v>-1.34769386030104</v>
      </c>
      <c r="M251" s="0" t="n">
        <v>0.466856874188847</v>
      </c>
      <c r="N251" s="0" t="n">
        <v>1.91749746494309</v>
      </c>
      <c r="O251" s="0" t="n">
        <v>0.646380029884569</v>
      </c>
      <c r="P251" s="0" t="n">
        <v>-0.0551097082597917</v>
      </c>
      <c r="Q251" s="0" t="n">
        <v>0.0488206819572303</v>
      </c>
      <c r="R251" s="0" t="n">
        <v>-0.156807724617359</v>
      </c>
      <c r="S251" s="0" t="n">
        <v>0</v>
      </c>
      <c r="T251" s="0" t="n">
        <v>1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1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0.569012901534801</v>
      </c>
      <c r="AJ251" s="0" t="n">
        <v>0.333333333333333</v>
      </c>
    </row>
    <row r="252" customFormat="false" ht="15" hidden="false" customHeight="false" outlineLevel="0" collapsed="false">
      <c r="A252" s="0" t="s">
        <v>286</v>
      </c>
      <c r="B252" s="0" t="n">
        <v>1</v>
      </c>
      <c r="C252" s="0" t="n">
        <v>1.78579459783669</v>
      </c>
      <c r="D252" s="0" t="n">
        <v>-0.0499966477112983</v>
      </c>
      <c r="E252" s="0" t="n">
        <v>0.650638363975157</v>
      </c>
      <c r="F252" s="0" t="n">
        <v>1.26634926616369</v>
      </c>
      <c r="G252" s="0" t="n">
        <v>0.524554422417106</v>
      </c>
      <c r="H252" s="0" t="n">
        <v>1.12651679385661</v>
      </c>
      <c r="I252" s="0" t="n">
        <v>-0.465743872293987</v>
      </c>
      <c r="J252" s="0" t="n">
        <v>-1.10263863287618</v>
      </c>
      <c r="K252" s="0" t="n">
        <v>-0.264184569050765</v>
      </c>
      <c r="L252" s="0" t="n">
        <v>0.42065410493164</v>
      </c>
      <c r="M252" s="0" t="n">
        <v>-0.616190046574632</v>
      </c>
      <c r="N252" s="0" t="n">
        <v>2.83641062989604</v>
      </c>
      <c r="O252" s="0" t="n">
        <v>1.71170080163445</v>
      </c>
      <c r="P252" s="0" t="n">
        <v>0.343347153703114</v>
      </c>
      <c r="Q252" s="0" t="n">
        <v>-0.337706089178085</v>
      </c>
      <c r="R252" s="0" t="n">
        <v>0.714485875145802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0.0540601326779324</v>
      </c>
      <c r="AJ252" s="0" t="n">
        <v>0</v>
      </c>
    </row>
    <row r="253" customFormat="false" ht="15" hidden="false" customHeight="false" outlineLevel="0" collapsed="false">
      <c r="A253" s="0" t="s">
        <v>287</v>
      </c>
      <c r="B253" s="0" t="n">
        <v>1</v>
      </c>
      <c r="C253" s="0" t="n">
        <v>1.41071925712126</v>
      </c>
      <c r="D253" s="0" t="n">
        <v>0.14694268664295</v>
      </c>
      <c r="E253" s="0" t="n">
        <v>0.693144678922051</v>
      </c>
      <c r="F253" s="0" t="n">
        <v>0.614382448560625</v>
      </c>
      <c r="G253" s="0" t="n">
        <v>0.19159203495174</v>
      </c>
      <c r="H253" s="0" t="n">
        <v>0.69413087877686</v>
      </c>
      <c r="I253" s="0" t="n">
        <v>-0.184821254205335</v>
      </c>
      <c r="J253" s="0" t="n">
        <v>-0.536794021056543</v>
      </c>
      <c r="K253" s="0" t="n">
        <v>0.124614826609918</v>
      </c>
      <c r="L253" s="0" t="n">
        <v>0.936118593463018</v>
      </c>
      <c r="M253" s="0" t="n">
        <v>-0.148667132370358</v>
      </c>
      <c r="N253" s="0" t="n">
        <v>1.78270161605912</v>
      </c>
      <c r="O253" s="0" t="n">
        <v>1.07719380853568</v>
      </c>
      <c r="P253" s="0" t="n">
        <v>0.251144430173799</v>
      </c>
      <c r="Q253" s="0" t="n">
        <v>0.309397459227066</v>
      </c>
      <c r="R253" s="0" t="n">
        <v>-0.224764596569503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1</v>
      </c>
      <c r="Y253" s="0" t="n">
        <v>0</v>
      </c>
      <c r="Z253" s="0" t="n">
        <v>0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</row>
    <row r="254" customFormat="false" ht="15" hidden="false" customHeight="false" outlineLevel="0" collapsed="false">
      <c r="A254" s="0" t="s">
        <v>288</v>
      </c>
      <c r="B254" s="0" t="n">
        <v>1</v>
      </c>
      <c r="C254" s="0" t="n">
        <v>0.889012374373231</v>
      </c>
      <c r="D254" s="0" t="n">
        <v>1.3463528735632</v>
      </c>
      <c r="E254" s="0" t="n">
        <v>1.12478308481544</v>
      </c>
      <c r="F254" s="0" t="n">
        <v>-0.871136977220527</v>
      </c>
      <c r="G254" s="0" t="n">
        <v>-0.562480886000359</v>
      </c>
      <c r="H254" s="0" t="n">
        <v>-0.314360253948843</v>
      </c>
      <c r="I254" s="0" t="n">
        <v>1.11412188582652</v>
      </c>
      <c r="J254" s="0" t="n">
        <v>-0.0665877047927776</v>
      </c>
      <c r="K254" s="0" t="n">
        <v>0.405765127986552</v>
      </c>
      <c r="L254" s="0" t="n">
        <v>0.645002436560722</v>
      </c>
      <c r="M254" s="0" t="n">
        <v>-0.828710870736021</v>
      </c>
      <c r="N254" s="0" t="n">
        <v>0.865637784398785</v>
      </c>
      <c r="O254" s="0" t="n">
        <v>1.26311806779803</v>
      </c>
      <c r="P254" s="0" t="n">
        <v>0.762396432068171</v>
      </c>
      <c r="Q254" s="0" t="n">
        <v>-0.121590399528765</v>
      </c>
      <c r="R254" s="0" t="n">
        <v>1.21887382996744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1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0.562845039753696</v>
      </c>
      <c r="AJ254" s="0" t="n">
        <v>0.333333333333333</v>
      </c>
    </row>
    <row r="255" customFormat="false" ht="15" hidden="false" customHeight="false" outlineLevel="0" collapsed="false">
      <c r="A255" s="0" t="s">
        <v>289</v>
      </c>
      <c r="B255" s="0" t="n">
        <v>1</v>
      </c>
      <c r="C255" s="0" t="n">
        <v>1.3796500871085</v>
      </c>
      <c r="D255" s="0" t="n">
        <v>1.0016050425865</v>
      </c>
      <c r="E255" s="0" t="n">
        <v>1.05716641833161</v>
      </c>
      <c r="F255" s="0" t="n">
        <v>-0.369714604920926</v>
      </c>
      <c r="G255" s="0" t="n">
        <v>-0.17841022549944</v>
      </c>
      <c r="H255" s="0" t="n">
        <v>0.264374043931105</v>
      </c>
      <c r="I255" s="0" t="n">
        <v>1.14798382377736</v>
      </c>
      <c r="J255" s="0" t="n">
        <v>0.0997402798957662</v>
      </c>
      <c r="K255" s="0" t="n">
        <v>-1.06123333047508</v>
      </c>
      <c r="L255" s="0" t="n">
        <v>-2.47725791794945</v>
      </c>
      <c r="M255" s="0" t="n">
        <v>-0.673867247730932</v>
      </c>
      <c r="N255" s="0" t="n">
        <v>1.21392888784137</v>
      </c>
      <c r="O255" s="0" t="n">
        <v>1.03656710334302</v>
      </c>
      <c r="P255" s="0" t="n">
        <v>1.75750947563441</v>
      </c>
      <c r="Q255" s="0" t="n">
        <v>0.00771120307202947</v>
      </c>
      <c r="R255" s="0" t="n">
        <v>3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1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</row>
    <row r="256" customFormat="false" ht="15" hidden="false" customHeight="false" outlineLevel="0" collapsed="false">
      <c r="A256" s="0" t="s">
        <v>290</v>
      </c>
      <c r="B256" s="0" t="n">
        <v>1</v>
      </c>
      <c r="C256" s="0" t="n">
        <v>1.8095361800397</v>
      </c>
      <c r="D256" s="0" t="n">
        <v>2.35094193176601</v>
      </c>
      <c r="E256" s="0" t="n">
        <v>1.7476729582464</v>
      </c>
      <c r="F256" s="0" t="n">
        <v>-0.971519047113267</v>
      </c>
      <c r="G256" s="0" t="n">
        <v>-0.429653620639356</v>
      </c>
      <c r="H256" s="0" t="n">
        <v>-0.0478483384964039</v>
      </c>
      <c r="I256" s="0" t="n">
        <v>1.68930761262448</v>
      </c>
      <c r="J256" s="0" t="n">
        <v>-0.982375615053325</v>
      </c>
      <c r="K256" s="0" t="n">
        <v>-0.656914650523725</v>
      </c>
      <c r="L256" s="0" t="n">
        <v>0.76943739207649</v>
      </c>
      <c r="M256" s="0" t="n">
        <v>-1.17865643439746</v>
      </c>
      <c r="N256" s="0" t="n">
        <v>2.71127241042906</v>
      </c>
      <c r="O256" s="0" t="n">
        <v>-0.0746370310277506</v>
      </c>
      <c r="P256" s="0" t="n">
        <v>-0.543154964684984</v>
      </c>
      <c r="Q256" s="0" t="n">
        <v>-0.24718084448488</v>
      </c>
      <c r="R256" s="0" t="n">
        <v>-0.977030483240636</v>
      </c>
      <c r="S256" s="0" t="n">
        <v>0</v>
      </c>
      <c r="T256" s="0" t="n">
        <v>1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</row>
    <row r="257" customFormat="false" ht="15" hidden="false" customHeight="false" outlineLevel="0" collapsed="false">
      <c r="A257" s="0" t="s">
        <v>291</v>
      </c>
      <c r="B257" s="0" t="n">
        <v>1</v>
      </c>
      <c r="C257" s="0" t="n">
        <v>1.700775374157</v>
      </c>
      <c r="D257" s="0" t="n">
        <v>2.33204890839467</v>
      </c>
      <c r="E257" s="0" t="n">
        <v>1.69819090462281</v>
      </c>
      <c r="F257" s="0" t="n">
        <v>-1.00602615335646</v>
      </c>
      <c r="G257" s="0" t="n">
        <v>-0.45935437212311</v>
      </c>
      <c r="H257" s="0" t="n">
        <v>-0.105686687305531</v>
      </c>
      <c r="I257" s="0" t="n">
        <v>1.81711292796727</v>
      </c>
      <c r="J257" s="0" t="n">
        <v>0.109725672503116</v>
      </c>
      <c r="K257" s="0" t="n">
        <v>-0.479207150139557</v>
      </c>
      <c r="L257" s="0" t="n">
        <v>0.376097607891085</v>
      </c>
      <c r="M257" s="0" t="n">
        <v>0.0364840106056098</v>
      </c>
      <c r="N257" s="0" t="n">
        <v>1.50879480727507</v>
      </c>
      <c r="O257" s="0" t="n">
        <v>0.825079431384841</v>
      </c>
      <c r="P257" s="0" t="n">
        <v>0.13186850772052</v>
      </c>
      <c r="Q257" s="0" t="n">
        <v>0.238933088003987</v>
      </c>
      <c r="R257" s="0" t="n">
        <v>1.1117806374744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1</v>
      </c>
      <c r="Y257" s="0" t="n">
        <v>0</v>
      </c>
      <c r="Z257" s="0" t="n">
        <v>0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</row>
    <row r="258" customFormat="false" ht="15" hidden="false" customHeight="false" outlineLevel="0" collapsed="false">
      <c r="A258" s="0" t="s">
        <v>292</v>
      </c>
      <c r="B258" s="0" t="n">
        <v>1</v>
      </c>
      <c r="C258" s="0" t="n">
        <v>1.1474231687991</v>
      </c>
      <c r="D258" s="0" t="n">
        <v>2.3412358508665</v>
      </c>
      <c r="E258" s="0" t="n">
        <v>1.64704467439982</v>
      </c>
      <c r="F258" s="0" t="n">
        <v>-1.22722723678533</v>
      </c>
      <c r="G258" s="0" t="n">
        <v>-0.748392176827723</v>
      </c>
      <c r="H258" s="0" t="n">
        <v>-0.619172360576922</v>
      </c>
      <c r="I258" s="0" t="n">
        <v>1.29942144654817</v>
      </c>
      <c r="J258" s="0" t="n">
        <v>-0.325773928738843</v>
      </c>
      <c r="K258" s="0" t="n">
        <v>0.895626135595404</v>
      </c>
      <c r="L258" s="0" t="n">
        <v>1.00655130569143</v>
      </c>
      <c r="M258" s="0" t="n">
        <v>0.492011650646285</v>
      </c>
      <c r="N258" s="0" t="n">
        <v>1.32139570029003</v>
      </c>
      <c r="O258" s="0" t="n">
        <v>2.16924721531943</v>
      </c>
      <c r="P258" s="0" t="n">
        <v>3</v>
      </c>
      <c r="Q258" s="0" t="n">
        <v>3</v>
      </c>
      <c r="R258" s="0" t="n">
        <v>0.115631566875629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1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</row>
    <row r="259" customFormat="false" ht="15" hidden="false" customHeight="false" outlineLevel="0" collapsed="false">
      <c r="A259" s="0" t="s">
        <v>293</v>
      </c>
      <c r="B259" s="0" t="n">
        <v>1</v>
      </c>
      <c r="C259" s="0" t="n">
        <v>0.397301436211983</v>
      </c>
      <c r="D259" s="0" t="n">
        <v>2.34804016395447</v>
      </c>
      <c r="E259" s="0" t="n">
        <v>1.48938098028158</v>
      </c>
      <c r="F259" s="0" t="n">
        <v>-1.52387057166827</v>
      </c>
      <c r="G259" s="0" t="n">
        <v>-1.10525851809475</v>
      </c>
      <c r="H259" s="0" t="n">
        <v>-1.2187277114347</v>
      </c>
      <c r="I259" s="0" t="n">
        <v>1.46154116735526</v>
      </c>
      <c r="J259" s="0" t="n">
        <v>-1.10032581073672</v>
      </c>
      <c r="K259" s="0" t="n">
        <v>3</v>
      </c>
      <c r="L259" s="0" t="n">
        <v>0.966274535452838</v>
      </c>
      <c r="M259" s="0" t="n">
        <v>0.430646728268251</v>
      </c>
      <c r="N259" s="0" t="n">
        <v>1.17838059232776</v>
      </c>
      <c r="O259" s="0" t="n">
        <v>0.152149536264424</v>
      </c>
      <c r="P259" s="0" t="n">
        <v>-0.12178285595228</v>
      </c>
      <c r="Q259" s="0" t="n">
        <v>-0.458332920000096</v>
      </c>
      <c r="R259" s="0" t="n">
        <v>0.458583993884979</v>
      </c>
      <c r="S259" s="0" t="n">
        <v>1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1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</row>
    <row r="260" customFormat="false" ht="15" hidden="false" customHeight="false" outlineLevel="0" collapsed="false">
      <c r="A260" s="0" t="s">
        <v>294</v>
      </c>
      <c r="B260" s="0" t="n">
        <v>1</v>
      </c>
      <c r="C260" s="0" t="n">
        <v>0.975264877721175</v>
      </c>
      <c r="D260" s="0" t="n">
        <v>1.98826177147396</v>
      </c>
      <c r="E260" s="0" t="n">
        <v>1.56357978541617</v>
      </c>
      <c r="F260" s="0" t="n">
        <v>-1.15488827075795</v>
      </c>
      <c r="G260" s="0" t="n">
        <v>-0.799838470719922</v>
      </c>
      <c r="H260" s="0" t="n">
        <v>-0.705109014773696</v>
      </c>
      <c r="I260" s="0" t="n">
        <v>0.358065260330306</v>
      </c>
      <c r="J260" s="0" t="n">
        <v>-0.291026317035825</v>
      </c>
      <c r="K260" s="0" t="n">
        <v>-0.292073770144089</v>
      </c>
      <c r="L260" s="0" t="n">
        <v>1.6019875745177</v>
      </c>
      <c r="M260" s="0" t="n">
        <v>-1.16615035614911</v>
      </c>
      <c r="N260" s="0" t="n">
        <v>1.11858548253319</v>
      </c>
      <c r="O260" s="0" t="n">
        <v>0.0467414475194786</v>
      </c>
      <c r="P260" s="0" t="n">
        <v>-0.456636930869332</v>
      </c>
      <c r="Q260" s="0" t="n">
        <v>-0.175892614939642</v>
      </c>
      <c r="R260" s="0" t="n">
        <v>-0.225278858091312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1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0.148484500201133</v>
      </c>
      <c r="AJ260" s="0" t="n">
        <v>0.333333333333333</v>
      </c>
    </row>
    <row r="261" customFormat="false" ht="15" hidden="false" customHeight="false" outlineLevel="0" collapsed="false">
      <c r="A261" s="0" t="s">
        <v>295</v>
      </c>
      <c r="B261" s="0" t="n">
        <v>1</v>
      </c>
      <c r="C261" s="0" t="n">
        <v>0.770092642550403</v>
      </c>
      <c r="D261" s="0" t="n">
        <v>2.18736959813842</v>
      </c>
      <c r="E261" s="0" t="n">
        <v>1.76948020038731</v>
      </c>
      <c r="F261" s="0" t="n">
        <v>-1.32005875196817</v>
      </c>
      <c r="G261" s="0" t="n">
        <v>-1.0340990027153</v>
      </c>
      <c r="H261" s="0" t="n">
        <v>-1.14122211671474</v>
      </c>
      <c r="I261" s="0" t="n">
        <v>-0.625642960165735</v>
      </c>
      <c r="J261" s="0" t="n">
        <v>-0.634949417502575</v>
      </c>
      <c r="K261" s="0" t="n">
        <v>-0.141414187101366</v>
      </c>
      <c r="L261" s="0" t="n">
        <v>-0.568472641586335</v>
      </c>
      <c r="M261" s="0" t="n">
        <v>-0.806751083094198</v>
      </c>
      <c r="N261" s="0" t="n">
        <v>1.18536696254431</v>
      </c>
      <c r="O261" s="0" t="n">
        <v>0.127118405354744</v>
      </c>
      <c r="P261" s="0" t="n">
        <v>1.0360366559627</v>
      </c>
      <c r="Q261" s="0" t="n">
        <v>1.23239532413892</v>
      </c>
      <c r="R261" s="0" t="n">
        <v>0.800322781883281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1</v>
      </c>
      <c r="Y261" s="0" t="n">
        <v>0</v>
      </c>
      <c r="Z261" s="0" t="n">
        <v>0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</row>
    <row r="262" customFormat="false" ht="15" hidden="false" customHeight="false" outlineLevel="0" collapsed="false">
      <c r="A262" s="0" t="s">
        <v>296</v>
      </c>
      <c r="B262" s="0" t="n">
        <v>1</v>
      </c>
      <c r="C262" s="0" t="n">
        <v>0.893821412778724</v>
      </c>
      <c r="D262" s="0" t="n">
        <v>1.83628463370091</v>
      </c>
      <c r="E262" s="0" t="n">
        <v>1.77280026417882</v>
      </c>
      <c r="F262" s="0" t="n">
        <v>-1.12301553694203</v>
      </c>
      <c r="G262" s="0" t="n">
        <v>-0.965628449698779</v>
      </c>
      <c r="H262" s="0" t="n">
        <v>-1.01753844026689</v>
      </c>
      <c r="I262" s="0" t="n">
        <v>-0.642459299778017</v>
      </c>
      <c r="J262" s="0" t="n">
        <v>0.324207547351705</v>
      </c>
      <c r="K262" s="0" t="n">
        <v>0.268935644573411</v>
      </c>
      <c r="L262" s="0" t="n">
        <v>0.485075880406909</v>
      </c>
      <c r="M262" s="0" t="n">
        <v>0.936611052529684</v>
      </c>
      <c r="N262" s="0" t="n">
        <v>0.611251715925674</v>
      </c>
      <c r="O262" s="0" t="n">
        <v>0.221869362976358</v>
      </c>
      <c r="P262" s="0" t="n">
        <v>0.259226796291965</v>
      </c>
      <c r="Q262" s="0" t="n">
        <v>0.676531927610873</v>
      </c>
      <c r="R262" s="0" t="n">
        <v>-0.189122129763611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1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0.00688832783038379</v>
      </c>
      <c r="AJ262" s="0" t="n">
        <v>0.333333333333333</v>
      </c>
    </row>
    <row r="263" customFormat="false" ht="15" hidden="false" customHeight="false" outlineLevel="0" collapsed="false">
      <c r="A263" s="0" t="s">
        <v>297</v>
      </c>
      <c r="B263" s="0" t="n">
        <v>1</v>
      </c>
      <c r="C263" s="0" t="n">
        <v>0.133043681422597</v>
      </c>
      <c r="D263" s="0" t="n">
        <v>1.85430714572192</v>
      </c>
      <c r="E263" s="0" t="n">
        <v>1.54217949127399</v>
      </c>
      <c r="F263" s="0" t="n">
        <v>-1.46637530991674</v>
      </c>
      <c r="G263" s="0" t="n">
        <v>-1.29153465525825</v>
      </c>
      <c r="H263" s="0" t="n">
        <v>-1.54833387515642</v>
      </c>
      <c r="I263" s="0" t="n">
        <v>-0.632730346803577</v>
      </c>
      <c r="J263" s="0" t="n">
        <v>-0.771169552800235</v>
      </c>
      <c r="K263" s="0" t="n">
        <v>2.35965633721937</v>
      </c>
      <c r="L263" s="0" t="n">
        <v>-0.447286531594139</v>
      </c>
      <c r="M263" s="0" t="n">
        <v>0.00987513281406936</v>
      </c>
      <c r="N263" s="0" t="n">
        <v>0.596662531061707</v>
      </c>
      <c r="O263" s="0" t="n">
        <v>-0.202551639617585</v>
      </c>
      <c r="P263" s="0" t="n">
        <v>1.8143899260585</v>
      </c>
      <c r="Q263" s="0" t="n">
        <v>0.986036128914929</v>
      </c>
      <c r="R263" s="0" t="n">
        <v>1.94245574662544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1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</row>
    <row r="264" customFormat="false" ht="15" hidden="false" customHeight="false" outlineLevel="0" collapsed="false">
      <c r="A264" s="0" t="s">
        <v>298</v>
      </c>
      <c r="B264" s="0" t="n">
        <v>1</v>
      </c>
      <c r="C264" s="0" t="n">
        <v>0.411182389945035</v>
      </c>
      <c r="D264" s="0" t="n">
        <v>0.881024787636341</v>
      </c>
      <c r="E264" s="0" t="n">
        <v>1.56821515222332</v>
      </c>
      <c r="F264" s="0" t="n">
        <v>-0.831930241984057</v>
      </c>
      <c r="G264" s="0" t="n">
        <v>-1.13845849571926</v>
      </c>
      <c r="H264" s="0" t="n">
        <v>-1.29059152960864</v>
      </c>
      <c r="I264" s="0" t="n">
        <v>-0.683197984510953</v>
      </c>
      <c r="J264" s="0" t="n">
        <v>-0.0499270743078873</v>
      </c>
      <c r="K264" s="0" t="n">
        <v>0.0600089874533052</v>
      </c>
      <c r="L264" s="0" t="n">
        <v>2.08021493798306</v>
      </c>
      <c r="M264" s="0" t="n">
        <v>-0.463038454708301</v>
      </c>
      <c r="N264" s="0" t="n">
        <v>0.391181054104428</v>
      </c>
      <c r="O264" s="0" t="n">
        <v>-0.358247540667162</v>
      </c>
      <c r="P264" s="0" t="n">
        <v>-0.698590600517159</v>
      </c>
      <c r="Q264" s="0" t="n">
        <v>-0.538641163066434</v>
      </c>
      <c r="R264" s="0" t="n">
        <v>-0.492449474612008</v>
      </c>
      <c r="S264" s="0" t="n">
        <v>1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1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0.622288030314194</v>
      </c>
      <c r="AJ264" s="0" t="n">
        <v>0.333333333333333</v>
      </c>
    </row>
    <row r="265" customFormat="false" ht="15" hidden="false" customHeight="false" outlineLevel="0" collapsed="false">
      <c r="A265" s="0" t="s">
        <v>299</v>
      </c>
      <c r="B265" s="0" t="n">
        <v>1</v>
      </c>
      <c r="C265" s="0" t="n">
        <v>0.722935682188325</v>
      </c>
      <c r="D265" s="0" t="n">
        <v>-0.00740118894093611</v>
      </c>
      <c r="E265" s="0" t="n">
        <v>1.42586738484668</v>
      </c>
      <c r="F265" s="0" t="n">
        <v>0.303086887796039</v>
      </c>
      <c r="G265" s="0" t="n">
        <v>-0.869867976676436</v>
      </c>
      <c r="H265" s="0" t="n">
        <v>-0.81425871437834</v>
      </c>
      <c r="I265" s="0" t="n">
        <v>-0.616134606665032</v>
      </c>
      <c r="J265" s="0" t="n">
        <v>-0.692137554858381</v>
      </c>
      <c r="K265" s="0" t="n">
        <v>0.303477864068904</v>
      </c>
      <c r="L265" s="0" t="n">
        <v>-0.111032255456432</v>
      </c>
      <c r="M265" s="0" t="n">
        <v>-0.229310026948945</v>
      </c>
      <c r="N265" s="0" t="n">
        <v>1.18310666629778</v>
      </c>
      <c r="O265" s="0" t="n">
        <v>0.824210785380864</v>
      </c>
      <c r="P265" s="0" t="n">
        <v>0.768456358030186</v>
      </c>
      <c r="Q265" s="0" t="n">
        <v>0.901295782954799</v>
      </c>
      <c r="R265" s="0" t="n">
        <v>1.30751984498177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0.371727439322494</v>
      </c>
      <c r="AJ265" s="0" t="n">
        <v>0</v>
      </c>
    </row>
    <row r="266" customFormat="false" ht="15" hidden="false" customHeight="false" outlineLevel="0" collapsed="false">
      <c r="A266" s="0" t="s">
        <v>300</v>
      </c>
      <c r="B266" s="0" t="n">
        <v>1</v>
      </c>
      <c r="C266" s="0" t="n">
        <v>0.660759920486758</v>
      </c>
      <c r="D266" s="0" t="n">
        <v>-0.0477059960142515</v>
      </c>
      <c r="E266" s="0" t="n">
        <v>1.39821537034774</v>
      </c>
      <c r="F266" s="0" t="n">
        <v>0.313202734655336</v>
      </c>
      <c r="G266" s="0" t="n">
        <v>-0.891662928664475</v>
      </c>
      <c r="H266" s="0" t="n">
        <v>-0.848017977928043</v>
      </c>
      <c r="I266" s="0" t="n">
        <v>-1.65708349120544</v>
      </c>
      <c r="J266" s="0" t="n">
        <v>0.410397823990027</v>
      </c>
      <c r="K266" s="0" t="n">
        <v>0.189909905406595</v>
      </c>
      <c r="L266" s="0" t="n">
        <v>-1.07418191595435</v>
      </c>
      <c r="M266" s="0" t="n">
        <v>-0.243526481268543</v>
      </c>
      <c r="N266" s="0" t="n">
        <v>0.350084758712973</v>
      </c>
      <c r="O266" s="0" t="n">
        <v>-0.455869486757893</v>
      </c>
      <c r="P266" s="0" t="n">
        <v>-0.213353173886502</v>
      </c>
      <c r="Q266" s="0" t="n">
        <v>-0.0284900615972972</v>
      </c>
      <c r="R266" s="0" t="n">
        <v>-0.764452487088255</v>
      </c>
      <c r="S266" s="0" t="n">
        <v>1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1</v>
      </c>
      <c r="Y266" s="0" t="n">
        <v>0</v>
      </c>
      <c r="Z266" s="0" t="n">
        <v>0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0.24265530526364</v>
      </c>
      <c r="AJ266" s="0" t="n">
        <v>0</v>
      </c>
    </row>
    <row r="267" customFormat="false" ht="15" hidden="false" customHeight="false" outlineLevel="0" collapsed="false">
      <c r="A267" s="0" t="s">
        <v>301</v>
      </c>
      <c r="B267" s="0" t="n">
        <v>1</v>
      </c>
      <c r="C267" s="0" t="n">
        <v>0.774253509284154</v>
      </c>
      <c r="D267" s="0" t="n">
        <v>0.0743795493200263</v>
      </c>
      <c r="E267" s="0" t="n">
        <v>1.44309125237148</v>
      </c>
      <c r="F267" s="0" t="n">
        <v>0.224094415456047</v>
      </c>
      <c r="G267" s="0" t="n">
        <v>-0.848714670387976</v>
      </c>
      <c r="H267" s="0" t="n">
        <v>-0.78027635975628</v>
      </c>
      <c r="I267" s="0" t="n">
        <v>-1.42847153616169</v>
      </c>
      <c r="J267" s="0" t="n">
        <v>-0.142075779558197</v>
      </c>
      <c r="K267" s="0" t="n">
        <v>0.151375734205678</v>
      </c>
      <c r="L267" s="0" t="n">
        <v>0.482582196915426</v>
      </c>
      <c r="M267" s="0" t="n">
        <v>0.375000012377111</v>
      </c>
      <c r="N267" s="0" t="n">
        <v>0.806870081989002</v>
      </c>
      <c r="O267" s="0" t="n">
        <v>1.13807186382079</v>
      </c>
      <c r="P267" s="0" t="n">
        <v>0.830546185646571</v>
      </c>
      <c r="Q267" s="0" t="n">
        <v>-0.403362940927248</v>
      </c>
      <c r="R267" s="0" t="n">
        <v>1.50339792257339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1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</row>
    <row r="268" customFormat="false" ht="15" hidden="false" customHeight="false" outlineLevel="0" collapsed="false">
      <c r="A268" s="0" t="s">
        <v>302</v>
      </c>
      <c r="B268" s="0" t="n">
        <v>1</v>
      </c>
      <c r="C268" s="0" t="n">
        <v>-0.260361219857592</v>
      </c>
      <c r="D268" s="0" t="n">
        <v>0.0426390979410576</v>
      </c>
      <c r="E268" s="0" t="n">
        <v>1.44089428197923</v>
      </c>
      <c r="F268" s="0" t="n">
        <v>-0.565879271622238</v>
      </c>
      <c r="G268" s="0" t="n">
        <v>-1.48295038222673</v>
      </c>
      <c r="H268" s="0" t="n">
        <v>-1.84245068226084</v>
      </c>
      <c r="I268" s="0" t="n">
        <v>-1.41847445455623</v>
      </c>
      <c r="J268" s="0" t="n">
        <v>-1.22097336475773</v>
      </c>
      <c r="K268" s="0" t="n">
        <v>1.70488048482048</v>
      </c>
      <c r="L268" s="0" t="n">
        <v>-0.747365530151635</v>
      </c>
      <c r="M268" s="0" t="n">
        <v>-1.24510061122437</v>
      </c>
      <c r="N268" s="0" t="n">
        <v>0.489401200090008</v>
      </c>
      <c r="O268" s="0" t="n">
        <v>-0.0898377712416592</v>
      </c>
      <c r="P268" s="0" t="n">
        <v>-0.29989941557321</v>
      </c>
      <c r="Q268" s="0" t="n">
        <v>-0.325618082786452</v>
      </c>
      <c r="R268" s="0" t="n">
        <v>-0.567177182159453</v>
      </c>
      <c r="S268" s="0" t="n">
        <v>0</v>
      </c>
      <c r="T268" s="0" t="n">
        <v>1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1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</row>
    <row r="269" customFormat="false" ht="15" hidden="false" customHeight="false" outlineLevel="0" collapsed="false">
      <c r="A269" s="0" t="s">
        <v>303</v>
      </c>
      <c r="B269" s="0" t="n">
        <v>1</v>
      </c>
      <c r="C269" s="0" t="n">
        <v>1.41896685330605</v>
      </c>
      <c r="D269" s="0" t="n">
        <v>0.222470407638671</v>
      </c>
      <c r="E269" s="0" t="n">
        <v>1.29089393201534</v>
      </c>
      <c r="F269" s="0" t="n">
        <v>0.506813311766527</v>
      </c>
      <c r="G269" s="0" t="n">
        <v>-0.341306885924638</v>
      </c>
      <c r="H269" s="0" t="n">
        <v>0.0494215434469363</v>
      </c>
      <c r="I269" s="0" t="n">
        <v>-0.883384644187988</v>
      </c>
      <c r="J269" s="0" t="n">
        <v>0.187455181235836</v>
      </c>
      <c r="K269" s="0" t="n">
        <v>-0.889618906830415</v>
      </c>
      <c r="L269" s="0" t="n">
        <v>-3</v>
      </c>
      <c r="M269" s="0" t="n">
        <v>1.01256122388496</v>
      </c>
      <c r="N269" s="0" t="n">
        <v>1.18577792549822</v>
      </c>
      <c r="O269" s="0" t="n">
        <v>-0.322429340723242</v>
      </c>
      <c r="P269" s="0" t="n">
        <v>-0.584477467956041</v>
      </c>
      <c r="Q269" s="0" t="n">
        <v>-0.368604187442891</v>
      </c>
      <c r="R269" s="0" t="n">
        <v>-0.472919737160855</v>
      </c>
      <c r="S269" s="0" t="n">
        <v>0</v>
      </c>
      <c r="T269" s="0" t="n">
        <v>1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</row>
    <row r="270" customFormat="false" ht="15" hidden="false" customHeight="false" outlineLevel="0" collapsed="false">
      <c r="A270" s="0" t="s">
        <v>304</v>
      </c>
      <c r="B270" s="0" t="n">
        <v>1</v>
      </c>
      <c r="C270" s="0" t="n">
        <v>1.55398002403306</v>
      </c>
      <c r="D270" s="0" t="n">
        <v>0.421145270322644</v>
      </c>
      <c r="E270" s="0" t="n">
        <v>1.34812781112608</v>
      </c>
      <c r="F270" s="0" t="n">
        <v>0.332250139430687</v>
      </c>
      <c r="G270" s="0" t="n">
        <v>-0.299376854809936</v>
      </c>
      <c r="H270" s="0" t="n">
        <v>0.125801596913261</v>
      </c>
      <c r="I270" s="0" t="n">
        <v>0.123691111570478</v>
      </c>
      <c r="J270" s="0" t="n">
        <v>0.7446571283378</v>
      </c>
      <c r="K270" s="0" t="n">
        <v>0.0199774092968935</v>
      </c>
      <c r="L270" s="0" t="n">
        <v>0.491990975381283</v>
      </c>
      <c r="M270" s="0" t="n">
        <v>0.33129072131662</v>
      </c>
      <c r="N270" s="0" t="n">
        <v>0.927693190439882</v>
      </c>
      <c r="O270" s="0" t="n">
        <v>1.05928342018419</v>
      </c>
      <c r="P270" s="0" t="n">
        <v>0.711216851024151</v>
      </c>
      <c r="Q270" s="0" t="n">
        <v>0.455229593702322</v>
      </c>
      <c r="R270" s="0" t="n">
        <v>1.87765810367765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1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</row>
    <row r="271" customFormat="false" ht="15" hidden="false" customHeight="false" outlineLevel="0" collapsed="false">
      <c r="A271" s="0" t="s">
        <v>305</v>
      </c>
      <c r="B271" s="0" t="n">
        <v>1</v>
      </c>
      <c r="C271" s="0" t="n">
        <v>1.26336685263353</v>
      </c>
      <c r="D271" s="0" t="n">
        <v>0.431167288072326</v>
      </c>
      <c r="E271" s="0" t="n">
        <v>1.34815344676914</v>
      </c>
      <c r="F271" s="0" t="n">
        <v>0.120291973374308</v>
      </c>
      <c r="G271" s="0" t="n">
        <v>-0.482154537610384</v>
      </c>
      <c r="H271" s="0" t="n">
        <v>-0.173255158323098</v>
      </c>
      <c r="I271" s="0" t="n">
        <v>0.165806308469936</v>
      </c>
      <c r="J271" s="0" t="n">
        <v>-0.067659484746046</v>
      </c>
      <c r="K271" s="0" t="n">
        <v>-0.149766442883367</v>
      </c>
      <c r="L271" s="0" t="n">
        <v>0.131698260101833</v>
      </c>
      <c r="M271" s="0" t="n">
        <v>-0.107974637549722</v>
      </c>
      <c r="N271" s="0" t="n">
        <v>-0.180160192575284</v>
      </c>
      <c r="O271" s="0" t="n">
        <v>-0.319185332251216</v>
      </c>
      <c r="P271" s="0" t="n">
        <v>-0.335176607133119</v>
      </c>
      <c r="Q271" s="0" t="n">
        <v>-0.300944850024711</v>
      </c>
      <c r="R271" s="0" t="n">
        <v>-0.248813617506255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1</v>
      </c>
      <c r="AI271" s="0" t="n">
        <v>0.473572375412526</v>
      </c>
      <c r="AJ271" s="0" t="n">
        <v>0.333333333333333</v>
      </c>
    </row>
    <row r="272" customFormat="false" ht="15" hidden="false" customHeight="false" outlineLevel="0" collapsed="false">
      <c r="A272" s="0" t="s">
        <v>306</v>
      </c>
      <c r="B272" s="0" t="n">
        <v>1</v>
      </c>
      <c r="C272" s="0" t="n">
        <v>2.0684079835278</v>
      </c>
      <c r="D272" s="0" t="n">
        <v>0.551277959953102</v>
      </c>
      <c r="E272" s="0" t="n">
        <v>1.19365795982672</v>
      </c>
      <c r="F272" s="0" t="n">
        <v>0.510850778356907</v>
      </c>
      <c r="G272" s="0" t="n">
        <v>0.159919589056312</v>
      </c>
      <c r="H272" s="0" t="n">
        <v>0.823924642313744</v>
      </c>
      <c r="I272" s="0" t="n">
        <v>-0.0888404358524293</v>
      </c>
      <c r="J272" s="0" t="n">
        <v>0.0710720102929559</v>
      </c>
      <c r="K272" s="0" t="n">
        <v>-0.764750167312469</v>
      </c>
      <c r="L272" s="0" t="n">
        <v>-0.66416090744253</v>
      </c>
      <c r="M272" s="0" t="n">
        <v>0.464176953826869</v>
      </c>
      <c r="N272" s="0" t="n">
        <v>1.88831909521516</v>
      </c>
      <c r="O272" s="0" t="n">
        <v>3</v>
      </c>
      <c r="P272" s="0" t="n">
        <v>-0.128659697082992</v>
      </c>
      <c r="Q272" s="0" t="n">
        <v>-0.107900727383388</v>
      </c>
      <c r="R272" s="0" t="n">
        <v>1.47110384958928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0</v>
      </c>
      <c r="AB272" s="0" t="n">
        <v>0</v>
      </c>
      <c r="AC272" s="0" t="n">
        <v>0</v>
      </c>
      <c r="AD272" s="0" t="n">
        <v>1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1.05474277307357</v>
      </c>
      <c r="AJ272" s="0" t="n">
        <v>0.666666666666667</v>
      </c>
    </row>
    <row r="273" customFormat="false" ht="15" hidden="false" customHeight="false" outlineLevel="0" collapsed="false">
      <c r="A273" s="0" t="s">
        <v>307</v>
      </c>
      <c r="B273" s="0" t="n">
        <v>1</v>
      </c>
      <c r="C273" s="0" t="n">
        <v>1.9955303827782</v>
      </c>
      <c r="D273" s="0" t="n">
        <v>0.532783070966999</v>
      </c>
      <c r="E273" s="0" t="n">
        <v>0.54021708906399</v>
      </c>
      <c r="F273" s="0" t="n">
        <v>0.486686468611778</v>
      </c>
      <c r="G273" s="0" t="n">
        <v>0.826099894108561</v>
      </c>
      <c r="H273" s="0" t="n">
        <v>1.46298992483852</v>
      </c>
      <c r="I273" s="0" t="n">
        <v>0.687253068818761</v>
      </c>
      <c r="J273" s="0" t="n">
        <v>-0.955345433095265</v>
      </c>
      <c r="K273" s="0" t="n">
        <v>0.230058837565638</v>
      </c>
      <c r="L273" s="0" t="n">
        <v>0.320884219638758</v>
      </c>
      <c r="M273" s="0" t="n">
        <v>-0.0620458284863598</v>
      </c>
      <c r="N273" s="0" t="n">
        <v>2.89271255458234</v>
      </c>
      <c r="O273" s="0" t="n">
        <v>0.612467611933133</v>
      </c>
      <c r="P273" s="0" t="n">
        <v>-0.567903368704273</v>
      </c>
      <c r="Q273" s="0" t="n">
        <v>-0.480526158546592</v>
      </c>
      <c r="R273" s="0" t="n">
        <v>-0.943824362509068</v>
      </c>
      <c r="S273" s="0" t="n">
        <v>1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0.737904722472522</v>
      </c>
      <c r="AJ273" s="0" t="n">
        <v>0</v>
      </c>
    </row>
    <row r="274" customFormat="false" ht="15" hidden="false" customHeight="false" outlineLevel="0" collapsed="false">
      <c r="A274" s="0" t="s">
        <v>308</v>
      </c>
      <c r="B274" s="0" t="n">
        <v>1</v>
      </c>
      <c r="C274" s="0" t="n">
        <v>0.979183786166975</v>
      </c>
      <c r="D274" s="0" t="n">
        <v>0.60709017897279</v>
      </c>
      <c r="E274" s="0" t="n">
        <v>0.554295222265146</v>
      </c>
      <c r="F274" s="0" t="n">
        <v>-0.257884099643156</v>
      </c>
      <c r="G274" s="0" t="n">
        <v>0.00564934672105262</v>
      </c>
      <c r="H274" s="0" t="n">
        <v>0.401827980161773</v>
      </c>
      <c r="I274" s="0" t="n">
        <v>-0.087427981797031</v>
      </c>
      <c r="J274" s="0" t="n">
        <v>-0.478372869370567</v>
      </c>
      <c r="K274" s="0" t="n">
        <v>0.775560366361264</v>
      </c>
      <c r="L274" s="0" t="n">
        <v>1.31061913371198</v>
      </c>
      <c r="M274" s="0" t="n">
        <v>-1.34529211444305</v>
      </c>
      <c r="N274" s="0" t="n">
        <v>1.27516236797464</v>
      </c>
      <c r="O274" s="0" t="n">
        <v>0.0572409171359981</v>
      </c>
      <c r="P274" s="0" t="n">
        <v>-0.274750302423008</v>
      </c>
      <c r="Q274" s="0" t="n">
        <v>-0.0295926136617275</v>
      </c>
      <c r="R274" s="0" t="n">
        <v>-0.621793778891951</v>
      </c>
      <c r="S274" s="0" t="n">
        <v>1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1</v>
      </c>
      <c r="Y274" s="0" t="n">
        <v>0</v>
      </c>
      <c r="Z274" s="0" t="n">
        <v>0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</row>
    <row r="275" customFormat="false" ht="15" hidden="false" customHeight="false" outlineLevel="0" collapsed="false">
      <c r="A275" s="0" t="s">
        <v>309</v>
      </c>
      <c r="B275" s="0" t="n">
        <v>1</v>
      </c>
      <c r="C275" s="0" t="n">
        <v>0.767370039101337</v>
      </c>
      <c r="D275" s="0" t="n">
        <v>1.27944879277952</v>
      </c>
      <c r="E275" s="0" t="n">
        <v>0.832702975122838</v>
      </c>
      <c r="F275" s="0" t="n">
        <v>-0.893417576692691</v>
      </c>
      <c r="G275" s="0" t="n">
        <v>-0.417004145097786</v>
      </c>
      <c r="H275" s="0" t="n">
        <v>-0.120351991037916</v>
      </c>
      <c r="I275" s="0" t="n">
        <v>0.823709087310524</v>
      </c>
      <c r="J275" s="0" t="n">
        <v>-0.502083381213474</v>
      </c>
      <c r="K275" s="0" t="n">
        <v>-0.127401399377676</v>
      </c>
      <c r="L275" s="0" t="n">
        <v>-1.0242651395933</v>
      </c>
      <c r="M275" s="0" t="n">
        <v>-1.46044669098128</v>
      </c>
      <c r="N275" s="0" t="n">
        <v>1.07214666874085</v>
      </c>
      <c r="O275" s="0" t="n">
        <v>1.90570745865174</v>
      </c>
      <c r="P275" s="0" t="n">
        <v>0.568506400350702</v>
      </c>
      <c r="Q275" s="0" t="n">
        <v>0.241672668596305</v>
      </c>
      <c r="R275" s="0" t="n">
        <v>1.48075254696855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1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0.451543733203325</v>
      </c>
      <c r="AJ275" s="0" t="n">
        <v>0.333333333333333</v>
      </c>
    </row>
    <row r="276" customFormat="false" ht="15" hidden="false" customHeight="false" outlineLevel="0" collapsed="false">
      <c r="A276" s="0" t="s">
        <v>310</v>
      </c>
      <c r="B276" s="0" t="n">
        <v>1</v>
      </c>
      <c r="C276" s="0" t="n">
        <v>0.375146391859087</v>
      </c>
      <c r="D276" s="0" t="n">
        <v>1.35932319704035</v>
      </c>
      <c r="E276" s="0" t="n">
        <v>0.925231005483</v>
      </c>
      <c r="F276" s="0" t="n">
        <v>-1.13731000176239</v>
      </c>
      <c r="G276" s="0" t="n">
        <v>-0.769460759949686</v>
      </c>
      <c r="H276" s="0" t="n">
        <v>-0.625044463392551</v>
      </c>
      <c r="I276" s="0" t="n">
        <v>0.993138211780283</v>
      </c>
      <c r="J276" s="0" t="n">
        <v>-1.22766789140559</v>
      </c>
      <c r="K276" s="0" t="n">
        <v>1.85473329480372</v>
      </c>
      <c r="L276" s="0" t="n">
        <v>0.325524582683558</v>
      </c>
      <c r="M276" s="0" t="n">
        <v>1.34055799367282</v>
      </c>
      <c r="N276" s="0" t="n">
        <v>1.27413496058985</v>
      </c>
      <c r="O276" s="0" t="n">
        <v>-0.316001278263596</v>
      </c>
      <c r="P276" s="0" t="n">
        <v>-0.382415300900958</v>
      </c>
      <c r="Q276" s="0" t="n">
        <v>-0.554810963466762</v>
      </c>
      <c r="R276" s="0" t="n">
        <v>-0.115256845294221</v>
      </c>
      <c r="S276" s="0" t="n">
        <v>0</v>
      </c>
      <c r="T276" s="0" t="n">
        <v>1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1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0.627620089758918</v>
      </c>
      <c r="AJ276" s="0" t="n">
        <v>0.666666666666667</v>
      </c>
    </row>
    <row r="277" customFormat="false" ht="15" hidden="false" customHeight="false" outlineLevel="0" collapsed="false">
      <c r="A277" s="0" t="s">
        <v>311</v>
      </c>
      <c r="B277" s="0" t="n">
        <v>1</v>
      </c>
      <c r="C277" s="0" t="n">
        <v>0.930366111405168</v>
      </c>
      <c r="D277" s="0" t="n">
        <v>1.46954073343846</v>
      </c>
      <c r="E277" s="0" t="n">
        <v>0.939424765236111</v>
      </c>
      <c r="F277" s="0" t="n">
        <v>-0.92134377784338</v>
      </c>
      <c r="G277" s="0" t="n">
        <v>-0.389719765595697</v>
      </c>
      <c r="H277" s="0" t="n">
        <v>-0.069257058668324</v>
      </c>
      <c r="I277" s="0" t="n">
        <v>0.26034196794331</v>
      </c>
      <c r="J277" s="0" t="n">
        <v>-0.324434612400013</v>
      </c>
      <c r="K277" s="0" t="n">
        <v>-0.616527631753034</v>
      </c>
      <c r="L277" s="0" t="n">
        <v>1.79496232060824</v>
      </c>
      <c r="M277" s="0" t="n">
        <v>-0.417599121631429</v>
      </c>
      <c r="N277" s="0" t="n">
        <v>1.09927022369921</v>
      </c>
      <c r="O277" s="0" t="n">
        <v>2.32094059050443</v>
      </c>
      <c r="P277" s="0" t="n">
        <v>2.11854020509749</v>
      </c>
      <c r="Q277" s="0" t="n">
        <v>3</v>
      </c>
      <c r="R277" s="0" t="n">
        <v>1.95363068767449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1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1.25016375500494</v>
      </c>
      <c r="AJ277" s="0" t="n">
        <v>1</v>
      </c>
    </row>
    <row r="278" customFormat="false" ht="15" hidden="false" customHeight="false" outlineLevel="0" collapsed="false">
      <c r="A278" s="0" t="s">
        <v>312</v>
      </c>
      <c r="B278" s="0" t="n">
        <v>1</v>
      </c>
      <c r="C278" s="0" t="n">
        <v>0.80880501337648</v>
      </c>
      <c r="D278" s="0" t="n">
        <v>1.52030473820093</v>
      </c>
      <c r="E278" s="0" t="n">
        <v>0.926197085649306</v>
      </c>
      <c r="F278" s="0" t="n">
        <v>-1.00770351769483</v>
      </c>
      <c r="G278" s="0" t="n">
        <v>-0.464460577444821</v>
      </c>
      <c r="H278" s="0" t="n">
        <v>-0.179883657017465</v>
      </c>
      <c r="I278" s="0" t="n">
        <v>0.234506610894115</v>
      </c>
      <c r="J278" s="0" t="n">
        <v>-1.0436396166969</v>
      </c>
      <c r="K278" s="0" t="n">
        <v>0.290254936378311</v>
      </c>
      <c r="L278" s="0" t="n">
        <v>1.922206178493</v>
      </c>
      <c r="M278" s="0" t="n">
        <v>-0.381961711919843</v>
      </c>
      <c r="N278" s="0" t="n">
        <v>1.61030265689196</v>
      </c>
      <c r="O278" s="0" t="n">
        <v>1.12488740585048</v>
      </c>
      <c r="P278" s="0" t="n">
        <v>0.0275325866289491</v>
      </c>
      <c r="Q278" s="0" t="n">
        <v>0.0127207086128378</v>
      </c>
      <c r="R278" s="0" t="n">
        <v>-0.370941710768627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1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0.683273094963139</v>
      </c>
      <c r="AJ278" s="0" t="n">
        <v>0</v>
      </c>
    </row>
    <row r="279" customFormat="false" ht="15" hidden="false" customHeight="false" outlineLevel="0" collapsed="false">
      <c r="A279" s="0" t="s">
        <v>313</v>
      </c>
      <c r="B279" s="0" t="n">
        <v>1</v>
      </c>
      <c r="C279" s="0" t="n">
        <v>0.785743375966373</v>
      </c>
      <c r="D279" s="0" t="n">
        <v>0.884503873142425</v>
      </c>
      <c r="E279" s="0" t="n">
        <v>0.702335420328223</v>
      </c>
      <c r="F279" s="0" t="n">
        <v>-0.616219473979905</v>
      </c>
      <c r="G279" s="0" t="n">
        <v>-0.288934957266211</v>
      </c>
      <c r="H279" s="0" t="n">
        <v>0.0410136951787128</v>
      </c>
      <c r="I279" s="0" t="n">
        <v>0.40075527355666</v>
      </c>
      <c r="J279" s="0" t="n">
        <v>-0.814039119833958</v>
      </c>
      <c r="K279" s="0" t="n">
        <v>-0.113612874098578</v>
      </c>
      <c r="L279" s="0" t="n">
        <v>-0.617927063307138</v>
      </c>
      <c r="M279" s="0" t="n">
        <v>-0.612217164324565</v>
      </c>
      <c r="N279" s="0" t="n">
        <v>1.36125910681974</v>
      </c>
      <c r="O279" s="0" t="n">
        <v>0.298806404124385</v>
      </c>
      <c r="P279" s="0" t="n">
        <v>-0.0586967772178142</v>
      </c>
      <c r="Q279" s="0" t="n">
        <v>-0.31318456845185</v>
      </c>
      <c r="R279" s="0" t="n">
        <v>-0.410729839346615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1</v>
      </c>
      <c r="Y279" s="0" t="n">
        <v>0</v>
      </c>
      <c r="Z279" s="0" t="n">
        <v>0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0.109696456807566</v>
      </c>
      <c r="AJ279" s="0" t="n">
        <v>0</v>
      </c>
    </row>
    <row r="280" customFormat="false" ht="15" hidden="false" customHeight="false" outlineLevel="0" collapsed="false">
      <c r="A280" s="0" t="s">
        <v>314</v>
      </c>
      <c r="B280" s="0" t="n">
        <v>1</v>
      </c>
      <c r="C280" s="0" t="n">
        <v>0.781432822528473</v>
      </c>
      <c r="D280" s="0" t="n">
        <v>0.891047789835084</v>
      </c>
      <c r="E280" s="0" t="n">
        <v>0.704404362197594</v>
      </c>
      <c r="F280" s="0" t="n">
        <v>-0.62373092859524</v>
      </c>
      <c r="G280" s="0" t="n">
        <v>-0.294072586712168</v>
      </c>
      <c r="H280" s="0" t="n">
        <v>0.0343174623580499</v>
      </c>
      <c r="I280" s="0" t="n">
        <v>-1.06520346870393</v>
      </c>
      <c r="J280" s="0" t="n">
        <v>-0.650838414422997</v>
      </c>
      <c r="K280" s="0" t="n">
        <v>0.976157463530093</v>
      </c>
      <c r="L280" s="0" t="n">
        <v>0.606106975941276</v>
      </c>
      <c r="M280" s="0" t="n">
        <v>1.68127686498961</v>
      </c>
      <c r="N280" s="0" t="n">
        <v>1.21125762864093</v>
      </c>
      <c r="O280" s="0" t="n">
        <v>2.95598511060685</v>
      </c>
      <c r="P280" s="0" t="n">
        <v>2.74486025446205</v>
      </c>
      <c r="Q280" s="0" t="n">
        <v>1.18432123925789</v>
      </c>
      <c r="R280" s="0" t="n">
        <v>1.95770961773305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1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</row>
    <row r="281" customFormat="false" ht="15" hidden="false" customHeight="false" outlineLevel="0" collapsed="false">
      <c r="A281" s="0" t="s">
        <v>315</v>
      </c>
      <c r="B281" s="0" t="n">
        <v>1</v>
      </c>
      <c r="C281" s="0" t="n">
        <v>1.11245497691706</v>
      </c>
      <c r="D281" s="0" t="n">
        <v>0.153699886806882</v>
      </c>
      <c r="E281" s="0" t="n">
        <v>0.649093084794552</v>
      </c>
      <c r="F281" s="0" t="n">
        <v>0.374611791939888</v>
      </c>
      <c r="G281" s="0" t="n">
        <v>0.010786143634406</v>
      </c>
      <c r="H281" s="0" t="n">
        <v>0.435367235438612</v>
      </c>
      <c r="I281" s="0" t="n">
        <v>-1.15380692066796</v>
      </c>
      <c r="J281" s="0" t="n">
        <v>0.584985725365312</v>
      </c>
      <c r="K281" s="0" t="n">
        <v>-0.553480603658011</v>
      </c>
      <c r="L281" s="0" t="n">
        <v>-0.725278767152876</v>
      </c>
      <c r="M281" s="0" t="n">
        <v>-0.19469698537346</v>
      </c>
      <c r="N281" s="0" t="n">
        <v>0.646594529962326</v>
      </c>
      <c r="O281" s="0" t="n">
        <v>0.54570293922091</v>
      </c>
      <c r="P281" s="0" t="n">
        <v>-0.351608439549414</v>
      </c>
      <c r="Q281" s="0" t="n">
        <v>-0.337966508935553</v>
      </c>
      <c r="R281" s="0" t="n">
        <v>-0.210511294457709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0</v>
      </c>
      <c r="AC281" s="0" t="n">
        <v>0</v>
      </c>
      <c r="AD281" s="0" t="n">
        <v>1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</row>
    <row r="282" customFormat="false" ht="15" hidden="false" customHeight="false" outlineLevel="0" collapsed="false">
      <c r="A282" s="0" t="s">
        <v>316</v>
      </c>
      <c r="B282" s="0" t="n">
        <v>1</v>
      </c>
      <c r="C282" s="0" t="n">
        <v>0.950837925672635</v>
      </c>
      <c r="D282" s="0" t="n">
        <v>0.121967629807282</v>
      </c>
      <c r="E282" s="0" t="n">
        <v>0.65616226213038</v>
      </c>
      <c r="F282" s="0" t="n">
        <v>0.295151949118337</v>
      </c>
      <c r="G282" s="0" t="n">
        <v>-0.119919772384538</v>
      </c>
      <c r="H282" s="0" t="n">
        <v>0.261345175090561</v>
      </c>
      <c r="I282" s="0" t="n">
        <v>-1.46328205909925</v>
      </c>
      <c r="J282" s="0" t="n">
        <v>-0.297148866687063</v>
      </c>
      <c r="K282" s="0" t="n">
        <v>-0.0215366925677866</v>
      </c>
      <c r="L282" s="0" t="n">
        <v>0.464839271846235</v>
      </c>
      <c r="M282" s="0" t="n">
        <v>-0.809617888157432</v>
      </c>
      <c r="N282" s="0" t="n">
        <v>1.09865377926834</v>
      </c>
      <c r="O282" s="0" t="n">
        <v>3</v>
      </c>
      <c r="P282" s="0" t="n">
        <v>1.51702286880694</v>
      </c>
      <c r="Q282" s="0" t="n">
        <v>1.43205327642586</v>
      </c>
      <c r="R282" s="0" t="n">
        <v>-0.420904887235998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</row>
    <row r="283" customFormat="false" ht="15" hidden="false" customHeight="false" outlineLevel="0" collapsed="false">
      <c r="A283" s="0" t="s">
        <v>317</v>
      </c>
      <c r="B283" s="0" t="n">
        <v>1</v>
      </c>
      <c r="C283" s="0" t="n">
        <v>0.410499990743462</v>
      </c>
      <c r="D283" s="0" t="n">
        <v>0.127408623656871</v>
      </c>
      <c r="E283" s="0" t="n">
        <v>0.69565596926912</v>
      </c>
      <c r="F283" s="0" t="n">
        <v>-0.132837812896383</v>
      </c>
      <c r="G283" s="0" t="n">
        <v>-0.566038036250249</v>
      </c>
      <c r="H283" s="0" t="n">
        <v>-0.337796951282205</v>
      </c>
      <c r="I283" s="0" t="n">
        <v>-1.71189203468115</v>
      </c>
      <c r="J283" s="0" t="n">
        <v>0.220334486534046</v>
      </c>
      <c r="K283" s="0" t="n">
        <v>0.308737470744785</v>
      </c>
      <c r="L283" s="0" t="n">
        <v>0.859922753073766</v>
      </c>
      <c r="M283" s="0" t="n">
        <v>-0.944501796139951</v>
      </c>
      <c r="N283" s="0" t="n">
        <v>0.23028905764688</v>
      </c>
      <c r="O283" s="0" t="n">
        <v>-0.700120356136957</v>
      </c>
      <c r="P283" s="0" t="n">
        <v>-0.699131030419872</v>
      </c>
      <c r="Q283" s="0" t="n">
        <v>-0.58563454276795</v>
      </c>
      <c r="R283" s="0" t="n">
        <v>-0.434915673088372</v>
      </c>
      <c r="S283" s="0" t="n">
        <v>1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1</v>
      </c>
      <c r="Y283" s="0" t="n">
        <v>0</v>
      </c>
      <c r="Z283" s="0" t="n">
        <v>0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</row>
    <row r="284" customFormat="false" ht="15" hidden="false" customHeight="false" outlineLevel="0" collapsed="false">
      <c r="A284" s="0" t="s">
        <v>318</v>
      </c>
      <c r="B284" s="0" t="n">
        <v>1</v>
      </c>
      <c r="C284" s="0" t="n">
        <v>0.428810487435527</v>
      </c>
      <c r="D284" s="0" t="n">
        <v>-0.263970467709086</v>
      </c>
      <c r="E284" s="0" t="n">
        <v>0.663569153459352</v>
      </c>
      <c r="F284" s="0" t="n">
        <v>0.470600199728748</v>
      </c>
      <c r="G284" s="0" t="n">
        <v>-0.525109439430052</v>
      </c>
      <c r="H284" s="0" t="n">
        <v>-0.283893068793713</v>
      </c>
      <c r="I284" s="0" t="n">
        <v>-1.61546346350833</v>
      </c>
      <c r="J284" s="0" t="n">
        <v>0.174894882006907</v>
      </c>
      <c r="K284" s="0" t="n">
        <v>0.217425543773198</v>
      </c>
      <c r="L284" s="0" t="n">
        <v>0.938378909277339</v>
      </c>
      <c r="M284" s="0" t="n">
        <v>0.00533392382118858</v>
      </c>
      <c r="N284" s="0" t="n">
        <v>0.273234686330951</v>
      </c>
      <c r="O284" s="0" t="n">
        <v>-0.490696148457709</v>
      </c>
      <c r="P284" s="0" t="n">
        <v>-0.541049288595315</v>
      </c>
      <c r="Q284" s="0" t="n">
        <v>-0.457351678952319</v>
      </c>
      <c r="R284" s="0" t="n">
        <v>-0.516574163950157</v>
      </c>
      <c r="S284" s="0" t="n">
        <v>1</v>
      </c>
      <c r="T284" s="0" t="n">
        <v>0</v>
      </c>
      <c r="U284" s="0" t="n">
        <v>0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0.0120754185656066</v>
      </c>
      <c r="AJ284" s="0" t="n">
        <v>0.333333333333333</v>
      </c>
    </row>
    <row r="285" customFormat="false" ht="15" hidden="false" customHeight="false" outlineLevel="0" collapsed="false">
      <c r="A285" s="0" t="s">
        <v>319</v>
      </c>
      <c r="B285" s="0" t="n">
        <v>1</v>
      </c>
      <c r="C285" s="0" t="n">
        <v>0.0792397841130332</v>
      </c>
      <c r="D285" s="0" t="n">
        <v>-0.614927151021804</v>
      </c>
      <c r="E285" s="0" t="n">
        <v>0.795082137211647</v>
      </c>
      <c r="F285" s="0" t="n">
        <v>0.852778019813126</v>
      </c>
      <c r="G285" s="0" t="n">
        <v>-0.888967054744367</v>
      </c>
      <c r="H285" s="0" t="n">
        <v>-0.787298605608518</v>
      </c>
      <c r="I285" s="0" t="n">
        <v>-1.00567722732033</v>
      </c>
      <c r="J285" s="0" t="n">
        <v>-1.23354901438501</v>
      </c>
      <c r="K285" s="0" t="n">
        <v>1.50731972999859</v>
      </c>
      <c r="L285" s="0" t="n">
        <v>1.60131753882897</v>
      </c>
      <c r="M285" s="0" t="n">
        <v>0.588033658267028</v>
      </c>
      <c r="N285" s="0" t="n">
        <v>0.916597190684189</v>
      </c>
      <c r="O285" s="0" t="n">
        <v>1.49735322402962</v>
      </c>
      <c r="P285" s="0" t="n">
        <v>1.85803249468373</v>
      </c>
      <c r="Q285" s="0" t="n">
        <v>1.14710471780071</v>
      </c>
      <c r="R285" s="0" t="n">
        <v>2.04104529646765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1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0.577365120196604</v>
      </c>
      <c r="AJ285" s="0" t="n">
        <v>0.666666666666667</v>
      </c>
    </row>
    <row r="286" customFormat="false" ht="15" hidden="false" customHeight="false" outlineLevel="0" collapsed="false">
      <c r="A286" s="0" t="s">
        <v>320</v>
      </c>
      <c r="B286" s="0" t="n">
        <v>1</v>
      </c>
      <c r="C286" s="0" t="n">
        <v>0.189703629290113</v>
      </c>
      <c r="D286" s="0" t="n">
        <v>-0.738871056363005</v>
      </c>
      <c r="E286" s="0" t="n">
        <v>0.105447305961898</v>
      </c>
      <c r="F286" s="0" t="n">
        <v>1.32906342574374</v>
      </c>
      <c r="G286" s="0" t="n">
        <v>-0.169693332037359</v>
      </c>
      <c r="H286" s="0" t="n">
        <v>0.0799685900342489</v>
      </c>
      <c r="I286" s="0" t="n">
        <v>-0.523614607707326</v>
      </c>
      <c r="J286" s="0" t="n">
        <v>0.124916867601041</v>
      </c>
      <c r="K286" s="0" t="n">
        <v>0.0976148914241623</v>
      </c>
      <c r="L286" s="0" t="n">
        <v>-0.987904826370437</v>
      </c>
      <c r="M286" s="0" t="n">
        <v>-0.250437699148832</v>
      </c>
      <c r="N286" s="0" t="n">
        <v>0.0778218017445792</v>
      </c>
      <c r="O286" s="0" t="n">
        <v>-0.664048369407099</v>
      </c>
      <c r="P286" s="0" t="n">
        <v>-0.684395909832345</v>
      </c>
      <c r="Q286" s="0" t="n">
        <v>-0.598979352556426</v>
      </c>
      <c r="R286" s="0" t="n">
        <v>-1.12873923721255</v>
      </c>
      <c r="S286" s="0" t="n">
        <v>1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1</v>
      </c>
      <c r="Y286" s="0" t="n">
        <v>0</v>
      </c>
      <c r="Z286" s="0" t="n">
        <v>0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0.0106933888774438</v>
      </c>
      <c r="AJ286" s="0" t="n">
        <v>0</v>
      </c>
    </row>
    <row r="287" customFormat="false" ht="15" hidden="false" customHeight="false" outlineLevel="0" collapsed="false">
      <c r="A287" s="0" t="s">
        <v>321</v>
      </c>
      <c r="B287" s="0" t="n">
        <v>1</v>
      </c>
      <c r="C287" s="0" t="n">
        <v>0.209513111231757</v>
      </c>
      <c r="D287" s="0" t="n">
        <v>-0.458214296658209</v>
      </c>
      <c r="E287" s="0" t="n">
        <v>0.188812109429645</v>
      </c>
      <c r="F287" s="0" t="n">
        <v>0.635175551407843</v>
      </c>
      <c r="G287" s="0" t="n">
        <v>-0.246155494467665</v>
      </c>
      <c r="H287" s="0" t="n">
        <v>0.00925409073154285</v>
      </c>
      <c r="I287" s="0" t="n">
        <v>-0.0318795445597136</v>
      </c>
      <c r="J287" s="0" t="n">
        <v>-0.00877330233218224</v>
      </c>
      <c r="K287" s="0" t="n">
        <v>0.467505110645769</v>
      </c>
      <c r="L287" s="0" t="n">
        <v>1.00213638408537</v>
      </c>
      <c r="M287" s="0" t="n">
        <v>0.698960516353502</v>
      </c>
      <c r="N287" s="0" t="n">
        <v>0.171932318191013</v>
      </c>
      <c r="O287" s="0" t="n">
        <v>-0.742353392613891</v>
      </c>
      <c r="P287" s="0" t="n">
        <v>-0.689524742233683</v>
      </c>
      <c r="Q287" s="0" t="n">
        <v>-0.547500451580152</v>
      </c>
      <c r="R287" s="0" t="n">
        <v>-0.919479129194698</v>
      </c>
      <c r="S287" s="0" t="n">
        <v>0</v>
      </c>
      <c r="T287" s="0" t="n">
        <v>1</v>
      </c>
      <c r="U287" s="0" t="n">
        <v>0</v>
      </c>
      <c r="V287" s="0" t="n">
        <v>0</v>
      </c>
      <c r="W287" s="0" t="n">
        <v>1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1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</row>
    <row r="288" customFormat="false" ht="15" hidden="false" customHeight="false" outlineLevel="0" collapsed="false">
      <c r="A288" s="0" t="s">
        <v>322</v>
      </c>
      <c r="B288" s="0" t="n">
        <v>1</v>
      </c>
      <c r="C288" s="0" t="n">
        <v>0.094605265507888</v>
      </c>
      <c r="D288" s="0" t="n">
        <v>-0.436456115616287</v>
      </c>
      <c r="E288" s="0" t="n">
        <v>0.207315500703097</v>
      </c>
      <c r="F288" s="0" t="n">
        <v>0.470273577914043</v>
      </c>
      <c r="G288" s="0" t="n">
        <v>-0.368426156435331</v>
      </c>
      <c r="H288" s="0" t="n">
        <v>-0.129200997948005</v>
      </c>
      <c r="I288" s="0" t="n">
        <v>-0.427204428115606</v>
      </c>
      <c r="J288" s="0" t="n">
        <v>-0.421473980565833</v>
      </c>
      <c r="K288" s="0" t="n">
        <v>2.57570138494935</v>
      </c>
      <c r="L288" s="0" t="n">
        <v>0.574886300272767</v>
      </c>
      <c r="M288" s="0" t="n">
        <v>1.86041622668542</v>
      </c>
      <c r="N288" s="0" t="n">
        <v>0.310221352183261</v>
      </c>
      <c r="O288" s="0" t="n">
        <v>-0.317038285351258</v>
      </c>
      <c r="P288" s="0" t="n">
        <v>0.172536767662498</v>
      </c>
      <c r="Q288" s="0" t="n">
        <v>0.527822410610046</v>
      </c>
      <c r="R288" s="0" t="n">
        <v>-0.701936818931963</v>
      </c>
      <c r="S288" s="0" t="n">
        <v>1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1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0.143269552558025</v>
      </c>
      <c r="AJ288" s="0" t="n">
        <v>0.333333333333333</v>
      </c>
    </row>
    <row r="289" customFormat="false" ht="15" hidden="false" customHeight="false" outlineLevel="0" collapsed="false">
      <c r="A289" s="0" t="s">
        <v>323</v>
      </c>
      <c r="B289" s="0" t="n">
        <v>1</v>
      </c>
      <c r="C289" s="0" t="n">
        <v>-0.432061754488506</v>
      </c>
      <c r="D289" s="0" t="n">
        <v>-0.178533324613411</v>
      </c>
      <c r="E289" s="0" t="n">
        <v>-0.377211673080828</v>
      </c>
      <c r="F289" s="0" t="n">
        <v>-0.452668727598939</v>
      </c>
      <c r="G289" s="0" t="n">
        <v>-0.182953536472519</v>
      </c>
      <c r="H289" s="0" t="n">
        <v>-0.0323720091931634</v>
      </c>
      <c r="I289" s="0" t="n">
        <v>0.247586474761324</v>
      </c>
      <c r="J289" s="0" t="n">
        <v>-0.430977417769724</v>
      </c>
      <c r="K289" s="0" t="n">
        <v>0.466785006230573</v>
      </c>
      <c r="L289" s="0" t="n">
        <v>2.35774816668169</v>
      </c>
      <c r="M289" s="0" t="n">
        <v>0.242919531383616</v>
      </c>
      <c r="N289" s="0" t="n">
        <v>-0.230811376645253</v>
      </c>
      <c r="O289" s="0" t="n">
        <v>-0.451233993146411</v>
      </c>
      <c r="P289" s="0" t="n">
        <v>-0.335807680062432</v>
      </c>
      <c r="Q289" s="0" t="n">
        <v>-0.416224613468563</v>
      </c>
      <c r="R289" s="0" t="n">
        <v>-0.389035771182284</v>
      </c>
      <c r="S289" s="0" t="n">
        <v>1</v>
      </c>
      <c r="T289" s="0" t="n">
        <v>0</v>
      </c>
      <c r="U289" s="0" t="n">
        <v>0</v>
      </c>
      <c r="V289" s="0" t="n">
        <v>0</v>
      </c>
      <c r="W289" s="0" t="n">
        <v>1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</row>
    <row r="290" customFormat="false" ht="15" hidden="false" customHeight="false" outlineLevel="0" collapsed="false">
      <c r="A290" s="0" t="s">
        <v>324</v>
      </c>
      <c r="B290" s="0" t="n">
        <v>1</v>
      </c>
      <c r="C290" s="0" t="n">
        <v>-0.765827801274724</v>
      </c>
      <c r="D290" s="0" t="n">
        <v>-0.250585573997632</v>
      </c>
      <c r="E290" s="0" t="n">
        <v>-0.631574798347206</v>
      </c>
      <c r="F290" s="0" t="n">
        <v>-0.669565759162149</v>
      </c>
      <c r="G290" s="0" t="n">
        <v>-0.200367814476871</v>
      </c>
      <c r="H290" s="0" t="n">
        <v>-0.0978456990793376</v>
      </c>
      <c r="I290" s="0" t="n">
        <v>0.170692484127867</v>
      </c>
      <c r="J290" s="0" t="n">
        <v>-1.89955975463374</v>
      </c>
      <c r="K290" s="0" t="n">
        <v>1.83427438818549</v>
      </c>
      <c r="L290" s="0" t="n">
        <v>-0.086921745594039</v>
      </c>
      <c r="M290" s="0" t="n">
        <v>0.0148869022615836</v>
      </c>
      <c r="N290" s="0" t="n">
        <v>0.40618120192231</v>
      </c>
      <c r="O290" s="0" t="n">
        <v>-0.698482230483576</v>
      </c>
      <c r="P290" s="0" t="n">
        <v>0.110743446991852</v>
      </c>
      <c r="Q290" s="0" t="n">
        <v>-0.178815604268355</v>
      </c>
      <c r="R290" s="0" t="n">
        <v>0.202344860825445</v>
      </c>
      <c r="S290" s="0" t="n">
        <v>1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1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</row>
    <row r="291" customFormat="false" ht="15" hidden="false" customHeight="false" outlineLevel="0" collapsed="false">
      <c r="A291" s="0" t="s">
        <v>325</v>
      </c>
      <c r="B291" s="0" t="n">
        <v>1</v>
      </c>
      <c r="C291" s="0" t="n">
        <v>-0.322582882170211</v>
      </c>
      <c r="D291" s="0" t="n">
        <v>-0.332235727807261</v>
      </c>
      <c r="E291" s="0" t="n">
        <v>-0.692994839659119</v>
      </c>
      <c r="F291" s="0" t="n">
        <v>-0.13414344489606</v>
      </c>
      <c r="G291" s="0" t="n">
        <v>0.483707909310897</v>
      </c>
      <c r="H291" s="0" t="n">
        <v>0.425351988845741</v>
      </c>
      <c r="I291" s="0" t="n">
        <v>-0.750056880033665</v>
      </c>
      <c r="J291" s="0" t="n">
        <v>0.721985163129806</v>
      </c>
      <c r="K291" s="0" t="n">
        <v>0.060528089913686</v>
      </c>
      <c r="L291" s="0" t="n">
        <v>1.24464611674177</v>
      </c>
      <c r="M291" s="0" t="n">
        <v>0.111233316224616</v>
      </c>
      <c r="N291" s="0" t="n">
        <v>-0.654925145085075</v>
      </c>
      <c r="O291" s="0" t="n">
        <v>-0.577662361440792</v>
      </c>
      <c r="P291" s="0" t="n">
        <v>-0.641019060918657</v>
      </c>
      <c r="Q291" s="0" t="n">
        <v>-0.319068190551631</v>
      </c>
      <c r="R291" s="0" t="n">
        <v>-0.53171878299563</v>
      </c>
      <c r="S291" s="0" t="n">
        <v>0</v>
      </c>
      <c r="T291" s="0" t="n">
        <v>1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1</v>
      </c>
      <c r="AA291" s="0" t="n">
        <v>0</v>
      </c>
      <c r="AB291" s="0" t="n">
        <v>0</v>
      </c>
      <c r="AC291" s="0" t="n">
        <v>0</v>
      </c>
      <c r="AD291" s="0" t="n">
        <v>1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</row>
    <row r="292" customFormat="false" ht="15" hidden="false" customHeight="false" outlineLevel="0" collapsed="false">
      <c r="A292" s="0" t="s">
        <v>326</v>
      </c>
      <c r="B292" s="0" t="n">
        <v>1</v>
      </c>
      <c r="C292" s="0" t="n">
        <v>0.0350698501750403</v>
      </c>
      <c r="D292" s="0" t="n">
        <v>-0.295517121923585</v>
      </c>
      <c r="E292" s="0" t="n">
        <v>-0.707243250090844</v>
      </c>
      <c r="F292" s="0" t="n">
        <v>0.152222421716047</v>
      </c>
      <c r="G292" s="0" t="n">
        <v>0.986613702866483</v>
      </c>
      <c r="H292" s="0" t="n">
        <v>0.8089316977782</v>
      </c>
      <c r="I292" s="0" t="n">
        <v>-0.733481178726006</v>
      </c>
      <c r="J292" s="0" t="n">
        <v>0.280707883654257</v>
      </c>
      <c r="K292" s="0" t="n">
        <v>0.0256973093186474</v>
      </c>
      <c r="L292" s="0" t="n">
        <v>-0.205087188953753</v>
      </c>
      <c r="M292" s="0" t="n">
        <v>-0.0870515134208569</v>
      </c>
      <c r="N292" s="0" t="n">
        <v>-0.146769452569726</v>
      </c>
      <c r="O292" s="0" t="n">
        <v>-0.348485127473533</v>
      </c>
      <c r="P292" s="0" t="n">
        <v>-0.645140606926776</v>
      </c>
      <c r="Q292" s="0" t="n">
        <v>-0.446629945338494</v>
      </c>
      <c r="R292" s="0" t="n">
        <v>-0.91122790698081</v>
      </c>
      <c r="S292" s="0" t="n">
        <v>1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1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0.175649333066491</v>
      </c>
      <c r="AJ292" s="0" t="n">
        <v>0.333333333333333</v>
      </c>
    </row>
    <row r="293" customFormat="false" ht="15" hidden="false" customHeight="false" outlineLevel="0" collapsed="false">
      <c r="A293" s="0" t="s">
        <v>327</v>
      </c>
      <c r="B293" s="0" t="n">
        <v>1</v>
      </c>
      <c r="C293" s="0" t="n">
        <v>-0.0832987945129336</v>
      </c>
      <c r="D293" s="0" t="n">
        <v>-0.205239824592726</v>
      </c>
      <c r="E293" s="0" t="n">
        <v>-0.66483744912779</v>
      </c>
      <c r="F293" s="0" t="n">
        <v>-0.100209202301376</v>
      </c>
      <c r="G293" s="0" t="n">
        <v>0.737961441260308</v>
      </c>
      <c r="H293" s="0" t="n">
        <v>0.640796023510663</v>
      </c>
      <c r="I293" s="0" t="n">
        <v>-0.128852426261684</v>
      </c>
      <c r="J293" s="0" t="n">
        <v>0.523859270425851</v>
      </c>
      <c r="K293" s="0" t="n">
        <v>-0.0212877909188994</v>
      </c>
      <c r="L293" s="0" t="n">
        <v>-0.363551603185859</v>
      </c>
      <c r="M293" s="0" t="n">
        <v>-0.353052312217237</v>
      </c>
      <c r="N293" s="0" t="n">
        <v>-0.366634632914014</v>
      </c>
      <c r="O293" s="0" t="n">
        <v>-0.617874026073115</v>
      </c>
      <c r="P293" s="0" t="n">
        <v>-0.333887311911063</v>
      </c>
      <c r="Q293" s="0" t="n">
        <v>-0.339195941864582</v>
      </c>
      <c r="R293" s="0" t="n">
        <v>-0.871242075628775</v>
      </c>
      <c r="S293" s="0" t="n">
        <v>1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1</v>
      </c>
      <c r="Y293" s="0" t="n">
        <v>0</v>
      </c>
      <c r="Z293" s="0" t="n">
        <v>0</v>
      </c>
      <c r="AA293" s="0" t="n">
        <v>1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</row>
    <row r="294" customFormat="false" ht="15" hidden="false" customHeight="false" outlineLevel="0" collapsed="false">
      <c r="A294" s="0" t="s">
        <v>328</v>
      </c>
      <c r="B294" s="0" t="n">
        <v>1</v>
      </c>
      <c r="C294" s="0" t="n">
        <v>-0.045541029460492</v>
      </c>
      <c r="D294" s="0" t="n">
        <v>-0.244443250063603</v>
      </c>
      <c r="E294" s="0" t="n">
        <v>-0.540296229184861</v>
      </c>
      <c r="F294" s="0" t="n">
        <v>-0.00626348707607442</v>
      </c>
      <c r="G294" s="0" t="n">
        <v>0.536601055393869</v>
      </c>
      <c r="H294" s="0" t="n">
        <v>0.543553661276525</v>
      </c>
      <c r="I294" s="0" t="n">
        <v>0.622094136605469</v>
      </c>
      <c r="J294" s="0" t="n">
        <v>0.79656001735038</v>
      </c>
      <c r="K294" s="0" t="n">
        <v>0.092318421857912</v>
      </c>
      <c r="L294" s="0" t="n">
        <v>-0.0335917106814062</v>
      </c>
      <c r="M294" s="0" t="n">
        <v>0.356425995210315</v>
      </c>
      <c r="N294" s="0" t="n">
        <v>-0.450060112558669</v>
      </c>
      <c r="O294" s="0" t="n">
        <v>-0.0840898697724834</v>
      </c>
      <c r="P294" s="0" t="n">
        <v>-0.437832679481674</v>
      </c>
      <c r="Q294" s="0" t="n">
        <v>-0.319298939048704</v>
      </c>
      <c r="R294" s="0" t="n">
        <v>-0.0981774396007659</v>
      </c>
      <c r="S294" s="0" t="n">
        <v>1</v>
      </c>
      <c r="T294" s="0" t="n">
        <v>0</v>
      </c>
      <c r="U294" s="0" t="n">
        <v>0</v>
      </c>
      <c r="V294" s="0" t="n">
        <v>0</v>
      </c>
      <c r="W294" s="0" t="n">
        <v>1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</row>
    <row r="295" customFormat="false" ht="15" hidden="false" customHeight="false" outlineLevel="0" collapsed="false">
      <c r="A295" s="0" t="s">
        <v>329</v>
      </c>
      <c r="B295" s="0" t="n">
        <v>1</v>
      </c>
      <c r="C295" s="0" t="n">
        <v>-0.535315925438819</v>
      </c>
      <c r="D295" s="0" t="n">
        <v>-0.296636793326322</v>
      </c>
      <c r="E295" s="0" t="n">
        <v>-0.526490509576011</v>
      </c>
      <c r="F295" s="0" t="n">
        <v>-0.39210414782213</v>
      </c>
      <c r="G295" s="0" t="n">
        <v>-0.0807802507927126</v>
      </c>
      <c r="H295" s="0" t="n">
        <v>0.0245095521028931</v>
      </c>
      <c r="I295" s="0" t="n">
        <v>0.49689255860571</v>
      </c>
      <c r="J295" s="0" t="n">
        <v>-0.93518247107645</v>
      </c>
      <c r="K295" s="0" t="n">
        <v>3</v>
      </c>
      <c r="L295" s="0" t="n">
        <v>1.38999165905322</v>
      </c>
      <c r="M295" s="0" t="n">
        <v>2.93553881259158</v>
      </c>
      <c r="N295" s="0" t="n">
        <v>-0.0438232326141298</v>
      </c>
      <c r="O295" s="0" t="n">
        <v>-0.798118608030517</v>
      </c>
      <c r="P295" s="0" t="n">
        <v>-0.0639016007725275</v>
      </c>
      <c r="Q295" s="0" t="n">
        <v>0.0986442904127262</v>
      </c>
      <c r="R295" s="0" t="n">
        <v>-0.874371610496736</v>
      </c>
      <c r="S295" s="0" t="n">
        <v>1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1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0.505661963740689</v>
      </c>
      <c r="AJ295" s="0" t="n">
        <v>0.333333333333333</v>
      </c>
    </row>
    <row r="296" customFormat="false" ht="15" hidden="false" customHeight="false" outlineLevel="0" collapsed="false">
      <c r="A296" s="0" t="s">
        <v>330</v>
      </c>
      <c r="B296" s="0" t="n">
        <v>1</v>
      </c>
      <c r="C296" s="0" t="n">
        <v>-0.0335244350363109</v>
      </c>
      <c r="D296" s="0" t="n">
        <v>-0.191268498303397</v>
      </c>
      <c r="E296" s="0" t="n">
        <v>-0.266511907712281</v>
      </c>
      <c r="F296" s="0" t="n">
        <v>-0.0755123614287117</v>
      </c>
      <c r="G296" s="0" t="n">
        <v>0.0946895745555891</v>
      </c>
      <c r="H296" s="0" t="n">
        <v>0.256738001408373</v>
      </c>
      <c r="I296" s="0" t="n">
        <v>0.739515343666615</v>
      </c>
      <c r="J296" s="0" t="n">
        <v>0.552767620977164</v>
      </c>
      <c r="K296" s="0" t="n">
        <v>-0.35439070302265</v>
      </c>
      <c r="L296" s="0" t="n">
        <v>-0.599215311551028</v>
      </c>
      <c r="M296" s="0" t="n">
        <v>-0.0947913682815345</v>
      </c>
      <c r="N296" s="0" t="n">
        <v>-0.335812411370422</v>
      </c>
      <c r="O296" s="0" t="n">
        <v>-0.358937116794268</v>
      </c>
      <c r="P296" s="0" t="n">
        <v>-0.470450448132856</v>
      </c>
      <c r="Q296" s="0" t="n">
        <v>-0.559500687735209</v>
      </c>
      <c r="R296" s="0" t="n">
        <v>-0.550547107843397</v>
      </c>
      <c r="S296" s="0" t="n">
        <v>1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1</v>
      </c>
      <c r="Y296" s="0" t="n">
        <v>0</v>
      </c>
      <c r="Z296" s="0" t="n">
        <v>0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0.22445830462629</v>
      </c>
      <c r="AJ296" s="0" t="n">
        <v>0</v>
      </c>
    </row>
    <row r="297" customFormat="false" ht="15" hidden="false" customHeight="false" outlineLevel="0" collapsed="false">
      <c r="A297" s="0" t="s">
        <v>331</v>
      </c>
      <c r="B297" s="0" t="n">
        <v>1</v>
      </c>
      <c r="C297" s="0" t="n">
        <v>0.0944753487457961</v>
      </c>
      <c r="D297" s="0" t="n">
        <v>-0.121583245843779</v>
      </c>
      <c r="E297" s="0" t="n">
        <v>-0.298980212893565</v>
      </c>
      <c r="F297" s="0" t="n">
        <v>-0.0625871922551272</v>
      </c>
      <c r="G297" s="0" t="n">
        <v>0.282114889867974</v>
      </c>
      <c r="H297" s="0" t="n">
        <v>0.423924426988021</v>
      </c>
      <c r="I297" s="0" t="n">
        <v>-0.294095565465232</v>
      </c>
      <c r="J297" s="0" t="n">
        <v>0.0218697482124966</v>
      </c>
      <c r="K297" s="0" t="n">
        <v>-0.133271063111598</v>
      </c>
      <c r="L297" s="0" t="n">
        <v>0.302956581446259</v>
      </c>
      <c r="M297" s="0" t="n">
        <v>0.78669913947355</v>
      </c>
      <c r="N297" s="0" t="n">
        <v>0.044328321000543</v>
      </c>
      <c r="O297" s="0" t="n">
        <v>0.455462854470414</v>
      </c>
      <c r="P297" s="0" t="n">
        <v>-0.154764226974266</v>
      </c>
      <c r="Q297" s="0" t="n">
        <v>-0.567766862764985</v>
      </c>
      <c r="R297" s="0" t="n">
        <v>-0.284048294173357</v>
      </c>
      <c r="S297" s="0" t="n">
        <v>1</v>
      </c>
      <c r="T297" s="0" t="n">
        <v>0</v>
      </c>
      <c r="U297" s="0" t="n">
        <v>0</v>
      </c>
      <c r="V297" s="0" t="n">
        <v>0</v>
      </c>
      <c r="W297" s="0" t="n">
        <v>1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0.338470857210693</v>
      </c>
      <c r="AJ297" s="0" t="n">
        <v>0.333333333333333</v>
      </c>
    </row>
    <row r="298" customFormat="false" ht="15" hidden="false" customHeight="false" outlineLevel="0" collapsed="false">
      <c r="A298" s="0" t="s">
        <v>332</v>
      </c>
      <c r="B298" s="0" t="n">
        <v>1</v>
      </c>
      <c r="C298" s="0" t="n">
        <v>-0.498233162693771</v>
      </c>
      <c r="D298" s="0" t="n">
        <v>-0.15842535672806</v>
      </c>
      <c r="E298" s="0" t="n">
        <v>-0.369453130510172</v>
      </c>
      <c r="F298" s="0" t="n">
        <v>-0.536835156131943</v>
      </c>
      <c r="G298" s="0" t="n">
        <v>-0.26809771714329</v>
      </c>
      <c r="H298" s="0" t="n">
        <v>-0.108937823463704</v>
      </c>
      <c r="I298" s="0" t="n">
        <v>-0.00462384600703478</v>
      </c>
      <c r="J298" s="0" t="n">
        <v>-0.899289100834632</v>
      </c>
      <c r="K298" s="0" t="n">
        <v>1.90597195183147</v>
      </c>
      <c r="L298" s="0" t="n">
        <v>1.18672407516783</v>
      </c>
      <c r="M298" s="0" t="n">
        <v>0.350335904070935</v>
      </c>
      <c r="N298" s="0" t="n">
        <v>-0.0245079737801451</v>
      </c>
      <c r="O298" s="0" t="n">
        <v>-0.900151195305235</v>
      </c>
      <c r="P298" s="0" t="n">
        <v>-0.397594867406386</v>
      </c>
      <c r="Q298" s="0" t="n">
        <v>-0.295665911833137</v>
      </c>
      <c r="R298" s="0" t="n">
        <v>-0.173561544936157</v>
      </c>
      <c r="S298" s="0" t="n">
        <v>1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1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0.199207434650986</v>
      </c>
      <c r="AJ298" s="0" t="n">
        <v>0</v>
      </c>
    </row>
    <row r="299" customFormat="false" ht="15" hidden="false" customHeight="false" outlineLevel="0" collapsed="false">
      <c r="A299" s="0" t="s">
        <v>333</v>
      </c>
      <c r="B299" s="0" t="n">
        <v>1</v>
      </c>
      <c r="C299" s="0" t="n">
        <v>0.385704953056524</v>
      </c>
      <c r="D299" s="0" t="n">
        <v>-0.251352244700051</v>
      </c>
      <c r="E299" s="0" t="n">
        <v>-0.381035100392595</v>
      </c>
      <c r="F299" s="0" t="n">
        <v>0.407490556712754</v>
      </c>
      <c r="G299" s="0" t="n">
        <v>0.744282922196312</v>
      </c>
      <c r="H299" s="0" t="n">
        <v>0.813253653807543</v>
      </c>
      <c r="I299" s="0" t="n">
        <v>-1.24482106256336</v>
      </c>
      <c r="J299" s="0" t="n">
        <v>0.839772962797427</v>
      </c>
      <c r="K299" s="0" t="n">
        <v>0.14096564025096</v>
      </c>
      <c r="L299" s="0" t="n">
        <v>0.252625744740325</v>
      </c>
      <c r="M299" s="0" t="n">
        <v>0.802441986344112</v>
      </c>
      <c r="N299" s="0" t="n">
        <v>-0.107317008993928</v>
      </c>
      <c r="O299" s="0" t="n">
        <v>0.382817042612103</v>
      </c>
      <c r="P299" s="0" t="n">
        <v>-0.479525361861034</v>
      </c>
      <c r="Q299" s="0" t="n">
        <v>-0.515944317870608</v>
      </c>
      <c r="R299" s="0" t="n">
        <v>-0.471239141747769</v>
      </c>
      <c r="S299" s="0" t="n">
        <v>1</v>
      </c>
      <c r="T299" s="0" t="n">
        <v>0</v>
      </c>
      <c r="U299" s="0" t="n">
        <v>0</v>
      </c>
      <c r="V299" s="0" t="n">
        <v>0</v>
      </c>
      <c r="W299" s="0" t="n">
        <v>1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0.795121770420519</v>
      </c>
      <c r="AJ299" s="0" t="n">
        <v>0.333333333333333</v>
      </c>
    </row>
    <row r="300" customFormat="false" ht="15" hidden="false" customHeight="false" outlineLevel="0" collapsed="false">
      <c r="A300" s="0" t="s">
        <v>334</v>
      </c>
      <c r="B300" s="0" t="n">
        <v>1</v>
      </c>
      <c r="C300" s="0" t="n">
        <v>-0.0251206419662289</v>
      </c>
      <c r="D300" s="0" t="n">
        <v>-0.586334532569795</v>
      </c>
      <c r="E300" s="0" t="n">
        <v>-0.555082274097605</v>
      </c>
      <c r="F300" s="0" t="n">
        <v>0.664050875037972</v>
      </c>
      <c r="G300" s="0" t="n">
        <v>0.589705489316528</v>
      </c>
      <c r="H300" s="0" t="n">
        <v>0.580722962844794</v>
      </c>
      <c r="I300" s="0" t="n">
        <v>-1.21792286850552</v>
      </c>
      <c r="J300" s="0" t="n">
        <v>-0.067659484746046</v>
      </c>
      <c r="K300" s="0" t="n">
        <v>-0.149766442883367</v>
      </c>
      <c r="L300" s="0" t="n">
        <v>0.131698260101833</v>
      </c>
      <c r="M300" s="0" t="n">
        <v>-0.107974637549722</v>
      </c>
      <c r="N300" s="0" t="n">
        <v>-0.180160192575284</v>
      </c>
      <c r="O300" s="0" t="n">
        <v>-0.319185332251216</v>
      </c>
      <c r="P300" s="0" t="n">
        <v>-0.335176607133119</v>
      </c>
      <c r="Q300" s="0" t="n">
        <v>-0.300944850024711</v>
      </c>
      <c r="R300" s="0" t="n">
        <v>-0.248813617506255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1</v>
      </c>
      <c r="AI300" s="0" t="n">
        <v>0.373276078039162</v>
      </c>
      <c r="AJ300" s="0" t="n">
        <v>0</v>
      </c>
    </row>
    <row r="301" customFormat="false" ht="15" hidden="false" customHeight="false" outlineLevel="0" collapsed="false">
      <c r="A301" s="0" t="s">
        <v>335</v>
      </c>
      <c r="B301" s="0" t="n">
        <v>1</v>
      </c>
      <c r="C301" s="0" t="n">
        <v>-0.496631091317752</v>
      </c>
      <c r="D301" s="0" t="n">
        <v>-0.877828461104428</v>
      </c>
      <c r="E301" s="0" t="n">
        <v>-0.709312326201424</v>
      </c>
      <c r="F301" s="0" t="n">
        <v>0.839151049203593</v>
      </c>
      <c r="G301" s="0" t="n">
        <v>0.285885483985194</v>
      </c>
      <c r="H301" s="0" t="n">
        <v>0.264094772475597</v>
      </c>
      <c r="I301" s="0" t="n">
        <v>-1.04980989723446</v>
      </c>
      <c r="J301" s="0" t="n">
        <v>0.528316201266829</v>
      </c>
      <c r="K301" s="0" t="n">
        <v>0.923329202269749</v>
      </c>
      <c r="L301" s="0" t="n">
        <v>1.27154913370418</v>
      </c>
      <c r="M301" s="0" t="n">
        <v>-1.16072578380906</v>
      </c>
      <c r="N301" s="0" t="n">
        <v>-0.731364254513183</v>
      </c>
      <c r="O301" s="0" t="n">
        <v>-0.56183017740884</v>
      </c>
      <c r="P301" s="0" t="n">
        <v>-0.502758292232752</v>
      </c>
      <c r="Q301" s="0" t="n">
        <v>-0.552430576537678</v>
      </c>
      <c r="R301" s="0" t="n">
        <v>-0.779922060118875</v>
      </c>
      <c r="S301" s="0" t="n">
        <v>1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1</v>
      </c>
      <c r="Y301" s="0" t="n">
        <v>0</v>
      </c>
      <c r="Z301" s="0" t="n">
        <v>0</v>
      </c>
      <c r="AA301" s="0" t="n">
        <v>1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</row>
    <row r="302" customFormat="false" ht="15" hidden="false" customHeight="false" outlineLevel="0" collapsed="false">
      <c r="A302" s="0" t="s">
        <v>336</v>
      </c>
      <c r="B302" s="0" t="n">
        <v>1</v>
      </c>
      <c r="C302" s="0" t="n">
        <v>-0.887755388567733</v>
      </c>
      <c r="D302" s="0" t="n">
        <v>-1.23546753813806</v>
      </c>
      <c r="E302" s="0" t="n">
        <v>-0.807184503284635</v>
      </c>
      <c r="F302" s="0" t="n">
        <v>1.57776818716564</v>
      </c>
      <c r="G302" s="0" t="n">
        <v>-0.0633450704853222</v>
      </c>
      <c r="H302" s="0" t="n">
        <v>-0.0314050099475205</v>
      </c>
      <c r="I302" s="0" t="n">
        <v>-0.977515849875636</v>
      </c>
      <c r="J302" s="0" t="n">
        <v>0.749181115973118</v>
      </c>
      <c r="K302" s="0" t="n">
        <v>2.33525949246258</v>
      </c>
      <c r="L302" s="0" t="n">
        <v>-0.500832913370149</v>
      </c>
      <c r="M302" s="0" t="n">
        <v>1.23861617176953</v>
      </c>
      <c r="N302" s="0" t="n">
        <v>-1.14417654172036</v>
      </c>
      <c r="O302" s="0" t="n">
        <v>0.0676955075658665</v>
      </c>
      <c r="P302" s="0" t="n">
        <v>3</v>
      </c>
      <c r="Q302" s="0" t="n">
        <v>3</v>
      </c>
      <c r="R302" s="0" t="n">
        <v>0.130881378215509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1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</row>
    <row r="303" customFormat="false" ht="15" hidden="false" customHeight="false" outlineLevel="0" collapsed="false">
      <c r="A303" s="0" t="s">
        <v>337</v>
      </c>
      <c r="B303" s="0" t="n">
        <v>1</v>
      </c>
      <c r="C303" s="0" t="n">
        <v>-0.648350194514538</v>
      </c>
      <c r="D303" s="0" t="n">
        <v>-1.26804589826635</v>
      </c>
      <c r="E303" s="0" t="n">
        <v>-0.784302298947599</v>
      </c>
      <c r="F303" s="0" t="n">
        <v>2.23582969076918</v>
      </c>
      <c r="G303" s="0" t="n">
        <v>0.226345945999541</v>
      </c>
      <c r="H303" s="0" t="n">
        <v>0.189928144322301</v>
      </c>
      <c r="I303" s="0" t="n">
        <v>-0.98589688029713</v>
      </c>
      <c r="J303" s="0" t="n">
        <v>0.345576302524797</v>
      </c>
      <c r="K303" s="0" t="n">
        <v>-0.132369261021564</v>
      </c>
      <c r="L303" s="0" t="n">
        <v>0.054503656875427</v>
      </c>
      <c r="M303" s="0" t="n">
        <v>-0.492405226014742</v>
      </c>
      <c r="N303" s="0" t="n">
        <v>-0.796707364185597</v>
      </c>
      <c r="O303" s="0" t="n">
        <v>-0.345160122771427</v>
      </c>
      <c r="P303" s="0" t="n">
        <v>-0.629197013284163</v>
      </c>
      <c r="Q303" s="0" t="n">
        <v>-0.366689527642251</v>
      </c>
      <c r="R303" s="0" t="n">
        <v>-0.788997899298666</v>
      </c>
      <c r="S303" s="0" t="n">
        <v>0</v>
      </c>
      <c r="T303" s="0" t="n">
        <v>1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1</v>
      </c>
      <c r="AA303" s="0" t="n">
        <v>0</v>
      </c>
      <c r="AB303" s="0" t="n">
        <v>0</v>
      </c>
      <c r="AC303" s="0" t="n">
        <v>0</v>
      </c>
      <c r="AD303" s="0" t="n">
        <v>1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</row>
    <row r="304" customFormat="false" ht="15" hidden="false" customHeight="false" outlineLevel="0" collapsed="false">
      <c r="A304" s="0" t="s">
        <v>338</v>
      </c>
      <c r="B304" s="0" t="n">
        <v>1</v>
      </c>
      <c r="C304" s="0" t="n">
        <v>-0.0177338998872192</v>
      </c>
      <c r="D304" s="0" t="n">
        <v>-0.119497248498822</v>
      </c>
      <c r="E304" s="0" t="n">
        <v>-0.209252773484511</v>
      </c>
      <c r="F304" s="0" t="n">
        <v>-0.163543873408372</v>
      </c>
      <c r="G304" s="0" t="n">
        <v>0.0291410944746611</v>
      </c>
      <c r="H304" s="0" t="n">
        <v>0.210415374907176</v>
      </c>
      <c r="I304" s="0" t="n">
        <v>0.961607100638819</v>
      </c>
      <c r="J304" s="0" t="n">
        <v>-0.293432162456633</v>
      </c>
      <c r="K304" s="0" t="n">
        <v>-0.162059025929909</v>
      </c>
      <c r="L304" s="0" t="n">
        <v>-0.921915295027808</v>
      </c>
      <c r="M304" s="0" t="n">
        <v>-0.0563821477105976</v>
      </c>
      <c r="N304" s="0" t="n">
        <v>0.115219430550804</v>
      </c>
      <c r="O304" s="0" t="n">
        <v>0.0676570176910061</v>
      </c>
      <c r="P304" s="0" t="n">
        <v>0.545977211795967</v>
      </c>
      <c r="Q304" s="0" t="n">
        <v>0.970463726460046</v>
      </c>
      <c r="R304" s="0" t="n">
        <v>-0.567908041255715</v>
      </c>
      <c r="S304" s="0" t="n">
        <v>0</v>
      </c>
      <c r="T304" s="0" t="n">
        <v>0</v>
      </c>
      <c r="U304" s="0" t="n">
        <v>0</v>
      </c>
      <c r="V304" s="0" t="n">
        <v>1</v>
      </c>
      <c r="W304" s="0" t="n">
        <v>0</v>
      </c>
      <c r="X304" s="0" t="n">
        <v>1</v>
      </c>
      <c r="Y304" s="0" t="n">
        <v>0</v>
      </c>
      <c r="Z304" s="0" t="n">
        <v>0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0.506509419031948</v>
      </c>
      <c r="AJ304" s="0" t="n">
        <v>0.333333333333333</v>
      </c>
    </row>
    <row r="305" customFormat="false" ht="15" hidden="false" customHeight="false" outlineLevel="0" collapsed="false">
      <c r="A305" s="0" t="s">
        <v>339</v>
      </c>
      <c r="B305" s="0" t="n">
        <v>1</v>
      </c>
      <c r="C305" s="0" t="n">
        <v>-0.12041897893402</v>
      </c>
      <c r="D305" s="0" t="n">
        <v>-0.0816815614138744</v>
      </c>
      <c r="E305" s="0" t="n">
        <v>-0.223865711083604</v>
      </c>
      <c r="F305" s="0" t="n">
        <v>-0.302587514484441</v>
      </c>
      <c r="G305" s="0" t="n">
        <v>-0.0581708086227355</v>
      </c>
      <c r="H305" s="0" t="n">
        <v>0.120725159814194</v>
      </c>
      <c r="I305" s="0" t="n">
        <v>0.852432366216901</v>
      </c>
      <c r="J305" s="0" t="n">
        <v>-1.1845510417101</v>
      </c>
      <c r="K305" s="0" t="n">
        <v>-0.548319912260993</v>
      </c>
      <c r="L305" s="0" t="n">
        <v>0.062251007419263</v>
      </c>
      <c r="M305" s="0" t="n">
        <v>-0.656954681528176</v>
      </c>
      <c r="N305" s="0" t="n">
        <v>0.630156011805744</v>
      </c>
      <c r="O305" s="0" t="n">
        <v>-0.115003344646445</v>
      </c>
      <c r="P305" s="0" t="n">
        <v>0.235764662608503</v>
      </c>
      <c r="Q305" s="0" t="n">
        <v>0.339986017596193</v>
      </c>
      <c r="R305" s="0" t="n">
        <v>-0.174253369357255</v>
      </c>
      <c r="S305" s="0" t="n">
        <v>1</v>
      </c>
      <c r="T305" s="0" t="n">
        <v>0</v>
      </c>
      <c r="U305" s="0" t="n">
        <v>0</v>
      </c>
      <c r="V305" s="0" t="n">
        <v>0</v>
      </c>
      <c r="W305" s="0" t="n">
        <v>1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1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1.0032173281406</v>
      </c>
      <c r="AJ305" s="0" t="n">
        <v>0.666666666666667</v>
      </c>
    </row>
    <row r="306" customFormat="false" ht="15" hidden="false" customHeight="false" outlineLevel="0" collapsed="false">
      <c r="A306" s="0" t="s">
        <v>340</v>
      </c>
      <c r="B306" s="0" t="n">
        <v>1</v>
      </c>
      <c r="C306" s="0" t="n">
        <v>-0.79328895686199</v>
      </c>
      <c r="D306" s="0" t="n">
        <v>-0.166793886776936</v>
      </c>
      <c r="E306" s="0" t="n">
        <v>-0.277352929517355</v>
      </c>
      <c r="F306" s="0" t="n">
        <v>-0.790501936618733</v>
      </c>
      <c r="G306" s="0" t="n">
        <v>-0.706895330976825</v>
      </c>
      <c r="H306" s="0" t="n">
        <v>-0.51318114373392</v>
      </c>
      <c r="I306" s="0" t="n">
        <v>0.548361591498652</v>
      </c>
      <c r="J306" s="0" t="n">
        <v>-1.32115257475323</v>
      </c>
      <c r="K306" s="0" t="n">
        <v>1.93056061930923</v>
      </c>
      <c r="L306" s="0" t="n">
        <v>0.96912028687282</v>
      </c>
      <c r="M306" s="0" t="n">
        <v>0.345718214471974</v>
      </c>
      <c r="N306" s="0" t="n">
        <v>-0.0953990833304063</v>
      </c>
      <c r="O306" s="0" t="n">
        <v>-0.610199540895587</v>
      </c>
      <c r="P306" s="0" t="n">
        <v>-0.10568852309693</v>
      </c>
      <c r="Q306" s="0" t="n">
        <v>-0.481899073731886</v>
      </c>
      <c r="R306" s="0" t="n">
        <v>0.911738015704948</v>
      </c>
      <c r="S306" s="0" t="n">
        <v>1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1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0.6420211389286</v>
      </c>
      <c r="AJ306" s="0" t="n">
        <v>0</v>
      </c>
    </row>
    <row r="307" customFormat="false" ht="15" hidden="false" customHeight="false" outlineLevel="0" collapsed="false">
      <c r="A307" s="0" t="s">
        <v>341</v>
      </c>
      <c r="B307" s="0" t="n">
        <v>1</v>
      </c>
      <c r="C307" s="0" t="n">
        <v>0.664720616557176</v>
      </c>
      <c r="D307" s="0" t="n">
        <v>-0.177526187722642</v>
      </c>
      <c r="E307" s="0" t="n">
        <v>-0.364515767177983</v>
      </c>
      <c r="F307" s="0" t="n">
        <v>0.532261686196352</v>
      </c>
      <c r="G307" s="0" t="n">
        <v>1.02621131081969</v>
      </c>
      <c r="H307" s="0" t="n">
        <v>1.08229740019252</v>
      </c>
      <c r="I307" s="0" t="n">
        <v>0.481459547452656</v>
      </c>
      <c r="J307" s="0" t="n">
        <v>-0.287140977137543</v>
      </c>
      <c r="K307" s="0" t="n">
        <v>-1.01093828399081</v>
      </c>
      <c r="L307" s="0" t="n">
        <v>-3</v>
      </c>
      <c r="M307" s="0" t="n">
        <v>-1.06994017785539</v>
      </c>
      <c r="N307" s="0" t="n">
        <v>0.801527563588114</v>
      </c>
      <c r="O307" s="0" t="n">
        <v>0.603759044782888</v>
      </c>
      <c r="P307" s="0" t="n">
        <v>0.0275045862257028</v>
      </c>
      <c r="Q307" s="0" t="n">
        <v>0.3904147201317</v>
      </c>
      <c r="R307" s="0" t="n">
        <v>-0.716274948466163</v>
      </c>
      <c r="S307" s="0" t="n">
        <v>1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1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0.657316689057916</v>
      </c>
      <c r="AJ307" s="0" t="n">
        <v>0.333333333333333</v>
      </c>
    </row>
    <row r="308" customFormat="false" ht="15" hidden="false" customHeight="false" outlineLevel="0" collapsed="false">
      <c r="A308" s="0" t="s">
        <v>342</v>
      </c>
      <c r="B308" s="0" t="n">
        <v>1</v>
      </c>
      <c r="C308" s="0" t="n">
        <v>0.776118944531153</v>
      </c>
      <c r="D308" s="0" t="n">
        <v>0.971530862966489</v>
      </c>
      <c r="E308" s="0" t="n">
        <v>0.116883578677066</v>
      </c>
      <c r="F308" s="0" t="n">
        <v>-0.686521446202534</v>
      </c>
      <c r="G308" s="0" t="n">
        <v>0.355252783391328</v>
      </c>
      <c r="H308" s="0" t="n">
        <v>0.670868220141132</v>
      </c>
      <c r="I308" s="0" t="n">
        <v>1.91641249828397</v>
      </c>
      <c r="J308" s="0" t="n">
        <v>0.519641273093363</v>
      </c>
      <c r="K308" s="0" t="n">
        <v>0.0155312448813694</v>
      </c>
      <c r="L308" s="0" t="n">
        <v>-1.76854716056998</v>
      </c>
      <c r="M308" s="0" t="n">
        <v>-1.90744568713655</v>
      </c>
      <c r="N308" s="0" t="n">
        <v>0.390564609673556</v>
      </c>
      <c r="O308" s="0" t="n">
        <v>2.51759457670112</v>
      </c>
      <c r="P308" s="0" t="n">
        <v>3</v>
      </c>
      <c r="Q308" s="0" t="n">
        <v>3</v>
      </c>
      <c r="R308" s="0" t="n">
        <v>1.62317286391948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1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0.0892281706731471</v>
      </c>
      <c r="AJ308" s="0" t="n">
        <v>0</v>
      </c>
    </row>
    <row r="309" customFormat="false" ht="15" hidden="false" customHeight="false" outlineLevel="0" collapsed="false">
      <c r="A309" s="0" t="s">
        <v>343</v>
      </c>
      <c r="B309" s="0" t="n">
        <v>1</v>
      </c>
      <c r="C309" s="0" t="n">
        <v>0.130072541559094</v>
      </c>
      <c r="D309" s="0" t="n">
        <v>1.01092374975026</v>
      </c>
      <c r="E309" s="0" t="n">
        <v>0.241913103611304</v>
      </c>
      <c r="F309" s="0" t="n">
        <v>-1.07571480454383</v>
      </c>
      <c r="G309" s="0" t="n">
        <v>-0.373215332005369</v>
      </c>
      <c r="H309" s="0" t="n">
        <v>-0.130513496785575</v>
      </c>
      <c r="I309" s="0" t="n">
        <v>2.12457775412559</v>
      </c>
      <c r="J309" s="0" t="n">
        <v>0.736700902060411</v>
      </c>
      <c r="K309" s="0" t="n">
        <v>0.558925499156151</v>
      </c>
      <c r="L309" s="0" t="n">
        <v>0.921806247065851</v>
      </c>
      <c r="M309" s="0" t="n">
        <v>-0.617069464744628</v>
      </c>
      <c r="N309" s="0" t="n">
        <v>-0.276222783052811</v>
      </c>
      <c r="O309" s="0" t="n">
        <v>-0.382139870718707</v>
      </c>
      <c r="P309" s="0" t="n">
        <v>-0.243395770988733</v>
      </c>
      <c r="Q309" s="0" t="n">
        <v>-0.255877183951819</v>
      </c>
      <c r="R309" s="0" t="n">
        <v>-1.38386993500571</v>
      </c>
      <c r="S309" s="0" t="n">
        <v>1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1</v>
      </c>
      <c r="Y309" s="0" t="n">
        <v>0</v>
      </c>
      <c r="Z309" s="0" t="n">
        <v>0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</row>
    <row r="310" customFormat="false" ht="15" hidden="false" customHeight="false" outlineLevel="0" collapsed="false">
      <c r="A310" s="0" t="s">
        <v>344</v>
      </c>
      <c r="B310" s="0" t="n">
        <v>1</v>
      </c>
      <c r="C310" s="0" t="n">
        <v>0.486379146568332</v>
      </c>
      <c r="D310" s="0" t="n">
        <v>0.745704269088508</v>
      </c>
      <c r="E310" s="0" t="n">
        <v>0.241515512650052</v>
      </c>
      <c r="F310" s="0" t="n">
        <v>-0.687412686445745</v>
      </c>
      <c r="G310" s="0" t="n">
        <v>-0.0603180894031589</v>
      </c>
      <c r="H310" s="0" t="n">
        <v>0.236545498617319</v>
      </c>
      <c r="I310" s="0" t="n">
        <v>1.43909268652526</v>
      </c>
      <c r="J310" s="0" t="n">
        <v>0.364364579769993</v>
      </c>
      <c r="K310" s="0" t="n">
        <v>-0.0752652780383808</v>
      </c>
      <c r="L310" s="0" t="n">
        <v>-1.06387392570161</v>
      </c>
      <c r="M310" s="0" t="n">
        <v>0.353618846521289</v>
      </c>
      <c r="N310" s="0" t="n">
        <v>0.219193057891187</v>
      </c>
      <c r="O310" s="0" t="n">
        <v>-0.056082760351002</v>
      </c>
      <c r="P310" s="0" t="n">
        <v>-0.127358730633063</v>
      </c>
      <c r="Q310" s="0" t="n">
        <v>0.0286827449317647</v>
      </c>
      <c r="R310" s="0" t="n">
        <v>-1.09835560040458</v>
      </c>
      <c r="S310" s="0" t="n">
        <v>1</v>
      </c>
      <c r="T310" s="0" t="n">
        <v>0</v>
      </c>
      <c r="U310" s="0" t="n">
        <v>0</v>
      </c>
      <c r="V310" s="0" t="n">
        <v>0</v>
      </c>
      <c r="W310" s="0" t="n">
        <v>1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0.526952733761755</v>
      </c>
      <c r="AJ310" s="0" t="n">
        <v>0.333333333333333</v>
      </c>
    </row>
    <row r="311" customFormat="false" ht="15" hidden="false" customHeight="false" outlineLevel="0" collapsed="false">
      <c r="A311" s="0" t="s">
        <v>345</v>
      </c>
      <c r="B311" s="0" t="n">
        <v>1</v>
      </c>
      <c r="C311" s="0" t="n">
        <v>-0.512980127329968</v>
      </c>
      <c r="D311" s="0" t="n">
        <v>0.718804700829242</v>
      </c>
      <c r="E311" s="0" t="n">
        <v>0.245067815845124</v>
      </c>
      <c r="F311" s="0" t="n">
        <v>-1.28210198156824</v>
      </c>
      <c r="G311" s="0" t="n">
        <v>-0.939730774413121</v>
      </c>
      <c r="H311" s="0" t="n">
        <v>-0.79563501128341</v>
      </c>
      <c r="I311" s="0" t="n">
        <v>-0.490821230761904</v>
      </c>
      <c r="J311" s="0" t="n">
        <v>-1.62746838448791</v>
      </c>
      <c r="K311" s="0" t="n">
        <v>3</v>
      </c>
      <c r="L311" s="0" t="n">
        <v>1.26986517226668</v>
      </c>
      <c r="M311" s="0" t="n">
        <v>0.670245901424775</v>
      </c>
      <c r="N311" s="0" t="n">
        <v>0.510565792216607</v>
      </c>
      <c r="O311" s="0" t="n">
        <v>-0.586514475806296</v>
      </c>
      <c r="P311" s="0" t="n">
        <v>-0.555669189146179</v>
      </c>
      <c r="Q311" s="0" t="n">
        <v>-0.409587266028125</v>
      </c>
      <c r="R311" s="0" t="n">
        <v>0.220484311033961</v>
      </c>
      <c r="S311" s="0" t="n">
        <v>0</v>
      </c>
      <c r="T311" s="0" t="n">
        <v>1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1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0.424150354890626</v>
      </c>
      <c r="AJ311" s="0" t="n">
        <v>0</v>
      </c>
    </row>
    <row r="312" customFormat="false" ht="15" hidden="false" customHeight="false" outlineLevel="0" collapsed="false">
      <c r="A312" s="0" t="s">
        <v>346</v>
      </c>
      <c r="B312" s="0" t="n">
        <v>1</v>
      </c>
      <c r="C312" s="0" t="n">
        <v>-0.132242110353782</v>
      </c>
      <c r="D312" s="0" t="n">
        <v>0.756778567302144</v>
      </c>
      <c r="E312" s="0" t="n">
        <v>0.272978306289424</v>
      </c>
      <c r="F312" s="0" t="n">
        <v>-1.07220811241919</v>
      </c>
      <c r="G312" s="0" t="n">
        <v>-0.632536632853627</v>
      </c>
      <c r="H312" s="0" t="n">
        <v>-0.434371025066722</v>
      </c>
      <c r="I312" s="0" t="n">
        <v>-1.12390005546796</v>
      </c>
      <c r="J312" s="0" t="n">
        <v>-0.48915426354313</v>
      </c>
      <c r="K312" s="0" t="n">
        <v>0.461450292440624</v>
      </c>
      <c r="L312" s="0" t="n">
        <v>0.92757720022478</v>
      </c>
      <c r="M312" s="0" t="n">
        <v>-0.456469260732937</v>
      </c>
      <c r="N312" s="0" t="n">
        <v>0.116452319412547</v>
      </c>
      <c r="O312" s="0" t="n">
        <v>-0.55900268464632</v>
      </c>
      <c r="P312" s="0" t="n">
        <v>-0.481058978789913</v>
      </c>
      <c r="Q312" s="0" t="n">
        <v>-0.381160507888931</v>
      </c>
      <c r="R312" s="0" t="n">
        <v>-0.928351337363083</v>
      </c>
      <c r="S312" s="0" t="n">
        <v>1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1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0.0338199460361648</v>
      </c>
      <c r="AJ312" s="0" t="n">
        <v>0</v>
      </c>
    </row>
    <row r="313" customFormat="false" ht="15" hidden="false" customHeight="false" outlineLevel="0" collapsed="false">
      <c r="A313" s="0" t="s">
        <v>347</v>
      </c>
      <c r="B313" s="0" t="n">
        <v>1</v>
      </c>
      <c r="C313" s="0" t="n">
        <v>-0.285323595982659</v>
      </c>
      <c r="D313" s="0" t="n">
        <v>0.770426127316899</v>
      </c>
      <c r="E313" s="0" t="n">
        <v>0.258194132833866</v>
      </c>
      <c r="F313" s="0" t="n">
        <v>-1.17359325374872</v>
      </c>
      <c r="G313" s="0" t="n">
        <v>-0.752133431705799</v>
      </c>
      <c r="H313" s="0" t="n">
        <v>-0.575729905359293</v>
      </c>
      <c r="I313" s="0" t="n">
        <v>-1.22245483932991</v>
      </c>
      <c r="J313" s="0" t="n">
        <v>0.662713293554619</v>
      </c>
      <c r="K313" s="0" t="n">
        <v>0.806725313390467</v>
      </c>
      <c r="L313" s="0" t="n">
        <v>1.04260733040248</v>
      </c>
      <c r="M313" s="0" t="n">
        <v>-0.0127386815079493</v>
      </c>
      <c r="N313" s="0" t="n">
        <v>-0.600061590737482</v>
      </c>
      <c r="O313" s="0" t="n">
        <v>-0.62325182091526</v>
      </c>
      <c r="P313" s="0" t="n">
        <v>-0.22950737682905</v>
      </c>
      <c r="Q313" s="0" t="n">
        <v>-0.285920778089066</v>
      </c>
      <c r="R313" s="0" t="n">
        <v>0.118360976062249</v>
      </c>
      <c r="S313" s="0" t="n">
        <v>1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1</v>
      </c>
      <c r="Y313" s="0" t="n">
        <v>0</v>
      </c>
      <c r="Z313" s="0" t="n">
        <v>0</v>
      </c>
      <c r="AA313" s="0" t="n">
        <v>1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0.0100135095787967</v>
      </c>
      <c r="AJ313" s="0" t="n">
        <v>0</v>
      </c>
    </row>
    <row r="314" customFormat="false" ht="15" hidden="false" customHeight="false" outlineLevel="0" collapsed="false">
      <c r="A314" s="0" t="s">
        <v>348</v>
      </c>
      <c r="B314" s="0" t="n">
        <v>1</v>
      </c>
      <c r="C314" s="0" t="n">
        <v>0.115299452356606</v>
      </c>
      <c r="D314" s="0" t="n">
        <v>0.355565095107236</v>
      </c>
      <c r="E314" s="0" t="n">
        <v>0.290893002325382</v>
      </c>
      <c r="F314" s="0" t="n">
        <v>-0.597884300919618</v>
      </c>
      <c r="G314" s="0" t="n">
        <v>-0.435802739224207</v>
      </c>
      <c r="H314" s="0" t="n">
        <v>-0.199237600860287</v>
      </c>
      <c r="I314" s="0" t="n">
        <v>-1.30094128925611</v>
      </c>
      <c r="J314" s="0" t="n">
        <v>1.59574099185136</v>
      </c>
      <c r="K314" s="0" t="n">
        <v>-0.29786432224979</v>
      </c>
      <c r="L314" s="0" t="n">
        <v>-2.0681383228016</v>
      </c>
      <c r="M314" s="0" t="n">
        <v>-0.0652624434387839</v>
      </c>
      <c r="N314" s="0" t="n">
        <v>-0.620815219910167</v>
      </c>
      <c r="O314" s="0" t="n">
        <v>-0.621445180362013</v>
      </c>
      <c r="P314" s="0" t="n">
        <v>-0.623669221550676</v>
      </c>
      <c r="Q314" s="0" t="n">
        <v>-0.43387320616879</v>
      </c>
      <c r="R314" s="0" t="n">
        <v>-0.785328681421142</v>
      </c>
      <c r="S314" s="0" t="n">
        <v>0</v>
      </c>
      <c r="T314" s="0" t="n">
        <v>1</v>
      </c>
      <c r="U314" s="0" t="n">
        <v>0</v>
      </c>
      <c r="V314" s="0" t="n">
        <v>0</v>
      </c>
      <c r="W314" s="0" t="n">
        <v>1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1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</row>
    <row r="315" customFormat="false" ht="15" hidden="false" customHeight="false" outlineLevel="0" collapsed="false">
      <c r="A315" s="0" t="s">
        <v>349</v>
      </c>
      <c r="B315" s="0" t="n">
        <v>1</v>
      </c>
      <c r="C315" s="0" t="n">
        <v>0.349098523502122</v>
      </c>
      <c r="D315" s="0" t="n">
        <v>-0.442567421913735</v>
      </c>
      <c r="E315" s="0" t="n">
        <v>0.271482205902865</v>
      </c>
      <c r="F315" s="0" t="n">
        <v>0.747366266536455</v>
      </c>
      <c r="G315" s="0" t="n">
        <v>-0.213461254629088</v>
      </c>
      <c r="H315" s="0" t="n">
        <v>0.0625431378853067</v>
      </c>
      <c r="I315" s="0" t="n">
        <v>-1.07958063135414</v>
      </c>
      <c r="J315" s="0" t="n">
        <v>-0.067659484746046</v>
      </c>
      <c r="K315" s="0" t="n">
        <v>-0.149766442883367</v>
      </c>
      <c r="L315" s="0" t="n">
        <v>0.131698260101833</v>
      </c>
      <c r="M315" s="0" t="n">
        <v>-0.107974637549722</v>
      </c>
      <c r="N315" s="0" t="n">
        <v>-0.180160192575284</v>
      </c>
      <c r="O315" s="0" t="n">
        <v>-0.319185332251216</v>
      </c>
      <c r="P315" s="0" t="n">
        <v>-0.335176607133119</v>
      </c>
      <c r="Q315" s="0" t="n">
        <v>-0.300944850024711</v>
      </c>
      <c r="R315" s="0" t="n">
        <v>-0.248813617506255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1</v>
      </c>
      <c r="AI315" s="0" t="n">
        <v>0.495801950267645</v>
      </c>
      <c r="AJ315" s="0" t="n">
        <v>0.333333333333333</v>
      </c>
    </row>
    <row r="316" customFormat="false" ht="15" hidden="false" customHeight="false" outlineLevel="0" collapsed="false">
      <c r="A316" s="0" t="s">
        <v>350</v>
      </c>
      <c r="B316" s="0" t="n">
        <v>1</v>
      </c>
      <c r="C316" s="0" t="n">
        <v>0.93192797609461</v>
      </c>
      <c r="D316" s="0" t="n">
        <v>-0.024186029311236</v>
      </c>
      <c r="E316" s="0" t="n">
        <v>0.496722765545476</v>
      </c>
      <c r="F316" s="0" t="n">
        <v>0.503075385712672</v>
      </c>
      <c r="G316" s="0" t="n">
        <v>0.0294502184351787</v>
      </c>
      <c r="H316" s="0" t="n">
        <v>0.416116546868116</v>
      </c>
      <c r="I316" s="0" t="n">
        <v>0.10395023345474</v>
      </c>
      <c r="J316" s="0" t="n">
        <v>-0.346085969865867</v>
      </c>
      <c r="K316" s="0" t="n">
        <v>-0.160154167006265</v>
      </c>
      <c r="L316" s="0" t="n">
        <v>-0.200575492894154</v>
      </c>
      <c r="M316" s="0" t="n">
        <v>1.40528786530534</v>
      </c>
      <c r="N316" s="0" t="n">
        <v>1.11796903810232</v>
      </c>
      <c r="O316" s="0" t="n">
        <v>0.825192697036209</v>
      </c>
      <c r="P316" s="0" t="n">
        <v>-0.516874937701284</v>
      </c>
      <c r="Q316" s="0" t="n">
        <v>-0.581293609540546</v>
      </c>
      <c r="R316" s="0" t="n">
        <v>-1.0800779060341</v>
      </c>
      <c r="S316" s="0" t="n">
        <v>0</v>
      </c>
      <c r="T316" s="0" t="n">
        <v>0</v>
      </c>
      <c r="U316" s="0" t="n">
        <v>0</v>
      </c>
      <c r="V316" s="0" t="n">
        <v>1</v>
      </c>
      <c r="W316" s="0" t="n">
        <v>0</v>
      </c>
      <c r="X316" s="0" t="n">
        <v>0</v>
      </c>
      <c r="Y316" s="0" t="n">
        <v>1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1.08088094122363</v>
      </c>
      <c r="AJ316" s="0" t="n">
        <v>0.666666666666667</v>
      </c>
    </row>
    <row r="317" customFormat="false" ht="15" hidden="false" customHeight="false" outlineLevel="0" collapsed="false">
      <c r="A317" s="0" t="s">
        <v>351</v>
      </c>
      <c r="B317" s="0" t="n">
        <v>1</v>
      </c>
      <c r="C317" s="0" t="n">
        <v>0.39905460643087</v>
      </c>
      <c r="D317" s="0" t="n">
        <v>-0.103049931547752</v>
      </c>
      <c r="E317" s="0" t="n">
        <v>0.425293765564127</v>
      </c>
      <c r="F317" s="0" t="n">
        <v>0.1750229272829</v>
      </c>
      <c r="G317" s="0" t="n">
        <v>-0.33008563212353</v>
      </c>
      <c r="H317" s="0" t="n">
        <v>-0.0541330895668748</v>
      </c>
      <c r="I317" s="0" t="n">
        <v>0.0714636926373411</v>
      </c>
      <c r="J317" s="0" t="n">
        <v>-0.768669053220343</v>
      </c>
      <c r="K317" s="0" t="n">
        <v>0.976912701863156</v>
      </c>
      <c r="L317" s="0" t="n">
        <v>1.57899187235503</v>
      </c>
      <c r="M317" s="0" t="n">
        <v>0.0339860938077447</v>
      </c>
      <c r="N317" s="0" t="n">
        <v>0.890295561633658</v>
      </c>
      <c r="O317" s="0" t="n">
        <v>-0.21979199841162</v>
      </c>
      <c r="P317" s="0" t="n">
        <v>-0.150037378272721</v>
      </c>
      <c r="Q317" s="0" t="n">
        <v>-0.222982877707348</v>
      </c>
      <c r="R317" s="0" t="n">
        <v>-0.275809124823093</v>
      </c>
      <c r="S317" s="0" t="n">
        <v>1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1</v>
      </c>
      <c r="Y317" s="0" t="n">
        <v>0</v>
      </c>
      <c r="Z317" s="0" t="n">
        <v>0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1.54683560545547</v>
      </c>
      <c r="AJ317" s="0" t="n">
        <v>1</v>
      </c>
    </row>
    <row r="318" customFormat="false" ht="15" hidden="false" customHeight="false" outlineLevel="0" collapsed="false">
      <c r="A318" s="0" t="s">
        <v>352</v>
      </c>
      <c r="B318" s="0" t="n">
        <v>1</v>
      </c>
      <c r="C318" s="0" t="n">
        <v>0.881516035986631</v>
      </c>
      <c r="D318" s="0" t="n">
        <v>0.0895014733674239</v>
      </c>
      <c r="E318" s="0" t="n">
        <v>0.340436748452168</v>
      </c>
      <c r="F318" s="0" t="n">
        <v>0.287463279852104</v>
      </c>
      <c r="G318" s="0" t="n">
        <v>0.164783879165713</v>
      </c>
      <c r="H318" s="0" t="n">
        <v>0.535027701608423</v>
      </c>
      <c r="I318" s="0" t="n">
        <v>0.460612783761579</v>
      </c>
      <c r="J318" s="0" t="n">
        <v>0.289033399655045</v>
      </c>
      <c r="K318" s="0" t="n">
        <v>-0.685976945704405</v>
      </c>
      <c r="L318" s="0" t="n">
        <v>0.243769304596911</v>
      </c>
      <c r="M318" s="0" t="n">
        <v>-0.489799974116885</v>
      </c>
      <c r="N318" s="0" t="n">
        <v>0.621936752727452</v>
      </c>
      <c r="O318" s="0" t="n">
        <v>2.50856210153468</v>
      </c>
      <c r="P318" s="0" t="n">
        <v>1.14618848661348</v>
      </c>
      <c r="Q318" s="0" t="n">
        <v>1.80334503922866</v>
      </c>
      <c r="R318" s="0" t="n">
        <v>0.195879713136701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1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1.41600753242515</v>
      </c>
      <c r="AJ318" s="0" t="n">
        <v>0</v>
      </c>
    </row>
    <row r="319" customFormat="false" ht="15" hidden="false" customHeight="false" outlineLevel="0" collapsed="false">
      <c r="A319" s="0" t="s">
        <v>353</v>
      </c>
      <c r="B319" s="0" t="n">
        <v>1</v>
      </c>
      <c r="C319" s="0" t="n">
        <v>1.1891582225519</v>
      </c>
      <c r="D319" s="0" t="n">
        <v>0.130485677927084</v>
      </c>
      <c r="E319" s="0" t="n">
        <v>0.344748152387594</v>
      </c>
      <c r="F319" s="0" t="n">
        <v>0.468096935775501</v>
      </c>
      <c r="G319" s="0" t="n">
        <v>0.419906481162607</v>
      </c>
      <c r="H319" s="0" t="n">
        <v>0.846867259654087</v>
      </c>
      <c r="I319" s="0" t="n">
        <v>0.466401636943074</v>
      </c>
      <c r="J319" s="0" t="n">
        <v>0.0345164807088541</v>
      </c>
      <c r="K319" s="0" t="n">
        <v>3</v>
      </c>
      <c r="L319" s="0" t="n">
        <v>-0.38882523213993</v>
      </c>
      <c r="M319" s="0" t="n">
        <v>3</v>
      </c>
      <c r="N319" s="0" t="n">
        <v>1.08159881668088</v>
      </c>
      <c r="O319" s="0" t="n">
        <v>0.152387881018123</v>
      </c>
      <c r="P319" s="0" t="n">
        <v>3</v>
      </c>
      <c r="Q319" s="0" t="n">
        <v>3</v>
      </c>
      <c r="R319" s="0" t="n">
        <v>0.7451314250994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1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1.92487850701777</v>
      </c>
      <c r="AJ319" s="0" t="n">
        <v>0.333333333333333</v>
      </c>
    </row>
    <row r="320" customFormat="false" ht="15" hidden="false" customHeight="false" outlineLevel="0" collapsed="false">
      <c r="A320" s="0" t="s">
        <v>354</v>
      </c>
      <c r="B320" s="0" t="n">
        <v>1</v>
      </c>
      <c r="C320" s="0" t="n">
        <v>1.32911458486266</v>
      </c>
      <c r="D320" s="0" t="n">
        <v>0.34191506986327</v>
      </c>
      <c r="E320" s="0" t="n">
        <v>0.548179281379333</v>
      </c>
      <c r="F320" s="0" t="n">
        <v>0.27703892175708</v>
      </c>
      <c r="G320" s="0" t="n">
        <v>0.288748886305672</v>
      </c>
      <c r="H320" s="0" t="n">
        <v>0.768575316067553</v>
      </c>
      <c r="I320" s="0" t="n">
        <v>0.154849233969539</v>
      </c>
      <c r="J320" s="0" t="n">
        <v>0.195707834277135</v>
      </c>
      <c r="K320" s="0" t="n">
        <v>-0.0362712672120026</v>
      </c>
      <c r="L320" s="0" t="n">
        <v>-1.13643131147254</v>
      </c>
      <c r="M320" s="0" t="n">
        <v>1.51477939732519</v>
      </c>
      <c r="N320" s="0" t="n">
        <v>1.09639348302181</v>
      </c>
      <c r="O320" s="0" t="n">
        <v>-0.340181212741289</v>
      </c>
      <c r="P320" s="0" t="n">
        <v>-0.62506651842201</v>
      </c>
      <c r="Q320" s="0" t="n">
        <v>-0.477632462513789</v>
      </c>
      <c r="R320" s="0" t="n">
        <v>-0.918783456899286</v>
      </c>
      <c r="S320" s="0" t="n">
        <v>0</v>
      </c>
      <c r="T320" s="0" t="n">
        <v>1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1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0.849878236665682</v>
      </c>
      <c r="AJ320" s="0" t="n">
        <v>0</v>
      </c>
    </row>
    <row r="321" customFormat="false" ht="15" hidden="false" customHeight="false" outlineLevel="0" collapsed="false">
      <c r="A321" s="0" t="s">
        <v>355</v>
      </c>
      <c r="B321" s="0" t="n">
        <v>1</v>
      </c>
      <c r="C321" s="0" t="n">
        <v>1.08319698167843</v>
      </c>
      <c r="D321" s="0" t="n">
        <v>0.469103804273667</v>
      </c>
      <c r="E321" s="0" t="n">
        <v>0.721281101232974</v>
      </c>
      <c r="F321" s="0" t="n">
        <v>-0.0458914962660385</v>
      </c>
      <c r="G321" s="0" t="n">
        <v>-0.0834149052491759</v>
      </c>
      <c r="H321" s="0" t="n">
        <v>0.32637789650213</v>
      </c>
      <c r="I321" s="0" t="n">
        <v>0.28285561697417</v>
      </c>
      <c r="J321" s="0" t="n">
        <v>-1.14478191878738</v>
      </c>
      <c r="K321" s="0" t="n">
        <v>0.36709142688356</v>
      </c>
      <c r="L321" s="0" t="n">
        <v>0.823619842900651</v>
      </c>
      <c r="M321" s="0" t="n">
        <v>-0.418502369349803</v>
      </c>
      <c r="N321" s="0" t="n">
        <v>2.04612886951835</v>
      </c>
      <c r="O321" s="0" t="n">
        <v>-0.871147501125357</v>
      </c>
      <c r="P321" s="0" t="n">
        <v>-0.714421370106563</v>
      </c>
      <c r="Q321" s="0" t="n">
        <v>-0.594394574186011</v>
      </c>
      <c r="R321" s="0" t="n">
        <v>-0.420931460483333</v>
      </c>
      <c r="S321" s="0" t="n">
        <v>0</v>
      </c>
      <c r="T321" s="0" t="n">
        <v>0</v>
      </c>
      <c r="U321" s="0" t="n">
        <v>0</v>
      </c>
      <c r="V321" s="0" t="n">
        <v>1</v>
      </c>
      <c r="W321" s="0" t="n">
        <v>0</v>
      </c>
      <c r="X321" s="0" t="n">
        <v>1</v>
      </c>
      <c r="Y321" s="0" t="n">
        <v>0</v>
      </c>
      <c r="Z321" s="0" t="n">
        <v>0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0.377734885497533</v>
      </c>
      <c r="AJ321" s="0" t="n">
        <v>0</v>
      </c>
    </row>
    <row r="322" customFormat="false" ht="15" hidden="false" customHeight="false" outlineLevel="0" collapsed="false">
      <c r="A322" s="0" t="s">
        <v>356</v>
      </c>
      <c r="B322" s="0" t="n">
        <v>1</v>
      </c>
      <c r="C322" s="0" t="n">
        <v>0.849283969739269</v>
      </c>
      <c r="D322" s="0" t="n">
        <v>0.276152449685789</v>
      </c>
      <c r="E322" s="0" t="n">
        <v>0.583461436141553</v>
      </c>
      <c r="F322" s="0" t="n">
        <v>0.014535257955483</v>
      </c>
      <c r="G322" s="0" t="n">
        <v>-0.126332832387037</v>
      </c>
      <c r="H322" s="0" t="n">
        <v>0.236294890210119</v>
      </c>
      <c r="I322" s="0" t="n">
        <v>-0.570003905996214</v>
      </c>
      <c r="J322" s="0" t="n">
        <v>-0.682059248173339</v>
      </c>
      <c r="K322" s="0" t="n">
        <v>0.189052435041878</v>
      </c>
      <c r="L322" s="0" t="n">
        <v>-1.06132049921632</v>
      </c>
      <c r="M322" s="0" t="n">
        <v>-0.158530758149544</v>
      </c>
      <c r="N322" s="0" t="n">
        <v>1.31235451530391</v>
      </c>
      <c r="O322" s="0" t="n">
        <v>1.78106689795612</v>
      </c>
      <c r="P322" s="0" t="n">
        <v>0.331690349737188</v>
      </c>
      <c r="Q322" s="0" t="n">
        <v>-0.308054691036356</v>
      </c>
      <c r="R322" s="0" t="n">
        <v>0.159161333070718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1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0.165208239407511</v>
      </c>
      <c r="AJ322" s="0" t="n">
        <v>0</v>
      </c>
    </row>
    <row r="323" customFormat="false" ht="15" hidden="false" customHeight="false" outlineLevel="0" collapsed="false">
      <c r="A323" s="0" t="s">
        <v>357</v>
      </c>
      <c r="B323" s="0" t="n">
        <v>1</v>
      </c>
      <c r="C323" s="0" t="n">
        <v>-0.321744065668781</v>
      </c>
      <c r="D323" s="0" t="n">
        <v>0.279394137932351</v>
      </c>
      <c r="E323" s="0" t="n">
        <v>0.0492885377194106</v>
      </c>
      <c r="F323" s="0" t="n">
        <v>-0.842677855868015</v>
      </c>
      <c r="G323" s="0" t="n">
        <v>-0.584420790938125</v>
      </c>
      <c r="H323" s="0" t="n">
        <v>-0.384921607780433</v>
      </c>
      <c r="I323" s="0" t="n">
        <v>-0.261201584485447</v>
      </c>
      <c r="J323" s="0" t="n">
        <v>-2.16523551838802</v>
      </c>
      <c r="K323" s="0" t="n">
        <v>3</v>
      </c>
      <c r="L323" s="0" t="n">
        <v>1.58512823030759</v>
      </c>
      <c r="M323" s="0" t="n">
        <v>-0.111208540219877</v>
      </c>
      <c r="N323" s="0" t="n">
        <v>1.36393036602018</v>
      </c>
      <c r="O323" s="0" t="n">
        <v>-0.557335562703745</v>
      </c>
      <c r="P323" s="0" t="n">
        <v>0.256345676698384</v>
      </c>
      <c r="Q323" s="0" t="n">
        <v>0.100285965006468</v>
      </c>
      <c r="R323" s="0" t="n">
        <v>0.163926673221111</v>
      </c>
      <c r="S323" s="0" t="n">
        <v>1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1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</row>
    <row r="324" customFormat="false" ht="15" hidden="false" customHeight="false" outlineLevel="0" collapsed="false">
      <c r="A324" s="0" t="s">
        <v>358</v>
      </c>
      <c r="B324" s="0" t="n">
        <v>1</v>
      </c>
      <c r="C324" s="0" t="n">
        <v>1.05852150465743</v>
      </c>
      <c r="D324" s="0" t="n">
        <v>0.298813635174441</v>
      </c>
      <c r="E324" s="0" t="n">
        <v>-0.0463668112028272</v>
      </c>
      <c r="F324" s="0" t="n">
        <v>0.138322890477918</v>
      </c>
      <c r="G324" s="0" t="n">
        <v>0.866944278683628</v>
      </c>
      <c r="H324" s="0" t="n">
        <v>1.13984189034386</v>
      </c>
      <c r="I324" s="0" t="n">
        <v>-0.0507138404917502</v>
      </c>
      <c r="J324" s="0" t="n">
        <v>-0.244716805329864</v>
      </c>
      <c r="K324" s="0" t="n">
        <v>-0.73767977000905</v>
      </c>
      <c r="L324" s="0" t="n">
        <v>0.0109136516965272</v>
      </c>
      <c r="M324" s="0" t="n">
        <v>-0.460082329755901</v>
      </c>
      <c r="N324" s="0" t="n">
        <v>1.16605170371033</v>
      </c>
      <c r="O324" s="0" t="n">
        <v>0.944391882435626</v>
      </c>
      <c r="P324" s="0" t="n">
        <v>0.429521623757812</v>
      </c>
      <c r="Q324" s="0" t="n">
        <v>-0.30543870786639</v>
      </c>
      <c r="R324" s="0" t="n">
        <v>-0.632874086356457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1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0.254640444827261</v>
      </c>
      <c r="AJ324" s="0" t="n">
        <v>0.333333333333333</v>
      </c>
    </row>
    <row r="325" customFormat="false" ht="15" hidden="false" customHeight="false" outlineLevel="0" collapsed="false">
      <c r="A325" s="0" t="s">
        <v>359</v>
      </c>
      <c r="B325" s="0" t="n">
        <v>1</v>
      </c>
      <c r="C325" s="0" t="n">
        <v>0.886231873236712</v>
      </c>
      <c r="D325" s="0" t="n">
        <v>0.579247260079316</v>
      </c>
      <c r="E325" s="0" t="n">
        <v>0.208083089106104</v>
      </c>
      <c r="F325" s="0" t="n">
        <v>-0.290678505151406</v>
      </c>
      <c r="G325" s="0" t="n">
        <v>0.333410427147092</v>
      </c>
      <c r="H325" s="0" t="n">
        <v>0.684510727871432</v>
      </c>
      <c r="I325" s="0" t="n">
        <v>0.937635239642319</v>
      </c>
      <c r="J325" s="0" t="n">
        <v>-0.316422745262925</v>
      </c>
      <c r="K325" s="0" t="n">
        <v>-0.59525397625019</v>
      </c>
      <c r="L325" s="0" t="n">
        <v>-0.0758070184892127</v>
      </c>
      <c r="M325" s="0" t="n">
        <v>-1.35974004387937</v>
      </c>
      <c r="N325" s="0" t="n">
        <v>1.04810533593685</v>
      </c>
      <c r="O325" s="0" t="n">
        <v>2.39099213955895</v>
      </c>
      <c r="P325" s="0" t="n">
        <v>3</v>
      </c>
      <c r="Q325" s="0" t="n">
        <v>3</v>
      </c>
      <c r="R325" s="0" t="n">
        <v>0.0100992122505776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1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</row>
    <row r="326" customFormat="false" ht="15" hidden="false" customHeight="false" outlineLevel="0" collapsed="false">
      <c r="A326" s="0" t="s">
        <v>360</v>
      </c>
      <c r="B326" s="0" t="n">
        <v>1</v>
      </c>
      <c r="C326" s="0" t="n">
        <v>-0.202309609283099</v>
      </c>
      <c r="D326" s="0" t="n">
        <v>1.11303357768755</v>
      </c>
      <c r="E326" s="0" t="n">
        <v>0.629930666455282</v>
      </c>
      <c r="F326" s="0" t="n">
        <v>-1.31394411565618</v>
      </c>
      <c r="G326" s="0" t="n">
        <v>-0.982274671310984</v>
      </c>
      <c r="H326" s="0" t="n">
        <v>-0.896530375156332</v>
      </c>
      <c r="I326" s="0" t="n">
        <v>1.16321200352521</v>
      </c>
      <c r="J326" s="0" t="n">
        <v>-2.39217639625595</v>
      </c>
      <c r="K326" s="0" t="n">
        <v>3</v>
      </c>
      <c r="L326" s="0" t="n">
        <v>1.39286511547287</v>
      </c>
      <c r="M326" s="0" t="n">
        <v>-2.13767692518884</v>
      </c>
      <c r="N326" s="0" t="n">
        <v>1.87311346592032</v>
      </c>
      <c r="O326" s="0" t="n">
        <v>-0.24442685560718</v>
      </c>
      <c r="P326" s="0" t="n">
        <v>0.084292011329789</v>
      </c>
      <c r="Q326" s="0" t="n">
        <v>-0.0315341256709076</v>
      </c>
      <c r="R326" s="0" t="n">
        <v>-0.331965568552478</v>
      </c>
      <c r="S326" s="0" t="n">
        <v>0</v>
      </c>
      <c r="T326" s="0" t="n">
        <v>1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1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</row>
    <row r="327" customFormat="false" ht="15" hidden="false" customHeight="false" outlineLevel="0" collapsed="false">
      <c r="A327" s="0" t="s">
        <v>361</v>
      </c>
      <c r="B327" s="0" t="n">
        <v>1</v>
      </c>
      <c r="C327" s="0" t="n">
        <v>0.371357976712312</v>
      </c>
      <c r="D327" s="0" t="n">
        <v>1.13024191300077</v>
      </c>
      <c r="E327" s="0" t="n">
        <v>0.555170169009741</v>
      </c>
      <c r="F327" s="0" t="n">
        <v>-1.01356321179516</v>
      </c>
      <c r="G327" s="0" t="n">
        <v>-0.474722793386683</v>
      </c>
      <c r="H327" s="0" t="n">
        <v>-0.224555342394495</v>
      </c>
      <c r="I327" s="0" t="n">
        <v>0.813409596603492</v>
      </c>
      <c r="J327" s="0" t="n">
        <v>0.773413400267342</v>
      </c>
      <c r="K327" s="0" t="n">
        <v>-0.122393945440022</v>
      </c>
      <c r="L327" s="0" t="n">
        <v>-2.03916337117807</v>
      </c>
      <c r="M327" s="0" t="n">
        <v>-0.156666105429858</v>
      </c>
      <c r="N327" s="0" t="n">
        <v>-0.0886181945908162</v>
      </c>
      <c r="O327" s="0" t="n">
        <v>-0.140917730328802</v>
      </c>
      <c r="P327" s="0" t="n">
        <v>-0.575782641562351</v>
      </c>
      <c r="Q327" s="0" t="n">
        <v>-0.476828274595564</v>
      </c>
      <c r="R327" s="0" t="n">
        <v>-1.04690850198318</v>
      </c>
      <c r="S327" s="0" t="n">
        <v>0</v>
      </c>
      <c r="T327" s="0" t="n">
        <v>1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1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</row>
    <row r="328" customFormat="false" ht="15" hidden="false" customHeight="false" outlineLevel="0" collapsed="false">
      <c r="A328" s="0" t="s">
        <v>362</v>
      </c>
      <c r="B328" s="0" t="n">
        <v>1</v>
      </c>
      <c r="C328" s="0" t="n">
        <v>0.648776511322458</v>
      </c>
      <c r="D328" s="0" t="n">
        <v>0.853086983365414</v>
      </c>
      <c r="E328" s="0" t="n">
        <v>0.552110112187862</v>
      </c>
      <c r="F328" s="0" t="n">
        <v>-0.672481398326622</v>
      </c>
      <c r="G328" s="0" t="n">
        <v>-0.25292727507494</v>
      </c>
      <c r="H328" s="0" t="n">
        <v>0.0642405765210882</v>
      </c>
      <c r="I328" s="0" t="n">
        <v>0.631011918254216</v>
      </c>
      <c r="J328" s="0" t="n">
        <v>-1.12155854247178</v>
      </c>
      <c r="K328" s="0" t="n">
        <v>0.132193926205229</v>
      </c>
      <c r="L328" s="0" t="n">
        <v>-0.0865779929458018</v>
      </c>
      <c r="M328" s="0" t="n">
        <v>0.179043553867138</v>
      </c>
      <c r="N328" s="0" t="n">
        <v>1.49954814081199</v>
      </c>
      <c r="O328" s="0" t="n">
        <v>-0.821973448215308</v>
      </c>
      <c r="P328" s="0" t="n">
        <v>-0.656428324811295</v>
      </c>
      <c r="Q328" s="0" t="n">
        <v>-0.477178425354626</v>
      </c>
      <c r="R328" s="0" t="n">
        <v>-0.855352551608242</v>
      </c>
      <c r="S328" s="0" t="n">
        <v>0</v>
      </c>
      <c r="T328" s="0" t="n">
        <v>0</v>
      </c>
      <c r="U328" s="0" t="n">
        <v>0</v>
      </c>
      <c r="V328" s="0" t="n">
        <v>1</v>
      </c>
      <c r="W328" s="0" t="n">
        <v>0</v>
      </c>
      <c r="X328" s="0" t="n">
        <v>1</v>
      </c>
      <c r="Y328" s="0" t="n">
        <v>0</v>
      </c>
      <c r="Z328" s="0" t="n">
        <v>0</v>
      </c>
      <c r="AA328" s="0" t="n">
        <v>1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0.288131902598082</v>
      </c>
      <c r="AJ328" s="0" t="n">
        <v>0.333333333333333</v>
      </c>
    </row>
    <row r="329" customFormat="false" ht="15" hidden="false" customHeight="false" outlineLevel="0" collapsed="false">
      <c r="A329" s="0" t="s">
        <v>363</v>
      </c>
      <c r="B329" s="0" t="n">
        <v>1</v>
      </c>
      <c r="C329" s="0" t="n">
        <v>0.742658317598786</v>
      </c>
      <c r="D329" s="0" t="n">
        <v>0.7167573536507</v>
      </c>
      <c r="E329" s="0" t="n">
        <v>0.604906051830342</v>
      </c>
      <c r="F329" s="0" t="n">
        <v>-0.506591835995062</v>
      </c>
      <c r="G329" s="0" t="n">
        <v>-0.230453825665591</v>
      </c>
      <c r="H329" s="0" t="n">
        <v>0.103147781800455</v>
      </c>
      <c r="I329" s="0" t="n">
        <v>0.731567547043026</v>
      </c>
      <c r="J329" s="0" t="n">
        <v>0.347125853041388</v>
      </c>
      <c r="K329" s="0" t="n">
        <v>-0.0125275187915172</v>
      </c>
      <c r="L329" s="0" t="n">
        <v>0.313088354132739</v>
      </c>
      <c r="M329" s="0" t="n">
        <v>1.34701684711705</v>
      </c>
      <c r="N329" s="0" t="n">
        <v>0.460428311839031</v>
      </c>
      <c r="O329" s="0" t="n">
        <v>-0.211828910685698</v>
      </c>
      <c r="P329" s="0" t="n">
        <v>-0.461492283495261</v>
      </c>
      <c r="Q329" s="0" t="n">
        <v>-0.564390565268711</v>
      </c>
      <c r="R329" s="0" t="n">
        <v>-0.354148637827101</v>
      </c>
      <c r="S329" s="0" t="n">
        <v>1</v>
      </c>
      <c r="T329" s="0" t="n">
        <v>0</v>
      </c>
      <c r="U329" s="0" t="n">
        <v>0</v>
      </c>
      <c r="V329" s="0" t="n">
        <v>0</v>
      </c>
      <c r="W329" s="0" t="n">
        <v>1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1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0.648111471957309</v>
      </c>
      <c r="AJ329" s="0" t="n">
        <v>0.666666666666667</v>
      </c>
    </row>
    <row r="330" customFormat="false" ht="15" hidden="false" customHeight="false" outlineLevel="0" collapsed="false">
      <c r="A330" s="0" t="s">
        <v>364</v>
      </c>
      <c r="B330" s="0" t="n">
        <v>1</v>
      </c>
      <c r="C330" s="0" t="n">
        <v>-0.0164693296648977</v>
      </c>
      <c r="D330" s="0" t="n">
        <v>0.784366968393511</v>
      </c>
      <c r="E330" s="0" t="n">
        <v>0.612373206293952</v>
      </c>
      <c r="F330" s="0" t="n">
        <v>-1.02003277328612</v>
      </c>
      <c r="G330" s="0" t="n">
        <v>-0.825630845897405</v>
      </c>
      <c r="H330" s="0" t="n">
        <v>-0.686122467176116</v>
      </c>
      <c r="I330" s="0" t="n">
        <v>-0.536897264682866</v>
      </c>
      <c r="J330" s="0" t="n">
        <v>-0.970482822046337</v>
      </c>
      <c r="K330" s="0" t="n">
        <v>3</v>
      </c>
      <c r="L330" s="0" t="n">
        <v>-0.176234786185921</v>
      </c>
      <c r="M330" s="0" t="n">
        <v>0.975124803159897</v>
      </c>
      <c r="N330" s="0" t="n">
        <v>0.580429494382082</v>
      </c>
      <c r="O330" s="0" t="n">
        <v>-0.419000128530271</v>
      </c>
      <c r="P330" s="0" t="n">
        <v>-0.233773899125202</v>
      </c>
      <c r="Q330" s="0" t="n">
        <v>-0.0827919422508517</v>
      </c>
      <c r="R330" s="0" t="n">
        <v>0.284969339078384</v>
      </c>
      <c r="S330" s="0" t="n">
        <v>1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1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0.298359934486313</v>
      </c>
      <c r="AJ330" s="0" t="n">
        <v>0</v>
      </c>
    </row>
    <row r="331" customFormat="false" ht="15" hidden="false" customHeight="false" outlineLevel="0" collapsed="false">
      <c r="A331" s="0" t="s">
        <v>365</v>
      </c>
      <c r="B331" s="0" t="n">
        <v>1</v>
      </c>
      <c r="C331" s="0" t="n">
        <v>-0.142341726467742</v>
      </c>
      <c r="D331" s="0" t="n">
        <v>0.559510603310362</v>
      </c>
      <c r="E331" s="0" t="n">
        <v>0.542571975436412</v>
      </c>
      <c r="F331" s="0" t="n">
        <v>-0.942718041389977</v>
      </c>
      <c r="G331" s="0" t="n">
        <v>-0.870198532350236</v>
      </c>
      <c r="H331" s="0" t="n">
        <v>-0.739363963976856</v>
      </c>
      <c r="I331" s="0" t="n">
        <v>0.0193002311296099</v>
      </c>
      <c r="J331" s="0" t="n">
        <v>-0.585429082616239</v>
      </c>
      <c r="K331" s="0" t="n">
        <v>1.09166375404746</v>
      </c>
      <c r="L331" s="0" t="n">
        <v>1.77848813789664</v>
      </c>
      <c r="M331" s="0" t="n">
        <v>-0.159542741463288</v>
      </c>
      <c r="N331" s="0" t="n">
        <v>0.166589799790124</v>
      </c>
      <c r="O331" s="0" t="n">
        <v>-0.682624805832248</v>
      </c>
      <c r="P331" s="0" t="n">
        <v>-0.224797522483608</v>
      </c>
      <c r="Q331" s="0" t="n">
        <v>-0.15869469085789</v>
      </c>
      <c r="R331" s="0" t="n">
        <v>-1.5060452736723</v>
      </c>
      <c r="S331" s="0" t="n">
        <v>1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1</v>
      </c>
      <c r="Y331" s="0" t="n">
        <v>0</v>
      </c>
      <c r="Z331" s="0" t="n">
        <v>0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</row>
    <row r="332" customFormat="false" ht="15" hidden="false" customHeight="false" outlineLevel="0" collapsed="false">
      <c r="A332" s="0" t="s">
        <v>366</v>
      </c>
      <c r="B332" s="0" t="n">
        <v>1</v>
      </c>
      <c r="C332" s="0" t="n">
        <v>0.0825867420040687</v>
      </c>
      <c r="D332" s="0" t="n">
        <v>0.394129390660724</v>
      </c>
      <c r="E332" s="0" t="n">
        <v>0.616511492023647</v>
      </c>
      <c r="F332" s="0" t="n">
        <v>-0.65623045806664</v>
      </c>
      <c r="G332" s="0" t="n">
        <v>-0.752195244024735</v>
      </c>
      <c r="H332" s="0" t="n">
        <v>-0.588720080022135</v>
      </c>
      <c r="I332" s="0" t="n">
        <v>-0.937514298370719</v>
      </c>
      <c r="J332" s="0" t="n">
        <v>-0.067659484746046</v>
      </c>
      <c r="K332" s="0" t="n">
        <v>-0.149766442883367</v>
      </c>
      <c r="L332" s="0" t="n">
        <v>0.131698260101833</v>
      </c>
      <c r="M332" s="0" t="n">
        <v>-0.107974637549722</v>
      </c>
      <c r="N332" s="0" t="n">
        <v>-0.180160192575284</v>
      </c>
      <c r="O332" s="0" t="n">
        <v>-0.319185332251216</v>
      </c>
      <c r="P332" s="0" t="n">
        <v>-0.335176607133119</v>
      </c>
      <c r="Q332" s="0" t="n">
        <v>-0.300944850024711</v>
      </c>
      <c r="R332" s="0" t="n">
        <v>-0.248813617506255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1</v>
      </c>
      <c r="AI332" s="0" t="n">
        <v>0</v>
      </c>
      <c r="AJ332" s="0" t="n">
        <v>0</v>
      </c>
    </row>
    <row r="333" customFormat="false" ht="15" hidden="false" customHeight="false" outlineLevel="0" collapsed="false">
      <c r="A333" s="0" t="s">
        <v>367</v>
      </c>
      <c r="B333" s="0" t="n">
        <v>1</v>
      </c>
      <c r="C333" s="0" t="n">
        <v>-0.715685579661959</v>
      </c>
      <c r="D333" s="0" t="n">
        <v>-0.203568243341862</v>
      </c>
      <c r="E333" s="0" t="n">
        <v>0.519868820144445</v>
      </c>
      <c r="F333" s="0" t="n">
        <v>-0.678981821282336</v>
      </c>
      <c r="G333" s="0" t="n">
        <v>-1.3098958227804</v>
      </c>
      <c r="H333" s="0" t="n">
        <v>-1.30450162365802</v>
      </c>
      <c r="I333" s="0" t="n">
        <v>-0.819847260456016</v>
      </c>
      <c r="J333" s="0" t="n">
        <v>-0.750254787431886</v>
      </c>
      <c r="K333" s="0" t="n">
        <v>2.11507859124322</v>
      </c>
      <c r="L333" s="0" t="n">
        <v>-0.739430373862559</v>
      </c>
      <c r="M333" s="0" t="n">
        <v>0.0191186365262147</v>
      </c>
      <c r="N333" s="0" t="n">
        <v>-0.358415373835723</v>
      </c>
      <c r="O333" s="0" t="n">
        <v>-0.0808332561141714</v>
      </c>
      <c r="P333" s="0" t="n">
        <v>3</v>
      </c>
      <c r="Q333" s="0" t="n">
        <v>3</v>
      </c>
      <c r="R333" s="0" t="n">
        <v>1.26192611054684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1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</row>
    <row r="334" customFormat="false" ht="15" hidden="false" customHeight="false" outlineLevel="0" collapsed="false">
      <c r="A334" s="0" t="s">
        <v>368</v>
      </c>
      <c r="B334" s="0" t="n">
        <v>1</v>
      </c>
      <c r="C334" s="0" t="n">
        <v>-0.738887724874547</v>
      </c>
      <c r="D334" s="0" t="n">
        <v>-0.676493530751007</v>
      </c>
      <c r="E334" s="0" t="n">
        <v>0.0630094616661452</v>
      </c>
      <c r="F334" s="0" t="n">
        <v>0.0246888569553994</v>
      </c>
      <c r="G334" s="0" t="n">
        <v>-0.98920353707792</v>
      </c>
      <c r="H334" s="0" t="n">
        <v>-0.829138565108244</v>
      </c>
      <c r="I334" s="0" t="n">
        <v>-1.03890908436635</v>
      </c>
      <c r="J334" s="0" t="n">
        <v>-0.381748376967045</v>
      </c>
      <c r="K334" s="0" t="n">
        <v>3</v>
      </c>
      <c r="L334" s="0" t="n">
        <v>1.38224388607336</v>
      </c>
      <c r="M334" s="0" t="n">
        <v>-0.263972266563604</v>
      </c>
      <c r="N334" s="0" t="n">
        <v>-0.573348998733036</v>
      </c>
      <c r="O334" s="0" t="n">
        <v>1.05117145974109</v>
      </c>
      <c r="P334" s="0" t="n">
        <v>1.77739633222795</v>
      </c>
      <c r="Q334" s="0" t="n">
        <v>1.9429563571341</v>
      </c>
      <c r="R334" s="0" t="n">
        <v>2.1658837280428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1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</row>
    <row r="335" customFormat="false" ht="15" hidden="false" customHeight="false" outlineLevel="0" collapsed="false">
      <c r="A335" s="0" t="s">
        <v>369</v>
      </c>
      <c r="B335" s="0" t="n">
        <v>1</v>
      </c>
      <c r="C335" s="0" t="n">
        <v>-0.141299568093566</v>
      </c>
      <c r="D335" s="0" t="n">
        <v>-0.854658120329805</v>
      </c>
      <c r="E335" s="0" t="n">
        <v>-0.00327043883578251</v>
      </c>
      <c r="F335" s="0" t="n">
        <v>1.25989581880285</v>
      </c>
      <c r="G335" s="0" t="n">
        <v>-0.355725705799151</v>
      </c>
      <c r="H335" s="0" t="n">
        <v>-0.141817517225399</v>
      </c>
      <c r="I335" s="0" t="n">
        <v>-0.574341960826912</v>
      </c>
      <c r="J335" s="0" t="n">
        <v>-0.111550162470172</v>
      </c>
      <c r="K335" s="0" t="n">
        <v>0.182757860108148</v>
      </c>
      <c r="L335" s="0" t="n">
        <v>1.42959744787082</v>
      </c>
      <c r="M335" s="0" t="n">
        <v>-0.543380748098042</v>
      </c>
      <c r="N335" s="0" t="n">
        <v>-0.11101567557916</v>
      </c>
      <c r="O335" s="0" t="n">
        <v>-0.892883530051897</v>
      </c>
      <c r="P335" s="0" t="n">
        <v>-0.799691503386808</v>
      </c>
      <c r="Q335" s="0" t="n">
        <v>-0.555146628067814</v>
      </c>
      <c r="R335" s="0" t="n">
        <v>-0.627686821004791</v>
      </c>
      <c r="S335" s="0" t="n">
        <v>0</v>
      </c>
      <c r="T335" s="0" t="n">
        <v>0</v>
      </c>
      <c r="U335" s="0" t="n">
        <v>0</v>
      </c>
      <c r="V335" s="0" t="n">
        <v>1</v>
      </c>
      <c r="W335" s="0" t="n">
        <v>0</v>
      </c>
      <c r="X335" s="0" t="n">
        <v>1</v>
      </c>
      <c r="Y335" s="0" t="n">
        <v>0</v>
      </c>
      <c r="Z335" s="0" t="n">
        <v>0</v>
      </c>
      <c r="AA335" s="0" t="n">
        <v>1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</row>
    <row r="336" customFormat="false" ht="15" hidden="false" customHeight="false" outlineLevel="0" collapsed="false">
      <c r="A336" s="0" t="s">
        <v>370</v>
      </c>
      <c r="B336" s="0" t="n">
        <v>1</v>
      </c>
      <c r="C336" s="0" t="n">
        <v>-0.24011115063581</v>
      </c>
      <c r="D336" s="0" t="n">
        <v>-0.833718831274458</v>
      </c>
      <c r="E336" s="0" t="n">
        <v>-0.122837577671082</v>
      </c>
      <c r="F336" s="0" t="n">
        <v>1.05840389655895</v>
      </c>
      <c r="G336" s="0" t="n">
        <v>-0.312128101388507</v>
      </c>
      <c r="H336" s="0" t="n">
        <v>-0.112832438651651</v>
      </c>
      <c r="I336" s="0" t="n">
        <v>-0.563252243038749</v>
      </c>
      <c r="J336" s="0" t="n">
        <v>0.164636167037338</v>
      </c>
      <c r="K336" s="0" t="n">
        <v>-0.0265435110086658</v>
      </c>
      <c r="L336" s="0" t="n">
        <v>0.0671328058070474</v>
      </c>
      <c r="M336" s="0" t="n">
        <v>0.392161443600777</v>
      </c>
      <c r="N336" s="0" t="n">
        <v>-0.344648114879585</v>
      </c>
      <c r="O336" s="0" t="n">
        <v>-0.610473039935632</v>
      </c>
      <c r="P336" s="0" t="n">
        <v>-0.499500357212834</v>
      </c>
      <c r="Q336" s="0" t="n">
        <v>-0.383230839265104</v>
      </c>
      <c r="R336" s="0" t="n">
        <v>-0.402883134633567</v>
      </c>
      <c r="S336" s="0" t="n">
        <v>1</v>
      </c>
      <c r="T336" s="0" t="n">
        <v>0</v>
      </c>
      <c r="U336" s="0" t="n">
        <v>0</v>
      </c>
      <c r="V336" s="0" t="n">
        <v>0</v>
      </c>
      <c r="W336" s="0" t="n">
        <v>1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1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</row>
    <row r="337" customFormat="false" ht="15" hidden="false" customHeight="false" outlineLevel="0" collapsed="false">
      <c r="A337" s="0" t="s">
        <v>371</v>
      </c>
      <c r="B337" s="0" t="n">
        <v>1</v>
      </c>
      <c r="C337" s="0" t="n">
        <v>-0.489105098018066</v>
      </c>
      <c r="D337" s="0" t="n">
        <v>-0.809979543195858</v>
      </c>
      <c r="E337" s="0" t="n">
        <v>-0.286367087466134</v>
      </c>
      <c r="F337" s="0" t="n">
        <v>0.655518277204789</v>
      </c>
      <c r="G337" s="0" t="n">
        <v>-0.368086642222277</v>
      </c>
      <c r="H337" s="0" t="n">
        <v>-0.190338434384476</v>
      </c>
      <c r="I337" s="0" t="n">
        <v>-0.557123379914105</v>
      </c>
      <c r="J337" s="0" t="n">
        <v>0.097867521897445</v>
      </c>
      <c r="K337" s="0" t="n">
        <v>3</v>
      </c>
      <c r="L337" s="0" t="n">
        <v>-0.695240234683541</v>
      </c>
      <c r="M337" s="0" t="n">
        <v>3</v>
      </c>
      <c r="N337" s="0" t="n">
        <v>-0.547663814113376</v>
      </c>
      <c r="O337" s="0" t="n">
        <v>-0.446602515108473</v>
      </c>
      <c r="P337" s="0" t="n">
        <v>0.291391432841035</v>
      </c>
      <c r="Q337" s="0" t="n">
        <v>0.531880456020872</v>
      </c>
      <c r="R337" s="0" t="n">
        <v>0.547026757053936</v>
      </c>
      <c r="S337" s="0" t="n">
        <v>1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1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0.0670138637032748</v>
      </c>
      <c r="AJ337" s="0" t="n">
        <v>0.333333333333333</v>
      </c>
    </row>
    <row r="338" customFormat="false" ht="15" hidden="false" customHeight="false" outlineLevel="0" collapsed="false">
      <c r="A338" s="0" t="s">
        <v>372</v>
      </c>
      <c r="B338" s="0" t="n">
        <v>1</v>
      </c>
      <c r="C338" s="0" t="n">
        <v>-0.221919658876465</v>
      </c>
      <c r="D338" s="0" t="n">
        <v>-0.820948905965523</v>
      </c>
      <c r="E338" s="0" t="n">
        <v>-0.693623663444349</v>
      </c>
      <c r="F338" s="0" t="n">
        <v>1.04391270329471</v>
      </c>
      <c r="G338" s="0" t="n">
        <v>0.617417583754177</v>
      </c>
      <c r="H338" s="0" t="n">
        <v>0.529617368430896</v>
      </c>
      <c r="I338" s="0" t="n">
        <v>-1.12349354216377</v>
      </c>
      <c r="J338" s="0" t="n">
        <v>-0.067659484746046</v>
      </c>
      <c r="K338" s="0" t="n">
        <v>-0.149766442883367</v>
      </c>
      <c r="L338" s="0" t="n">
        <v>0.131698260101833</v>
      </c>
      <c r="M338" s="0" t="n">
        <v>-0.107974637549722</v>
      </c>
      <c r="N338" s="0" t="n">
        <v>-0.180160192575284</v>
      </c>
      <c r="O338" s="0" t="n">
        <v>-0.319185332251216</v>
      </c>
      <c r="P338" s="0" t="n">
        <v>-0.335176607133119</v>
      </c>
      <c r="Q338" s="0" t="n">
        <v>-0.300944850024711</v>
      </c>
      <c r="R338" s="0" t="n">
        <v>-0.248813617506255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1</v>
      </c>
      <c r="AI338" s="0" t="n">
        <v>0</v>
      </c>
      <c r="AJ338" s="0" t="n">
        <v>0</v>
      </c>
    </row>
    <row r="339" customFormat="false" ht="15" hidden="false" customHeight="false" outlineLevel="0" collapsed="false">
      <c r="A339" s="0" t="s">
        <v>373</v>
      </c>
      <c r="B339" s="0" t="n">
        <v>1</v>
      </c>
      <c r="C339" s="0" t="n">
        <v>-0.925846418357716</v>
      </c>
      <c r="D339" s="0" t="n">
        <v>-0.21244664098136</v>
      </c>
      <c r="E339" s="0" t="n">
        <v>-0.745000101771456</v>
      </c>
      <c r="F339" s="0" t="n">
        <v>-0.860985003533489</v>
      </c>
      <c r="G339" s="0" t="n">
        <v>-0.224837666864284</v>
      </c>
      <c r="H339" s="0" t="n">
        <v>-0.138551631881489</v>
      </c>
      <c r="I339" s="0" t="n">
        <v>1.55181283881208</v>
      </c>
      <c r="J339" s="0" t="n">
        <v>0.665012428231834</v>
      </c>
      <c r="K339" s="0" t="n">
        <v>0.51652953946397</v>
      </c>
      <c r="L339" s="0" t="n">
        <v>0.703057283645821</v>
      </c>
      <c r="M339" s="0" t="n">
        <v>-0.212703724160038</v>
      </c>
      <c r="N339" s="0" t="n">
        <v>-1.15095743045995</v>
      </c>
      <c r="O339" s="0" t="n">
        <v>-0.0516118810407591</v>
      </c>
      <c r="P339" s="0" t="n">
        <v>-0.585027348151744</v>
      </c>
      <c r="Q339" s="0" t="n">
        <v>-0.607347363565127</v>
      </c>
      <c r="R339" s="0" t="n">
        <v>-0.31966125898001</v>
      </c>
      <c r="S339" s="0" t="n">
        <v>1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1</v>
      </c>
      <c r="Y339" s="0" t="n">
        <v>0</v>
      </c>
      <c r="Z339" s="0" t="n">
        <v>0</v>
      </c>
      <c r="AA339" s="0" t="n">
        <v>1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</row>
    <row r="340" customFormat="false" ht="15" hidden="false" customHeight="false" outlineLevel="0" collapsed="false">
      <c r="A340" s="0" t="s">
        <v>374</v>
      </c>
      <c r="B340" s="0" t="n">
        <v>1</v>
      </c>
      <c r="C340" s="0" t="n">
        <v>-0.752691380846856</v>
      </c>
      <c r="D340" s="0" t="n">
        <v>-0.381756866709641</v>
      </c>
      <c r="E340" s="0" t="n">
        <v>-0.792682895882504</v>
      </c>
      <c r="F340" s="0" t="n">
        <v>-0.486943143563961</v>
      </c>
      <c r="G340" s="0" t="n">
        <v>0.0979706815617335</v>
      </c>
      <c r="H340" s="0" t="n">
        <v>0.0917234192266088</v>
      </c>
      <c r="I340" s="0" t="n">
        <v>1.66560661377195</v>
      </c>
      <c r="J340" s="0" t="n">
        <v>0.90748243447079</v>
      </c>
      <c r="K340" s="0" t="n">
        <v>-0.199829781619389</v>
      </c>
      <c r="L340" s="0" t="n">
        <v>-0.0988239001266365</v>
      </c>
      <c r="M340" s="0" t="n">
        <v>-0.450552495819986</v>
      </c>
      <c r="N340" s="0" t="n">
        <v>-1.07944987647881</v>
      </c>
      <c r="O340" s="0" t="n">
        <v>-0.681592312738358</v>
      </c>
      <c r="P340" s="0" t="n">
        <v>-0.290154748928199</v>
      </c>
      <c r="Q340" s="0" t="n">
        <v>-0.159335480196863</v>
      </c>
      <c r="R340" s="0" t="n">
        <v>-0.290179123891894</v>
      </c>
      <c r="S340" s="0" t="n">
        <v>0</v>
      </c>
      <c r="T340" s="0" t="n">
        <v>0</v>
      </c>
      <c r="U340" s="0" t="n">
        <v>0</v>
      </c>
      <c r="V340" s="0" t="n">
        <v>1</v>
      </c>
      <c r="W340" s="0" t="n">
        <v>1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1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</row>
    <row r="341" customFormat="false" ht="15" hidden="false" customHeight="false" outlineLevel="0" collapsed="false">
      <c r="A341" s="0" t="s">
        <v>375</v>
      </c>
      <c r="B341" s="0" t="n">
        <v>1</v>
      </c>
      <c r="C341" s="0" t="n">
        <v>-0.508830189458964</v>
      </c>
      <c r="D341" s="0" t="n">
        <v>-0.457101733778385</v>
      </c>
      <c r="E341" s="0" t="n">
        <v>-0.792439243122075</v>
      </c>
      <c r="F341" s="0" t="n">
        <v>-0.121083302702429</v>
      </c>
      <c r="G341" s="0" t="n">
        <v>0.436264606470591</v>
      </c>
      <c r="H341" s="0" t="n">
        <v>0.342380084295657</v>
      </c>
      <c r="I341" s="0" t="n">
        <v>1.56734412679964</v>
      </c>
      <c r="J341" s="0" t="n">
        <v>-0.067659484746046</v>
      </c>
      <c r="K341" s="0" t="n">
        <v>-0.149766442883367</v>
      </c>
      <c r="L341" s="0" t="n">
        <v>0.131698260101833</v>
      </c>
      <c r="M341" s="0" t="n">
        <v>-0.107974637549722</v>
      </c>
      <c r="N341" s="0" t="n">
        <v>-0.180160192575284</v>
      </c>
      <c r="O341" s="0" t="n">
        <v>-0.319185332251216</v>
      </c>
      <c r="P341" s="0" t="n">
        <v>-0.335176607133119</v>
      </c>
      <c r="Q341" s="0" t="n">
        <v>-0.300944850024711</v>
      </c>
      <c r="R341" s="0" t="n">
        <v>-0.248813617506255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1</v>
      </c>
      <c r="AI341" s="0" t="n">
        <v>0</v>
      </c>
      <c r="AJ341" s="0" t="n">
        <v>0</v>
      </c>
    </row>
    <row r="342" customFormat="false" ht="15" hidden="false" customHeight="false" outlineLevel="0" collapsed="false">
      <c r="A342" s="0" t="s">
        <v>376</v>
      </c>
      <c r="B342" s="0" t="n">
        <v>1</v>
      </c>
      <c r="C342" s="0" t="n">
        <v>-0.985216966495191</v>
      </c>
      <c r="D342" s="0" t="n">
        <v>-0.290486511408027</v>
      </c>
      <c r="E342" s="0" t="n">
        <v>-0.672462068734663</v>
      </c>
      <c r="F342" s="0" t="n">
        <v>-0.829971340327285</v>
      </c>
      <c r="G342" s="0" t="n">
        <v>-0.419228135139838</v>
      </c>
      <c r="H342" s="0" t="n">
        <v>-0.278908006129691</v>
      </c>
      <c r="I342" s="0" t="n">
        <v>-0.563413338335107</v>
      </c>
      <c r="J342" s="0" t="n">
        <v>-0.960461469239077</v>
      </c>
      <c r="K342" s="0" t="n">
        <v>0.271683960740138</v>
      </c>
      <c r="L342" s="0" t="n">
        <v>0.399156319429873</v>
      </c>
      <c r="M342" s="0" t="n">
        <v>-0.393748462287505</v>
      </c>
      <c r="N342" s="0" t="n">
        <v>-0.547663814113376</v>
      </c>
      <c r="O342" s="0" t="n">
        <v>-0.618804378560632</v>
      </c>
      <c r="P342" s="0" t="n">
        <v>-0.595622007069901</v>
      </c>
      <c r="Q342" s="0" t="n">
        <v>-0.506882184602499</v>
      </c>
      <c r="R342" s="0" t="n">
        <v>-1.0446289785146</v>
      </c>
      <c r="S342" s="0" t="n">
        <v>0</v>
      </c>
      <c r="T342" s="0" t="n">
        <v>1</v>
      </c>
      <c r="U342" s="0" t="n">
        <v>0</v>
      </c>
      <c r="V342" s="0" t="n">
        <v>0</v>
      </c>
      <c r="W342" s="0" t="n">
        <v>0</v>
      </c>
      <c r="X342" s="0" t="n">
        <v>1</v>
      </c>
      <c r="Y342" s="0" t="n">
        <v>0</v>
      </c>
      <c r="Z342" s="0" t="n">
        <v>0</v>
      </c>
      <c r="AA342" s="0" t="n">
        <v>1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</row>
    <row r="343" customFormat="false" ht="15" hidden="false" customHeight="false" outlineLevel="0" collapsed="false">
      <c r="A343" s="0" t="s">
        <v>377</v>
      </c>
      <c r="B343" s="0" t="n">
        <v>1</v>
      </c>
      <c r="C343" s="0" t="n">
        <v>-1.13688185979855</v>
      </c>
      <c r="D343" s="0" t="n">
        <v>-0.275979588422143</v>
      </c>
      <c r="E343" s="0" t="n">
        <v>-0.692902637261414</v>
      </c>
      <c r="F343" s="0" t="n">
        <v>-0.99000243377427</v>
      </c>
      <c r="G343" s="0" t="n">
        <v>-0.587451263324107</v>
      </c>
      <c r="H343" s="0" t="n">
        <v>-0.412628196872329</v>
      </c>
      <c r="I343" s="0" t="n">
        <v>0.415748325573048</v>
      </c>
      <c r="J343" s="0" t="n">
        <v>1.81792981381829</v>
      </c>
      <c r="K343" s="0" t="n">
        <v>-0.515852960104012</v>
      </c>
      <c r="L343" s="0" t="n">
        <v>-0.0990653666715696</v>
      </c>
      <c r="M343" s="0" t="n">
        <v>-0.53402224516432</v>
      </c>
      <c r="N343" s="0" t="n">
        <v>-1.60342764271987</v>
      </c>
      <c r="O343" s="0" t="n">
        <v>-0.593986278023027</v>
      </c>
      <c r="P343" s="0" t="n">
        <v>-0.419748448720633</v>
      </c>
      <c r="Q343" s="0" t="n">
        <v>-0.380561321346016</v>
      </c>
      <c r="R343" s="0" t="n">
        <v>-0.91802888990998</v>
      </c>
      <c r="S343" s="0" t="n">
        <v>1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0</v>
      </c>
      <c r="AC343" s="0" t="n">
        <v>0</v>
      </c>
      <c r="AD343" s="0" t="n">
        <v>1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</row>
    <row r="344" customFormat="false" ht="15" hidden="false" customHeight="false" outlineLevel="0" collapsed="false">
      <c r="A344" s="0" t="s">
        <v>378</v>
      </c>
      <c r="B344" s="0" t="n">
        <v>1</v>
      </c>
      <c r="C344" s="0" t="n">
        <v>-1.072833113278</v>
      </c>
      <c r="D344" s="0" t="n">
        <v>-0.843111140992629</v>
      </c>
      <c r="E344" s="0" t="n">
        <v>-0.699636694470378</v>
      </c>
      <c r="F344" s="0" t="n">
        <v>-0.0486325659557247</v>
      </c>
      <c r="G344" s="0" t="n">
        <v>-0.493185543287533</v>
      </c>
      <c r="H344" s="0" t="n">
        <v>-0.339366027689482</v>
      </c>
      <c r="I344" s="0" t="n">
        <v>0.38116098916764</v>
      </c>
      <c r="J344" s="0" t="n">
        <v>-0.258771225711501</v>
      </c>
      <c r="K344" s="0" t="n">
        <v>-0.00431587438917136</v>
      </c>
      <c r="L344" s="0" t="n">
        <v>-0.626100292671838</v>
      </c>
      <c r="M344" s="0" t="n">
        <v>-0.296275766358094</v>
      </c>
      <c r="N344" s="0" t="n">
        <v>-0.966640545629266</v>
      </c>
      <c r="O344" s="0" t="n">
        <v>-0.620903787455394</v>
      </c>
      <c r="P344" s="0" t="n">
        <v>-0.38513154223023</v>
      </c>
      <c r="Q344" s="0" t="n">
        <v>-0.218943970711774</v>
      </c>
      <c r="R344" s="0" t="n">
        <v>-0.223670855950482</v>
      </c>
      <c r="S344" s="0" t="n">
        <v>0</v>
      </c>
      <c r="T344" s="0" t="n">
        <v>1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1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</row>
    <row r="345" customFormat="false" ht="15" hidden="false" customHeight="false" outlineLevel="0" collapsed="false">
      <c r="A345" s="0" t="s">
        <v>379</v>
      </c>
      <c r="B345" s="0" t="n">
        <v>1</v>
      </c>
      <c r="C345" s="0" t="n">
        <v>-1.06437757966693</v>
      </c>
      <c r="D345" s="0" t="n">
        <v>-0.851881119808914</v>
      </c>
      <c r="E345" s="0" t="n">
        <v>-0.699325580750556</v>
      </c>
      <c r="F345" s="0" t="n">
        <v>-0.0172595773678741</v>
      </c>
      <c r="G345" s="0" t="n">
        <v>-0.482491320393253</v>
      </c>
      <c r="H345" s="0" t="n">
        <v>-0.331005611169058</v>
      </c>
      <c r="I345" s="0" t="n">
        <v>-0.872464473955694</v>
      </c>
      <c r="J345" s="0" t="n">
        <v>0.00819116769885476</v>
      </c>
      <c r="K345" s="0" t="n">
        <v>-0.208445729190115</v>
      </c>
      <c r="L345" s="0" t="n">
        <v>0.450372116207616</v>
      </c>
      <c r="M345" s="0" t="n">
        <v>-0.107974637549722</v>
      </c>
      <c r="N345" s="0" t="n">
        <v>-1.05869624730613</v>
      </c>
      <c r="O345" s="0" t="n">
        <v>-0.534133647765196</v>
      </c>
      <c r="P345" s="0" t="n">
        <v>-0.299608176371188</v>
      </c>
      <c r="Q345" s="0" t="n">
        <v>-0.0177462488082622</v>
      </c>
      <c r="R345" s="0" t="n">
        <v>-1.02946707066333</v>
      </c>
      <c r="S345" s="0" t="n">
        <v>1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1</v>
      </c>
      <c r="Y345" s="0" t="n">
        <v>0</v>
      </c>
      <c r="Z345" s="0" t="n">
        <v>0</v>
      </c>
      <c r="AA345" s="0" t="n">
        <v>1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0.00989450299871048</v>
      </c>
      <c r="AJ345" s="0" t="n">
        <v>0.333333333333333</v>
      </c>
    </row>
    <row r="346" customFormat="false" ht="15" hidden="false" customHeight="false" outlineLevel="0" collapsed="false">
      <c r="A346" s="0" t="s">
        <v>380</v>
      </c>
      <c r="B346" s="0" t="n">
        <v>1</v>
      </c>
      <c r="C346" s="0" t="n">
        <v>-0.990311467451945</v>
      </c>
      <c r="D346" s="0" t="n">
        <v>-0.873897307286497</v>
      </c>
      <c r="E346" s="0" t="n">
        <v>-0.875002108812733</v>
      </c>
      <c r="F346" s="0" t="n">
        <v>0.137289383034192</v>
      </c>
      <c r="G346" s="0" t="n">
        <v>-0.0836224732073159</v>
      </c>
      <c r="H346" s="0" t="n">
        <v>-0.0628226194367609</v>
      </c>
      <c r="I346" s="0" t="n">
        <v>-1.52135429202768</v>
      </c>
      <c r="J346" s="0" t="n">
        <v>-0.583935134233028</v>
      </c>
      <c r="K346" s="0" t="n">
        <v>-0.184074324127978</v>
      </c>
      <c r="L346" s="0" t="n">
        <v>-0.577288576898062</v>
      </c>
      <c r="M346" s="0" t="n">
        <v>0.0653977903734198</v>
      </c>
      <c r="N346" s="0" t="n">
        <v>-0.742049291314961</v>
      </c>
      <c r="O346" s="0" t="n">
        <v>-0.551150963558191</v>
      </c>
      <c r="P346" s="0" t="n">
        <v>-0.509672154043355</v>
      </c>
      <c r="Q346" s="0" t="n">
        <v>-0.417446199754955</v>
      </c>
      <c r="R346" s="0" t="n">
        <v>-0.103765479677787</v>
      </c>
      <c r="S346" s="0" t="n">
        <v>0</v>
      </c>
      <c r="T346" s="0" t="n">
        <v>1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1</v>
      </c>
      <c r="AA346" s="0" t="n">
        <v>0</v>
      </c>
      <c r="AB346" s="0" t="n">
        <v>0</v>
      </c>
      <c r="AC346" s="0" t="n">
        <v>0</v>
      </c>
      <c r="AD346" s="0" t="n">
        <v>1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</row>
    <row r="347" customFormat="false" ht="15" hidden="false" customHeight="false" outlineLevel="0" collapsed="false">
      <c r="A347" s="0" t="s">
        <v>381</v>
      </c>
      <c r="B347" s="0" t="n">
        <v>1</v>
      </c>
      <c r="C347" s="0" t="n">
        <v>-0.842418675013666</v>
      </c>
      <c r="D347" s="0" t="n">
        <v>-0.718330302968348</v>
      </c>
      <c r="E347" s="0" t="n">
        <v>-0.806300991659603</v>
      </c>
      <c r="F347" s="0" t="n">
        <v>-0.0165695695137698</v>
      </c>
      <c r="G347" s="0" t="n">
        <v>-0.00148567962036054</v>
      </c>
      <c r="H347" s="0" t="n">
        <v>0.0142790981125189</v>
      </c>
      <c r="I347" s="0" t="n">
        <v>-0.356790736911985</v>
      </c>
      <c r="J347" s="0" t="n">
        <v>-0.194077398424814</v>
      </c>
      <c r="K347" s="0" t="n">
        <v>0.114384300386457</v>
      </c>
      <c r="L347" s="0" t="n">
        <v>0.162149951757973</v>
      </c>
      <c r="M347" s="0" t="n">
        <v>-0.174563908235871</v>
      </c>
      <c r="N347" s="0" t="n">
        <v>-0.762802920487647</v>
      </c>
      <c r="O347" s="0" t="n">
        <v>-0.673609528679044</v>
      </c>
      <c r="P347" s="0" t="n">
        <v>-0.632594849039269</v>
      </c>
      <c r="Q347" s="0" t="n">
        <v>-0.40906401192848</v>
      </c>
      <c r="R347" s="0" t="n">
        <v>-1.05876050043913</v>
      </c>
      <c r="S347" s="0" t="n">
        <v>1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1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</row>
    <row r="348" customFormat="false" ht="15" hidden="false" customHeight="false" outlineLevel="0" collapsed="false">
      <c r="A348" s="0" t="s">
        <v>382</v>
      </c>
      <c r="B348" s="0" t="n">
        <v>1</v>
      </c>
      <c r="C348" s="0" t="n">
        <v>-0.768326580736924</v>
      </c>
      <c r="D348" s="0" t="n">
        <v>-1.0322648219924</v>
      </c>
      <c r="E348" s="0" t="n">
        <v>-0.809339425942588</v>
      </c>
      <c r="F348" s="0" t="n">
        <v>0.934612661514077</v>
      </c>
      <c r="G348" s="0" t="n">
        <v>0.108107917343797</v>
      </c>
      <c r="H348" s="0" t="n">
        <v>0.0938370255822764</v>
      </c>
      <c r="I348" s="0" t="n">
        <v>-0.346490398937222</v>
      </c>
      <c r="J348" s="0" t="n">
        <v>0.400175858721183</v>
      </c>
      <c r="K348" s="0" t="n">
        <v>-0.0720367156705671</v>
      </c>
      <c r="L348" s="0" t="n">
        <v>-0.699547007211605</v>
      </c>
      <c r="M348" s="0" t="n">
        <v>0.176601941382464</v>
      </c>
      <c r="N348" s="0" t="n">
        <v>-0.924927805806939</v>
      </c>
      <c r="O348" s="0" t="n">
        <v>-0.117393404370875</v>
      </c>
      <c r="P348" s="0" t="n">
        <v>-0.484365918851679</v>
      </c>
      <c r="Q348" s="0" t="n">
        <v>-0.512551245552981</v>
      </c>
      <c r="R348" s="0" t="n">
        <v>-0.000148492659802148</v>
      </c>
      <c r="S348" s="0" t="n">
        <v>1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1</v>
      </c>
      <c r="Y348" s="0" t="n">
        <v>0</v>
      </c>
      <c r="Z348" s="0" t="n">
        <v>0</v>
      </c>
      <c r="AA348" s="0" t="n">
        <v>1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0.286729031601511</v>
      </c>
      <c r="AJ348" s="0" t="n">
        <v>0.333333333333333</v>
      </c>
    </row>
    <row r="349" customFormat="false" ht="15" hidden="false" customHeight="false" outlineLevel="0" collapsed="false">
      <c r="A349" s="0" t="s">
        <v>383</v>
      </c>
      <c r="B349" s="0" t="n">
        <v>1</v>
      </c>
      <c r="C349" s="0" t="n">
        <v>-0.601077813415751</v>
      </c>
      <c r="D349" s="0" t="n">
        <v>-0.991995623041198</v>
      </c>
      <c r="E349" s="0" t="n">
        <v>-0.805684973904011</v>
      </c>
      <c r="F349" s="0" t="n">
        <v>1.05596644532661</v>
      </c>
      <c r="G349" s="0" t="n">
        <v>0.335150051719422</v>
      </c>
      <c r="H349" s="0" t="n">
        <v>0.26193554460247</v>
      </c>
      <c r="I349" s="0" t="n">
        <v>-0.269434610501524</v>
      </c>
      <c r="J349" s="0" t="n">
        <v>0.096855030181809</v>
      </c>
      <c r="K349" s="0" t="n">
        <v>-0.0991881076267667</v>
      </c>
      <c r="L349" s="0" t="n">
        <v>-0.08108484204153</v>
      </c>
      <c r="M349" s="0" t="n">
        <v>0.719802324902792</v>
      </c>
      <c r="N349" s="0" t="n">
        <v>-0.652870330315503</v>
      </c>
      <c r="O349" s="0" t="n">
        <v>-0.535356077641711</v>
      </c>
      <c r="P349" s="0" t="n">
        <v>-0.648673571866411</v>
      </c>
      <c r="Q349" s="0" t="n">
        <v>-0.457706780684567</v>
      </c>
      <c r="R349" s="0" t="n">
        <v>-0.755671988062155</v>
      </c>
      <c r="S349" s="0" t="n">
        <v>0</v>
      </c>
      <c r="T349" s="0" t="n">
        <v>1</v>
      </c>
      <c r="U349" s="0" t="n">
        <v>0</v>
      </c>
      <c r="V349" s="0" t="n">
        <v>0</v>
      </c>
      <c r="W349" s="0" t="n">
        <v>1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1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0.194418440779227</v>
      </c>
      <c r="AJ349" s="0" t="n">
        <v>0</v>
      </c>
    </row>
    <row r="350" customFormat="false" ht="15" hidden="false" customHeight="false" outlineLevel="0" collapsed="false">
      <c r="A350" s="0" t="s">
        <v>384</v>
      </c>
      <c r="B350" s="0" t="n">
        <v>1</v>
      </c>
      <c r="C350" s="0" t="n">
        <v>-0.554485689807415</v>
      </c>
      <c r="D350" s="0" t="n">
        <v>-0.87842724427787</v>
      </c>
      <c r="E350" s="0" t="n">
        <v>-0.780656828379788</v>
      </c>
      <c r="F350" s="0" t="n">
        <v>0.759791019744196</v>
      </c>
      <c r="G350" s="0" t="n">
        <v>0.348707741352549</v>
      </c>
      <c r="H350" s="0" t="n">
        <v>0.282527155336862</v>
      </c>
      <c r="I350" s="0" t="n">
        <v>-0.773039058257847</v>
      </c>
      <c r="J350" s="0" t="n">
        <v>-0.067659484746046</v>
      </c>
      <c r="K350" s="0" t="n">
        <v>-0.149766442883367</v>
      </c>
      <c r="L350" s="0" t="n">
        <v>0.131698260101833</v>
      </c>
      <c r="M350" s="0" t="n">
        <v>-0.107974637549722</v>
      </c>
      <c r="N350" s="0" t="n">
        <v>-0.180160192575284</v>
      </c>
      <c r="O350" s="0" t="n">
        <v>-0.319185332251216</v>
      </c>
      <c r="P350" s="0" t="n">
        <v>-0.335176607133119</v>
      </c>
      <c r="Q350" s="0" t="n">
        <v>-0.300944850024711</v>
      </c>
      <c r="R350" s="0" t="n">
        <v>-0.248813617506255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1</v>
      </c>
      <c r="AI350" s="0" t="n">
        <v>0</v>
      </c>
      <c r="AJ350" s="0" t="n">
        <v>0</v>
      </c>
    </row>
    <row r="351" customFormat="false" ht="15" hidden="false" customHeight="false" outlineLevel="0" collapsed="false">
      <c r="A351" s="0" t="s">
        <v>385</v>
      </c>
      <c r="B351" s="0" t="n">
        <v>1</v>
      </c>
      <c r="C351" s="0" t="n">
        <v>-0.911172531900195</v>
      </c>
      <c r="D351" s="0" t="n">
        <v>-0.97958368053549</v>
      </c>
      <c r="E351" s="0" t="n">
        <v>-1.1788277116306</v>
      </c>
      <c r="F351" s="0" t="n">
        <v>0.539693470139303</v>
      </c>
      <c r="G351" s="0" t="n">
        <v>0.758174708127124</v>
      </c>
      <c r="H351" s="0" t="n">
        <v>0.350616125368165</v>
      </c>
      <c r="I351" s="0" t="n">
        <v>-0.449635155043375</v>
      </c>
      <c r="J351" s="0" t="n">
        <v>-0.362250352289577</v>
      </c>
      <c r="K351" s="0" t="n">
        <v>-0.177700088770281</v>
      </c>
      <c r="L351" s="0" t="n">
        <v>-1.19561658274735</v>
      </c>
      <c r="M351" s="0" t="n">
        <v>-0.113339541172508</v>
      </c>
      <c r="N351" s="0" t="n">
        <v>-0.759309735379373</v>
      </c>
      <c r="O351" s="0" t="n">
        <v>-0.589004034564224</v>
      </c>
      <c r="P351" s="0" t="n">
        <v>-0.61743633727478</v>
      </c>
      <c r="Q351" s="0" t="n">
        <v>-0.586301683133484</v>
      </c>
      <c r="R351" s="0" t="n">
        <v>-0.583199484421878</v>
      </c>
      <c r="S351" s="0" t="n">
        <v>0</v>
      </c>
      <c r="T351" s="0" t="n">
        <v>1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1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</row>
    <row r="352" customFormat="false" ht="15" hidden="false" customHeight="false" outlineLevel="0" collapsed="false">
      <c r="A352" s="0" t="s">
        <v>386</v>
      </c>
      <c r="B352" s="0" t="n">
        <v>1</v>
      </c>
      <c r="C352" s="0" t="n">
        <v>-0.924332061128227</v>
      </c>
      <c r="D352" s="0" t="n">
        <v>-0.66894219566717</v>
      </c>
      <c r="E352" s="0" t="n">
        <v>-0.877854200660445</v>
      </c>
      <c r="F352" s="0" t="n">
        <v>-0.213416897061019</v>
      </c>
      <c r="G352" s="0" t="n">
        <v>0.0180845923963549</v>
      </c>
      <c r="H352" s="0" t="n">
        <v>0.00818406568980362</v>
      </c>
      <c r="I352" s="0" t="n">
        <v>1.20449794340273</v>
      </c>
      <c r="J352" s="0" t="n">
        <v>0.345140628521866</v>
      </c>
      <c r="K352" s="0" t="n">
        <v>-0.479601695715444</v>
      </c>
      <c r="L352" s="0" t="n">
        <v>-1.06953967125351</v>
      </c>
      <c r="M352" s="0" t="n">
        <v>0.139946565631719</v>
      </c>
      <c r="N352" s="0" t="n">
        <v>-1.04616187721173</v>
      </c>
      <c r="O352" s="0" t="n">
        <v>-0.095433057186103</v>
      </c>
      <c r="P352" s="0" t="n">
        <v>-0.433778723551885</v>
      </c>
      <c r="Q352" s="0" t="n">
        <v>-0.531686355678163</v>
      </c>
      <c r="R352" s="0" t="n">
        <v>-0.658966418188521</v>
      </c>
      <c r="S352" s="0" t="n">
        <v>0</v>
      </c>
      <c r="T352" s="0" t="n">
        <v>1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1</v>
      </c>
      <c r="AA352" s="0" t="n">
        <v>0</v>
      </c>
      <c r="AB352" s="0" t="n">
        <v>0</v>
      </c>
      <c r="AC352" s="0" t="n">
        <v>0</v>
      </c>
      <c r="AD352" s="0" t="n">
        <v>1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0.0749163305915742</v>
      </c>
      <c r="AJ352" s="0" t="n">
        <v>0.333333333333333</v>
      </c>
    </row>
    <row r="353" customFormat="false" ht="15" hidden="false" customHeight="false" outlineLevel="0" collapsed="false">
      <c r="A353" s="0" t="s">
        <v>387</v>
      </c>
      <c r="B353" s="0" t="n">
        <v>1</v>
      </c>
      <c r="C353" s="0" t="n">
        <v>-0.591360180825117</v>
      </c>
      <c r="D353" s="0" t="n">
        <v>-0.40334127448257</v>
      </c>
      <c r="E353" s="0" t="n">
        <v>-0.825484621656879</v>
      </c>
      <c r="F353" s="0" t="n">
        <v>-0.292389541038498</v>
      </c>
      <c r="G353" s="0" t="n">
        <v>0.39007984295806</v>
      </c>
      <c r="H353" s="0" t="n">
        <v>0.293570819806369</v>
      </c>
      <c r="I353" s="0" t="n">
        <v>1.50591647123563</v>
      </c>
      <c r="J353" s="0" t="n">
        <v>-0.709691911210893</v>
      </c>
      <c r="K353" s="0" t="n">
        <v>-0.949939786115494</v>
      </c>
      <c r="L353" s="0" t="n">
        <v>1.20008062843972</v>
      </c>
      <c r="M353" s="0" t="n">
        <v>-0.0405002403489159</v>
      </c>
      <c r="N353" s="0" t="n">
        <v>-0.244373154124433</v>
      </c>
      <c r="O353" s="0" t="n">
        <v>-0.753080561142787</v>
      </c>
      <c r="P353" s="0" t="n">
        <v>-0.530954000104024</v>
      </c>
      <c r="Q353" s="0" t="n">
        <v>-0.211011420899954</v>
      </c>
      <c r="R353" s="0" t="n">
        <v>-0.373108390716622</v>
      </c>
      <c r="S353" s="0" t="n">
        <v>0</v>
      </c>
      <c r="T353" s="0" t="n">
        <v>0</v>
      </c>
      <c r="U353" s="0" t="n">
        <v>0</v>
      </c>
      <c r="V353" s="0" t="n">
        <v>1</v>
      </c>
      <c r="W353" s="0" t="n">
        <v>1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1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0.379653174815661</v>
      </c>
      <c r="AJ353" s="0" t="n">
        <v>0.666666666666667</v>
      </c>
    </row>
    <row r="354" customFormat="false" ht="15" hidden="false" customHeight="false" outlineLevel="0" collapsed="false">
      <c r="A354" s="0" t="s">
        <v>388</v>
      </c>
      <c r="B354" s="0" t="n">
        <v>1</v>
      </c>
      <c r="C354" s="0" t="n">
        <v>-0.396222379885003</v>
      </c>
      <c r="D354" s="0" t="n">
        <v>-0.336734588258319</v>
      </c>
      <c r="E354" s="0" t="n">
        <v>-0.742311525432199</v>
      </c>
      <c r="F354" s="0" t="n">
        <v>-0.199229890504655</v>
      </c>
      <c r="G354" s="0" t="n">
        <v>0.486122643470693</v>
      </c>
      <c r="H354" s="0" t="n">
        <v>0.403471283150409</v>
      </c>
      <c r="I354" s="0" t="n">
        <v>1.19995958841174</v>
      </c>
      <c r="J354" s="0" t="n">
        <v>-1.15921771152878</v>
      </c>
      <c r="K354" s="0" t="n">
        <v>0.897157209309754</v>
      </c>
      <c r="L354" s="0" t="n">
        <v>1.02538342288486</v>
      </c>
      <c r="M354" s="0" t="n">
        <v>3</v>
      </c>
      <c r="N354" s="0" t="n">
        <v>0.276111427008353</v>
      </c>
      <c r="O354" s="0" t="n">
        <v>-0.0755790904348451</v>
      </c>
      <c r="P354" s="0" t="n">
        <v>-0.108081862555147</v>
      </c>
      <c r="Q354" s="0" t="n">
        <v>-0.604734615878423</v>
      </c>
      <c r="R354" s="0" t="n">
        <v>-0.6727342098189</v>
      </c>
      <c r="S354" s="0" t="n">
        <v>0</v>
      </c>
      <c r="T354" s="0" t="n">
        <v>1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1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0.839341349302607</v>
      </c>
      <c r="AJ354" s="0" t="n">
        <v>1</v>
      </c>
    </row>
    <row r="355" customFormat="false" ht="15" hidden="false" customHeight="false" outlineLevel="0" collapsed="false">
      <c r="A355" s="0" t="s">
        <v>389</v>
      </c>
      <c r="B355" s="0" t="n">
        <v>1</v>
      </c>
      <c r="C355" s="0" t="n">
        <v>-0.289727550380541</v>
      </c>
      <c r="D355" s="0" t="n">
        <v>-0.359475329540601</v>
      </c>
      <c r="E355" s="0" t="n">
        <v>-0.865950979280765</v>
      </c>
      <c r="F355" s="0" t="n">
        <v>-0.0585831582235076</v>
      </c>
      <c r="G355" s="0" t="n">
        <v>0.914708179586608</v>
      </c>
      <c r="H355" s="0" t="n">
        <v>0.648158090770172</v>
      </c>
      <c r="I355" s="0" t="n">
        <v>0.672226079749214</v>
      </c>
      <c r="J355" s="0" t="n">
        <v>-1.13909906598507</v>
      </c>
      <c r="K355" s="0" t="n">
        <v>-1.07126054053273</v>
      </c>
      <c r="L355" s="0" t="n">
        <v>-0.931537396634206</v>
      </c>
      <c r="M355" s="0" t="n">
        <v>-1.01738142008932</v>
      </c>
      <c r="N355" s="0" t="n">
        <v>0.389126239334856</v>
      </c>
      <c r="O355" s="0" t="n">
        <v>-0.494001338462665</v>
      </c>
      <c r="P355" s="0" t="n">
        <v>-0.578666420471606</v>
      </c>
      <c r="Q355" s="0" t="n">
        <v>-0.44013282237666</v>
      </c>
      <c r="R355" s="0" t="n">
        <v>-0.377117892459848</v>
      </c>
      <c r="S355" s="0" t="n">
        <v>1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1</v>
      </c>
      <c r="AA355" s="0" t="n">
        <v>0</v>
      </c>
      <c r="AB355" s="0" t="n">
        <v>0</v>
      </c>
      <c r="AC355" s="0" t="n">
        <v>0</v>
      </c>
      <c r="AD355" s="0" t="n">
        <v>1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1.45462680820136</v>
      </c>
      <c r="AJ355" s="0" t="n">
        <v>1.33333333333333</v>
      </c>
    </row>
    <row r="356" customFormat="false" ht="15" hidden="false" customHeight="false" outlineLevel="0" collapsed="false">
      <c r="A356" s="0" t="s">
        <v>390</v>
      </c>
      <c r="B356" s="0" t="n">
        <v>1</v>
      </c>
      <c r="C356" s="0" t="n">
        <v>0.0610101323625939</v>
      </c>
      <c r="D356" s="0" t="n">
        <v>-0.0605013370864511</v>
      </c>
      <c r="E356" s="0" t="n">
        <v>-0.597229223890319</v>
      </c>
      <c r="F356" s="0" t="n">
        <v>-0.175542987639771</v>
      </c>
      <c r="G356" s="0" t="n">
        <v>0.780398948138095</v>
      </c>
      <c r="H356" s="0" t="n">
        <v>0.715404361265906</v>
      </c>
      <c r="I356" s="0" t="n">
        <v>1.15431112642157</v>
      </c>
      <c r="J356" s="0" t="n">
        <v>-0.316470631014724</v>
      </c>
      <c r="K356" s="0" t="n">
        <v>-0.386098870707952</v>
      </c>
      <c r="L356" s="0" t="n">
        <v>0.496181088254294</v>
      </c>
      <c r="M356" s="0" t="n">
        <v>0.919311449962883</v>
      </c>
      <c r="N356" s="0" t="n">
        <v>0.20912446552028</v>
      </c>
      <c r="O356" s="0" t="n">
        <v>0.0842701313864118</v>
      </c>
      <c r="P356" s="0" t="n">
        <v>-0.58081893046373</v>
      </c>
      <c r="Q356" s="0" t="n">
        <v>-0.407157889391407</v>
      </c>
      <c r="R356" s="0" t="n">
        <v>-0.996123025189391</v>
      </c>
      <c r="S356" s="0" t="n">
        <v>0</v>
      </c>
      <c r="T356" s="0" t="n">
        <v>1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1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1.04986764389959</v>
      </c>
      <c r="AJ356" s="0" t="n">
        <v>0</v>
      </c>
    </row>
    <row r="357" customFormat="false" ht="15" hidden="false" customHeight="false" outlineLevel="0" collapsed="false">
      <c r="A357" s="0" t="s">
        <v>391</v>
      </c>
      <c r="B357" s="0" t="n">
        <v>1</v>
      </c>
      <c r="C357" s="0" t="n">
        <v>-0.435914068912287</v>
      </c>
      <c r="D357" s="0" t="n">
        <v>0.191197284870472</v>
      </c>
      <c r="E357" s="0" t="n">
        <v>-0.437162921049857</v>
      </c>
      <c r="F357" s="0" t="n">
        <v>-0.84980851612534</v>
      </c>
      <c r="G357" s="0" t="n">
        <v>-0.100123838372372</v>
      </c>
      <c r="H357" s="0" t="n">
        <v>0.029176375805118</v>
      </c>
      <c r="I357" s="0" t="n">
        <v>1.39924085326659</v>
      </c>
      <c r="J357" s="0" t="n">
        <v>-0.642698017563706</v>
      </c>
      <c r="K357" s="0" t="n">
        <v>-0.932314936738079</v>
      </c>
      <c r="L357" s="0" t="n">
        <v>-0.448585787854768</v>
      </c>
      <c r="M357" s="0" t="n">
        <v>-0.961647278816238</v>
      </c>
      <c r="N357" s="0" t="n">
        <v>-0.114097897733519</v>
      </c>
      <c r="O357" s="0" t="n">
        <v>0.578107386295506</v>
      </c>
      <c r="P357" s="0" t="n">
        <v>0.855870226129128</v>
      </c>
      <c r="Q357" s="0" t="n">
        <v>-0.371956100716338</v>
      </c>
      <c r="R357" s="0" t="n">
        <v>-1.05699771691846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1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1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0.932578140592256</v>
      </c>
      <c r="AJ357" s="0" t="n">
        <v>0</v>
      </c>
    </row>
    <row r="358" customFormat="false" ht="15" hidden="false" customHeight="false" outlineLevel="0" collapsed="false">
      <c r="A358" s="0" t="s">
        <v>392</v>
      </c>
      <c r="B358" s="0" t="n">
        <v>1</v>
      </c>
      <c r="C358" s="0" t="n">
        <v>-0.833984676518052</v>
      </c>
      <c r="D358" s="0" t="n">
        <v>0.153694830099774</v>
      </c>
      <c r="E358" s="0" t="n">
        <v>-0.510348576336624</v>
      </c>
      <c r="F358" s="0" t="n">
        <v>-1.12170357449901</v>
      </c>
      <c r="G358" s="0" t="n">
        <v>-0.463801645523073</v>
      </c>
      <c r="H358" s="0" t="n">
        <v>-0.300447282381504</v>
      </c>
      <c r="I358" s="0" t="n">
        <v>1.3886990558446</v>
      </c>
      <c r="J358" s="0" t="n">
        <v>-0.561754993279555</v>
      </c>
      <c r="K358" s="0" t="n">
        <v>0.861637523879304</v>
      </c>
      <c r="L358" s="0" t="n">
        <v>-0.92601670401042</v>
      </c>
      <c r="M358" s="0" t="n">
        <v>0.489407380847485</v>
      </c>
      <c r="N358" s="0" t="n">
        <v>-0.585677887350472</v>
      </c>
      <c r="O358" s="0" t="n">
        <v>0.321372755108182</v>
      </c>
      <c r="P358" s="0" t="n">
        <v>1.94621541840279</v>
      </c>
      <c r="Q358" s="0" t="n">
        <v>1.5725131083722</v>
      </c>
      <c r="R358" s="0" t="n">
        <v>1.35930632740854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1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0.533033428595372</v>
      </c>
      <c r="AJ358" s="0" t="n">
        <v>0</v>
      </c>
    </row>
    <row r="359" customFormat="false" ht="15" hidden="false" customHeight="false" outlineLevel="0" collapsed="false">
      <c r="A359" s="0" t="s">
        <v>393</v>
      </c>
      <c r="B359" s="0" t="n">
        <v>1</v>
      </c>
      <c r="C359" s="0" t="n">
        <v>-0.542766369317072</v>
      </c>
      <c r="D359" s="0" t="n">
        <v>-0.0876743632195636</v>
      </c>
      <c r="E359" s="0" t="n">
        <v>-0.536851435887628</v>
      </c>
      <c r="F359" s="0" t="n">
        <v>-0.657941331990348</v>
      </c>
      <c r="G359" s="0" t="n">
        <v>-0.0734747040596962</v>
      </c>
      <c r="H359" s="0" t="n">
        <v>0.0281653519778961</v>
      </c>
      <c r="I359" s="0" t="n">
        <v>-0.496655021434407</v>
      </c>
      <c r="J359" s="0" t="n">
        <v>-0.679182966596612</v>
      </c>
      <c r="K359" s="0" t="n">
        <v>-0.110927109056999</v>
      </c>
      <c r="L359" s="0" t="n">
        <v>0.375353653303794</v>
      </c>
      <c r="M359" s="0" t="n">
        <v>0.258775117871764</v>
      </c>
      <c r="N359" s="0" t="n">
        <v>-0.208824858610824</v>
      </c>
      <c r="O359" s="0" t="n">
        <v>-0.327752767467561</v>
      </c>
      <c r="P359" s="0" t="n">
        <v>-0.339432489215107</v>
      </c>
      <c r="Q359" s="0" t="n">
        <v>-0.540736726042336</v>
      </c>
      <c r="R359" s="0" t="n">
        <v>-0.381108871273885</v>
      </c>
      <c r="S359" s="0" t="n">
        <v>1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1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0.501572532631387</v>
      </c>
      <c r="AJ359" s="0" t="n">
        <v>0</v>
      </c>
    </row>
    <row r="360" customFormat="false" ht="15" hidden="false" customHeight="false" outlineLevel="0" collapsed="false">
      <c r="A360" s="0" t="s">
        <v>394</v>
      </c>
      <c r="B360" s="0" t="n">
        <v>1</v>
      </c>
      <c r="C360" s="0" t="n">
        <v>-0.627473157305307</v>
      </c>
      <c r="D360" s="0" t="n">
        <v>-0.217398417187478</v>
      </c>
      <c r="E360" s="0" t="n">
        <v>-0.505497160839697</v>
      </c>
      <c r="F360" s="0" t="n">
        <v>-0.58174836919858</v>
      </c>
      <c r="G360" s="0" t="n">
        <v>-0.223569840309105</v>
      </c>
      <c r="H360" s="0" t="n">
        <v>-0.0932570338749271</v>
      </c>
      <c r="I360" s="0" t="n">
        <v>-1.09457800491318</v>
      </c>
      <c r="J360" s="0" t="n">
        <v>0.152617145384375</v>
      </c>
      <c r="K360" s="0" t="n">
        <v>-0.206640170835746</v>
      </c>
      <c r="L360" s="0" t="n">
        <v>-0.124973035928668</v>
      </c>
      <c r="M360" s="0" t="n">
        <v>-0.309419419402287</v>
      </c>
      <c r="N360" s="0" t="n">
        <v>-0.700952995923506</v>
      </c>
      <c r="O360" s="0" t="n">
        <v>-0.648175800748632</v>
      </c>
      <c r="P360" s="0" t="n">
        <v>-0.604963534835712</v>
      </c>
      <c r="Q360" s="0" t="n">
        <v>-0.2910808394765</v>
      </c>
      <c r="R360" s="0" t="n">
        <v>-1.19703245407249</v>
      </c>
      <c r="S360" s="0" t="n">
        <v>1</v>
      </c>
      <c r="T360" s="0" t="n">
        <v>0</v>
      </c>
      <c r="U360" s="0" t="n">
        <v>0</v>
      </c>
      <c r="V360" s="0" t="n">
        <v>0</v>
      </c>
      <c r="W360" s="0" t="n">
        <v>0</v>
      </c>
      <c r="X360" s="0" t="n">
        <v>1</v>
      </c>
      <c r="Y360" s="0" t="n">
        <v>0</v>
      </c>
      <c r="Z360" s="0" t="n">
        <v>0</v>
      </c>
      <c r="AA360" s="0" t="n">
        <v>1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0.159706412753828</v>
      </c>
      <c r="AJ360" s="0" t="n">
        <v>0</v>
      </c>
    </row>
    <row r="361" customFormat="false" ht="15" hidden="false" customHeight="false" outlineLevel="0" collapsed="false">
      <c r="A361" s="0" t="s">
        <v>395</v>
      </c>
      <c r="B361" s="0" t="n">
        <v>1</v>
      </c>
      <c r="C361" s="0" t="n">
        <v>-0.748391418449344</v>
      </c>
      <c r="D361" s="0" t="n">
        <v>-0.195438248733099</v>
      </c>
      <c r="E361" s="0" t="n">
        <v>-0.488200401646447</v>
      </c>
      <c r="F361" s="0" t="n">
        <v>-0.718112828303999</v>
      </c>
      <c r="G361" s="0" t="n">
        <v>-0.392377069544561</v>
      </c>
      <c r="H361" s="0" t="n">
        <v>-0.236578029619594</v>
      </c>
      <c r="I361" s="0" t="n">
        <v>-1.31049293353444</v>
      </c>
      <c r="J361" s="0" t="n">
        <v>0.464046657109087</v>
      </c>
      <c r="K361" s="0" t="n">
        <v>-0.0743357322163804</v>
      </c>
      <c r="L361" s="0" t="n">
        <v>-0.316633895170057</v>
      </c>
      <c r="M361" s="0" t="n">
        <v>-0.25938413979279</v>
      </c>
      <c r="N361" s="0" t="n">
        <v>-0.929859361253914</v>
      </c>
      <c r="O361" s="0" t="n">
        <v>-0.614973438213386</v>
      </c>
      <c r="P361" s="0" t="n">
        <v>-0.647678134447609</v>
      </c>
      <c r="Q361" s="0" t="n">
        <v>-0.459968385732283</v>
      </c>
      <c r="R361" s="0" t="n">
        <v>0.516183996970315</v>
      </c>
      <c r="S361" s="0" t="n">
        <v>1</v>
      </c>
      <c r="T361" s="0" t="n">
        <v>0</v>
      </c>
      <c r="U361" s="0" t="n">
        <v>0</v>
      </c>
      <c r="V361" s="0" t="n">
        <v>0</v>
      </c>
      <c r="W361" s="0" t="n">
        <v>1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1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</row>
    <row r="362" customFormat="false" ht="15" hidden="false" customHeight="false" outlineLevel="0" collapsed="false">
      <c r="A362" s="0" t="s">
        <v>396</v>
      </c>
      <c r="B362" s="0" t="n">
        <v>1</v>
      </c>
      <c r="C362" s="0" t="n">
        <v>-0.593578650751714</v>
      </c>
      <c r="D362" s="0" t="n">
        <v>-0.13033738068653</v>
      </c>
      <c r="E362" s="0" t="n">
        <v>-0.412902661630443</v>
      </c>
      <c r="F362" s="0" t="n">
        <v>-0.654127473396811</v>
      </c>
      <c r="G362" s="0" t="n">
        <v>-0.316340549559834</v>
      </c>
      <c r="H362" s="0" t="n">
        <v>-0.159564466089186</v>
      </c>
      <c r="I362" s="0" t="n">
        <v>-0.274420214033584</v>
      </c>
      <c r="J362" s="0" t="n">
        <v>-0.249418986121141</v>
      </c>
      <c r="K362" s="0" t="n">
        <v>0.483294870532996</v>
      </c>
      <c r="L362" s="0" t="n">
        <v>0.383920015272804</v>
      </c>
      <c r="M362" s="0" t="n">
        <v>1.42764606204558</v>
      </c>
      <c r="N362" s="0" t="n">
        <v>-0.489101593180551</v>
      </c>
      <c r="O362" s="0" t="n">
        <v>-0.700409888503008</v>
      </c>
      <c r="P362" s="0" t="n">
        <v>-0.501199160817433</v>
      </c>
      <c r="Q362" s="0" t="n">
        <v>-0.40753129882922</v>
      </c>
      <c r="R362" s="0" t="n">
        <v>-0.147373840859644</v>
      </c>
      <c r="S362" s="0" t="n">
        <v>1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1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0.544587738120754</v>
      </c>
      <c r="AJ362" s="0" t="n">
        <v>0.333333333333333</v>
      </c>
    </row>
    <row r="363" customFormat="false" ht="15" hidden="false" customHeight="false" outlineLevel="0" collapsed="false">
      <c r="A363" s="0" t="s">
        <v>397</v>
      </c>
      <c r="B363" s="0" t="n">
        <v>1</v>
      </c>
      <c r="C363" s="0" t="n">
        <v>-0.152173742294566</v>
      </c>
      <c r="D363" s="0" t="n">
        <v>-0.367781342957324</v>
      </c>
      <c r="E363" s="0" t="n">
        <v>-0.221406710855882</v>
      </c>
      <c r="F363" s="0" t="n">
        <v>0.0919826715481207</v>
      </c>
      <c r="G363" s="0" t="n">
        <v>-0.0949070586587592</v>
      </c>
      <c r="H363" s="0" t="n">
        <v>0.0853637484930592</v>
      </c>
      <c r="I363" s="0" t="n">
        <v>0.609586580778188</v>
      </c>
      <c r="J363" s="0" t="n">
        <v>0.142364745697169</v>
      </c>
      <c r="K363" s="0" t="n">
        <v>-0.801569964985943</v>
      </c>
      <c r="L363" s="0" t="n">
        <v>-0.0580384583471036</v>
      </c>
      <c r="M363" s="0" t="n">
        <v>2.51615502419656</v>
      </c>
      <c r="N363" s="0" t="n">
        <v>-0.251770487294895</v>
      </c>
      <c r="O363" s="0" t="n">
        <v>-0.465491557874449</v>
      </c>
      <c r="P363" s="0" t="n">
        <v>-0.39110410350887</v>
      </c>
      <c r="Q363" s="0" t="n">
        <v>-0.522337078317739</v>
      </c>
      <c r="R363" s="0" t="n">
        <v>-0.428098269240098</v>
      </c>
      <c r="S363" s="0" t="n">
        <v>0</v>
      </c>
      <c r="T363" s="0" t="n">
        <v>1</v>
      </c>
      <c r="U363" s="0" t="n">
        <v>0</v>
      </c>
      <c r="V363" s="0" t="n">
        <v>0</v>
      </c>
      <c r="W363" s="0" t="n">
        <v>1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1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0.558506892717172</v>
      </c>
      <c r="AJ363" s="0" t="n">
        <v>0.666666666666667</v>
      </c>
    </row>
    <row r="364" customFormat="false" ht="15" hidden="false" customHeight="false" outlineLevel="0" collapsed="false">
      <c r="A364" s="0" t="s">
        <v>398</v>
      </c>
      <c r="B364" s="0" t="n">
        <v>1</v>
      </c>
      <c r="C364" s="0" t="n">
        <v>-0.275357426977588</v>
      </c>
      <c r="D364" s="0" t="n">
        <v>-0.369005685488104</v>
      </c>
      <c r="E364" s="0" t="n">
        <v>-0.241499878847575</v>
      </c>
      <c r="F364" s="0" t="n">
        <v>-0.0287284019687003</v>
      </c>
      <c r="G364" s="0" t="n">
        <v>-0.197866487107994</v>
      </c>
      <c r="H364" s="0" t="n">
        <v>-0.0194301003705516</v>
      </c>
      <c r="I364" s="0" t="n">
        <v>0.35355172655462</v>
      </c>
      <c r="J364" s="0" t="n">
        <v>-0.827921600402606</v>
      </c>
      <c r="K364" s="0" t="n">
        <v>-0.0852046023021899</v>
      </c>
      <c r="L364" s="0" t="n">
        <v>0.223297736041061</v>
      </c>
      <c r="M364" s="0" t="n">
        <v>0.767756405330255</v>
      </c>
      <c r="N364" s="0" t="n">
        <v>0.180768021700176</v>
      </c>
      <c r="O364" s="0" t="n">
        <v>-0.152497942235582</v>
      </c>
      <c r="P364" s="0" t="n">
        <v>-0.468916759992839</v>
      </c>
      <c r="Q364" s="0" t="n">
        <v>-0.369148471059926</v>
      </c>
      <c r="R364" s="0" t="n">
        <v>0.686498829957356</v>
      </c>
      <c r="S364" s="0" t="n">
        <v>1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1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0.990078129675154</v>
      </c>
      <c r="AJ364" s="0" t="n">
        <v>1</v>
      </c>
    </row>
    <row r="365" customFormat="false" ht="15" hidden="false" customHeight="false" outlineLevel="0" collapsed="false">
      <c r="A365" s="0" t="s">
        <v>399</v>
      </c>
      <c r="B365" s="0" t="n">
        <v>1</v>
      </c>
      <c r="C365" s="0" t="n">
        <v>-0.288585883768728</v>
      </c>
      <c r="D365" s="0" t="n">
        <v>-0.407390646244058</v>
      </c>
      <c r="E365" s="0" t="n">
        <v>-0.396670939264619</v>
      </c>
      <c r="F365" s="0" t="n">
        <v>0.0223905310281078</v>
      </c>
      <c r="G365" s="0" t="n">
        <v>0.00774677479232427</v>
      </c>
      <c r="H365" s="0" t="n">
        <v>0.13652291749861</v>
      </c>
      <c r="I365" s="0" t="n">
        <v>0.557408182960266</v>
      </c>
      <c r="J365" s="0" t="n">
        <v>0.095975487039884</v>
      </c>
      <c r="K365" s="0" t="n">
        <v>-0.598981304110398</v>
      </c>
      <c r="L365" s="0" t="n">
        <v>-0.219490544391447</v>
      </c>
      <c r="M365" s="0" t="n">
        <v>0.0691535270176003</v>
      </c>
      <c r="N365" s="0" t="n">
        <v>-0.357593447927893</v>
      </c>
      <c r="O365" s="0" t="n">
        <v>0.456299940040546</v>
      </c>
      <c r="P365" s="0" t="n">
        <v>-0.274433557345632</v>
      </c>
      <c r="Q365" s="0" t="n">
        <v>-0.584457061939054</v>
      </c>
      <c r="R365" s="0" t="n">
        <v>0.504902409950735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1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0.448905875037514</v>
      </c>
      <c r="AJ365" s="0" t="n">
        <v>0</v>
      </c>
    </row>
    <row r="366" customFormat="false" ht="15" hidden="false" customHeight="false" outlineLevel="0" collapsed="false">
      <c r="A366" s="0" t="s">
        <v>400</v>
      </c>
      <c r="B366" s="0" t="n">
        <v>1</v>
      </c>
      <c r="C366" s="0" t="n">
        <v>-0.453194410409286</v>
      </c>
      <c r="D366" s="0" t="n">
        <v>-0.36744588642048</v>
      </c>
      <c r="E366" s="0" t="n">
        <v>-0.484302546975081</v>
      </c>
      <c r="F366" s="0" t="n">
        <v>-0.208435511129831</v>
      </c>
      <c r="G366" s="0" t="n">
        <v>-0.0485022008037165</v>
      </c>
      <c r="H366" s="0" t="n">
        <v>0.0629078722797299</v>
      </c>
      <c r="I366" s="0" t="n">
        <v>-0.428956092330063</v>
      </c>
      <c r="J366" s="0" t="n">
        <v>-0.48442617828952</v>
      </c>
      <c r="K366" s="0" t="n">
        <v>-0.563876968069995</v>
      </c>
      <c r="L366" s="0" t="n">
        <v>0.0775037317982763</v>
      </c>
      <c r="M366" s="0" t="n">
        <v>0.163240131087818</v>
      </c>
      <c r="N366" s="0" t="n">
        <v>-0.223414043474791</v>
      </c>
      <c r="O366" s="0" t="n">
        <v>0.36809498029069</v>
      </c>
      <c r="P366" s="0" t="n">
        <v>-0.00647273662015824</v>
      </c>
      <c r="Q366" s="0" t="n">
        <v>-0.402798178798372</v>
      </c>
      <c r="R366" s="0" t="n">
        <v>-1.02059644090613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1</v>
      </c>
      <c r="Y366" s="0" t="n">
        <v>0</v>
      </c>
      <c r="Z366" s="0" t="n">
        <v>0</v>
      </c>
      <c r="AA366" s="0" t="n">
        <v>1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</row>
    <row r="367" customFormat="false" ht="15" hidden="false" customHeight="false" outlineLevel="0" collapsed="false">
      <c r="A367" s="0" t="s">
        <v>401</v>
      </c>
      <c r="B367" s="0" t="n">
        <v>1</v>
      </c>
      <c r="C367" s="0" t="n">
        <v>-0.64806672927034</v>
      </c>
      <c r="D367" s="0" t="n">
        <v>-0.229689039554099</v>
      </c>
      <c r="E367" s="0" t="n">
        <v>-0.395643808441929</v>
      </c>
      <c r="F367" s="0" t="n">
        <v>-0.585601197333039</v>
      </c>
      <c r="G367" s="0" t="n">
        <v>-0.401759995848236</v>
      </c>
      <c r="H367" s="0" t="n">
        <v>-0.234490173220513</v>
      </c>
      <c r="I367" s="0" t="n">
        <v>-0.64571905030574</v>
      </c>
      <c r="J367" s="0" t="n">
        <v>-0.0502123954869522</v>
      </c>
      <c r="K367" s="0" t="n">
        <v>-0.534712583369645</v>
      </c>
      <c r="L367" s="0" t="n">
        <v>0.149467311492055</v>
      </c>
      <c r="M367" s="0" t="n">
        <v>-0.56768918282988</v>
      </c>
      <c r="N367" s="0" t="n">
        <v>-0.634376997389348</v>
      </c>
      <c r="O367" s="0" t="n">
        <v>-0.0150839938706032</v>
      </c>
      <c r="P367" s="0" t="n">
        <v>-0.293895278407538</v>
      </c>
      <c r="Q367" s="0" t="n">
        <v>-0.293987145245473</v>
      </c>
      <c r="R367" s="0" t="n">
        <v>-0.410611489721676</v>
      </c>
      <c r="S367" s="0" t="n">
        <v>1</v>
      </c>
      <c r="T367" s="0" t="n">
        <v>0</v>
      </c>
      <c r="U367" s="0" t="n">
        <v>0</v>
      </c>
      <c r="V367" s="0" t="n">
        <v>0</v>
      </c>
      <c r="W367" s="0" t="n">
        <v>1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1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</row>
    <row r="368" customFormat="false" ht="15" hidden="false" customHeight="false" outlineLevel="0" collapsed="false">
      <c r="A368" s="0" t="s">
        <v>402</v>
      </c>
      <c r="B368" s="0" t="n">
        <v>1</v>
      </c>
      <c r="C368" s="0" t="n">
        <v>-0.84413089320972</v>
      </c>
      <c r="D368" s="0" t="n">
        <v>-0.350183490050303</v>
      </c>
      <c r="E368" s="0" t="n">
        <v>-0.407486575180849</v>
      </c>
      <c r="F368" s="0" t="n">
        <v>-0.620440632190221</v>
      </c>
      <c r="G368" s="0" t="n">
        <v>-0.609678752970481</v>
      </c>
      <c r="H368" s="0" t="n">
        <v>-0.423290671458187</v>
      </c>
      <c r="I368" s="0" t="n">
        <v>-0.56498213121055</v>
      </c>
      <c r="J368" s="0" t="n">
        <v>-0.061355095996858</v>
      </c>
      <c r="K368" s="0" t="n">
        <v>0.0176280316057336</v>
      </c>
      <c r="L368" s="0" t="n">
        <v>-0.575341621442878</v>
      </c>
      <c r="M368" s="0" t="n">
        <v>-0.0614397995822799</v>
      </c>
      <c r="N368" s="0" t="n">
        <v>-0.819721289604813</v>
      </c>
      <c r="O368" s="0" t="n">
        <v>0.26283475997754</v>
      </c>
      <c r="P368" s="0" t="n">
        <v>1.87785240670127</v>
      </c>
      <c r="Q368" s="0" t="n">
        <v>1.49252402611551</v>
      </c>
      <c r="R368" s="0" t="n">
        <v>1.73677546945098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1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</row>
    <row r="369" customFormat="false" ht="15" hidden="false" customHeight="false" outlineLevel="0" collapsed="false">
      <c r="A369" s="0" t="s">
        <v>403</v>
      </c>
      <c r="B369" s="0" t="n">
        <v>1</v>
      </c>
      <c r="C369" s="0" t="n">
        <v>-0.831858496233832</v>
      </c>
      <c r="D369" s="0" t="n">
        <v>-0.324611852452997</v>
      </c>
      <c r="E369" s="0" t="n">
        <v>-0.41842051750724</v>
      </c>
      <c r="F369" s="0" t="n">
        <v>-0.641186772934317</v>
      </c>
      <c r="G369" s="0" t="n">
        <v>-0.581999027549151</v>
      </c>
      <c r="H369" s="0" t="n">
        <v>-0.398714728806715</v>
      </c>
      <c r="I369" s="0" t="n">
        <v>-0.372621413397096</v>
      </c>
      <c r="J369" s="0" t="n">
        <v>-0.00956903130915952</v>
      </c>
      <c r="K369" s="0" t="n">
        <v>-0.154589393792217</v>
      </c>
      <c r="L369" s="0" t="n">
        <v>0.139598946371586</v>
      </c>
      <c r="M369" s="0" t="n">
        <v>-0.243381380582269</v>
      </c>
      <c r="N369" s="0" t="n">
        <v>-0.828762474590933</v>
      </c>
      <c r="O369" s="0" t="n">
        <v>-0.586698792062033</v>
      </c>
      <c r="P369" s="0" t="n">
        <v>-0.662543063478565</v>
      </c>
      <c r="Q369" s="0" t="n">
        <v>-0.406300537703927</v>
      </c>
      <c r="R369" s="0" t="n">
        <v>-0.566079589341167</v>
      </c>
      <c r="S369" s="0" t="n">
        <v>1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1</v>
      </c>
      <c r="AA369" s="0" t="n">
        <v>0</v>
      </c>
      <c r="AB369" s="0" t="n">
        <v>0</v>
      </c>
      <c r="AC369" s="0" t="n">
        <v>0</v>
      </c>
      <c r="AD369" s="0" t="n">
        <v>1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</row>
    <row r="370" customFormat="false" ht="15" hidden="false" customHeight="false" outlineLevel="0" collapsed="false">
      <c r="A370" s="0" t="s">
        <v>404</v>
      </c>
      <c r="B370" s="0" t="n">
        <v>1</v>
      </c>
      <c r="C370" s="0" t="n">
        <v>1.04439347742439</v>
      </c>
      <c r="D370" s="0" t="n">
        <v>-0.529991666190329</v>
      </c>
      <c r="E370" s="0" t="n">
        <v>-0.654783099081648</v>
      </c>
      <c r="F370" s="0" t="n">
        <v>1.71113989940344</v>
      </c>
      <c r="G370" s="0" t="n">
        <v>2.17032538023504</v>
      </c>
      <c r="H370" s="0" t="n">
        <v>1.79015700551124</v>
      </c>
      <c r="I370" s="0" t="n">
        <v>0.110737934655271</v>
      </c>
      <c r="J370" s="0" t="n">
        <v>2.9057684696072</v>
      </c>
      <c r="K370" s="0" t="n">
        <v>-2.34512217060327</v>
      </c>
      <c r="L370" s="0" t="n">
        <v>-0.551678249434745</v>
      </c>
      <c r="M370" s="0" t="n">
        <v>1.45960728993413</v>
      </c>
      <c r="N370" s="0" t="n">
        <v>-0.409991224552</v>
      </c>
      <c r="O370" s="0" t="n">
        <v>2.32410370492941</v>
      </c>
      <c r="P370" s="0" t="n">
        <v>0.768013935412777</v>
      </c>
      <c r="Q370" s="0" t="n">
        <v>1.26300643463342</v>
      </c>
      <c r="R370" s="0" t="n">
        <v>-0.411481321551214</v>
      </c>
      <c r="S370" s="0" t="n">
        <v>0</v>
      </c>
      <c r="T370" s="0" t="n">
        <v>1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1</v>
      </c>
      <c r="AA370" s="0" t="n">
        <v>0</v>
      </c>
      <c r="AB370" s="0" t="n">
        <v>0</v>
      </c>
      <c r="AC370" s="0" t="n">
        <v>0</v>
      </c>
      <c r="AD370" s="0" t="n">
        <v>1</v>
      </c>
      <c r="AE370" s="0" t="n">
        <v>0</v>
      </c>
      <c r="AF370" s="0" t="n">
        <v>0</v>
      </c>
      <c r="AG370" s="0" t="n">
        <v>1</v>
      </c>
      <c r="AH370" s="0" t="n">
        <v>0</v>
      </c>
      <c r="AI370" s="0" t="n">
        <v>0</v>
      </c>
      <c r="AJ370" s="0" t="n">
        <v>0</v>
      </c>
    </row>
    <row r="371" customFormat="false" ht="15" hidden="false" customHeight="false" outlineLevel="0" collapsed="false">
      <c r="A371" s="0" t="s">
        <v>405</v>
      </c>
      <c r="B371" s="0" t="n">
        <v>1</v>
      </c>
      <c r="C371" s="0" t="n">
        <v>1.76237921967762</v>
      </c>
      <c r="D371" s="0" t="n">
        <v>-0.0975163879642735</v>
      </c>
      <c r="E371" s="0" t="n">
        <v>-0.433352469010072</v>
      </c>
      <c r="F371" s="0" t="n">
        <v>1.34418742047658</v>
      </c>
      <c r="G371" s="0" t="n">
        <v>2.43304981754068</v>
      </c>
      <c r="H371" s="0" t="n">
        <v>2.2869638913428</v>
      </c>
      <c r="I371" s="0" t="n">
        <v>0.668018727532532</v>
      </c>
      <c r="J371" s="0" t="n">
        <v>0.0739265044070837</v>
      </c>
      <c r="K371" s="0" t="n">
        <v>-0.973533596173997</v>
      </c>
      <c r="L371" s="0" t="n">
        <v>-0.992912346444061</v>
      </c>
      <c r="M371" s="0" t="n">
        <v>3</v>
      </c>
      <c r="N371" s="0" t="n">
        <v>1.59591895350495</v>
      </c>
      <c r="O371" s="0" t="n">
        <v>3</v>
      </c>
      <c r="P371" s="0" t="n">
        <v>1.49392938961318</v>
      </c>
      <c r="Q371" s="0" t="n">
        <v>0.692399808611178</v>
      </c>
      <c r="R371" s="0" t="n">
        <v>0.0153686949051185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1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0.176559300653219</v>
      </c>
      <c r="AJ371" s="0" t="n">
        <v>0.333333333333333</v>
      </c>
    </row>
    <row r="372" customFormat="false" ht="15" hidden="false" customHeight="false" outlineLevel="0" collapsed="false">
      <c r="A372" s="0" t="s">
        <v>406</v>
      </c>
      <c r="B372" s="0" t="n">
        <v>1</v>
      </c>
      <c r="C372" s="0" t="n">
        <v>1.70427112355439</v>
      </c>
      <c r="D372" s="0" t="n">
        <v>-0.160715069026256</v>
      </c>
      <c r="E372" s="0" t="n">
        <v>-0.422121615546634</v>
      </c>
      <c r="F372" s="0" t="n">
        <v>1.42948797898211</v>
      </c>
      <c r="G372" s="0" t="n">
        <v>2.33633171510113</v>
      </c>
      <c r="H372" s="0" t="n">
        <v>2.21490048804522</v>
      </c>
      <c r="I372" s="0" t="n">
        <v>0.912587753193873</v>
      </c>
      <c r="J372" s="0" t="n">
        <v>-0.9244523568616</v>
      </c>
      <c r="K372" s="0" t="n">
        <v>-0.905909219476747</v>
      </c>
      <c r="L372" s="0" t="n">
        <v>0.531197352457225</v>
      </c>
      <c r="M372" s="0" t="n">
        <v>0.146590039351468</v>
      </c>
      <c r="N372" s="0" t="n">
        <v>2.51935271095096</v>
      </c>
      <c r="O372" s="0" t="n">
        <v>1.0066548434886</v>
      </c>
      <c r="P372" s="0" t="n">
        <v>0.234204452618755</v>
      </c>
      <c r="Q372" s="0" t="n">
        <v>0.0694232667024524</v>
      </c>
      <c r="R372" s="0" t="n">
        <v>-0.0228225653738022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0</v>
      </c>
      <c r="X372" s="0" t="n">
        <v>1</v>
      </c>
      <c r="Y372" s="0" t="n">
        <v>0</v>
      </c>
      <c r="Z372" s="0" t="n">
        <v>0</v>
      </c>
      <c r="AA372" s="0" t="n">
        <v>1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0.70397961209892</v>
      </c>
      <c r="AJ372" s="0" t="n">
        <v>0.666666666666667</v>
      </c>
    </row>
    <row r="373" customFormat="false" ht="15" hidden="false" customHeight="false" outlineLevel="0" collapsed="false">
      <c r="A373" s="0" t="s">
        <v>407</v>
      </c>
      <c r="B373" s="0" t="n">
        <v>1</v>
      </c>
      <c r="C373" s="0" t="n">
        <v>2.04888804425276</v>
      </c>
      <c r="D373" s="0" t="n">
        <v>-0.13105449674423</v>
      </c>
      <c r="E373" s="0" t="n">
        <v>-0.432004068406196</v>
      </c>
      <c r="F373" s="0" t="n">
        <v>1.6674991295417</v>
      </c>
      <c r="G373" s="0" t="n">
        <v>2.76012240603728</v>
      </c>
      <c r="H373" s="0" t="n">
        <v>2.58029595594312</v>
      </c>
      <c r="I373" s="0" t="n">
        <v>0.748990738170899</v>
      </c>
      <c r="J373" s="0" t="n">
        <v>0.875911927030738</v>
      </c>
      <c r="K373" s="0" t="n">
        <v>-0.361313320118625</v>
      </c>
      <c r="L373" s="0" t="n">
        <v>0.76566214420889</v>
      </c>
      <c r="M373" s="0" t="n">
        <v>1.57756529582389</v>
      </c>
      <c r="N373" s="0" t="n">
        <v>1.25810740538719</v>
      </c>
      <c r="O373" s="0" t="n">
        <v>-0.346197669843027</v>
      </c>
      <c r="P373" s="0" t="n">
        <v>-0.564620087729127</v>
      </c>
      <c r="Q373" s="0" t="n">
        <v>-0.535767111360549</v>
      </c>
      <c r="R373" s="0" t="n">
        <v>-0.710526912155244</v>
      </c>
      <c r="S373" s="0" t="n">
        <v>0</v>
      </c>
      <c r="T373" s="0" t="n">
        <v>1</v>
      </c>
      <c r="U373" s="0" t="n">
        <v>0</v>
      </c>
      <c r="V373" s="0" t="n">
        <v>0</v>
      </c>
      <c r="W373" s="0" t="n">
        <v>1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1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1</v>
      </c>
      <c r="AH373" s="0" t="n">
        <v>0</v>
      </c>
      <c r="AI373" s="0" t="n">
        <v>0.42696408221714</v>
      </c>
      <c r="AJ373" s="0" t="n">
        <v>0</v>
      </c>
    </row>
    <row r="374" customFormat="false" ht="15" hidden="false" customHeight="false" outlineLevel="0" collapsed="false">
      <c r="A374" s="0" t="s">
        <v>408</v>
      </c>
      <c r="B374" s="0" t="n">
        <v>1</v>
      </c>
      <c r="C374" s="0" t="n">
        <v>1.21178492123675</v>
      </c>
      <c r="D374" s="0" t="n">
        <v>-0.286515182594704</v>
      </c>
      <c r="E374" s="0" t="n">
        <v>-0.436460019296951</v>
      </c>
      <c r="F374" s="0" t="n">
        <v>1.25782931389153</v>
      </c>
      <c r="G374" s="0" t="n">
        <v>1.80457218759895</v>
      </c>
      <c r="H374" s="0" t="n">
        <v>1.72382129745867</v>
      </c>
      <c r="I374" s="0" t="n">
        <v>0.658168529621859</v>
      </c>
      <c r="J374" s="0" t="n">
        <v>-1.41585003642613</v>
      </c>
      <c r="K374" s="0" t="n">
        <v>-0.535792095254692</v>
      </c>
      <c r="L374" s="0" t="n">
        <v>-0.730760908901547</v>
      </c>
      <c r="M374" s="0" t="n">
        <v>-1.82282959238706</v>
      </c>
      <c r="N374" s="0" t="n">
        <v>2.53969537716973</v>
      </c>
      <c r="O374" s="0" t="n">
        <v>2.13209280621394</v>
      </c>
      <c r="P374" s="0" t="n">
        <v>3</v>
      </c>
      <c r="Q374" s="0" t="n">
        <v>2.53217465347254</v>
      </c>
      <c r="R374" s="0" t="n">
        <v>3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1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0.111258325769462</v>
      </c>
      <c r="AJ374" s="0" t="n">
        <v>0</v>
      </c>
    </row>
    <row r="375" customFormat="false" ht="15" hidden="false" customHeight="false" outlineLevel="0" collapsed="false">
      <c r="A375" s="0" t="s">
        <v>409</v>
      </c>
      <c r="B375" s="0" t="n">
        <v>1</v>
      </c>
      <c r="C375" s="0" t="n">
        <v>-0.220637757709145</v>
      </c>
      <c r="D375" s="0" t="n">
        <v>-0.0310062726956255</v>
      </c>
      <c r="E375" s="0" t="n">
        <v>-0.363374856307993</v>
      </c>
      <c r="F375" s="0" t="n">
        <v>-0.449788478130366</v>
      </c>
      <c r="G375" s="0" t="n">
        <v>0.0339868847789187</v>
      </c>
      <c r="H375" s="0" t="n">
        <v>0.1700540958578</v>
      </c>
      <c r="I375" s="0" t="n">
        <v>0.040229337303544</v>
      </c>
      <c r="J375" s="0" t="n">
        <v>-0.378880960836116</v>
      </c>
      <c r="K375" s="0" t="n">
        <v>-0.334388734873088</v>
      </c>
      <c r="L375" s="0" t="n">
        <v>0.377027788547549</v>
      </c>
      <c r="M375" s="0" t="n">
        <v>0.0519018287857206</v>
      </c>
      <c r="N375" s="0" t="n">
        <v>-0.0415629363675992</v>
      </c>
      <c r="O375" s="0" t="n">
        <v>-0.515125400944604</v>
      </c>
      <c r="P375" s="0" t="n">
        <v>-0.495645379802396</v>
      </c>
      <c r="Q375" s="0" t="n">
        <v>-0.429120155533533</v>
      </c>
      <c r="R375" s="0" t="n">
        <v>-0.299410358316743</v>
      </c>
      <c r="S375" s="0" t="n">
        <v>1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1</v>
      </c>
      <c r="Y375" s="0" t="n">
        <v>0</v>
      </c>
      <c r="Z375" s="0" t="n">
        <v>0</v>
      </c>
      <c r="AA375" s="0" t="n">
        <v>1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</row>
    <row r="376" customFormat="false" ht="15" hidden="false" customHeight="false" outlineLevel="0" collapsed="false">
      <c r="A376" s="0" t="s">
        <v>410</v>
      </c>
      <c r="B376" s="0" t="n">
        <v>1</v>
      </c>
      <c r="C376" s="0" t="n">
        <v>-0.306685018375817</v>
      </c>
      <c r="D376" s="0" t="n">
        <v>-0.117655708966958</v>
      </c>
      <c r="E376" s="0" t="n">
        <v>-0.543942647488528</v>
      </c>
      <c r="F376" s="0" t="n">
        <v>-0.418161837218269</v>
      </c>
      <c r="G376" s="0" t="n">
        <v>0.225369940351962</v>
      </c>
      <c r="H376" s="0" t="n">
        <v>0.278832125824795</v>
      </c>
      <c r="I376" s="0" t="n">
        <v>0.249180379334389</v>
      </c>
      <c r="J376" s="0" t="n">
        <v>0.0399390128698175</v>
      </c>
      <c r="K376" s="0" t="n">
        <v>-0.129107237316227</v>
      </c>
      <c r="L376" s="0" t="n">
        <v>0.431378809390489</v>
      </c>
      <c r="M376" s="0" t="n">
        <v>-0.00583119532370472</v>
      </c>
      <c r="N376" s="0" t="n">
        <v>-0.347935818510902</v>
      </c>
      <c r="O376" s="0" t="n">
        <v>-0.48608991402314</v>
      </c>
      <c r="P376" s="0" t="n">
        <v>-0.580503373113998</v>
      </c>
      <c r="Q376" s="0" t="n">
        <v>-0.49848116738089</v>
      </c>
      <c r="R376" s="0" t="n">
        <v>-0.833740800258171</v>
      </c>
      <c r="S376" s="0" t="n">
        <v>1</v>
      </c>
      <c r="T376" s="0" t="n">
        <v>0</v>
      </c>
      <c r="U376" s="0" t="n">
        <v>0</v>
      </c>
      <c r="V376" s="0" t="n">
        <v>0</v>
      </c>
      <c r="W376" s="0" t="n">
        <v>1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1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</row>
    <row r="377" customFormat="false" ht="15" hidden="false" customHeight="false" outlineLevel="0" collapsed="false">
      <c r="A377" s="0" t="s">
        <v>411</v>
      </c>
      <c r="B377" s="0" t="n">
        <v>1</v>
      </c>
      <c r="C377" s="0" t="n">
        <v>-0.596527902465082</v>
      </c>
      <c r="D377" s="0" t="n">
        <v>0.0240071149552144</v>
      </c>
      <c r="E377" s="0" t="n">
        <v>-0.564705898291474</v>
      </c>
      <c r="F377" s="0" t="n">
        <v>-0.819439382882257</v>
      </c>
      <c r="G377" s="0" t="n">
        <v>-0.094976950843617</v>
      </c>
      <c r="H377" s="0" t="n">
        <v>0.00328520277235112</v>
      </c>
      <c r="I377" s="0" t="n">
        <v>0.213670995587887</v>
      </c>
      <c r="J377" s="0" t="n">
        <v>-0.254716136939713</v>
      </c>
      <c r="K377" s="0" t="n">
        <v>0.912256722229293</v>
      </c>
      <c r="L377" s="0" t="n">
        <v>-0.214614520838961</v>
      </c>
      <c r="M377" s="0" t="n">
        <v>0.0838206669648732</v>
      </c>
      <c r="N377" s="0" t="n">
        <v>-0.489512556134466</v>
      </c>
      <c r="O377" s="0" t="n">
        <v>0.604779527950704</v>
      </c>
      <c r="P377" s="0" t="n">
        <v>1.70736639195648</v>
      </c>
      <c r="Q377" s="0" t="n">
        <v>1.5288854824522</v>
      </c>
      <c r="R377" s="0" t="n">
        <v>2.25871784397699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1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</row>
    <row r="378" customFormat="false" ht="15" hidden="false" customHeight="false" outlineLevel="0" collapsed="false">
      <c r="A378" s="0" t="s">
        <v>412</v>
      </c>
      <c r="B378" s="0" t="n">
        <v>1</v>
      </c>
      <c r="C378" s="0" t="n">
        <v>-0.980913295709859</v>
      </c>
      <c r="D378" s="0" t="n">
        <v>-0.199670220839486</v>
      </c>
      <c r="E378" s="0" t="n">
        <v>-0.55904957194187</v>
      </c>
      <c r="F378" s="0" t="n">
        <v>-0.924747080065267</v>
      </c>
      <c r="G378" s="0" t="n">
        <v>-0.575742026118864</v>
      </c>
      <c r="H378" s="0" t="n">
        <v>-0.398412215289645</v>
      </c>
      <c r="I378" s="0" t="n">
        <v>0.135107327246004</v>
      </c>
      <c r="J378" s="0" t="n">
        <v>0.096169183152204</v>
      </c>
      <c r="K378" s="0" t="n">
        <v>-0.124916006989991</v>
      </c>
      <c r="L378" s="0" t="n">
        <v>-1.10397310835815</v>
      </c>
      <c r="M378" s="0" t="n">
        <v>-0.437042880358267</v>
      </c>
      <c r="N378" s="0" t="n">
        <v>-1.01102454465204</v>
      </c>
      <c r="O378" s="0" t="n">
        <v>-0.429192300578956</v>
      </c>
      <c r="P378" s="0" t="n">
        <v>-0.561517896721623</v>
      </c>
      <c r="Q378" s="0" t="n">
        <v>-0.489045717101633</v>
      </c>
      <c r="R378" s="0" t="n">
        <v>-0.390450837469459</v>
      </c>
      <c r="S378" s="0" t="n">
        <v>0</v>
      </c>
      <c r="T378" s="0" t="n">
        <v>1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0</v>
      </c>
      <c r="AB378" s="0" t="n">
        <v>0</v>
      </c>
      <c r="AC378" s="0" t="n">
        <v>0</v>
      </c>
      <c r="AD378" s="0" t="n">
        <v>1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</row>
    <row r="379" customFormat="false" ht="15" hidden="false" customHeight="false" outlineLevel="0" collapsed="false">
      <c r="A379" s="0" t="s">
        <v>413</v>
      </c>
      <c r="B379" s="0" t="n">
        <v>1</v>
      </c>
      <c r="C379" s="0" t="n">
        <v>-0.815921304101705</v>
      </c>
      <c r="D379" s="0" t="n">
        <v>-0.696831191224236</v>
      </c>
      <c r="E379" s="0" t="n">
        <v>-0.581475372425717</v>
      </c>
      <c r="F379" s="0" t="n">
        <v>-0.0277825141553954</v>
      </c>
      <c r="G379" s="0" t="n">
        <v>-0.340361377553589</v>
      </c>
      <c r="H379" s="0" t="n">
        <v>-0.204136397816545</v>
      </c>
      <c r="I379" s="0" t="n">
        <v>-0.698249341263127</v>
      </c>
      <c r="J379" s="0" t="n">
        <v>0.341231269393503</v>
      </c>
      <c r="K379" s="0" t="n">
        <v>-0.0282027451717204</v>
      </c>
      <c r="L379" s="0" t="n">
        <v>0.805851844088527</v>
      </c>
      <c r="M379" s="0" t="n">
        <v>0.696509759981435</v>
      </c>
      <c r="N379" s="0" t="n">
        <v>-0.946708842364411</v>
      </c>
      <c r="O379" s="0" t="n">
        <v>-0.352868886358515</v>
      </c>
      <c r="P379" s="0" t="n">
        <v>-0.575198961838634</v>
      </c>
      <c r="Q379" s="0" t="n">
        <v>-0.569584300085145</v>
      </c>
      <c r="R379" s="0" t="n">
        <v>-0.356072281373633</v>
      </c>
      <c r="S379" s="0" t="n">
        <v>0</v>
      </c>
      <c r="T379" s="0" t="n">
        <v>1</v>
      </c>
      <c r="U379" s="0" t="n">
        <v>0</v>
      </c>
      <c r="V379" s="0" t="n">
        <v>0</v>
      </c>
      <c r="W379" s="0" t="n">
        <v>0</v>
      </c>
      <c r="X379" s="0" t="n">
        <v>1</v>
      </c>
      <c r="Y379" s="0" t="n">
        <v>0</v>
      </c>
      <c r="Z379" s="0" t="n">
        <v>0</v>
      </c>
      <c r="AA379" s="0" t="n">
        <v>1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</row>
    <row r="380" customFormat="false" ht="15" hidden="false" customHeight="false" outlineLevel="0" collapsed="false">
      <c r="A380" s="0" t="s">
        <v>414</v>
      </c>
      <c r="B380" s="0" t="n">
        <v>1</v>
      </c>
      <c r="C380" s="0" t="n">
        <v>-0.843672654195601</v>
      </c>
      <c r="D380" s="0" t="n">
        <v>-0.591727647891763</v>
      </c>
      <c r="E380" s="0" t="n">
        <v>-0.518692586388933</v>
      </c>
      <c r="F380" s="0" t="n">
        <v>-0.257610319620217</v>
      </c>
      <c r="G380" s="0" t="n">
        <v>-0.463970798371216</v>
      </c>
      <c r="H380" s="0" t="n">
        <v>-0.301297813784365</v>
      </c>
      <c r="I380" s="0" t="n">
        <v>-0.381453359896454</v>
      </c>
      <c r="J380" s="0" t="n">
        <v>0.568578785460191</v>
      </c>
      <c r="K380" s="0" t="n">
        <v>0.295754210749541</v>
      </c>
      <c r="L380" s="0" t="n">
        <v>-0.385406747722812</v>
      </c>
      <c r="M380" s="0" t="n">
        <v>0.176392502839761</v>
      </c>
      <c r="N380" s="0" t="n">
        <v>-1.04924409936609</v>
      </c>
      <c r="O380" s="0" t="n">
        <v>-0.596019190367159</v>
      </c>
      <c r="P380" s="0" t="n">
        <v>-0.34871410615893</v>
      </c>
      <c r="Q380" s="0" t="n">
        <v>-0.197993395669287</v>
      </c>
      <c r="R380" s="0" t="n">
        <v>-0.554348039865268</v>
      </c>
      <c r="S380" s="0" t="n">
        <v>1</v>
      </c>
      <c r="T380" s="0" t="n">
        <v>0</v>
      </c>
      <c r="U380" s="0" t="n">
        <v>0</v>
      </c>
      <c r="V380" s="0" t="n">
        <v>0</v>
      </c>
      <c r="W380" s="0" t="n">
        <v>1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1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0.0687734721637147</v>
      </c>
      <c r="AJ380" s="0" t="n">
        <v>0.333333333333333</v>
      </c>
    </row>
    <row r="381" customFormat="false" ht="15" hidden="false" customHeight="false" outlineLevel="0" collapsed="false">
      <c r="A381" s="0" t="s">
        <v>415</v>
      </c>
      <c r="B381" s="0" t="n">
        <v>1</v>
      </c>
      <c r="C381" s="0" t="n">
        <v>-0.765344143763675</v>
      </c>
      <c r="D381" s="0" t="n">
        <v>-0.872681458639737</v>
      </c>
      <c r="E381" s="0" t="n">
        <v>-0.580919599598874</v>
      </c>
      <c r="F381" s="0" t="n">
        <v>0.448482317214964</v>
      </c>
      <c r="G381" s="0" t="n">
        <v>-0.278423645950715</v>
      </c>
      <c r="H381" s="0" t="n">
        <v>-0.152701950761359</v>
      </c>
      <c r="I381" s="0" t="n">
        <v>-0.183515279683486</v>
      </c>
      <c r="J381" s="0" t="n">
        <v>-0.271874339114322</v>
      </c>
      <c r="K381" s="0" t="n">
        <v>-0.149599220891602</v>
      </c>
      <c r="L381" s="0" t="n">
        <v>0.523520263782763</v>
      </c>
      <c r="M381" s="0" t="n">
        <v>0.51532952468098</v>
      </c>
      <c r="N381" s="0" t="n">
        <v>-0.651431959976802</v>
      </c>
      <c r="O381" s="0" t="n">
        <v>-0.763559229485453</v>
      </c>
      <c r="P381" s="0" t="n">
        <v>-0.476358842773124</v>
      </c>
      <c r="Q381" s="0" t="n">
        <v>-0.570374582768668</v>
      </c>
      <c r="R381" s="0" t="n">
        <v>-0.150331729768227</v>
      </c>
      <c r="S381" s="0" t="n">
        <v>1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1</v>
      </c>
      <c r="Y381" s="0" t="n">
        <v>0</v>
      </c>
      <c r="Z381" s="0" t="n">
        <v>0</v>
      </c>
      <c r="AA381" s="0" t="n">
        <v>1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</row>
    <row r="382" customFormat="false" ht="15" hidden="false" customHeight="false" outlineLevel="0" collapsed="false">
      <c r="A382" s="0" t="s">
        <v>416</v>
      </c>
      <c r="B382" s="0" t="n">
        <v>1</v>
      </c>
      <c r="C382" s="0" t="n">
        <v>-0.827199349976166</v>
      </c>
      <c r="D382" s="0" t="n">
        <v>-0.874500135048665</v>
      </c>
      <c r="E382" s="0" t="n">
        <v>-0.620614979119968</v>
      </c>
      <c r="F382" s="0" t="n">
        <v>0.366870341117951</v>
      </c>
      <c r="G382" s="0" t="n">
        <v>-0.295446294962619</v>
      </c>
      <c r="H382" s="0" t="n">
        <v>-0.172970882897348</v>
      </c>
      <c r="I382" s="0" t="n">
        <v>-0.763615078248125</v>
      </c>
      <c r="J382" s="0" t="n">
        <v>0.0409172513375149</v>
      </c>
      <c r="K382" s="0" t="n">
        <v>-0.104329131099844</v>
      </c>
      <c r="L382" s="0" t="n">
        <v>-1.12916718709862</v>
      </c>
      <c r="M382" s="0" t="n">
        <v>-0.176896796002135</v>
      </c>
      <c r="N382" s="0" t="n">
        <v>-0.844379066839686</v>
      </c>
      <c r="O382" s="0" t="n">
        <v>-0.263532858669806</v>
      </c>
      <c r="P382" s="0" t="n">
        <v>-0.264177463544681</v>
      </c>
      <c r="Q382" s="0" t="n">
        <v>-0.420066339724779</v>
      </c>
      <c r="R382" s="0" t="n">
        <v>0.673309208369797</v>
      </c>
      <c r="S382" s="0" t="n">
        <v>1</v>
      </c>
      <c r="T382" s="0" t="n">
        <v>0</v>
      </c>
      <c r="U382" s="0" t="n">
        <v>0</v>
      </c>
      <c r="V382" s="0" t="n">
        <v>0</v>
      </c>
      <c r="W382" s="0" t="n">
        <v>1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1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</row>
    <row r="383" customFormat="false" ht="15" hidden="false" customHeight="false" outlineLevel="0" collapsed="false">
      <c r="A383" s="0" t="s">
        <v>417</v>
      </c>
      <c r="B383" s="0" t="n">
        <v>1</v>
      </c>
      <c r="C383" s="0" t="n">
        <v>-0.609452502085191</v>
      </c>
      <c r="D383" s="0" t="n">
        <v>-0.531115070292871</v>
      </c>
      <c r="E383" s="0" t="n">
        <v>-0.418844938138929</v>
      </c>
      <c r="F383" s="0" t="n">
        <v>-0.101645988408382</v>
      </c>
      <c r="G383" s="0" t="n">
        <v>-0.326341421358677</v>
      </c>
      <c r="H383" s="0" t="n">
        <v>-0.169404517050861</v>
      </c>
      <c r="I383" s="0" t="n">
        <v>-0.233615402823349</v>
      </c>
      <c r="J383" s="0" t="n">
        <v>-0.570674728588118</v>
      </c>
      <c r="K383" s="0" t="n">
        <v>0.423575352255271</v>
      </c>
      <c r="L383" s="0" t="n">
        <v>0.151054306762083</v>
      </c>
      <c r="M383" s="0" t="n">
        <v>1.63386607921302</v>
      </c>
      <c r="N383" s="0" t="n">
        <v>-0.341565892725226</v>
      </c>
      <c r="O383" s="0" t="n">
        <v>-0.214491515306425</v>
      </c>
      <c r="P383" s="0" t="n">
        <v>-0.164033476258284</v>
      </c>
      <c r="Q383" s="0" t="n">
        <v>0.183101889505515</v>
      </c>
      <c r="R383" s="0" t="n">
        <v>1.16655811533038</v>
      </c>
      <c r="S383" s="0" t="n">
        <v>1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1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0.533659283963255</v>
      </c>
      <c r="AJ383" s="0" t="n">
        <v>0.333333333333333</v>
      </c>
    </row>
    <row r="384" customFormat="false" ht="15" hidden="false" customHeight="false" outlineLevel="0" collapsed="false">
      <c r="A384" s="0" t="s">
        <v>418</v>
      </c>
      <c r="B384" s="0" t="n">
        <v>1</v>
      </c>
      <c r="C384" s="0" t="n">
        <v>-0.59534170594163</v>
      </c>
      <c r="D384" s="0" t="n">
        <v>-0.56856460123548</v>
      </c>
      <c r="E384" s="0" t="n">
        <v>-0.819895622624878</v>
      </c>
      <c r="F384" s="0" t="n">
        <v>-0.0179947553840682</v>
      </c>
      <c r="G384" s="0" t="n">
        <v>0.372700494121095</v>
      </c>
      <c r="H384" s="0" t="n">
        <v>0.283366569810136</v>
      </c>
      <c r="I384" s="0" t="n">
        <v>-0.0183407161773737</v>
      </c>
      <c r="J384" s="0" t="n">
        <v>-0.885524095454402</v>
      </c>
      <c r="K384" s="0" t="n">
        <v>-0.708667993763968</v>
      </c>
      <c r="L384" s="0" t="n">
        <v>0.158228832208063</v>
      </c>
      <c r="M384" s="0" t="n">
        <v>-0.256689959652177</v>
      </c>
      <c r="N384" s="0" t="n">
        <v>-0.143892711892324</v>
      </c>
      <c r="O384" s="0" t="n">
        <v>0.372389987128006</v>
      </c>
      <c r="P384" s="0" t="n">
        <v>-0.275978613469358</v>
      </c>
      <c r="Q384" s="0" t="n">
        <v>-0.0720216669651712</v>
      </c>
      <c r="R384" s="0" t="n">
        <v>-1.1689160047189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0</v>
      </c>
      <c r="X384" s="0" t="n">
        <v>1</v>
      </c>
      <c r="Y384" s="0" t="n">
        <v>0</v>
      </c>
      <c r="Z384" s="0" t="n">
        <v>0</v>
      </c>
      <c r="AA384" s="0" t="n">
        <v>1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0.51660328847874</v>
      </c>
      <c r="AJ384" s="0" t="n">
        <v>0</v>
      </c>
    </row>
    <row r="385" customFormat="false" ht="15" hidden="false" customHeight="false" outlineLevel="0" collapsed="false">
      <c r="A385" s="0" t="s">
        <v>419</v>
      </c>
      <c r="B385" s="0" t="n">
        <v>1</v>
      </c>
      <c r="C385" s="0" t="n">
        <v>-0.704538862688309</v>
      </c>
      <c r="D385" s="0" t="n">
        <v>-0.838400068774254</v>
      </c>
      <c r="E385" s="0" t="n">
        <v>-0.822213782751602</v>
      </c>
      <c r="F385" s="0" t="n">
        <v>0.441517961257654</v>
      </c>
      <c r="G385" s="0" t="n">
        <v>0.22327700628968</v>
      </c>
      <c r="H385" s="0" t="n">
        <v>0.173540473948263</v>
      </c>
      <c r="I385" s="0" t="n">
        <v>-0.203972955856183</v>
      </c>
      <c r="J385" s="0" t="n">
        <v>-0.520913589040934</v>
      </c>
      <c r="K385" s="0" t="n">
        <v>-0.0386498600288397</v>
      </c>
      <c r="L385" s="0" t="n">
        <v>0.886913467577658</v>
      </c>
      <c r="M385" s="0" t="n">
        <v>0.405402365674388</v>
      </c>
      <c r="N385" s="0" t="n">
        <v>-0.468758926961781</v>
      </c>
      <c r="O385" s="0" t="n">
        <v>-0.366287280078248</v>
      </c>
      <c r="P385" s="0" t="n">
        <v>-0.483415993812359</v>
      </c>
      <c r="Q385" s="0" t="n">
        <v>-0.417802393895391</v>
      </c>
      <c r="R385" s="0" t="n">
        <v>-0.00266780628895593</v>
      </c>
      <c r="S385" s="0" t="n">
        <v>1</v>
      </c>
      <c r="T385" s="0" t="n">
        <v>0</v>
      </c>
      <c r="U385" s="0" t="n">
        <v>0</v>
      </c>
      <c r="V385" s="0" t="n">
        <v>0</v>
      </c>
      <c r="W385" s="0" t="n">
        <v>1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1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0.23861680062341</v>
      </c>
      <c r="AJ385" s="0" t="n">
        <v>0</v>
      </c>
    </row>
    <row r="386" customFormat="false" ht="15" hidden="false" customHeight="false" outlineLevel="0" collapsed="false">
      <c r="A386" s="0" t="s">
        <v>420</v>
      </c>
      <c r="B386" s="0" t="n">
        <v>1</v>
      </c>
      <c r="C386" s="0" t="n">
        <v>-0.816801234150852</v>
      </c>
      <c r="D386" s="0" t="n">
        <v>-0.695325223966445</v>
      </c>
      <c r="E386" s="0" t="n">
        <v>-0.756454031313723</v>
      </c>
      <c r="F386" s="0" t="n">
        <v>-0.0319036568653906</v>
      </c>
      <c r="G386" s="0" t="n">
        <v>-0.0570171088536321</v>
      </c>
      <c r="H386" s="0" t="n">
        <v>-0.013832336995925</v>
      </c>
      <c r="I386" s="0" t="n">
        <v>-0.314834348755793</v>
      </c>
      <c r="J386" s="0" t="n">
        <v>-0.067659484746046</v>
      </c>
      <c r="K386" s="0" t="n">
        <v>-0.149766442883367</v>
      </c>
      <c r="L386" s="0" t="n">
        <v>0.131698260101833</v>
      </c>
      <c r="M386" s="0" t="n">
        <v>-0.107974637549722</v>
      </c>
      <c r="N386" s="0" t="n">
        <v>-0.180160192575284</v>
      </c>
      <c r="O386" s="0" t="n">
        <v>-0.319185332251216</v>
      </c>
      <c r="P386" s="0" t="n">
        <v>-0.335176607133119</v>
      </c>
      <c r="Q386" s="0" t="n">
        <v>-0.300944850024711</v>
      </c>
      <c r="R386" s="0" t="n">
        <v>-0.248813617506255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1</v>
      </c>
      <c r="AI386" s="0" t="n">
        <v>0</v>
      </c>
      <c r="AJ386" s="0" t="n">
        <v>0</v>
      </c>
    </row>
    <row r="387" customFormat="false" ht="15" hidden="false" customHeight="false" outlineLevel="0" collapsed="false">
      <c r="A387" s="0" t="s">
        <v>421</v>
      </c>
      <c r="B387" s="0" t="n">
        <v>1</v>
      </c>
      <c r="C387" s="0" t="n">
        <v>-0.833601280856008</v>
      </c>
      <c r="D387" s="0" t="n">
        <v>-0.0300963016685733</v>
      </c>
      <c r="E387" s="0" t="n">
        <v>-0.595912889804807</v>
      </c>
      <c r="F387" s="0" t="n">
        <v>-0.963325885828635</v>
      </c>
      <c r="G387" s="0" t="n">
        <v>-0.340906180091414</v>
      </c>
      <c r="H387" s="0" t="n">
        <v>-0.206551626598501</v>
      </c>
      <c r="I387" s="0" t="n">
        <v>1.12156965214358</v>
      </c>
      <c r="J387" s="0" t="n">
        <v>-0.471687139253204</v>
      </c>
      <c r="K387" s="0" t="n">
        <v>-1.05139726481724</v>
      </c>
      <c r="L387" s="0" t="n">
        <v>-1.5578709562397</v>
      </c>
      <c r="M387" s="0" t="n">
        <v>0.784349273532409</v>
      </c>
      <c r="N387" s="0" t="n">
        <v>-0.628828997511501</v>
      </c>
      <c r="O387" s="0" t="n">
        <v>-0.646602609541589</v>
      </c>
      <c r="P387" s="0" t="n">
        <v>-0.575600466833773</v>
      </c>
      <c r="Q387" s="0" t="n">
        <v>-0.61381334111875</v>
      </c>
      <c r="R387" s="0" t="n">
        <v>-0.54537491092613</v>
      </c>
      <c r="S387" s="0" t="n">
        <v>0</v>
      </c>
      <c r="T387" s="0" t="n">
        <v>1</v>
      </c>
      <c r="U387" s="0" t="n">
        <v>0</v>
      </c>
      <c r="V387" s="0" t="n">
        <v>0</v>
      </c>
      <c r="W387" s="0" t="n">
        <v>1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1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</row>
    <row r="388" customFormat="false" ht="15" hidden="false" customHeight="false" outlineLevel="0" collapsed="false">
      <c r="A388" s="0" t="s">
        <v>422</v>
      </c>
      <c r="B388" s="0" t="n">
        <v>1</v>
      </c>
      <c r="C388" s="0" t="n">
        <v>-0.866949818073738</v>
      </c>
      <c r="D388" s="0" t="n">
        <v>-0.0180506608712252</v>
      </c>
      <c r="E388" s="0" t="n">
        <v>-0.592566160396475</v>
      </c>
      <c r="F388" s="0" t="n">
        <v>-1.00225104433288</v>
      </c>
      <c r="G388" s="0" t="n">
        <v>-0.387521878509762</v>
      </c>
      <c r="H388" s="0" t="n">
        <v>-0.244523038134601</v>
      </c>
      <c r="I388" s="0" t="n">
        <v>0.692623522434496</v>
      </c>
      <c r="J388" s="0" t="n">
        <v>-0.067659484746046</v>
      </c>
      <c r="K388" s="0" t="n">
        <v>-0.149766442883367</v>
      </c>
      <c r="L388" s="0" t="n">
        <v>0.131698260101833</v>
      </c>
      <c r="M388" s="0" t="n">
        <v>-0.107974637549722</v>
      </c>
      <c r="N388" s="0" t="n">
        <v>-0.180160192575284</v>
      </c>
      <c r="O388" s="0" t="n">
        <v>-0.319185332251216</v>
      </c>
      <c r="P388" s="0" t="n">
        <v>-0.335176607133119</v>
      </c>
      <c r="Q388" s="0" t="n">
        <v>-0.300944850024711</v>
      </c>
      <c r="R388" s="0" t="n">
        <v>-0.248813617506255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1</v>
      </c>
      <c r="AI388" s="0" t="n">
        <v>0</v>
      </c>
      <c r="AJ388" s="0" t="n">
        <v>0</v>
      </c>
    </row>
    <row r="389" customFormat="false" ht="15" hidden="false" customHeight="false" outlineLevel="0" collapsed="false">
      <c r="A389" s="0" t="s">
        <v>423</v>
      </c>
      <c r="B389" s="0" t="n">
        <v>1</v>
      </c>
      <c r="C389" s="0" t="n">
        <v>-0.673926079097567</v>
      </c>
      <c r="D389" s="0" t="n">
        <v>-0.295017806705676</v>
      </c>
      <c r="E389" s="0" t="n">
        <v>-0.598858853702491</v>
      </c>
      <c r="F389" s="0" t="n">
        <v>-0.526958788160749</v>
      </c>
      <c r="G389" s="0" t="n">
        <v>-0.136549314440977</v>
      </c>
      <c r="H389" s="0" t="n">
        <v>-0.0390333256030513</v>
      </c>
      <c r="I389" s="0" t="n">
        <v>1.25615721597176</v>
      </c>
      <c r="J389" s="0" t="n">
        <v>1.17439589774406</v>
      </c>
      <c r="K389" s="0" t="n">
        <v>-1.273534156979</v>
      </c>
      <c r="L389" s="0" t="n">
        <v>-3</v>
      </c>
      <c r="M389" s="0" t="n">
        <v>0.28261932558539</v>
      </c>
      <c r="N389" s="0" t="n">
        <v>-1.09547743168148</v>
      </c>
      <c r="O389" s="0" t="n">
        <v>3</v>
      </c>
      <c r="P389" s="0" t="n">
        <v>0.258769861591315</v>
      </c>
      <c r="Q389" s="0" t="n">
        <v>-0.300944850024711</v>
      </c>
      <c r="R389" s="0" t="n">
        <v>0.463810339760212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1</v>
      </c>
      <c r="AA389" s="0" t="n">
        <v>0</v>
      </c>
      <c r="AB389" s="0" t="n">
        <v>0</v>
      </c>
      <c r="AC389" s="0" t="n">
        <v>0</v>
      </c>
      <c r="AD389" s="0" t="n">
        <v>1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0.147368388171744</v>
      </c>
      <c r="AJ389" s="0" t="n">
        <v>0.333333333333333</v>
      </c>
    </row>
    <row r="390" customFormat="false" ht="15" hidden="false" customHeight="false" outlineLevel="0" collapsed="false">
      <c r="A390" s="0" t="s">
        <v>424</v>
      </c>
      <c r="B390" s="0" t="n">
        <v>1</v>
      </c>
      <c r="C390" s="0" t="n">
        <v>-0.169012790442065</v>
      </c>
      <c r="D390" s="0" t="n">
        <v>0.16249379314242</v>
      </c>
      <c r="E390" s="0" t="n">
        <v>-0.448246509882049</v>
      </c>
      <c r="F390" s="0" t="n">
        <v>-0.619400899350654</v>
      </c>
      <c r="G390" s="0" t="n">
        <v>0.226953523551696</v>
      </c>
      <c r="H390" s="0" t="n">
        <v>0.31591826542147</v>
      </c>
      <c r="I390" s="0" t="n">
        <v>-1.0604858872319</v>
      </c>
      <c r="J390" s="0" t="n">
        <v>-1.24223748891969</v>
      </c>
      <c r="K390" s="0" t="n">
        <v>0.540073170488698</v>
      </c>
      <c r="L390" s="0" t="n">
        <v>-0.204544948677942</v>
      </c>
      <c r="M390" s="0" t="n">
        <v>-0.435907950003463</v>
      </c>
      <c r="N390" s="0" t="n">
        <v>0.61906001205005</v>
      </c>
      <c r="O390" s="0" t="n">
        <v>-0.316378028289479</v>
      </c>
      <c r="P390" s="0" t="n">
        <v>0.104770348857614</v>
      </c>
      <c r="Q390" s="0" t="n">
        <v>-0.430122773055764</v>
      </c>
      <c r="R390" s="0" t="n">
        <v>-1.0274365908712</v>
      </c>
      <c r="S390" s="0" t="n">
        <v>1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1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</row>
    <row r="391" customFormat="false" ht="15" hidden="false" customHeight="false" outlineLevel="0" collapsed="false">
      <c r="A391" s="0" t="s">
        <v>425</v>
      </c>
      <c r="B391" s="0" t="n">
        <v>1</v>
      </c>
      <c r="C391" s="0" t="n">
        <v>-0.143641600158025</v>
      </c>
      <c r="D391" s="0" t="n">
        <v>-0.275114258589909</v>
      </c>
      <c r="E391" s="0" t="n">
        <v>-0.295200931041057</v>
      </c>
      <c r="F391" s="0" t="n">
        <v>-0.0508068178644299</v>
      </c>
      <c r="G391" s="0" t="n">
        <v>0.0179276823418826</v>
      </c>
      <c r="H391" s="0" t="n">
        <v>0.17478224880035</v>
      </c>
      <c r="I391" s="0" t="n">
        <v>-0.0973796680453199</v>
      </c>
      <c r="J391" s="0" t="n">
        <v>-0.183315421764315</v>
      </c>
      <c r="K391" s="0" t="n">
        <v>0.554138879224034</v>
      </c>
      <c r="L391" s="0" t="n">
        <v>0.881638249586522</v>
      </c>
      <c r="M391" s="0" t="n">
        <v>-0.274895197050316</v>
      </c>
      <c r="N391" s="0" t="n">
        <v>-0.0742344912038066</v>
      </c>
      <c r="O391" s="0" t="n">
        <v>-0.56175608513384</v>
      </c>
      <c r="P391" s="0" t="n">
        <v>-0.580987684588017</v>
      </c>
      <c r="Q391" s="0" t="n">
        <v>-0.439081378326657</v>
      </c>
      <c r="R391" s="0" t="n">
        <v>-0.527421299458906</v>
      </c>
      <c r="S391" s="0" t="n">
        <v>0</v>
      </c>
      <c r="T391" s="0" t="n">
        <v>0</v>
      </c>
      <c r="U391" s="0" t="n">
        <v>0</v>
      </c>
      <c r="V391" s="0" t="n">
        <v>1</v>
      </c>
      <c r="W391" s="0" t="n">
        <v>1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1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0.597745335499191</v>
      </c>
      <c r="AJ391" s="0" t="n">
        <v>0.333333333333333</v>
      </c>
    </row>
    <row r="392" customFormat="false" ht="15" hidden="false" customHeight="false" outlineLevel="0" collapsed="false">
      <c r="A392" s="0" t="s">
        <v>426</v>
      </c>
      <c r="B392" s="0" t="n">
        <v>1</v>
      </c>
      <c r="C392" s="0" t="n">
        <v>-0.316591171485358</v>
      </c>
      <c r="D392" s="0" t="n">
        <v>-0.275515465381762</v>
      </c>
      <c r="E392" s="0" t="n">
        <v>-0.280397014122026</v>
      </c>
      <c r="F392" s="0" t="n">
        <v>-0.213916175869977</v>
      </c>
      <c r="G392" s="0" t="n">
        <v>-0.189807963688079</v>
      </c>
      <c r="H392" s="0" t="n">
        <v>-0.0193527033730839</v>
      </c>
      <c r="I392" s="0" t="n">
        <v>-0.33700082813236</v>
      </c>
      <c r="J392" s="0" t="n">
        <v>-0.372041379558484</v>
      </c>
      <c r="K392" s="0" t="n">
        <v>2.09298081926634</v>
      </c>
      <c r="L392" s="0" t="n">
        <v>-0.591131728004639</v>
      </c>
      <c r="M392" s="0" t="n">
        <v>1.79853798592343</v>
      </c>
      <c r="N392" s="0" t="n">
        <v>-0.144098193369282</v>
      </c>
      <c r="O392" s="0" t="n">
        <v>-0.701643410265624</v>
      </c>
      <c r="P392" s="0" t="n">
        <v>-0.198812119198413</v>
      </c>
      <c r="Q392" s="0" t="n">
        <v>0.174289846089958</v>
      </c>
      <c r="R392" s="0" t="n">
        <v>0.125330461004794</v>
      </c>
      <c r="S392" s="0" t="n">
        <v>1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1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0.573574761683691</v>
      </c>
      <c r="AJ392" s="0" t="n">
        <v>0</v>
      </c>
    </row>
    <row r="393" customFormat="false" ht="15" hidden="false" customHeight="false" outlineLevel="0" collapsed="false">
      <c r="A393" s="0" t="s">
        <v>427</v>
      </c>
      <c r="B393" s="0" t="n">
        <v>1</v>
      </c>
      <c r="C393" s="0" t="n">
        <v>-0.0641819666126631</v>
      </c>
      <c r="D393" s="0" t="n">
        <v>-0.386438367565577</v>
      </c>
      <c r="E393" s="0" t="n">
        <v>-0.410336392398135</v>
      </c>
      <c r="F393" s="0" t="n">
        <v>0.212899230239193</v>
      </c>
      <c r="G393" s="0" t="n">
        <v>0.285004130864151</v>
      </c>
      <c r="H393" s="0" t="n">
        <v>0.382358163056122</v>
      </c>
      <c r="I393" s="0" t="n">
        <v>-0.099141115841496</v>
      </c>
      <c r="J393" s="0" t="n">
        <v>-0.334188811581661</v>
      </c>
      <c r="K393" s="0" t="n">
        <v>0.173976237298682</v>
      </c>
      <c r="L393" s="0" t="n">
        <v>0.773046350883485</v>
      </c>
      <c r="M393" s="0" t="n">
        <v>0.364394809314223</v>
      </c>
      <c r="N393" s="0" t="n">
        <v>0.0924109866085457</v>
      </c>
      <c r="O393" s="0" t="n">
        <v>-0.571873795920413</v>
      </c>
      <c r="P393" s="0" t="n">
        <v>-0.468075212298338</v>
      </c>
      <c r="Q393" s="0" t="n">
        <v>-0.320093640152238</v>
      </c>
      <c r="R393" s="0" t="n">
        <v>-1.10852777539279</v>
      </c>
      <c r="S393" s="0" t="n">
        <v>1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1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</row>
    <row r="394" customFormat="false" ht="15" hidden="false" customHeight="false" outlineLevel="0" collapsed="false">
      <c r="A394" s="0" t="s">
        <v>428</v>
      </c>
      <c r="B394" s="0" t="n">
        <v>1</v>
      </c>
      <c r="C394" s="0" t="n">
        <v>-0.382944629110224</v>
      </c>
      <c r="D394" s="0" t="n">
        <v>-0.637996616761659</v>
      </c>
      <c r="E394" s="0" t="n">
        <v>-0.37922424904274</v>
      </c>
      <c r="F394" s="0" t="n">
        <v>0.367361647459332</v>
      </c>
      <c r="G394" s="0" t="n">
        <v>-0.12478055134589</v>
      </c>
      <c r="H394" s="0" t="n">
        <v>0.0203667090177</v>
      </c>
      <c r="I394" s="0" t="n">
        <v>-0.274620120881465</v>
      </c>
      <c r="J394" s="0" t="n">
        <v>-0.067659484746046</v>
      </c>
      <c r="K394" s="0" t="n">
        <v>-0.149766442883367</v>
      </c>
      <c r="L394" s="0" t="n">
        <v>0.131698260101833</v>
      </c>
      <c r="M394" s="0" t="n">
        <v>-0.107974637549722</v>
      </c>
      <c r="N394" s="0" t="n">
        <v>-0.180160192575284</v>
      </c>
      <c r="O394" s="0" t="n">
        <v>-0.319185332251216</v>
      </c>
      <c r="P394" s="0" t="n">
        <v>-0.335176607133119</v>
      </c>
      <c r="Q394" s="0" t="n">
        <v>-0.300944850024711</v>
      </c>
      <c r="R394" s="0" t="n">
        <v>-0.248813617506255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1</v>
      </c>
      <c r="AI394" s="0" t="n">
        <v>0</v>
      </c>
      <c r="AJ394" s="0" t="n">
        <v>0</v>
      </c>
    </row>
    <row r="395" customFormat="false" ht="15" hidden="false" customHeight="false" outlineLevel="0" collapsed="false">
      <c r="A395" s="0" t="s">
        <v>429</v>
      </c>
      <c r="B395" s="0" t="n">
        <v>1</v>
      </c>
      <c r="C395" s="0" t="n">
        <v>-0.738668137303837</v>
      </c>
      <c r="D395" s="0" t="n">
        <v>-0.667228069915858</v>
      </c>
      <c r="E395" s="0" t="n">
        <v>-0.381191519776254</v>
      </c>
      <c r="F395" s="0" t="n">
        <v>0.00624980617871057</v>
      </c>
      <c r="G395" s="0" t="n">
        <v>-0.522949007452607</v>
      </c>
      <c r="H395" s="0" t="n">
        <v>-0.343508080801675</v>
      </c>
      <c r="I395" s="0" t="n">
        <v>-0.781069132307336</v>
      </c>
      <c r="J395" s="0" t="n">
        <v>-0.755750960279541</v>
      </c>
      <c r="K395" s="0" t="n">
        <v>1.65772754133853</v>
      </c>
      <c r="L395" s="0" t="n">
        <v>0.631534491876541</v>
      </c>
      <c r="M395" s="0" t="n">
        <v>0.199231520508706</v>
      </c>
      <c r="N395" s="0" t="n">
        <v>-0.380812854824066</v>
      </c>
      <c r="O395" s="0" t="n">
        <v>-0.0619231787069723</v>
      </c>
      <c r="P395" s="0" t="n">
        <v>2.42731905305003</v>
      </c>
      <c r="Q395" s="0" t="n">
        <v>2.17377129082211</v>
      </c>
      <c r="R395" s="0" t="n">
        <v>0.547233890653715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1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</row>
    <row r="396" customFormat="false" ht="15" hidden="false" customHeight="false" outlineLevel="0" collapsed="false">
      <c r="A396" s="0" t="s">
        <v>430</v>
      </c>
      <c r="B396" s="0" t="n">
        <v>1</v>
      </c>
      <c r="C396" s="0" t="n">
        <v>-0.88143253745612</v>
      </c>
      <c r="D396" s="0" t="n">
        <v>-0.346816172261476</v>
      </c>
      <c r="E396" s="0" t="n">
        <v>-0.240404079840119</v>
      </c>
      <c r="F396" s="0" t="n">
        <v>-0.661523477957736</v>
      </c>
      <c r="G396" s="0" t="n">
        <v>-0.841141760874515</v>
      </c>
      <c r="H396" s="0" t="n">
        <v>-0.64425336550258</v>
      </c>
      <c r="I396" s="0" t="n">
        <v>-0.430178583137751</v>
      </c>
      <c r="J396" s="0" t="n">
        <v>0.0685128265148513</v>
      </c>
      <c r="K396" s="0" t="n">
        <v>0.181032451713218</v>
      </c>
      <c r="L396" s="0" t="n">
        <v>0.417794544265373</v>
      </c>
      <c r="M396" s="0" t="n">
        <v>-0.272523923557142</v>
      </c>
      <c r="N396" s="0" t="n">
        <v>-0.906639954357742</v>
      </c>
      <c r="O396" s="0" t="n">
        <v>-0.179797234453484</v>
      </c>
      <c r="P396" s="0" t="n">
        <v>-0.615607696644148</v>
      </c>
      <c r="Q396" s="0" t="n">
        <v>-0.444801424301801</v>
      </c>
      <c r="R396" s="0" t="n">
        <v>0.136371229230335</v>
      </c>
      <c r="S396" s="0" t="n">
        <v>1</v>
      </c>
      <c r="T396" s="0" t="n">
        <v>0</v>
      </c>
      <c r="U396" s="0" t="n">
        <v>0</v>
      </c>
      <c r="V396" s="0" t="n">
        <v>0</v>
      </c>
      <c r="W396" s="0" t="n">
        <v>1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1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0</v>
      </c>
      <c r="AJ396" s="0" t="n">
        <v>0</v>
      </c>
    </row>
    <row r="397" customFormat="false" ht="15" hidden="false" customHeight="false" outlineLevel="0" collapsed="false">
      <c r="A397" s="0" t="s">
        <v>431</v>
      </c>
      <c r="B397" s="0" t="n">
        <v>1</v>
      </c>
      <c r="C397" s="0" t="n">
        <v>-0.825084672245369</v>
      </c>
      <c r="D397" s="0" t="n">
        <v>-0.976955078414255</v>
      </c>
      <c r="E397" s="0" t="n">
        <v>-0.861474610733313</v>
      </c>
      <c r="F397" s="0" t="n">
        <v>0.662880286401509</v>
      </c>
      <c r="G397" s="0" t="n">
        <v>0.129816996688506</v>
      </c>
      <c r="H397" s="0" t="n">
        <v>0.0924065171537303</v>
      </c>
      <c r="I397" s="0" t="n">
        <v>-1.73499345214285</v>
      </c>
      <c r="J397" s="0" t="n">
        <v>0.828751892293618</v>
      </c>
      <c r="K397" s="0" t="n">
        <v>-1.32228335703976</v>
      </c>
      <c r="L397" s="0" t="n">
        <v>-1.51615238465874</v>
      </c>
      <c r="M397" s="0" t="n">
        <v>-1.37635978360409</v>
      </c>
      <c r="N397" s="0" t="n">
        <v>-1.11561461642329</v>
      </c>
      <c r="O397" s="0" t="n">
        <v>0.413604216511684</v>
      </c>
      <c r="P397" s="0" t="n">
        <v>0.156160282080817</v>
      </c>
      <c r="Q397" s="0" t="n">
        <v>0.36635235505874</v>
      </c>
      <c r="R397" s="0" t="n">
        <v>-0.139442192238402</v>
      </c>
      <c r="S397" s="0" t="n">
        <v>1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1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0</v>
      </c>
    </row>
    <row r="398" customFormat="false" ht="15" hidden="false" customHeight="false" outlineLevel="0" collapsed="false">
      <c r="A398" s="0" t="s">
        <v>432</v>
      </c>
      <c r="B398" s="0" t="n">
        <v>1</v>
      </c>
      <c r="C398" s="0" t="n">
        <v>-0.83981963370246</v>
      </c>
      <c r="D398" s="0" t="n">
        <v>-0.697594449236671</v>
      </c>
      <c r="E398" s="0" t="n">
        <v>-1.13193091538849</v>
      </c>
      <c r="F398" s="0" t="n">
        <v>-0.0555299406197478</v>
      </c>
      <c r="G398" s="0" t="n">
        <v>0.748539576346069</v>
      </c>
      <c r="H398" s="0" t="n">
        <v>0.3727883718598</v>
      </c>
      <c r="I398" s="0" t="n">
        <v>1.78638717203727</v>
      </c>
      <c r="J398" s="0" t="n">
        <v>1.1906469167192</v>
      </c>
      <c r="K398" s="0" t="n">
        <v>0.280021025496984</v>
      </c>
      <c r="L398" s="0" t="n">
        <v>0.650298392837763</v>
      </c>
      <c r="M398" s="0" t="n">
        <v>0.372347800824455</v>
      </c>
      <c r="N398" s="0" t="n">
        <v>-1.23171165090416</v>
      </c>
      <c r="O398" s="0" t="n">
        <v>-0.887948151110289</v>
      </c>
      <c r="P398" s="0" t="n">
        <v>-0.434608237470405</v>
      </c>
      <c r="Q398" s="0" t="n">
        <v>-0.250977390996569</v>
      </c>
      <c r="R398" s="0" t="n">
        <v>-0.994382394584324</v>
      </c>
      <c r="S398" s="0" t="n">
        <v>0</v>
      </c>
      <c r="T398" s="0" t="n">
        <v>0</v>
      </c>
      <c r="U398" s="0" t="n">
        <v>0</v>
      </c>
      <c r="V398" s="0" t="n">
        <v>1</v>
      </c>
      <c r="W398" s="0" t="n">
        <v>1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1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0</v>
      </c>
      <c r="AJ398" s="0" t="n">
        <v>0</v>
      </c>
    </row>
    <row r="399" customFormat="false" ht="15" hidden="false" customHeight="false" outlineLevel="0" collapsed="false">
      <c r="A399" s="0" t="s">
        <v>433</v>
      </c>
      <c r="B399" s="0" t="n">
        <v>1</v>
      </c>
      <c r="C399" s="0" t="n">
        <v>-1.07803966873272</v>
      </c>
      <c r="D399" s="0" t="n">
        <v>-0.688337296044864</v>
      </c>
      <c r="E399" s="0" t="n">
        <v>-1.1616018816778</v>
      </c>
      <c r="F399" s="0" t="n">
        <v>-0.364091226685625</v>
      </c>
      <c r="G399" s="0" t="n">
        <v>0.415699857427866</v>
      </c>
      <c r="H399" s="0" t="n">
        <v>0.160093175887156</v>
      </c>
      <c r="I399" s="0" t="n">
        <v>-0.115338769948494</v>
      </c>
      <c r="J399" s="0" t="n">
        <v>-0.731912554511031</v>
      </c>
      <c r="K399" s="0" t="n">
        <v>-0.184196840341094</v>
      </c>
      <c r="L399" s="0" t="n">
        <v>0.139778125616004</v>
      </c>
      <c r="M399" s="0" t="n">
        <v>-0.343794352108266</v>
      </c>
      <c r="N399" s="0" t="n">
        <v>-0.768145438888536</v>
      </c>
      <c r="O399" s="0" t="n">
        <v>-0.614075829377962</v>
      </c>
      <c r="P399" s="0" t="n">
        <v>-0.518774110781535</v>
      </c>
      <c r="Q399" s="0" t="n">
        <v>-0.405089854401659</v>
      </c>
      <c r="R399" s="0" t="n">
        <v>-0.440917136554134</v>
      </c>
      <c r="S399" s="0" t="n">
        <v>0</v>
      </c>
      <c r="T399" s="0" t="n">
        <v>1</v>
      </c>
      <c r="U399" s="0" t="n">
        <v>0</v>
      </c>
      <c r="V399" s="0" t="n">
        <v>0</v>
      </c>
      <c r="W399" s="0" t="n">
        <v>0</v>
      </c>
      <c r="X399" s="0" t="n">
        <v>0</v>
      </c>
      <c r="Y399" s="0" t="n">
        <v>1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1</v>
      </c>
      <c r="AH399" s="0" t="n">
        <v>0</v>
      </c>
      <c r="AI399" s="0" t="n">
        <v>0</v>
      </c>
      <c r="AJ399" s="0" t="n">
        <v>0</v>
      </c>
    </row>
    <row r="400" customFormat="false" ht="15" hidden="false" customHeight="false" outlineLevel="0" collapsed="false">
      <c r="A400" s="0" t="s">
        <v>434</v>
      </c>
      <c r="B400" s="0" t="n">
        <v>1</v>
      </c>
      <c r="C400" s="0" t="n">
        <v>-1.1829262720415</v>
      </c>
      <c r="D400" s="0" t="n">
        <v>-0.727506759771277</v>
      </c>
      <c r="E400" s="0" t="n">
        <v>-1.14232655325498</v>
      </c>
      <c r="F400" s="0" t="n">
        <v>-0.42379282218126</v>
      </c>
      <c r="G400" s="0" t="n">
        <v>0.183999113580894</v>
      </c>
      <c r="H400" s="0" t="n">
        <v>0.0311059834308994</v>
      </c>
      <c r="I400" s="0" t="n">
        <v>-1.31913301503334</v>
      </c>
      <c r="J400" s="0" t="n">
        <v>0.350405413205441</v>
      </c>
      <c r="K400" s="0" t="n">
        <v>-0.284214760503308</v>
      </c>
      <c r="L400" s="0" t="n">
        <v>0.20920740737852</v>
      </c>
      <c r="M400" s="0" t="n">
        <v>-0.502534475433299</v>
      </c>
      <c r="N400" s="0" t="n">
        <v>-1.28164364980477</v>
      </c>
      <c r="O400" s="0" t="n">
        <v>-0.434897418257729</v>
      </c>
      <c r="P400" s="0" t="n">
        <v>-0.383432134655421</v>
      </c>
      <c r="Q400" s="0" t="n">
        <v>-0.447809217853235</v>
      </c>
      <c r="R400" s="0" t="n">
        <v>0.478952623141448</v>
      </c>
      <c r="S400" s="0" t="n">
        <v>1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1</v>
      </c>
      <c r="Y400" s="0" t="n">
        <v>0</v>
      </c>
      <c r="Z400" s="0" t="n">
        <v>0</v>
      </c>
      <c r="AA400" s="0" t="n">
        <v>1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0</v>
      </c>
    </row>
    <row r="401" customFormat="false" ht="15" hidden="false" customHeight="false" outlineLevel="0" collapsed="false">
      <c r="A401" s="0" t="s">
        <v>435</v>
      </c>
      <c r="B401" s="0" t="n">
        <v>1</v>
      </c>
      <c r="C401" s="0" t="n">
        <v>-1.33088593053876</v>
      </c>
      <c r="D401" s="0" t="n">
        <v>-1.14767308586477</v>
      </c>
      <c r="E401" s="0" t="n">
        <v>-1.1034591337927</v>
      </c>
      <c r="F401" s="0" t="n">
        <v>0.382898523635539</v>
      </c>
      <c r="G401" s="0" t="n">
        <v>-0.157529070429246</v>
      </c>
      <c r="H401" s="0" t="n">
        <v>-0.163611003043035</v>
      </c>
      <c r="I401" s="0" t="n">
        <v>0.239199493091022</v>
      </c>
      <c r="J401" s="0" t="n">
        <v>-1.03671462906859</v>
      </c>
      <c r="K401" s="0" t="n">
        <v>-0.0953108539687269</v>
      </c>
      <c r="L401" s="0" t="n">
        <v>1.05606543209142</v>
      </c>
      <c r="M401" s="0" t="n">
        <v>-0.380042869816333</v>
      </c>
      <c r="N401" s="0" t="n">
        <v>-0.91198247275863</v>
      </c>
      <c r="O401" s="0" t="n">
        <v>-0.760166561755047</v>
      </c>
      <c r="P401" s="0" t="n">
        <v>-0.545868884127594</v>
      </c>
      <c r="Q401" s="0" t="n">
        <v>-0.559254657181142</v>
      </c>
      <c r="R401" s="0" t="n">
        <v>0.670130473897315</v>
      </c>
      <c r="S401" s="0" t="n">
        <v>0</v>
      </c>
      <c r="T401" s="0" t="n">
        <v>1</v>
      </c>
      <c r="U401" s="0" t="n">
        <v>0</v>
      </c>
      <c r="V401" s="0" t="n">
        <v>0</v>
      </c>
      <c r="W401" s="0" t="n">
        <v>0</v>
      </c>
      <c r="X401" s="0" t="n">
        <v>1</v>
      </c>
      <c r="Y401" s="0" t="n">
        <v>0</v>
      </c>
      <c r="Z401" s="0" t="n">
        <v>0</v>
      </c>
      <c r="AA401" s="0" t="n">
        <v>1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0.0310086854082207</v>
      </c>
      <c r="AJ401" s="0" t="n">
        <v>0.333333333333333</v>
      </c>
    </row>
    <row r="402" customFormat="false" ht="15" hidden="false" customHeight="false" outlineLevel="0" collapsed="false">
      <c r="A402" s="0" t="s">
        <v>436</v>
      </c>
      <c r="B402" s="0" t="n">
        <v>1</v>
      </c>
      <c r="C402" s="0" t="n">
        <v>-1.18597437346516</v>
      </c>
      <c r="D402" s="0" t="n">
        <v>-0.906296151484246</v>
      </c>
      <c r="E402" s="0" t="n">
        <v>-1.04232879973319</v>
      </c>
      <c r="F402" s="0" t="n">
        <v>-0.0622932133318816</v>
      </c>
      <c r="G402" s="0" t="n">
        <v>-0.0485913321457941</v>
      </c>
      <c r="H402" s="0" t="n">
        <v>-0.0813038114520795</v>
      </c>
      <c r="I402" s="0" t="n">
        <v>-0.164531894155068</v>
      </c>
      <c r="J402" s="0" t="n">
        <v>0.440961555607361</v>
      </c>
      <c r="K402" s="0" t="n">
        <v>0.0665664074311775</v>
      </c>
      <c r="L402" s="0" t="n">
        <v>2.34975997882489</v>
      </c>
      <c r="M402" s="0" t="n">
        <v>-0.256505667413344</v>
      </c>
      <c r="N402" s="0" t="n">
        <v>-1.31123298248662</v>
      </c>
      <c r="O402" s="0" t="n">
        <v>-0.666779995616231</v>
      </c>
      <c r="P402" s="0" t="n">
        <v>-0.575501828042069</v>
      </c>
      <c r="Q402" s="0" t="n">
        <v>-0.444417003880382</v>
      </c>
      <c r="R402" s="0" t="n">
        <v>-0.140834867377477</v>
      </c>
      <c r="S402" s="0" t="n">
        <v>0</v>
      </c>
      <c r="T402" s="0" t="n">
        <v>1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1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0</v>
      </c>
      <c r="AJ402" s="0" t="n">
        <v>0</v>
      </c>
    </row>
    <row r="403" customFormat="false" ht="15" hidden="false" customHeight="false" outlineLevel="0" collapsed="false">
      <c r="A403" s="0" t="s">
        <v>437</v>
      </c>
      <c r="B403" s="0" t="n">
        <v>1</v>
      </c>
      <c r="C403" s="0" t="n">
        <v>-0.87086691556509</v>
      </c>
      <c r="D403" s="0" t="n">
        <v>-1.00640477545878</v>
      </c>
      <c r="E403" s="0" t="n">
        <v>-1.08791917942205</v>
      </c>
      <c r="F403" s="0" t="n">
        <v>0.685463089659056</v>
      </c>
      <c r="G403" s="0" t="n">
        <v>0.576631643200965</v>
      </c>
      <c r="H403" s="0" t="n">
        <v>0.292747811022221</v>
      </c>
      <c r="I403" s="0" t="n">
        <v>-0.134409725502099</v>
      </c>
      <c r="J403" s="0" t="n">
        <v>1.61603146041641</v>
      </c>
      <c r="K403" s="0" t="n">
        <v>-0.803385312993264</v>
      </c>
      <c r="L403" s="0" t="n">
        <v>-0.606687832119261</v>
      </c>
      <c r="M403" s="0" t="n">
        <v>-0.634026554045196</v>
      </c>
      <c r="N403" s="0" t="n">
        <v>-1.36363075911073</v>
      </c>
      <c r="O403" s="0" t="n">
        <v>-0.839470239410714</v>
      </c>
      <c r="P403" s="0" t="n">
        <v>-0.0920137598190835</v>
      </c>
      <c r="Q403" s="0" t="n">
        <v>0.140775593937723</v>
      </c>
      <c r="R403" s="0" t="n">
        <v>-0.395686426024841</v>
      </c>
      <c r="S403" s="0" t="n">
        <v>0</v>
      </c>
      <c r="T403" s="0" t="n">
        <v>0</v>
      </c>
      <c r="U403" s="0" t="n">
        <v>0</v>
      </c>
      <c r="V403" s="0" t="n">
        <v>1</v>
      </c>
      <c r="W403" s="0" t="n">
        <v>1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1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0</v>
      </c>
    </row>
    <row r="404" customFormat="false" ht="15" hidden="false" customHeight="false" outlineLevel="0" collapsed="false">
      <c r="A404" s="0" t="s">
        <v>438</v>
      </c>
      <c r="B404" s="0" t="n">
        <v>1</v>
      </c>
      <c r="C404" s="0" t="n">
        <v>-1.36910828922955</v>
      </c>
      <c r="D404" s="0" t="n">
        <v>-1.10561212925886</v>
      </c>
      <c r="E404" s="0" t="n">
        <v>-1.41558727313125</v>
      </c>
      <c r="F404" s="0" t="n">
        <v>0.181423103297383</v>
      </c>
      <c r="G404" s="0" t="n">
        <v>0.609399784077279</v>
      </c>
      <c r="H404" s="0" t="n">
        <v>0.138140571532217</v>
      </c>
      <c r="I404" s="0" t="n">
        <v>-0.105097695319369</v>
      </c>
      <c r="J404" s="0" t="n">
        <v>-0.236992016636511</v>
      </c>
      <c r="K404" s="0" t="n">
        <v>0.0290715694546861</v>
      </c>
      <c r="L404" s="0" t="n">
        <v>-0.183710398696096</v>
      </c>
      <c r="M404" s="0" t="n">
        <v>-0.572404589804072</v>
      </c>
      <c r="N404" s="0" t="n">
        <v>-1.27198602038778</v>
      </c>
      <c r="O404" s="0" t="n">
        <v>-0.845626455639339</v>
      </c>
      <c r="P404" s="0" t="n">
        <v>-0.702724937821882</v>
      </c>
      <c r="Q404" s="0" t="n">
        <v>-0.479318511486995</v>
      </c>
      <c r="R404" s="0" t="n">
        <v>-0.533858756093736</v>
      </c>
      <c r="S404" s="0" t="n">
        <v>0</v>
      </c>
      <c r="T404" s="0" t="n">
        <v>1</v>
      </c>
      <c r="U404" s="0" t="n">
        <v>0</v>
      </c>
      <c r="V404" s="0" t="n">
        <v>0</v>
      </c>
      <c r="W404" s="0" t="n">
        <v>0</v>
      </c>
      <c r="X404" s="0" t="n">
        <v>1</v>
      </c>
      <c r="Y404" s="0" t="n">
        <v>0</v>
      </c>
      <c r="Z404" s="0" t="n">
        <v>0</v>
      </c>
      <c r="AA404" s="0" t="n">
        <v>1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0</v>
      </c>
      <c r="AJ404" s="0" t="n">
        <v>0</v>
      </c>
    </row>
    <row r="405" customFormat="false" ht="15" hidden="false" customHeight="false" outlineLevel="0" collapsed="false">
      <c r="A405" s="0" t="s">
        <v>439</v>
      </c>
      <c r="B405" s="0" t="n">
        <v>1</v>
      </c>
      <c r="C405" s="0" t="n">
        <v>-1.25614778279835</v>
      </c>
      <c r="D405" s="0" t="n">
        <v>-1.0953094778072</v>
      </c>
      <c r="E405" s="0" t="n">
        <v>-1.28006256718121</v>
      </c>
      <c r="F405" s="0" t="n">
        <v>0.34215515028864</v>
      </c>
      <c r="G405" s="0" t="n">
        <v>0.415307280631634</v>
      </c>
      <c r="H405" s="0" t="n">
        <v>0.106276368971311</v>
      </c>
      <c r="I405" s="0" t="n">
        <v>0.224045820262013</v>
      </c>
      <c r="J405" s="0" t="n">
        <v>-0.401383438386058</v>
      </c>
      <c r="K405" s="0" t="n">
        <v>-0.0820641035642792</v>
      </c>
      <c r="L405" s="0" t="n">
        <v>0.572356715803432</v>
      </c>
      <c r="M405" s="0" t="n">
        <v>-0.310499749309889</v>
      </c>
      <c r="N405" s="0" t="n">
        <v>-1.09835417235888</v>
      </c>
      <c r="O405" s="0" t="n">
        <v>-0.823317874576229</v>
      </c>
      <c r="P405" s="0" t="n">
        <v>-0.667363220446872</v>
      </c>
      <c r="Q405" s="0" t="n">
        <v>-0.509568213653304</v>
      </c>
      <c r="R405" s="0" t="n">
        <v>-0.314578313344329</v>
      </c>
      <c r="S405" s="0" t="n">
        <v>0</v>
      </c>
      <c r="T405" s="0" t="n">
        <v>1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1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J405" s="0" t="n">
        <v>0</v>
      </c>
    </row>
    <row r="406" customFormat="false" ht="15" hidden="false" customHeight="false" outlineLevel="0" collapsed="false">
      <c r="A406" s="0" t="s">
        <v>440</v>
      </c>
      <c r="B406" s="0" t="n">
        <v>1</v>
      </c>
      <c r="C406" s="0" t="n">
        <v>-1.42648030804582</v>
      </c>
      <c r="D406" s="0" t="n">
        <v>-1.17945491581577</v>
      </c>
      <c r="E406" s="0" t="n">
        <v>-1.30562164990671</v>
      </c>
      <c r="F406" s="0" t="n">
        <v>0.317023181055928</v>
      </c>
      <c r="G406" s="0" t="n">
        <v>0.157198380414546</v>
      </c>
      <c r="H406" s="0" t="n">
        <v>-0.0410587291104082</v>
      </c>
      <c r="I406" s="0" t="n">
        <v>0.248963673737858</v>
      </c>
      <c r="J406" s="0" t="n">
        <v>0.0270080451781155</v>
      </c>
      <c r="K406" s="0" t="n">
        <v>0.298394523115707</v>
      </c>
      <c r="L406" s="0" t="n">
        <v>1.16015630372354</v>
      </c>
      <c r="M406" s="0" t="n">
        <v>-0.41395823387871</v>
      </c>
      <c r="N406" s="0" t="n">
        <v>-1.41130246176482</v>
      </c>
      <c r="O406" s="0" t="n">
        <v>-0.88938196569434</v>
      </c>
      <c r="P406" s="0" t="n">
        <v>-0.690607634483565</v>
      </c>
      <c r="Q406" s="0" t="n">
        <v>-0.419588858963051</v>
      </c>
      <c r="R406" s="0" t="n">
        <v>-0.493141855100344</v>
      </c>
      <c r="S406" s="0" t="n">
        <v>0</v>
      </c>
      <c r="T406" s="0" t="n">
        <v>1</v>
      </c>
      <c r="U406" s="0" t="n">
        <v>0</v>
      </c>
      <c r="V406" s="0" t="n">
        <v>0</v>
      </c>
      <c r="W406" s="0" t="n">
        <v>0</v>
      </c>
      <c r="X406" s="0" t="n">
        <v>1</v>
      </c>
      <c r="Y406" s="0" t="n">
        <v>0</v>
      </c>
      <c r="Z406" s="0" t="n">
        <v>0</v>
      </c>
      <c r="AA406" s="0" t="n">
        <v>1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0</v>
      </c>
      <c r="AJ406" s="0" t="n">
        <v>0</v>
      </c>
    </row>
    <row r="407" customFormat="false" ht="15" hidden="false" customHeight="false" outlineLevel="0" collapsed="false">
      <c r="A407" s="0" t="s">
        <v>441</v>
      </c>
      <c r="B407" s="0" t="n">
        <v>1</v>
      </c>
      <c r="C407" s="0" t="n">
        <v>-1.39335965350991</v>
      </c>
      <c r="D407" s="0" t="n">
        <v>-1.00728031153814</v>
      </c>
      <c r="E407" s="0" t="n">
        <v>-1.34540501034952</v>
      </c>
      <c r="F407" s="0" t="n">
        <v>-0.128856564877889</v>
      </c>
      <c r="G407" s="0" t="n">
        <v>0.336342850005757</v>
      </c>
      <c r="H407" s="0" t="n">
        <v>0.03649465045896</v>
      </c>
      <c r="I407" s="0" t="n">
        <v>0.613540586500783</v>
      </c>
      <c r="J407" s="0" t="n">
        <v>-0.358408941952748</v>
      </c>
      <c r="K407" s="0" t="n">
        <v>-0.318501223101946</v>
      </c>
      <c r="L407" s="0" t="n">
        <v>-0.674852084229489</v>
      </c>
      <c r="M407" s="0" t="n">
        <v>-0.215291600511153</v>
      </c>
      <c r="N407" s="0" t="n">
        <v>-1.25513653927729</v>
      </c>
      <c r="O407" s="0" t="n">
        <v>-0.669806013213013</v>
      </c>
      <c r="P407" s="0" t="n">
        <v>-0.61828931589488</v>
      </c>
      <c r="Q407" s="0" t="n">
        <v>-0.422683769094565</v>
      </c>
      <c r="R407" s="0" t="n">
        <v>-1.15340187241417</v>
      </c>
      <c r="S407" s="0" t="n">
        <v>0</v>
      </c>
      <c r="T407" s="0" t="n">
        <v>1</v>
      </c>
      <c r="U407" s="0" t="n">
        <v>0</v>
      </c>
      <c r="V407" s="0" t="n">
        <v>0</v>
      </c>
      <c r="W407" s="0" t="n">
        <v>0</v>
      </c>
      <c r="X407" s="0" t="n">
        <v>1</v>
      </c>
      <c r="Y407" s="0" t="n">
        <v>0</v>
      </c>
      <c r="Z407" s="0" t="n">
        <v>0</v>
      </c>
      <c r="AA407" s="0" t="n">
        <v>1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</row>
    <row r="408" customFormat="false" ht="15" hidden="false" customHeight="false" outlineLevel="0" collapsed="false">
      <c r="A408" s="0" t="s">
        <v>442</v>
      </c>
      <c r="B408" s="0" t="n">
        <v>1</v>
      </c>
      <c r="C408" s="0" t="n">
        <v>-1.56161386359858</v>
      </c>
      <c r="D408" s="0" t="n">
        <v>-1.06009179093945</v>
      </c>
      <c r="E408" s="0" t="n">
        <v>-1.41892332279008</v>
      </c>
      <c r="F408" s="0" t="n">
        <v>-0.266810054227933</v>
      </c>
      <c r="G408" s="0" t="n">
        <v>0.206889306614845</v>
      </c>
      <c r="H408" s="0" t="n">
        <v>-0.0562940776437948</v>
      </c>
      <c r="I408" s="0" t="n">
        <v>-0.098667552266586</v>
      </c>
      <c r="J408" s="0" t="n">
        <v>-0.56411831430359</v>
      </c>
      <c r="K408" s="0" t="n">
        <v>0.536999638355763</v>
      </c>
      <c r="L408" s="0" t="n">
        <v>0.809380842391362</v>
      </c>
      <c r="M408" s="0" t="n">
        <v>-0.393267995102215</v>
      </c>
      <c r="N408" s="0" t="n">
        <v>-1.36034305547941</v>
      </c>
      <c r="O408" s="0" t="n">
        <v>-0.93253633749142</v>
      </c>
      <c r="P408" s="0" t="n">
        <v>-0.620682901412615</v>
      </c>
      <c r="Q408" s="0" t="n">
        <v>-0.482181545396525</v>
      </c>
      <c r="R408" s="0" t="n">
        <v>-0.362533484966728</v>
      </c>
      <c r="S408" s="0" t="n">
        <v>0</v>
      </c>
      <c r="T408" s="0" t="n">
        <v>1</v>
      </c>
      <c r="U408" s="0" t="n">
        <v>0</v>
      </c>
      <c r="V408" s="0" t="n">
        <v>0</v>
      </c>
      <c r="W408" s="0" t="n">
        <v>0</v>
      </c>
      <c r="X408" s="0" t="n">
        <v>1</v>
      </c>
      <c r="Y408" s="0" t="n">
        <v>0</v>
      </c>
      <c r="Z408" s="0" t="n">
        <v>0</v>
      </c>
      <c r="AA408" s="0" t="n">
        <v>1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0.131961926264982</v>
      </c>
      <c r="AJ408" s="0" t="n">
        <v>0.333333333333333</v>
      </c>
    </row>
    <row r="409" customFormat="false" ht="15" hidden="false" customHeight="false" outlineLevel="0" collapsed="false">
      <c r="A409" s="0" t="s">
        <v>443</v>
      </c>
      <c r="B409" s="0" t="n">
        <v>1</v>
      </c>
      <c r="C409" s="0" t="n">
        <v>-1.36933925728047</v>
      </c>
      <c r="D409" s="0" t="n">
        <v>-0.898954207888674</v>
      </c>
      <c r="E409" s="0" t="n">
        <v>-1.3342435287025</v>
      </c>
      <c r="F409" s="0" t="n">
        <v>-0.340912074101478</v>
      </c>
      <c r="G409" s="0" t="n">
        <v>0.351591906793422</v>
      </c>
      <c r="H409" s="0" t="n">
        <v>0.0490138213764353</v>
      </c>
      <c r="I409" s="0" t="n">
        <v>1.16112939636233</v>
      </c>
      <c r="J409" s="0" t="n">
        <v>1.12416870943604</v>
      </c>
      <c r="K409" s="0" t="n">
        <v>-0.317644328855379</v>
      </c>
      <c r="L409" s="0" t="n">
        <v>1.56013652704092</v>
      </c>
      <c r="M409" s="0" t="n">
        <v>0.217282961704023</v>
      </c>
      <c r="N409" s="0" t="n">
        <v>-1.63733208641782</v>
      </c>
      <c r="O409" s="0" t="n">
        <v>-0.171362908950278</v>
      </c>
      <c r="P409" s="0" t="n">
        <v>-0.619475980923164</v>
      </c>
      <c r="Q409" s="0" t="n">
        <v>-0.559258807392908</v>
      </c>
      <c r="R409" s="0" t="n">
        <v>-1.24162628670382</v>
      </c>
      <c r="S409" s="0" t="n">
        <v>1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1</v>
      </c>
      <c r="AA409" s="0" t="n">
        <v>0</v>
      </c>
      <c r="AB409" s="0" t="n">
        <v>0</v>
      </c>
      <c r="AC409" s="0" t="n">
        <v>0</v>
      </c>
      <c r="AD409" s="0" t="n">
        <v>1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</row>
    <row r="410" customFormat="false" ht="15" hidden="false" customHeight="false" outlineLevel="0" collapsed="false">
      <c r="A410" s="0" t="s">
        <v>444</v>
      </c>
      <c r="B410" s="0" t="n">
        <v>1</v>
      </c>
      <c r="C410" s="0" t="n">
        <v>-1.24585894009613</v>
      </c>
      <c r="D410" s="0" t="n">
        <v>-0.805806027976131</v>
      </c>
      <c r="E410" s="0" t="n">
        <v>-1.1939689681355</v>
      </c>
      <c r="F410" s="0" t="n">
        <v>-0.359167775914537</v>
      </c>
      <c r="G410" s="0" t="n">
        <v>0.201531263812175</v>
      </c>
      <c r="H410" s="0" t="n">
        <v>0.0227836165321407</v>
      </c>
      <c r="I410" s="0" t="n">
        <v>-0.535356292393596</v>
      </c>
      <c r="J410" s="0" t="n">
        <v>-0.474310867657429</v>
      </c>
      <c r="K410" s="0" t="n">
        <v>-0.143568217551434</v>
      </c>
      <c r="L410" s="0" t="n">
        <v>1.17290380373863</v>
      </c>
      <c r="M410" s="0" t="n">
        <v>0.588364506686517</v>
      </c>
      <c r="N410" s="0" t="n">
        <v>-1.05951817321396</v>
      </c>
      <c r="O410" s="0" t="n">
        <v>-0.301062711412143</v>
      </c>
      <c r="P410" s="0" t="n">
        <v>-0.0497269879288754</v>
      </c>
      <c r="Q410" s="0" t="n">
        <v>0.196475056453739</v>
      </c>
      <c r="R410" s="0" t="n">
        <v>-0.412384999732961</v>
      </c>
      <c r="S410" s="0" t="n">
        <v>1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1</v>
      </c>
      <c r="Y410" s="0" t="n">
        <v>0</v>
      </c>
      <c r="Z410" s="0" t="n">
        <v>0</v>
      </c>
      <c r="AA410" s="0" t="n">
        <v>1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J410" s="0" t="n">
        <v>0</v>
      </c>
    </row>
    <row r="411" customFormat="false" ht="15" hidden="false" customHeight="false" outlineLevel="0" collapsed="false">
      <c r="A411" s="0" t="s">
        <v>445</v>
      </c>
      <c r="B411" s="0" t="n">
        <v>1</v>
      </c>
      <c r="C411" s="0" t="n">
        <v>-1.16949526977711</v>
      </c>
      <c r="D411" s="0" t="n">
        <v>-0.874197118401884</v>
      </c>
      <c r="E411" s="0" t="n">
        <v>-1.22855560208396</v>
      </c>
      <c r="F411" s="0" t="n">
        <v>-0.112503355168027</v>
      </c>
      <c r="G411" s="0" t="n">
        <v>0.432462972443021</v>
      </c>
      <c r="H411" s="0" t="n">
        <v>0.139153473565743</v>
      </c>
      <c r="I411" s="0" t="n">
        <v>-0.462623116511978</v>
      </c>
      <c r="J411" s="0" t="n">
        <v>0.893510477997364</v>
      </c>
      <c r="K411" s="0" t="n">
        <v>-0.453293167553998</v>
      </c>
      <c r="L411" s="0" t="n">
        <v>-0.422121079120265</v>
      </c>
      <c r="M411" s="0" t="n">
        <v>-0.438653884599186</v>
      </c>
      <c r="N411" s="0" t="n">
        <v>-1.42054912822789</v>
      </c>
      <c r="O411" s="0" t="n">
        <v>-0.667858019108608</v>
      </c>
      <c r="P411" s="0" t="n">
        <v>-0.460357509660663</v>
      </c>
      <c r="Q411" s="0" t="n">
        <v>-0.507668998504345</v>
      </c>
      <c r="R411" s="0" t="n">
        <v>-0.765443945840878</v>
      </c>
      <c r="S411" s="0" t="n">
        <v>1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1</v>
      </c>
      <c r="AA411" s="0" t="n">
        <v>0</v>
      </c>
      <c r="AB411" s="0" t="n">
        <v>0</v>
      </c>
      <c r="AC411" s="0" t="n">
        <v>0</v>
      </c>
      <c r="AD411" s="0" t="n">
        <v>1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</row>
    <row r="412" customFormat="false" ht="15" hidden="false" customHeight="false" outlineLevel="0" collapsed="false">
      <c r="A412" s="0" t="s">
        <v>446</v>
      </c>
      <c r="B412" s="0" t="n">
        <v>1</v>
      </c>
      <c r="C412" s="0" t="n">
        <v>-1.00330681651251</v>
      </c>
      <c r="D412" s="0" t="n">
        <v>-1.12502683221233</v>
      </c>
      <c r="E412" s="0" t="n">
        <v>-1.23394157369557</v>
      </c>
      <c r="F412" s="0" t="n">
        <v>0.880633220393449</v>
      </c>
      <c r="G412" s="0" t="n">
        <v>0.755045725438683</v>
      </c>
      <c r="H412" s="0" t="n">
        <v>0.316039976608067</v>
      </c>
      <c r="I412" s="0" t="n">
        <v>-0.283602996592677</v>
      </c>
      <c r="J412" s="0" t="n">
        <v>1.11768190780508</v>
      </c>
      <c r="K412" s="0" t="n">
        <v>-1.02819825540308</v>
      </c>
      <c r="L412" s="0" t="n">
        <v>1.36399019203715</v>
      </c>
      <c r="M412" s="0" t="n">
        <v>0.87402007823485</v>
      </c>
      <c r="N412" s="0" t="n">
        <v>-1.34267164846109</v>
      </c>
      <c r="O412" s="0" t="n">
        <v>-0.703117579892806</v>
      </c>
      <c r="P412" s="0" t="n">
        <v>-0.152561715891283</v>
      </c>
      <c r="Q412" s="0" t="n">
        <v>0.151052173694221</v>
      </c>
      <c r="R412" s="0" t="n">
        <v>-0.882557799919581</v>
      </c>
      <c r="S412" s="0" t="n">
        <v>1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1</v>
      </c>
      <c r="Y412" s="0" t="n">
        <v>0</v>
      </c>
      <c r="Z412" s="0" t="n">
        <v>0</v>
      </c>
      <c r="AA412" s="0" t="n">
        <v>1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</row>
    <row r="413" customFormat="false" ht="15" hidden="false" customHeight="false" outlineLevel="0" collapsed="false">
      <c r="A413" s="0" t="s">
        <v>447</v>
      </c>
      <c r="B413" s="0" t="n">
        <v>1</v>
      </c>
      <c r="C413" s="0" t="n">
        <v>-0.957444434320519</v>
      </c>
      <c r="D413" s="0" t="n">
        <v>-0.805976289208885</v>
      </c>
      <c r="E413" s="0" t="n">
        <v>-1.13279031574088</v>
      </c>
      <c r="F413" s="0" t="n">
        <v>0.0236248140655663</v>
      </c>
      <c r="G413" s="0" t="n">
        <v>0.548678567943808</v>
      </c>
      <c r="H413" s="0" t="n">
        <v>0.252696511986237</v>
      </c>
      <c r="I413" s="0" t="n">
        <v>1.00610244449</v>
      </c>
      <c r="J413" s="0" t="n">
        <v>-0.534877498995666</v>
      </c>
      <c r="K413" s="0" t="n">
        <v>0.0151534870556943</v>
      </c>
      <c r="L413" s="0" t="n">
        <v>0.62324017044082</v>
      </c>
      <c r="M413" s="0" t="n">
        <v>-0.518349366322187</v>
      </c>
      <c r="N413" s="0" t="n">
        <v>-0.729720402697525</v>
      </c>
      <c r="O413" s="0" t="n">
        <v>-0.856091996484991</v>
      </c>
      <c r="P413" s="0" t="n">
        <v>-0.543847003178091</v>
      </c>
      <c r="Q413" s="0" t="n">
        <v>-0.29024349322741</v>
      </c>
      <c r="R413" s="0" t="n">
        <v>-0.171367492898098</v>
      </c>
      <c r="S413" s="0" t="n">
        <v>0</v>
      </c>
      <c r="T413" s="0" t="n">
        <v>1</v>
      </c>
      <c r="U413" s="0" t="n">
        <v>0</v>
      </c>
      <c r="V413" s="0" t="n">
        <v>0</v>
      </c>
      <c r="W413" s="0" t="n">
        <v>0</v>
      </c>
      <c r="X413" s="0" t="n">
        <v>1</v>
      </c>
      <c r="Y413" s="0" t="n">
        <v>0</v>
      </c>
      <c r="Z413" s="0" t="n">
        <v>0</v>
      </c>
      <c r="AA413" s="0" t="n">
        <v>1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</row>
    <row r="414" customFormat="false" ht="15" hidden="false" customHeight="false" outlineLevel="0" collapsed="false">
      <c r="A414" s="0" t="s">
        <v>448</v>
      </c>
      <c r="B414" s="0" t="n">
        <v>1</v>
      </c>
      <c r="C414" s="0" t="n">
        <v>-1.10857611725705</v>
      </c>
      <c r="D414" s="0" t="n">
        <v>-0.775320580534799</v>
      </c>
      <c r="E414" s="0" t="n">
        <v>-1.13411802157055</v>
      </c>
      <c r="F414" s="0" t="n">
        <v>-0.239046428809931</v>
      </c>
      <c r="G414" s="0" t="n">
        <v>0.292090173791129</v>
      </c>
      <c r="H414" s="0" t="n">
        <v>0.0986392231209163</v>
      </c>
      <c r="I414" s="0" t="n">
        <v>0.273178026565799</v>
      </c>
      <c r="J414" s="0" t="n">
        <v>-1.10683930396789</v>
      </c>
      <c r="K414" s="0" t="n">
        <v>-0.205479875067921</v>
      </c>
      <c r="L414" s="0" t="n">
        <v>-0.916094900300743</v>
      </c>
      <c r="M414" s="0" t="n">
        <v>-0.0229744457762081</v>
      </c>
      <c r="N414" s="0" t="n">
        <v>-0.613006923785791</v>
      </c>
      <c r="O414" s="0" t="n">
        <v>-0.68579768451418</v>
      </c>
      <c r="P414" s="0" t="n">
        <v>-0.673399753721175</v>
      </c>
      <c r="Q414" s="0" t="n">
        <v>-0.595219255032155</v>
      </c>
      <c r="R414" s="0" t="n">
        <v>-0.085589828080137</v>
      </c>
      <c r="S414" s="0" t="n">
        <v>0</v>
      </c>
      <c r="T414" s="0" t="n">
        <v>1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1</v>
      </c>
      <c r="AA414" s="0" t="n">
        <v>0</v>
      </c>
      <c r="AB414" s="0" t="n">
        <v>0</v>
      </c>
      <c r="AC414" s="0" t="n">
        <v>0</v>
      </c>
      <c r="AD414" s="0" t="n">
        <v>1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</row>
    <row r="415" customFormat="false" ht="15" hidden="false" customHeight="false" outlineLevel="0" collapsed="false">
      <c r="A415" s="0" t="s">
        <v>449</v>
      </c>
      <c r="B415" s="0" t="n">
        <v>1</v>
      </c>
      <c r="C415" s="0" t="n">
        <v>-1.27301648585894</v>
      </c>
      <c r="D415" s="0" t="n">
        <v>-0.867430890139741</v>
      </c>
      <c r="E415" s="0" t="n">
        <v>-1.25128548423396</v>
      </c>
      <c r="F415" s="0" t="n">
        <v>-0.271553627163173</v>
      </c>
      <c r="G415" s="0" t="n">
        <v>0.302651538468524</v>
      </c>
      <c r="H415" s="0" t="n">
        <v>0.0574727713041995</v>
      </c>
      <c r="I415" s="0" t="n">
        <v>-0.180791028455344</v>
      </c>
      <c r="J415" s="0" t="n">
        <v>0.354544358009901</v>
      </c>
      <c r="K415" s="0" t="n">
        <v>-0.0630999733630415</v>
      </c>
      <c r="L415" s="0" t="n">
        <v>0.418013959360421</v>
      </c>
      <c r="M415" s="0" t="n">
        <v>-0.772747885873154</v>
      </c>
      <c r="N415" s="0" t="n">
        <v>-1.3642472035416</v>
      </c>
      <c r="O415" s="0" t="n">
        <v>-0.764137217342836</v>
      </c>
      <c r="P415" s="0" t="n">
        <v>-0.718214262564509</v>
      </c>
      <c r="Q415" s="0" t="n">
        <v>-0.465891601615159</v>
      </c>
      <c r="R415" s="0" t="n">
        <v>-0.425278155501218</v>
      </c>
      <c r="S415" s="0" t="n">
        <v>0</v>
      </c>
      <c r="T415" s="0" t="n">
        <v>0</v>
      </c>
      <c r="U415" s="0" t="n">
        <v>1</v>
      </c>
      <c r="V415" s="0" t="n">
        <v>0</v>
      </c>
      <c r="W415" s="0" t="n">
        <v>0</v>
      </c>
      <c r="X415" s="0" t="n">
        <v>1</v>
      </c>
      <c r="Y415" s="0" t="n">
        <v>0</v>
      </c>
      <c r="Z415" s="0" t="n">
        <v>0</v>
      </c>
      <c r="AA415" s="0" t="n">
        <v>1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</row>
    <row r="416" customFormat="false" ht="15" hidden="false" customHeight="false" outlineLevel="0" collapsed="false">
      <c r="A416" s="0" t="s">
        <v>450</v>
      </c>
      <c r="B416" s="0" t="n">
        <v>1</v>
      </c>
      <c r="C416" s="0" t="n">
        <v>-0.858548829524531</v>
      </c>
      <c r="D416" s="0" t="n">
        <v>-0.887499234395007</v>
      </c>
      <c r="E416" s="0" t="n">
        <v>-1.2550734568566</v>
      </c>
      <c r="F416" s="0" t="n">
        <v>0.357042744261342</v>
      </c>
      <c r="G416" s="0" t="n">
        <v>1.09242192570961</v>
      </c>
      <c r="H416" s="0" t="n">
        <v>0.488081914009989</v>
      </c>
      <c r="I416" s="0" t="n">
        <v>-0.137550018997488</v>
      </c>
      <c r="J416" s="0" t="n">
        <v>1.68881877200342</v>
      </c>
      <c r="K416" s="0" t="n">
        <v>-0.871469052762903</v>
      </c>
      <c r="L416" s="0" t="n">
        <v>-1.22247960016047</v>
      </c>
      <c r="M416" s="0" t="n">
        <v>0.170460082371722</v>
      </c>
      <c r="N416" s="0" t="n">
        <v>-1.37164453671206</v>
      </c>
      <c r="O416" s="0" t="n">
        <v>-0.702294720317312</v>
      </c>
      <c r="P416" s="0" t="n">
        <v>-0.251030878090227</v>
      </c>
      <c r="Q416" s="0" t="n">
        <v>0.0899724502219906</v>
      </c>
      <c r="R416" s="0" t="n">
        <v>-0.253469025943599</v>
      </c>
      <c r="S416" s="0" t="n">
        <v>0</v>
      </c>
      <c r="T416" s="0" t="n">
        <v>0</v>
      </c>
      <c r="U416" s="0" t="n">
        <v>0</v>
      </c>
      <c r="V416" s="0" t="n">
        <v>1</v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1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0</v>
      </c>
    </row>
    <row r="417" customFormat="false" ht="15" hidden="false" customHeight="false" outlineLevel="0" collapsed="false">
      <c r="A417" s="0" t="s">
        <v>451</v>
      </c>
      <c r="B417" s="0" t="n">
        <v>1</v>
      </c>
      <c r="C417" s="0" t="n">
        <v>-0.886915183819147</v>
      </c>
      <c r="D417" s="0" t="n">
        <v>-0.692059018582997</v>
      </c>
      <c r="E417" s="0" t="n">
        <v>-1.05197990459206</v>
      </c>
      <c r="F417" s="0" t="n">
        <v>-0.12409143191602</v>
      </c>
      <c r="G417" s="0" t="n">
        <v>0.458826967511732</v>
      </c>
      <c r="H417" s="0" t="n">
        <v>0.236961857984274</v>
      </c>
      <c r="I417" s="0" t="n">
        <v>0.38897255744747</v>
      </c>
      <c r="J417" s="0" t="n">
        <v>-0.067659484746046</v>
      </c>
      <c r="K417" s="0" t="n">
        <v>-0.149766442883367</v>
      </c>
      <c r="L417" s="0" t="n">
        <v>0.131698260101833</v>
      </c>
      <c r="M417" s="0" t="n">
        <v>-0.107974637549722</v>
      </c>
      <c r="N417" s="0" t="n">
        <v>-0.180160192575284</v>
      </c>
      <c r="O417" s="0" t="n">
        <v>-0.319185332251216</v>
      </c>
      <c r="P417" s="0" t="n">
        <v>-0.335176607133119</v>
      </c>
      <c r="Q417" s="0" t="n">
        <v>-0.300944850024711</v>
      </c>
      <c r="R417" s="0" t="n">
        <v>-0.248813617506255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1</v>
      </c>
      <c r="AI417" s="0" t="n">
        <v>0</v>
      </c>
      <c r="AJ417" s="0" t="n">
        <v>0</v>
      </c>
    </row>
    <row r="418" customFormat="false" ht="15" hidden="false" customHeight="false" outlineLevel="0" collapsed="false">
      <c r="A418" s="0" t="s">
        <v>452</v>
      </c>
      <c r="B418" s="0" t="n">
        <v>1</v>
      </c>
      <c r="C418" s="0" t="n">
        <v>-1.27537122717186</v>
      </c>
      <c r="D418" s="0" t="n">
        <v>-0.760149131034352</v>
      </c>
      <c r="E418" s="0" t="n">
        <v>-1.00710815092904</v>
      </c>
      <c r="F418" s="0" t="n">
        <v>-0.482609911456561</v>
      </c>
      <c r="G418" s="0" t="n">
        <v>-0.263015140345272</v>
      </c>
      <c r="H418" s="0" t="n">
        <v>-0.211777091852966</v>
      </c>
      <c r="I418" s="0" t="n">
        <v>1.00009737162461</v>
      </c>
      <c r="J418" s="0" t="n">
        <v>-0.297413695849781</v>
      </c>
      <c r="K418" s="0" t="n">
        <v>-0.151476018183257</v>
      </c>
      <c r="L418" s="0" t="n">
        <v>0.269527611562292</v>
      </c>
      <c r="M418" s="0" t="n">
        <v>-0.273600040630966</v>
      </c>
      <c r="N418" s="0" t="n">
        <v>-1.15650543033779</v>
      </c>
      <c r="O418" s="0" t="n">
        <v>-0.903588805344361</v>
      </c>
      <c r="P418" s="0" t="n">
        <v>-0.704164612458085</v>
      </c>
      <c r="Q418" s="0" t="n">
        <v>-0.521095319094199</v>
      </c>
      <c r="R418" s="0" t="n">
        <v>-0.691512669313102</v>
      </c>
      <c r="S418" s="0" t="n">
        <v>1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1</v>
      </c>
      <c r="Y418" s="0" t="n">
        <v>0</v>
      </c>
      <c r="Z418" s="0" t="n">
        <v>0</v>
      </c>
      <c r="AA418" s="0" t="n">
        <v>1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0</v>
      </c>
    </row>
    <row r="419" customFormat="false" ht="15" hidden="false" customHeight="false" outlineLevel="0" collapsed="false">
      <c r="A419" s="0" t="s">
        <v>453</v>
      </c>
      <c r="B419" s="0" t="n">
        <v>1</v>
      </c>
      <c r="C419" s="0" t="n">
        <v>-0.877410766386131</v>
      </c>
      <c r="D419" s="0" t="n">
        <v>-0.76823475591505</v>
      </c>
      <c r="E419" s="0" t="n">
        <v>-1.0201026776467</v>
      </c>
      <c r="F419" s="0" t="n">
        <v>0.0450091389200155</v>
      </c>
      <c r="G419" s="0" t="n">
        <v>0.396772145139683</v>
      </c>
      <c r="H419" s="0" t="n">
        <v>0.211907383413117</v>
      </c>
      <c r="I419" s="0" t="n">
        <v>0.0553423832463623</v>
      </c>
      <c r="J419" s="0" t="n">
        <v>1.50179244016351</v>
      </c>
      <c r="K419" s="0" t="n">
        <v>-1.13491859886701</v>
      </c>
      <c r="L419" s="0" t="n">
        <v>-0.562914513316207</v>
      </c>
      <c r="M419" s="0" t="n">
        <v>0.308529287746107</v>
      </c>
      <c r="N419" s="0" t="n">
        <v>-1.34102779664543</v>
      </c>
      <c r="O419" s="0" t="n">
        <v>0.746005295730148</v>
      </c>
      <c r="P419" s="0" t="n">
        <v>1.76011662780565</v>
      </c>
      <c r="Q419" s="0" t="n">
        <v>1.56047578536928</v>
      </c>
      <c r="R419" s="0" t="n">
        <v>0.331439588785401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1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</row>
    <row r="420" customFormat="false" ht="15" hidden="false" customHeight="false" outlineLevel="0" collapsed="false">
      <c r="A420" s="0" t="s">
        <v>454</v>
      </c>
      <c r="B420" s="0" t="n">
        <v>1</v>
      </c>
      <c r="C420" s="0" t="n">
        <v>-1.29985418220203</v>
      </c>
      <c r="D420" s="0" t="n">
        <v>-1.53621484195742</v>
      </c>
      <c r="E420" s="0" t="n">
        <v>-1.53340239068206</v>
      </c>
      <c r="F420" s="0" t="n">
        <v>2.64189454902963</v>
      </c>
      <c r="G420" s="0" t="n">
        <v>1.21965776236406</v>
      </c>
      <c r="H420" s="0" t="n">
        <v>0.338143645768173</v>
      </c>
      <c r="I420" s="0" t="n">
        <v>-0.918994584240141</v>
      </c>
      <c r="J420" s="0" t="n">
        <v>-0.381778748243447</v>
      </c>
      <c r="K420" s="0" t="n">
        <v>-0.0660935515028951</v>
      </c>
      <c r="L420" s="0" t="n">
        <v>1.0982832235762</v>
      </c>
      <c r="M420" s="0" t="n">
        <v>0.180654960453835</v>
      </c>
      <c r="N420" s="0" t="n">
        <v>-1.15075194898299</v>
      </c>
      <c r="O420" s="0" t="n">
        <v>-0.844030568458976</v>
      </c>
      <c r="P420" s="0" t="n">
        <v>-0.70930260238109</v>
      </c>
      <c r="Q420" s="0" t="n">
        <v>-0.532871719339189</v>
      </c>
      <c r="R420" s="0" t="n">
        <v>-0.147373840859615</v>
      </c>
      <c r="S420" s="0" t="n">
        <v>0</v>
      </c>
      <c r="T420" s="0" t="n">
        <v>1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1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0</v>
      </c>
    </row>
    <row r="421" customFormat="false" ht="15" hidden="false" customHeight="false" outlineLevel="0" collapsed="false">
      <c r="A421" s="0" t="s">
        <v>455</v>
      </c>
      <c r="B421" s="0" t="n">
        <v>1</v>
      </c>
      <c r="C421" s="0" t="n">
        <v>-1.123400388645</v>
      </c>
      <c r="D421" s="0" t="n">
        <v>-1.39453432475105</v>
      </c>
      <c r="E421" s="0" t="n">
        <v>-1.48609055649858</v>
      </c>
      <c r="F421" s="0" t="n">
        <v>1.989895008584</v>
      </c>
      <c r="G421" s="0" t="n">
        <v>1.42506131604657</v>
      </c>
      <c r="H421" s="0" t="n">
        <v>0.468006760824278</v>
      </c>
      <c r="I421" s="0" t="n">
        <v>-0.418995458232019</v>
      </c>
      <c r="J421" s="0" t="n">
        <v>0.472589644859132</v>
      </c>
      <c r="K421" s="0" t="n">
        <v>-0.769466836164197</v>
      </c>
      <c r="L421" s="0" t="n">
        <v>1.54151031984805</v>
      </c>
      <c r="M421" s="0" t="n">
        <v>0.240494299410242</v>
      </c>
      <c r="N421" s="0" t="n">
        <v>-1.26499965017124</v>
      </c>
      <c r="O421" s="0" t="n">
        <v>-0.774110586840978</v>
      </c>
      <c r="P421" s="0" t="n">
        <v>-0.303212491035284</v>
      </c>
      <c r="Q421" s="0" t="n">
        <v>-0.258939423594368</v>
      </c>
      <c r="R421" s="0" t="n">
        <v>-1.08540881474792</v>
      </c>
      <c r="S421" s="0" t="n">
        <v>1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1</v>
      </c>
      <c r="Y421" s="0" t="n">
        <v>0</v>
      </c>
      <c r="Z421" s="0" t="n">
        <v>0</v>
      </c>
      <c r="AA421" s="0" t="n">
        <v>1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0.109128761880456</v>
      </c>
      <c r="AJ421" s="0" t="n">
        <v>0.333333333333333</v>
      </c>
    </row>
    <row r="422" customFormat="false" ht="15" hidden="false" customHeight="false" outlineLevel="0" collapsed="false">
      <c r="A422" s="0" t="s">
        <v>456</v>
      </c>
      <c r="B422" s="0" t="n">
        <v>1</v>
      </c>
      <c r="C422" s="0" t="n">
        <v>-1.35772256777782</v>
      </c>
      <c r="D422" s="0" t="n">
        <v>-1.55603532861651</v>
      </c>
      <c r="E422" s="0" t="n">
        <v>-1.61723084725468</v>
      </c>
      <c r="F422" s="0" t="n">
        <v>2.65724516223516</v>
      </c>
      <c r="G422" s="0" t="n">
        <v>1.46781157726767</v>
      </c>
      <c r="H422" s="0" t="n">
        <v>0.370203793502494</v>
      </c>
      <c r="I422" s="0" t="n">
        <v>-0.282136680123229</v>
      </c>
      <c r="J422" s="0" t="n">
        <v>-0.0827972105312411</v>
      </c>
      <c r="K422" s="0" t="n">
        <v>0.144835796670632</v>
      </c>
      <c r="L422" s="0" t="n">
        <v>-0.908739209305078</v>
      </c>
      <c r="M422" s="0" t="n">
        <v>-0.54480608361808</v>
      </c>
      <c r="N422" s="0" t="n">
        <v>-1.31123298248662</v>
      </c>
      <c r="O422" s="0" t="n">
        <v>-0.804678552060252</v>
      </c>
      <c r="P422" s="0" t="n">
        <v>-0.748976712157066</v>
      </c>
      <c r="Q422" s="0" t="n">
        <v>-0.518596413296133</v>
      </c>
      <c r="R422" s="0" t="n">
        <v>0.138740755806105</v>
      </c>
      <c r="S422" s="0" t="n">
        <v>0</v>
      </c>
      <c r="T422" s="0" t="n">
        <v>1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1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0.59783916027746</v>
      </c>
      <c r="AJ422" s="0" t="n">
        <v>0.666666666666667</v>
      </c>
    </row>
    <row r="423" customFormat="false" ht="15" hidden="false" customHeight="false" outlineLevel="0" collapsed="false">
      <c r="A423" s="0" t="s">
        <v>457</v>
      </c>
      <c r="B423" s="0" t="n">
        <v>1</v>
      </c>
      <c r="C423" s="0" t="n">
        <v>-1.10722575176451</v>
      </c>
      <c r="D423" s="0" t="n">
        <v>-0.544801127480972</v>
      </c>
      <c r="E423" s="0" t="n">
        <v>-1.07403371747169</v>
      </c>
      <c r="F423" s="0" t="n">
        <v>-0.62855724464061</v>
      </c>
      <c r="G423" s="0" t="n">
        <v>0.150255288855138</v>
      </c>
      <c r="H423" s="0" t="n">
        <v>0.0343710395467954</v>
      </c>
      <c r="I423" s="0" t="n">
        <v>0.533745691045975</v>
      </c>
      <c r="J423" s="0" t="n">
        <v>-0.582548865672761</v>
      </c>
      <c r="K423" s="0" t="n">
        <v>-0.436552296444387</v>
      </c>
      <c r="L423" s="0" t="n">
        <v>-0.39968603987387</v>
      </c>
      <c r="M423" s="0" t="n">
        <v>-0.482193430562858</v>
      </c>
      <c r="N423" s="0" t="n">
        <v>-0.867803955212816</v>
      </c>
      <c r="O423" s="0" t="n">
        <v>-0.442350204511548</v>
      </c>
      <c r="P423" s="0" t="n">
        <v>-0.575779924038779</v>
      </c>
      <c r="Q423" s="0" t="n">
        <v>-0.384867163829069</v>
      </c>
      <c r="R423" s="0" t="n">
        <v>-1.2115784738121</v>
      </c>
      <c r="S423" s="0" t="n">
        <v>1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1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0.344300669018109</v>
      </c>
      <c r="AJ423" s="0" t="n">
        <v>0</v>
      </c>
    </row>
    <row r="424" customFormat="false" ht="15" hidden="false" customHeight="false" outlineLevel="0" collapsed="false">
      <c r="A424" s="0" t="s">
        <v>458</v>
      </c>
      <c r="B424" s="0" t="n">
        <v>1</v>
      </c>
      <c r="C424" s="0" t="n">
        <v>-1.23002498168145</v>
      </c>
      <c r="D424" s="0" t="n">
        <v>-0.623204661216989</v>
      </c>
      <c r="E424" s="0" t="n">
        <v>-1.16298062450384</v>
      </c>
      <c r="F424" s="0" t="n">
        <v>-0.652005537094178</v>
      </c>
      <c r="G424" s="0" t="n">
        <v>0.152330794664895</v>
      </c>
      <c r="H424" s="0" t="n">
        <v>0.00521330873687925</v>
      </c>
      <c r="I424" s="0" t="n">
        <v>0.0359159354154409</v>
      </c>
      <c r="J424" s="0" t="n">
        <v>-0.863677322512537</v>
      </c>
      <c r="K424" s="0" t="n">
        <v>-0.390625874476482</v>
      </c>
      <c r="L424" s="0" t="n">
        <v>-0.164839604309127</v>
      </c>
      <c r="M424" s="0" t="n">
        <v>-0.479088586151033</v>
      </c>
      <c r="N424" s="0" t="n">
        <v>-0.876434177245021</v>
      </c>
      <c r="O424" s="0" t="n">
        <v>-0.569742108326844</v>
      </c>
      <c r="P424" s="0" t="n">
        <v>-0.596563555421524</v>
      </c>
      <c r="Q424" s="0" t="n">
        <v>-0.339139308043329</v>
      </c>
      <c r="R424" s="0" t="n">
        <v>-0.731840431645417</v>
      </c>
      <c r="S424" s="0" t="n">
        <v>1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1</v>
      </c>
      <c r="Y424" s="0" t="n">
        <v>0</v>
      </c>
      <c r="Z424" s="0" t="n">
        <v>0</v>
      </c>
      <c r="AA424" s="0" t="n">
        <v>1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0.327875714192366</v>
      </c>
      <c r="AJ424" s="0" t="n">
        <v>0</v>
      </c>
    </row>
    <row r="425" customFormat="false" ht="15" hidden="false" customHeight="false" outlineLevel="0" collapsed="false">
      <c r="A425" s="0" t="s">
        <v>459</v>
      </c>
      <c r="B425" s="0" t="n">
        <v>1</v>
      </c>
      <c r="C425" s="0" t="n">
        <v>-1.28802328401932</v>
      </c>
      <c r="D425" s="0" t="n">
        <v>-0.688728280688033</v>
      </c>
      <c r="E425" s="0" t="n">
        <v>-0.900533135387532</v>
      </c>
      <c r="F425" s="0" t="n">
        <v>-0.619194296283001</v>
      </c>
      <c r="G425" s="0" t="n">
        <v>-0.475018326828646</v>
      </c>
      <c r="H425" s="0" t="n">
        <v>-0.34125631435205</v>
      </c>
      <c r="I425" s="0" t="n">
        <v>-0.0594527731555841</v>
      </c>
      <c r="J425" s="0" t="n">
        <v>-0.186548050823777</v>
      </c>
      <c r="K425" s="0" t="n">
        <v>0.806602989158873</v>
      </c>
      <c r="L425" s="0" t="n">
        <v>1.3254642631289</v>
      </c>
      <c r="M425" s="0" t="n">
        <v>0.234720774318505</v>
      </c>
      <c r="N425" s="0" t="n">
        <v>-1.20828676253103</v>
      </c>
      <c r="O425" s="0" t="n">
        <v>-0.922980418086983</v>
      </c>
      <c r="P425" s="0" t="n">
        <v>-0.754503438325008</v>
      </c>
      <c r="Q425" s="0" t="n">
        <v>-0.52893650494025</v>
      </c>
      <c r="R425" s="0" t="n">
        <v>-0.143302719446008</v>
      </c>
      <c r="S425" s="0" t="n">
        <v>0</v>
      </c>
      <c r="T425" s="0" t="n">
        <v>1</v>
      </c>
      <c r="U425" s="0" t="n">
        <v>0</v>
      </c>
      <c r="V425" s="0" t="n">
        <v>0</v>
      </c>
      <c r="W425" s="0" t="n">
        <v>0</v>
      </c>
      <c r="X425" s="0" t="n">
        <v>1</v>
      </c>
      <c r="Y425" s="0" t="n">
        <v>0</v>
      </c>
      <c r="Z425" s="0" t="n">
        <v>0</v>
      </c>
      <c r="AA425" s="0" t="n">
        <v>1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0.0193368678596138</v>
      </c>
      <c r="AJ425" s="0" t="n">
        <v>0</v>
      </c>
    </row>
    <row r="426" customFormat="false" ht="15" hidden="false" customHeight="false" outlineLevel="0" collapsed="false">
      <c r="A426" s="0" t="s">
        <v>460</v>
      </c>
      <c r="B426" s="0" t="n">
        <v>1</v>
      </c>
      <c r="C426" s="0" t="n">
        <v>-0.897638241388419</v>
      </c>
      <c r="D426" s="0" t="n">
        <v>-0.788397918320892</v>
      </c>
      <c r="E426" s="0" t="n">
        <v>-0.901017121118726</v>
      </c>
      <c r="F426" s="0" t="n">
        <v>0.0632195513988559</v>
      </c>
      <c r="G426" s="0" t="n">
        <v>0.103526771885088</v>
      </c>
      <c r="H426" s="0" t="n">
        <v>0.0609623700171832</v>
      </c>
      <c r="I426" s="0" t="n">
        <v>-0.780207746738671</v>
      </c>
      <c r="J426" s="0" t="n">
        <v>1.01966147371295</v>
      </c>
      <c r="K426" s="0" t="n">
        <v>-0.033647323701845</v>
      </c>
      <c r="L426" s="0" t="n">
        <v>-0.240261691364085</v>
      </c>
      <c r="M426" s="0" t="n">
        <v>-0.318574570120976</v>
      </c>
      <c r="N426" s="0" t="n">
        <v>-1.23109520647328</v>
      </c>
      <c r="O426" s="0" t="n">
        <v>-0.735651034764021</v>
      </c>
      <c r="P426" s="0" t="n">
        <v>-0.48580715620283</v>
      </c>
      <c r="Q426" s="0" t="n">
        <v>-0.589155479665771</v>
      </c>
      <c r="R426" s="0" t="n">
        <v>-0.161490650088361</v>
      </c>
      <c r="S426" s="0" t="n">
        <v>0</v>
      </c>
      <c r="T426" s="0" t="n">
        <v>0</v>
      </c>
      <c r="U426" s="0" t="n">
        <v>0</v>
      </c>
      <c r="V426" s="0" t="n">
        <v>1</v>
      </c>
      <c r="W426" s="0" t="n">
        <v>1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1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0.049840178882611</v>
      </c>
      <c r="AJ426" s="0" t="n">
        <v>0.333333333333333</v>
      </c>
    </row>
    <row r="427" customFormat="false" ht="15" hidden="false" customHeight="false" outlineLevel="0" collapsed="false">
      <c r="A427" s="0" t="s">
        <v>461</v>
      </c>
      <c r="B427" s="0" t="n">
        <v>1</v>
      </c>
      <c r="C427" s="0" t="n">
        <v>0.00254229390085297</v>
      </c>
      <c r="D427" s="0" t="n">
        <v>-0.530694805038128</v>
      </c>
      <c r="E427" s="0" t="n">
        <v>-0.897400823550481</v>
      </c>
      <c r="F427" s="0" t="n">
        <v>0.569450402579339</v>
      </c>
      <c r="G427" s="0" t="n">
        <v>1.42546505804094</v>
      </c>
      <c r="H427" s="0" t="n">
        <v>0.983258573756257</v>
      </c>
      <c r="I427" s="0" t="n">
        <v>0.258153549258441</v>
      </c>
      <c r="J427" s="0" t="n">
        <v>1.28457937706868</v>
      </c>
      <c r="K427" s="0" t="n">
        <v>0.28085317023128</v>
      </c>
      <c r="L427" s="0" t="n">
        <v>1.06562854242715</v>
      </c>
      <c r="M427" s="0" t="n">
        <v>3</v>
      </c>
      <c r="N427" s="0" t="n">
        <v>-0.598212257444866</v>
      </c>
      <c r="O427" s="0" t="n">
        <v>-0.339286132226772</v>
      </c>
      <c r="P427" s="0" t="n">
        <v>-0.437093364417387</v>
      </c>
      <c r="Q427" s="0" t="n">
        <v>-0.581544549201543</v>
      </c>
      <c r="R427" s="0" t="n">
        <v>-0.071042448065526</v>
      </c>
      <c r="S427" s="0" t="n">
        <v>0</v>
      </c>
      <c r="T427" s="0" t="n">
        <v>0</v>
      </c>
      <c r="U427" s="0" t="n">
        <v>0</v>
      </c>
      <c r="V427" s="0" t="n">
        <v>1</v>
      </c>
      <c r="W427" s="0" t="n">
        <v>1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1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0</v>
      </c>
    </row>
    <row r="428" customFormat="false" ht="15" hidden="false" customHeight="false" outlineLevel="0" collapsed="false">
      <c r="A428" s="0" t="s">
        <v>462</v>
      </c>
      <c r="B428" s="0" t="n">
        <v>1</v>
      </c>
      <c r="C428" s="0" t="n">
        <v>-0.733064770869245</v>
      </c>
      <c r="D428" s="0" t="n">
        <v>-0.770712843353227</v>
      </c>
      <c r="E428" s="0" t="n">
        <v>-0.854422152237577</v>
      </c>
      <c r="F428" s="0" t="n">
        <v>0.23687731784763</v>
      </c>
      <c r="G428" s="0" t="n">
        <v>0.248216494629992</v>
      </c>
      <c r="H428" s="0" t="n">
        <v>0.17938449276237</v>
      </c>
      <c r="I428" s="0" t="n">
        <v>-0.789700731439531</v>
      </c>
      <c r="J428" s="0" t="n">
        <v>-1.51086762039434</v>
      </c>
      <c r="K428" s="0" t="n">
        <v>0.897124888070876</v>
      </c>
      <c r="L428" s="0" t="n">
        <v>-1.10556724373202</v>
      </c>
      <c r="M428" s="0" t="n">
        <v>-0.224822800224011</v>
      </c>
      <c r="N428" s="0" t="n">
        <v>0.120767430428651</v>
      </c>
      <c r="O428" s="0" t="n">
        <v>-0.101609684729528</v>
      </c>
      <c r="P428" s="0" t="n">
        <v>0.204405718204066</v>
      </c>
      <c r="Q428" s="0" t="n">
        <v>-0.247180844484876</v>
      </c>
      <c r="R428" s="0" t="n">
        <v>-0.525880788305357</v>
      </c>
      <c r="S428" s="0" t="n">
        <v>1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1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0</v>
      </c>
    </row>
    <row r="429" customFormat="false" ht="15" hidden="false" customHeight="false" outlineLevel="0" collapsed="false">
      <c r="A429" s="0" t="s">
        <v>463</v>
      </c>
      <c r="B429" s="0" t="n">
        <v>1</v>
      </c>
      <c r="C429" s="0" t="n">
        <v>-1.5647664632874</v>
      </c>
      <c r="D429" s="0" t="n">
        <v>-0.930768564130965</v>
      </c>
      <c r="E429" s="0" t="n">
        <v>-0.668166805677054</v>
      </c>
      <c r="F429" s="0" t="n">
        <v>-0.558407187870879</v>
      </c>
      <c r="G429" s="0" t="n">
        <v>-1.17798755993869</v>
      </c>
      <c r="H429" s="0" t="n">
        <v>-0.879933771940634</v>
      </c>
      <c r="I429" s="0" t="n">
        <v>-1.86534652413629</v>
      </c>
      <c r="J429" s="0" t="n">
        <v>2.17663309459493</v>
      </c>
      <c r="K429" s="0" t="n">
        <v>0.204567653318787</v>
      </c>
      <c r="L429" s="0" t="n">
        <v>-0.455592829327416</v>
      </c>
      <c r="M429" s="0" t="n">
        <v>0.424429664411511</v>
      </c>
      <c r="N429" s="0" t="n">
        <v>-1.96795178284208</v>
      </c>
      <c r="O429" s="0" t="n">
        <v>-0.985347551515741</v>
      </c>
      <c r="P429" s="0" t="n">
        <v>-0.486380198043392</v>
      </c>
      <c r="Q429" s="0" t="n">
        <v>-0.421482021785504</v>
      </c>
      <c r="R429" s="0" t="n">
        <v>-0.0808625985229615</v>
      </c>
      <c r="S429" s="0" t="n">
        <v>1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1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0.0580216976078737</v>
      </c>
      <c r="AJ429" s="0" t="n">
        <v>0.333333333333333</v>
      </c>
    </row>
    <row r="430" customFormat="false" ht="15" hidden="false" customHeight="false" outlineLevel="0" collapsed="false">
      <c r="A430" s="0" t="s">
        <v>464</v>
      </c>
      <c r="B430" s="0" t="n">
        <v>1</v>
      </c>
      <c r="C430" s="0" t="n">
        <v>-1.12428721176015</v>
      </c>
      <c r="D430" s="0" t="n">
        <v>-0.98601915030594</v>
      </c>
      <c r="E430" s="0" t="n">
        <v>-0.544976000963701</v>
      </c>
      <c r="F430" s="0" t="n">
        <v>0.232104043252206</v>
      </c>
      <c r="G430" s="0" t="n">
        <v>-0.769332785230541</v>
      </c>
      <c r="H430" s="0" t="n">
        <v>-0.561316969002034</v>
      </c>
      <c r="I430" s="0" t="n">
        <v>-0.406050453926674</v>
      </c>
      <c r="J430" s="0" t="n">
        <v>-0.127754531547831</v>
      </c>
      <c r="K430" s="0" t="n">
        <v>0.145880280707031</v>
      </c>
      <c r="L430" s="0" t="n">
        <v>0.0165276484590181</v>
      </c>
      <c r="M430" s="0" t="n">
        <v>0.871570379929595</v>
      </c>
      <c r="N430" s="0" t="n">
        <v>-1.06753195081529</v>
      </c>
      <c r="O430" s="0" t="n">
        <v>-0.785100722681018</v>
      </c>
      <c r="P430" s="0" t="n">
        <v>-0.616565179043974</v>
      </c>
      <c r="Q430" s="0" t="n">
        <v>-0.354151795140342</v>
      </c>
      <c r="R430" s="0" t="n">
        <v>-0.525880788305341</v>
      </c>
      <c r="S430" s="0" t="n">
        <v>0</v>
      </c>
      <c r="T430" s="0" t="n">
        <v>1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1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0</v>
      </c>
      <c r="AJ430" s="0" t="n">
        <v>0</v>
      </c>
    </row>
    <row r="431" customFormat="false" ht="15" hidden="false" customHeight="false" outlineLevel="0" collapsed="false">
      <c r="A431" s="0" t="s">
        <v>465</v>
      </c>
      <c r="B431" s="0" t="n">
        <v>1</v>
      </c>
      <c r="C431" s="0" t="n">
        <v>-1.25009570928599</v>
      </c>
      <c r="D431" s="0" t="n">
        <v>-1.05980298927062</v>
      </c>
      <c r="E431" s="0" t="n">
        <v>-0.559280159322518</v>
      </c>
      <c r="F431" s="0" t="n">
        <v>0.243579215388905</v>
      </c>
      <c r="G431" s="0" t="n">
        <v>-0.905853636545793</v>
      </c>
      <c r="H431" s="0" t="n">
        <v>-0.675137631289081</v>
      </c>
      <c r="I431" s="0" t="n">
        <v>-0.133799831444548</v>
      </c>
      <c r="J431" s="0" t="n">
        <v>0.0112133808183192</v>
      </c>
      <c r="K431" s="0" t="n">
        <v>0.467032197098824</v>
      </c>
      <c r="L431" s="0" t="n">
        <v>1.01211985398508</v>
      </c>
      <c r="M431" s="0" t="n">
        <v>-0.100510623519733</v>
      </c>
      <c r="N431" s="0" t="n">
        <v>-1.23767061373592</v>
      </c>
      <c r="O431" s="0" t="n">
        <v>-0.694808051353246</v>
      </c>
      <c r="P431" s="0" t="n">
        <v>-0.452203002340606</v>
      </c>
      <c r="Q431" s="0" t="n">
        <v>-0.338308361388647</v>
      </c>
      <c r="R431" s="0" t="n">
        <v>-0.727630013042213</v>
      </c>
      <c r="S431" s="0" t="n">
        <v>1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1</v>
      </c>
      <c r="Y431" s="0" t="n">
        <v>0</v>
      </c>
      <c r="Z431" s="0" t="n">
        <v>0</v>
      </c>
      <c r="AA431" s="0" t="n">
        <v>1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</row>
    <row r="432" customFormat="false" ht="15" hidden="false" customHeight="false" outlineLevel="0" collapsed="false">
      <c r="A432" s="0" t="s">
        <v>466</v>
      </c>
      <c r="B432" s="0" t="n">
        <v>1</v>
      </c>
      <c r="C432" s="0" t="n">
        <v>-0.380962808894029</v>
      </c>
      <c r="D432" s="0" t="n">
        <v>-0.486848226862228</v>
      </c>
      <c r="E432" s="0" t="n">
        <v>-0.945973717468869</v>
      </c>
      <c r="F432" s="0" t="n">
        <v>0.0663531641262705</v>
      </c>
      <c r="G432" s="0" t="n">
        <v>0.98342426749424</v>
      </c>
      <c r="H432" s="0" t="n">
        <v>0.641726396033494</v>
      </c>
      <c r="I432" s="0" t="n">
        <v>0.84418993435499</v>
      </c>
      <c r="J432" s="0" t="n">
        <v>-1.66920041657374</v>
      </c>
      <c r="K432" s="0" t="n">
        <v>-0.978029027227547</v>
      </c>
      <c r="L432" s="0" t="n">
        <v>0.674192120398254</v>
      </c>
      <c r="M432" s="0" t="n">
        <v>-0.390026555953538</v>
      </c>
      <c r="N432" s="0" t="n">
        <v>0.728170676314365</v>
      </c>
      <c r="O432" s="0" t="n">
        <v>-0.767824334825923</v>
      </c>
      <c r="P432" s="0" t="n">
        <v>-0.449420476941264</v>
      </c>
      <c r="Q432" s="0" t="n">
        <v>-0.177531945786744</v>
      </c>
      <c r="R432" s="0" t="n">
        <v>-0.606715694266087</v>
      </c>
      <c r="S432" s="0" t="n">
        <v>0</v>
      </c>
      <c r="T432" s="0" t="n">
        <v>0</v>
      </c>
      <c r="U432" s="0" t="n">
        <v>0</v>
      </c>
      <c r="V432" s="0" t="n">
        <v>1</v>
      </c>
      <c r="W432" s="0" t="n">
        <v>0</v>
      </c>
      <c r="X432" s="0" t="n">
        <v>1</v>
      </c>
      <c r="Y432" s="0" t="n">
        <v>0</v>
      </c>
      <c r="Z432" s="0" t="n">
        <v>0</v>
      </c>
      <c r="AA432" s="0" t="n">
        <v>1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</row>
    <row r="433" customFormat="false" ht="15" hidden="false" customHeight="false" outlineLevel="0" collapsed="false">
      <c r="A433" s="0" t="s">
        <v>467</v>
      </c>
      <c r="B433" s="0" t="n">
        <v>1</v>
      </c>
      <c r="C433" s="0" t="n">
        <v>-0.810080698362423</v>
      </c>
      <c r="D433" s="0" t="n">
        <v>-0.591798019879653</v>
      </c>
      <c r="E433" s="0" t="n">
        <v>-0.962012607332029</v>
      </c>
      <c r="F433" s="0" t="n">
        <v>-0.219146196593162</v>
      </c>
      <c r="G433" s="0" t="n">
        <v>0.36687296694555</v>
      </c>
      <c r="H433" s="0" t="n">
        <v>0.21770875779</v>
      </c>
      <c r="I433" s="0" t="n">
        <v>0.808365880637061</v>
      </c>
      <c r="J433" s="0" t="n">
        <v>-0.0354109722375628</v>
      </c>
      <c r="K433" s="0" t="n">
        <v>0.0510039919286411</v>
      </c>
      <c r="L433" s="0" t="n">
        <v>1.35541496768665</v>
      </c>
      <c r="M433" s="0" t="n">
        <v>-0.0891827144968344</v>
      </c>
      <c r="N433" s="0" t="n">
        <v>-0.797323808616469</v>
      </c>
      <c r="O433" s="0" t="n">
        <v>-0.61456322664328</v>
      </c>
      <c r="P433" s="0" t="n">
        <v>0.267413384087905</v>
      </c>
      <c r="Q433" s="0" t="n">
        <v>0.61861533681273</v>
      </c>
      <c r="R433" s="0" t="n">
        <v>-0.0145097540008331</v>
      </c>
      <c r="S433" s="0" t="n">
        <v>1</v>
      </c>
      <c r="T433" s="0" t="n">
        <v>0</v>
      </c>
      <c r="U433" s="0" t="n">
        <v>0</v>
      </c>
      <c r="V433" s="0" t="n">
        <v>0</v>
      </c>
      <c r="W433" s="0" t="n">
        <v>1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1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0</v>
      </c>
      <c r="AI433" s="0" t="n">
        <v>0</v>
      </c>
      <c r="AJ433" s="0" t="n">
        <v>0</v>
      </c>
    </row>
    <row r="434" customFormat="false" ht="15" hidden="false" customHeight="false" outlineLevel="0" collapsed="false">
      <c r="A434" s="0" t="s">
        <v>468</v>
      </c>
      <c r="B434" s="0" t="n">
        <v>1</v>
      </c>
      <c r="C434" s="0" t="n">
        <v>-0.781162245225241</v>
      </c>
      <c r="D434" s="0" t="n">
        <v>-0.591287414977365</v>
      </c>
      <c r="E434" s="0" t="n">
        <v>-0.980455196824821</v>
      </c>
      <c r="F434" s="0" t="n">
        <v>-0.18704840486569</v>
      </c>
      <c r="G434" s="0" t="n">
        <v>0.454294338155596</v>
      </c>
      <c r="H434" s="0" t="n">
        <v>0.267617933132738</v>
      </c>
      <c r="I434" s="0" t="n">
        <v>0.952471060182931</v>
      </c>
      <c r="J434" s="0" t="n">
        <v>-0.067659484746046</v>
      </c>
      <c r="K434" s="0" t="n">
        <v>-0.149766442883367</v>
      </c>
      <c r="L434" s="0" t="n">
        <v>0.131698260101833</v>
      </c>
      <c r="M434" s="0" t="n">
        <v>-0.107974637549722</v>
      </c>
      <c r="N434" s="0" t="n">
        <v>-0.180160192575284</v>
      </c>
      <c r="O434" s="0" t="n">
        <v>-0.319185332251216</v>
      </c>
      <c r="P434" s="0" t="n">
        <v>-0.335176607133119</v>
      </c>
      <c r="Q434" s="0" t="n">
        <v>-0.300944850024711</v>
      </c>
      <c r="R434" s="0" t="n">
        <v>-0.248813617506255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1</v>
      </c>
      <c r="AI434" s="0" t="n">
        <v>0</v>
      </c>
      <c r="AJ434" s="0" t="n">
        <v>0</v>
      </c>
    </row>
    <row r="435" customFormat="false" ht="15" hidden="false" customHeight="false" outlineLevel="0" collapsed="false">
      <c r="A435" s="0" t="s">
        <v>469</v>
      </c>
      <c r="B435" s="0" t="n">
        <v>1</v>
      </c>
      <c r="C435" s="0" t="n">
        <v>-1.07873091063538</v>
      </c>
      <c r="D435" s="0" t="n">
        <v>-0.660906913092779</v>
      </c>
      <c r="E435" s="0" t="n">
        <v>-0.987515181204724</v>
      </c>
      <c r="F435" s="0" t="n">
        <v>-0.41278733839997</v>
      </c>
      <c r="G435" s="0" t="n">
        <v>0.00647262510975331</v>
      </c>
      <c r="H435" s="0" t="n">
        <v>-0.0308528594302848</v>
      </c>
      <c r="I435" s="0" t="n">
        <v>-0.880224528170464</v>
      </c>
      <c r="J435" s="0" t="n">
        <v>-0.206392131234576</v>
      </c>
      <c r="K435" s="0" t="n">
        <v>0.0909859981914533</v>
      </c>
      <c r="L435" s="0" t="n">
        <v>0.622090719382027</v>
      </c>
      <c r="M435" s="0" t="n">
        <v>0.22366490666675</v>
      </c>
      <c r="N435" s="0" t="n">
        <v>-0.992942174679798</v>
      </c>
      <c r="O435" s="0" t="n">
        <v>-0.721945936618412</v>
      </c>
      <c r="P435" s="0" t="n">
        <v>-0.599255030215054</v>
      </c>
      <c r="Q435" s="0" t="n">
        <v>-0.499205459316837</v>
      </c>
      <c r="R435" s="0" t="n">
        <v>-0.90824952027684</v>
      </c>
      <c r="S435" s="0" t="n">
        <v>1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1</v>
      </c>
      <c r="Y435" s="0" t="n">
        <v>0</v>
      </c>
      <c r="Z435" s="0" t="n">
        <v>0</v>
      </c>
      <c r="AA435" s="0" t="n">
        <v>1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0</v>
      </c>
    </row>
    <row r="436" customFormat="false" ht="15" hidden="false" customHeight="false" outlineLevel="0" collapsed="false">
      <c r="A436" s="0" t="s">
        <v>470</v>
      </c>
      <c r="B436" s="0" t="n">
        <v>1</v>
      </c>
      <c r="C436" s="0" t="n">
        <v>-0.884609849572508</v>
      </c>
      <c r="D436" s="0" t="n">
        <v>-0.307663342985068</v>
      </c>
      <c r="E436" s="0" t="n">
        <v>-0.83861481056116</v>
      </c>
      <c r="F436" s="0" t="n">
        <v>-0.713273420190927</v>
      </c>
      <c r="G436" s="0" t="n">
        <v>-0.000263789513838425</v>
      </c>
      <c r="H436" s="0" t="n">
        <v>0.00617736282335932</v>
      </c>
      <c r="I436" s="0" t="n">
        <v>0.813382480510557</v>
      </c>
      <c r="J436" s="0" t="n">
        <v>-0.0711934801210332</v>
      </c>
      <c r="K436" s="0" t="n">
        <v>0.332657659381775</v>
      </c>
      <c r="L436" s="0" t="n">
        <v>-1.03429069441011</v>
      </c>
      <c r="M436" s="0" t="n">
        <v>0.997191481038746</v>
      </c>
      <c r="N436" s="0" t="n">
        <v>-0.855064103641464</v>
      </c>
      <c r="O436" s="0" t="n">
        <v>-0.136587243155031</v>
      </c>
      <c r="P436" s="0" t="n">
        <v>-0.658039188679366</v>
      </c>
      <c r="Q436" s="0" t="n">
        <v>-0.576129326649922</v>
      </c>
      <c r="R436" s="0" t="n">
        <v>-0.615341840202995</v>
      </c>
      <c r="S436" s="0" t="n">
        <v>0</v>
      </c>
      <c r="T436" s="0" t="n">
        <v>1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1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0.0848840113617674</v>
      </c>
      <c r="AJ436" s="0" t="n">
        <v>0.333333333333333</v>
      </c>
    </row>
    <row r="437" customFormat="false" ht="15" hidden="false" customHeight="false" outlineLevel="0" collapsed="false">
      <c r="A437" s="0" t="s">
        <v>471</v>
      </c>
      <c r="B437" s="0" t="n">
        <v>1</v>
      </c>
      <c r="C437" s="0" t="n">
        <v>-0.902027874594549</v>
      </c>
      <c r="D437" s="0" t="n">
        <v>-0.667684891315711</v>
      </c>
      <c r="E437" s="0" t="n">
        <v>-0.796207546969522</v>
      </c>
      <c r="F437" s="0" t="n">
        <v>-0.188971320595643</v>
      </c>
      <c r="G437" s="0" t="n">
        <v>-0.103186777539375</v>
      </c>
      <c r="H437" s="0" t="n">
        <v>-0.0580859641029958</v>
      </c>
      <c r="I437" s="0" t="n">
        <v>1.06760896238428</v>
      </c>
      <c r="J437" s="0" t="n">
        <v>-0.622893816885333</v>
      </c>
      <c r="K437" s="0" t="n">
        <v>0.303236500298491</v>
      </c>
      <c r="L437" s="0" t="n">
        <v>0.367120139775565</v>
      </c>
      <c r="M437" s="0" t="n">
        <v>-0.0469292385065782</v>
      </c>
      <c r="N437" s="0" t="n">
        <v>-0.628623516034544</v>
      </c>
      <c r="O437" s="0" t="n">
        <v>-0.690494031015266</v>
      </c>
      <c r="P437" s="0" t="n">
        <v>-0.49218023156829</v>
      </c>
      <c r="Q437" s="0" t="n">
        <v>-0.397772078120741</v>
      </c>
      <c r="R437" s="0" t="n">
        <v>-0.374652707044264</v>
      </c>
      <c r="S437" s="0" t="n">
        <v>0</v>
      </c>
      <c r="T437" s="0" t="n">
        <v>1</v>
      </c>
      <c r="U437" s="0" t="n">
        <v>0</v>
      </c>
      <c r="V437" s="0" t="n">
        <v>0</v>
      </c>
      <c r="W437" s="0" t="n">
        <v>0</v>
      </c>
      <c r="X437" s="0" t="n">
        <v>1</v>
      </c>
      <c r="Y437" s="0" t="n">
        <v>0</v>
      </c>
      <c r="Z437" s="0" t="n">
        <v>0</v>
      </c>
      <c r="AA437" s="0" t="n">
        <v>1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0</v>
      </c>
      <c r="AI437" s="0" t="n">
        <v>0</v>
      </c>
      <c r="AJ437" s="0" t="n">
        <v>0</v>
      </c>
    </row>
    <row r="438" customFormat="false" ht="15" hidden="false" customHeight="false" outlineLevel="0" collapsed="false">
      <c r="A438" s="0" t="s">
        <v>472</v>
      </c>
      <c r="B438" s="0" t="n">
        <v>1</v>
      </c>
      <c r="C438" s="0" t="n">
        <v>-0.47065568956487</v>
      </c>
      <c r="D438" s="0" t="n">
        <v>-0.205551166198284</v>
      </c>
      <c r="E438" s="0" t="n">
        <v>-0.47441241008244</v>
      </c>
      <c r="F438" s="0" t="n">
        <v>-0.453129224580094</v>
      </c>
      <c r="G438" s="0" t="n">
        <v>-0.0843582143792855</v>
      </c>
      <c r="H438" s="0" t="n">
        <v>0.034133415493192</v>
      </c>
      <c r="I438" s="0" t="n">
        <v>1.70115001553491</v>
      </c>
      <c r="J438" s="0" t="n">
        <v>-0.067659484746046</v>
      </c>
      <c r="K438" s="0" t="n">
        <v>-0.149766442883367</v>
      </c>
      <c r="L438" s="0" t="n">
        <v>0.131698260101833</v>
      </c>
      <c r="M438" s="0" t="n">
        <v>-0.107974637549722</v>
      </c>
      <c r="N438" s="0" t="n">
        <v>-0.180160192575284</v>
      </c>
      <c r="O438" s="0" t="n">
        <v>-0.319185332251216</v>
      </c>
      <c r="P438" s="0" t="n">
        <v>-0.335176607133119</v>
      </c>
      <c r="Q438" s="0" t="n">
        <v>-0.300944850024711</v>
      </c>
      <c r="R438" s="0" t="n">
        <v>-0.248813617506255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1</v>
      </c>
      <c r="AI438" s="0" t="n">
        <v>0</v>
      </c>
      <c r="AJ438" s="0" t="n">
        <v>0</v>
      </c>
    </row>
    <row r="439" customFormat="false" ht="15" hidden="false" customHeight="false" outlineLevel="0" collapsed="false">
      <c r="A439" s="0" t="s">
        <v>473</v>
      </c>
      <c r="B439" s="0" t="n">
        <v>1</v>
      </c>
      <c r="C439" s="0" t="n">
        <v>-0.870113539558826</v>
      </c>
      <c r="D439" s="0" t="n">
        <v>-0.113875421966803</v>
      </c>
      <c r="E439" s="0" t="n">
        <v>-0.477774796947316</v>
      </c>
      <c r="F439" s="0" t="n">
        <v>-0.913495002974877</v>
      </c>
      <c r="G439" s="0" t="n">
        <v>-0.55037938417535</v>
      </c>
      <c r="H439" s="0" t="n">
        <v>-0.373217648850212</v>
      </c>
      <c r="I439" s="0" t="n">
        <v>0.968053168333644</v>
      </c>
      <c r="J439" s="0" t="n">
        <v>-0.245257297657357</v>
      </c>
      <c r="K439" s="0" t="n">
        <v>0.199263243418376</v>
      </c>
      <c r="L439" s="0" t="n">
        <v>0.73891397983994</v>
      </c>
      <c r="M439" s="0" t="n">
        <v>-0.562334637014778</v>
      </c>
      <c r="N439" s="0" t="n">
        <v>-0.76855640184245</v>
      </c>
      <c r="O439" s="0" t="n">
        <v>0.28963673127266</v>
      </c>
      <c r="P439" s="0" t="n">
        <v>1.40251499008344</v>
      </c>
      <c r="Q439" s="0" t="n">
        <v>-0.51296434266609</v>
      </c>
      <c r="R439" s="0" t="n">
        <v>0.439709386106612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1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0.186843512817444</v>
      </c>
      <c r="AJ439" s="0" t="n">
        <v>0.333333333333333</v>
      </c>
    </row>
    <row r="440" customFormat="false" ht="15" hidden="false" customHeight="false" outlineLevel="0" collapsed="false">
      <c r="A440" s="0" t="s">
        <v>474</v>
      </c>
      <c r="B440" s="0" t="n">
        <v>1</v>
      </c>
      <c r="C440" s="0" t="n">
        <v>-0.530148954599739</v>
      </c>
      <c r="D440" s="0" t="n">
        <v>-0.137086370436748</v>
      </c>
      <c r="E440" s="0" t="n">
        <v>-0.517905630079258</v>
      </c>
      <c r="F440" s="0" t="n">
        <v>-0.590550797320761</v>
      </c>
      <c r="G440" s="0" t="n">
        <v>-0.0879877110492739</v>
      </c>
      <c r="H440" s="0" t="n">
        <v>0.020444945235322</v>
      </c>
      <c r="I440" s="0" t="n">
        <v>-1.44843948518141</v>
      </c>
      <c r="J440" s="0" t="n">
        <v>0.564418149735903</v>
      </c>
      <c r="K440" s="0" t="n">
        <v>-0.334358021161588</v>
      </c>
      <c r="L440" s="0" t="n">
        <v>-0.725825934253616</v>
      </c>
      <c r="M440" s="0" t="n">
        <v>-0.0538972097639241</v>
      </c>
      <c r="N440" s="0" t="n">
        <v>-0.774309883197254</v>
      </c>
      <c r="O440" s="0" t="n">
        <v>-0.486775857088555</v>
      </c>
      <c r="P440" s="0" t="n">
        <v>-0.540562447097156</v>
      </c>
      <c r="Q440" s="0" t="n">
        <v>-0.300114439897104</v>
      </c>
      <c r="R440" s="0" t="n">
        <v>-0.420342564269766</v>
      </c>
      <c r="S440" s="0" t="n">
        <v>1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0" t="n">
        <v>1</v>
      </c>
      <c r="AA440" s="0" t="n">
        <v>0</v>
      </c>
      <c r="AB440" s="0" t="n">
        <v>0</v>
      </c>
      <c r="AC440" s="0" t="n">
        <v>0</v>
      </c>
      <c r="AD440" s="0" t="n">
        <v>1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</row>
    <row r="441" customFormat="false" ht="15" hidden="false" customHeight="false" outlineLevel="0" collapsed="false">
      <c r="A441" s="0" t="s">
        <v>475</v>
      </c>
      <c r="B441" s="0" t="n">
        <v>1</v>
      </c>
      <c r="C441" s="0" t="n">
        <v>-0.517622886401371</v>
      </c>
      <c r="D441" s="0" t="n">
        <v>-0.483672064587598</v>
      </c>
      <c r="E441" s="0" t="n">
        <v>-0.486761460826903</v>
      </c>
      <c r="F441" s="0" t="n">
        <v>-0.0851610792370281</v>
      </c>
      <c r="G441" s="0" t="n">
        <v>-0.12100136317537</v>
      </c>
      <c r="H441" s="0" t="n">
        <v>-0.000699322413904076</v>
      </c>
      <c r="I441" s="0" t="n">
        <v>-0.896075928847503</v>
      </c>
      <c r="J441" s="0" t="n">
        <v>0.714067341168964</v>
      </c>
      <c r="K441" s="0" t="n">
        <v>-0.663294520553546</v>
      </c>
      <c r="L441" s="0" t="n">
        <v>-0.599160932399286</v>
      </c>
      <c r="M441" s="0" t="n">
        <v>-0.98253325277748</v>
      </c>
      <c r="N441" s="0" t="n">
        <v>-0.818077437789154</v>
      </c>
      <c r="O441" s="0" t="n">
        <v>0.0350285698213294</v>
      </c>
      <c r="P441" s="0" t="n">
        <v>-0.067737424356192</v>
      </c>
      <c r="Q441" s="0" t="n">
        <v>0.285432603260415</v>
      </c>
      <c r="R441" s="0" t="n">
        <v>-0.577346377028493</v>
      </c>
      <c r="S441" s="0" t="n">
        <v>0</v>
      </c>
      <c r="T441" s="0" t="n">
        <v>0</v>
      </c>
      <c r="U441" s="0" t="n">
        <v>0</v>
      </c>
      <c r="V441" s="0" t="n">
        <v>1</v>
      </c>
      <c r="W441" s="0" t="n">
        <v>0</v>
      </c>
      <c r="X441" s="0" t="n">
        <v>1</v>
      </c>
      <c r="Y441" s="0" t="n">
        <v>0</v>
      </c>
      <c r="Z441" s="0" t="n">
        <v>0</v>
      </c>
      <c r="AA441" s="0" t="n">
        <v>1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</row>
    <row r="442" customFormat="false" ht="15" hidden="false" customHeight="false" outlineLevel="0" collapsed="false">
      <c r="A442" s="0" t="s">
        <v>476</v>
      </c>
      <c r="B442" s="0" t="n">
        <v>1</v>
      </c>
      <c r="C442" s="0" t="n">
        <v>-0.75836288297461</v>
      </c>
      <c r="D442" s="0" t="n">
        <v>-0.42085461217931</v>
      </c>
      <c r="E442" s="0" t="n">
        <v>-0.728091189494112</v>
      </c>
      <c r="F442" s="0" t="n">
        <v>-0.436933653292329</v>
      </c>
      <c r="G442" s="0" t="n">
        <v>-0.0284736034619466</v>
      </c>
      <c r="H442" s="0" t="n">
        <v>0.0153045253507351</v>
      </c>
      <c r="I442" s="0" t="n">
        <v>0.0686035147388458</v>
      </c>
      <c r="J442" s="0" t="n">
        <v>-0.569744444108931</v>
      </c>
      <c r="K442" s="0" t="n">
        <v>0.0634768969421097</v>
      </c>
      <c r="L442" s="0" t="n">
        <v>-0.460581247486778</v>
      </c>
      <c r="M442" s="0" t="n">
        <v>0.449142538600778</v>
      </c>
      <c r="N442" s="0" t="n">
        <v>-0.501019518844074</v>
      </c>
      <c r="O442" s="0" t="n">
        <v>-0.970394888910115</v>
      </c>
      <c r="P442" s="0" t="n">
        <v>-0.428100702164125</v>
      </c>
      <c r="Q442" s="0" t="n">
        <v>-0.329392275366907</v>
      </c>
      <c r="R442" s="0" t="n">
        <v>-0.620583570045182</v>
      </c>
      <c r="S442" s="0" t="n">
        <v>1</v>
      </c>
      <c r="T442" s="0" t="n">
        <v>0</v>
      </c>
      <c r="U442" s="0" t="n">
        <v>0</v>
      </c>
      <c r="V442" s="0" t="n">
        <v>0</v>
      </c>
      <c r="W442" s="0" t="n">
        <v>1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1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0</v>
      </c>
    </row>
    <row r="443" customFormat="false" ht="15" hidden="false" customHeight="false" outlineLevel="0" collapsed="false">
      <c r="A443" s="0" t="s">
        <v>477</v>
      </c>
      <c r="B443" s="0" t="n">
        <v>1</v>
      </c>
      <c r="C443" s="0" t="n">
        <v>-0.652497188868223</v>
      </c>
      <c r="D443" s="0" t="n">
        <v>-0.331183995996725</v>
      </c>
      <c r="E443" s="0" t="n">
        <v>-0.692003592532297</v>
      </c>
      <c r="F443" s="0" t="n">
        <v>-0.457775069359816</v>
      </c>
      <c r="G443" s="0" t="n">
        <v>0.0480170191785733</v>
      </c>
      <c r="H443" s="0" t="n">
        <v>0.0848008363799524</v>
      </c>
      <c r="I443" s="0" t="n">
        <v>-0.562462553356272</v>
      </c>
      <c r="J443" s="0" t="n">
        <v>-0.067659484746046</v>
      </c>
      <c r="K443" s="0" t="n">
        <v>-0.149766442883367</v>
      </c>
      <c r="L443" s="0" t="n">
        <v>0.131698260101833</v>
      </c>
      <c r="M443" s="0" t="n">
        <v>-0.107974637549722</v>
      </c>
      <c r="N443" s="0" t="n">
        <v>-0.180160192575284</v>
      </c>
      <c r="O443" s="0" t="n">
        <v>-0.319185332251216</v>
      </c>
      <c r="P443" s="0" t="n">
        <v>-0.335176607133119</v>
      </c>
      <c r="Q443" s="0" t="n">
        <v>-0.300944850024711</v>
      </c>
      <c r="R443" s="0" t="n">
        <v>-0.248813617506255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1</v>
      </c>
      <c r="AI443" s="0" t="n">
        <v>0</v>
      </c>
      <c r="AJ443" s="0" t="n">
        <v>0</v>
      </c>
    </row>
    <row r="444" customFormat="false" ht="15" hidden="false" customHeight="false" outlineLevel="0" collapsed="false">
      <c r="A444" s="0" t="s">
        <v>478</v>
      </c>
      <c r="B444" s="0" t="n">
        <v>1</v>
      </c>
      <c r="C444" s="0" t="n">
        <v>-1.07746810558645</v>
      </c>
      <c r="D444" s="0" t="n">
        <v>-0.769594887191922</v>
      </c>
      <c r="E444" s="0" t="n">
        <v>-0.653363216504857</v>
      </c>
      <c r="F444" s="0" t="n">
        <v>-0.210215101072322</v>
      </c>
      <c r="G444" s="0" t="n">
        <v>-0.566637979449207</v>
      </c>
      <c r="H444" s="0" t="n">
        <v>-0.394700990939066</v>
      </c>
      <c r="I444" s="0" t="n">
        <v>0.027414614330292</v>
      </c>
      <c r="J444" s="0" t="n">
        <v>-0.326773527688798</v>
      </c>
      <c r="K444" s="0" t="n">
        <v>0.131053239045358</v>
      </c>
      <c r="L444" s="0" t="n">
        <v>0.0198418618828665</v>
      </c>
      <c r="M444" s="0" t="n">
        <v>-0.626929712987166</v>
      </c>
      <c r="N444" s="0" t="n">
        <v>-0.944243064640923</v>
      </c>
      <c r="O444" s="0" t="n">
        <v>-0.867693898755259</v>
      </c>
      <c r="P444" s="0" t="n">
        <v>-0.722587633042694</v>
      </c>
      <c r="Q444" s="0" t="n">
        <v>-0.598601252872705</v>
      </c>
      <c r="R444" s="0" t="n">
        <v>-0.305660833359194</v>
      </c>
      <c r="S444" s="0" t="n">
        <v>0</v>
      </c>
      <c r="T444" s="0" t="n">
        <v>1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1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0</v>
      </c>
      <c r="AJ444" s="0" t="n">
        <v>0</v>
      </c>
    </row>
    <row r="445" customFormat="false" ht="15" hidden="false" customHeight="false" outlineLevel="0" collapsed="false">
      <c r="A445" s="0" t="s">
        <v>479</v>
      </c>
      <c r="B445" s="0" t="n">
        <v>1</v>
      </c>
      <c r="C445" s="0" t="n">
        <v>-0.819604514913958</v>
      </c>
      <c r="D445" s="0" t="n">
        <v>-0.557631009421923</v>
      </c>
      <c r="E445" s="0" t="n">
        <v>-0.53563459761816</v>
      </c>
      <c r="F445" s="0" t="n">
        <v>-0.288639924447042</v>
      </c>
      <c r="G445" s="0" t="n">
        <v>-0.411254903041711</v>
      </c>
      <c r="H445" s="0" t="n">
        <v>-0.2580191777109</v>
      </c>
      <c r="I445" s="0" t="n">
        <v>0.166689300454774</v>
      </c>
      <c r="J445" s="0" t="n">
        <v>-1.08534573690708</v>
      </c>
      <c r="K445" s="0" t="n">
        <v>0.0506312428505677</v>
      </c>
      <c r="L445" s="0" t="n">
        <v>-0.0827731140243855</v>
      </c>
      <c r="M445" s="0" t="n">
        <v>0.385126599895627</v>
      </c>
      <c r="N445" s="0" t="n">
        <v>-0.281359819976743</v>
      </c>
      <c r="O445" s="0" t="n">
        <v>-0.90790367358852</v>
      </c>
      <c r="P445" s="0" t="n">
        <v>-0.634658201572854</v>
      </c>
      <c r="Q445" s="0" t="n">
        <v>-0.396235821602044</v>
      </c>
      <c r="R445" s="0" t="n">
        <v>-0.573729998374291</v>
      </c>
      <c r="S445" s="0" t="n">
        <v>0</v>
      </c>
      <c r="T445" s="0" t="n">
        <v>1</v>
      </c>
      <c r="U445" s="0" t="n">
        <v>0</v>
      </c>
      <c r="V445" s="0" t="n">
        <v>0</v>
      </c>
      <c r="W445" s="0" t="n">
        <v>1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1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0.497007239686379</v>
      </c>
      <c r="AJ445" s="0" t="n">
        <v>0.333333333333333</v>
      </c>
    </row>
    <row r="446" customFormat="false" ht="15" hidden="false" customHeight="false" outlineLevel="0" collapsed="false">
      <c r="A446" s="0" t="s">
        <v>480</v>
      </c>
      <c r="B446" s="0" t="n">
        <v>1</v>
      </c>
      <c r="C446" s="0" t="n">
        <v>-0.786730506091893</v>
      </c>
      <c r="D446" s="0" t="n">
        <v>-0.722827297421202</v>
      </c>
      <c r="E446" s="0" t="n">
        <v>-0.538878674937127</v>
      </c>
      <c r="F446" s="0" t="n">
        <v>0.0622172752879047</v>
      </c>
      <c r="G446" s="0" t="n">
        <v>-0.366713913826544</v>
      </c>
      <c r="H446" s="0" t="n">
        <v>-0.220648209929514</v>
      </c>
      <c r="I446" s="0" t="n">
        <v>-0.0256792320830645</v>
      </c>
      <c r="J446" s="0" t="n">
        <v>-0.067659484746046</v>
      </c>
      <c r="K446" s="0" t="n">
        <v>-0.149766442883367</v>
      </c>
      <c r="L446" s="0" t="n">
        <v>0.131698260101833</v>
      </c>
      <c r="M446" s="0" t="n">
        <v>-0.107974637549722</v>
      </c>
      <c r="N446" s="0" t="n">
        <v>-0.180160192575284</v>
      </c>
      <c r="O446" s="0" t="n">
        <v>-0.319185332251216</v>
      </c>
      <c r="P446" s="0" t="n">
        <v>-0.335176607133119</v>
      </c>
      <c r="Q446" s="0" t="n">
        <v>-0.300944850024711</v>
      </c>
      <c r="R446" s="0" t="n">
        <v>-0.248813617506255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1</v>
      </c>
      <c r="AI446" s="0" t="n">
        <v>0.505325870406911</v>
      </c>
      <c r="AJ446" s="0" t="n">
        <v>0.666666666666667</v>
      </c>
    </row>
    <row r="447" customFormat="false" ht="15" hidden="false" customHeight="false" outlineLevel="0" collapsed="false">
      <c r="A447" s="0" t="s">
        <v>481</v>
      </c>
      <c r="B447" s="0" t="n">
        <v>1</v>
      </c>
      <c r="C447" s="0" t="n">
        <v>-0.684909075398582</v>
      </c>
      <c r="D447" s="0" t="n">
        <v>-0.438455359551905</v>
      </c>
      <c r="E447" s="0" t="n">
        <v>-0.572487067939356</v>
      </c>
      <c r="F447" s="0" t="n">
        <v>-0.334777432240067</v>
      </c>
      <c r="G447" s="0" t="n">
        <v>-0.19174184251939</v>
      </c>
      <c r="H447" s="0" t="n">
        <v>-0.0791523686351889</v>
      </c>
      <c r="I447" s="0" t="n">
        <v>0.545942748532315</v>
      </c>
      <c r="J447" s="0" t="n">
        <v>-0.139423014443494</v>
      </c>
      <c r="K447" s="0" t="n">
        <v>0.262375056563988</v>
      </c>
      <c r="L447" s="0" t="n">
        <v>1.46853421539188</v>
      </c>
      <c r="M447" s="0" t="n">
        <v>0.460217427954418</v>
      </c>
      <c r="N447" s="0" t="n">
        <v>-0.630883812281074</v>
      </c>
      <c r="O447" s="0" t="n">
        <v>-0.776948360073388</v>
      </c>
      <c r="P447" s="0" t="n">
        <v>-0.640884386924507</v>
      </c>
      <c r="Q447" s="0" t="n">
        <v>-0.488257686293833</v>
      </c>
      <c r="R447" s="0" t="n">
        <v>-0.443457426448104</v>
      </c>
      <c r="S447" s="0" t="n">
        <v>1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1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0.552961334996107</v>
      </c>
      <c r="AJ447" s="0" t="n">
        <v>1</v>
      </c>
    </row>
    <row r="448" customFormat="false" ht="15" hidden="false" customHeight="false" outlineLevel="0" collapsed="false">
      <c r="A448" s="0" t="s">
        <v>482</v>
      </c>
      <c r="B448" s="0" t="n">
        <v>1</v>
      </c>
      <c r="C448" s="0" t="n">
        <v>-0.740022025300098</v>
      </c>
      <c r="D448" s="0" t="n">
        <v>-0.318817394633153</v>
      </c>
      <c r="E448" s="0" t="n">
        <v>-0.605546349248211</v>
      </c>
      <c r="F448" s="0" t="n">
        <v>-0.559481190900085</v>
      </c>
      <c r="G448" s="0" t="n">
        <v>-0.208867150753306</v>
      </c>
      <c r="H448" s="0" t="n">
        <v>-0.0997354571560674</v>
      </c>
      <c r="I448" s="0" t="n">
        <v>-0.407837178617328</v>
      </c>
      <c r="J448" s="0" t="n">
        <v>-0.412846349045583</v>
      </c>
      <c r="K448" s="0" t="n">
        <v>0.164949630396959</v>
      </c>
      <c r="L448" s="0" t="n">
        <v>-0.463344689726465</v>
      </c>
      <c r="M448" s="0" t="n">
        <v>-0.353649746686136</v>
      </c>
      <c r="N448" s="0" t="n">
        <v>-0.559581739776898</v>
      </c>
      <c r="O448" s="0" t="n">
        <v>-0.881291591983158</v>
      </c>
      <c r="P448" s="0" t="n">
        <v>-0.55900395013702</v>
      </c>
      <c r="Q448" s="0" t="n">
        <v>-0.28996634177724</v>
      </c>
      <c r="R448" s="0" t="n">
        <v>-0.334553800891191</v>
      </c>
      <c r="S448" s="0" t="n">
        <v>1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1</v>
      </c>
      <c r="Y448" s="0" t="n">
        <v>0</v>
      </c>
      <c r="Z448" s="0" t="n">
        <v>0</v>
      </c>
      <c r="AA448" s="0" t="n">
        <v>1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0.375055671227128</v>
      </c>
      <c r="AJ448" s="0" t="n">
        <v>0</v>
      </c>
    </row>
    <row r="449" customFormat="false" ht="15" hidden="false" customHeight="false" outlineLevel="0" collapsed="false">
      <c r="A449" s="0" t="s">
        <v>483</v>
      </c>
      <c r="B449" s="0" t="n">
        <v>1</v>
      </c>
      <c r="C449" s="0" t="n">
        <v>0.0208436116912515</v>
      </c>
      <c r="D449" s="0" t="n">
        <v>-0.393166241026458</v>
      </c>
      <c r="E449" s="0" t="n">
        <v>-0.609377630726716</v>
      </c>
      <c r="F449" s="0" t="n">
        <v>0.311013029440447</v>
      </c>
      <c r="G449" s="0" t="n">
        <v>0.755067174141634</v>
      </c>
      <c r="H449" s="0" t="n">
        <v>0.68734997796586</v>
      </c>
      <c r="I449" s="0" t="n">
        <v>0.0727512212590849</v>
      </c>
      <c r="J449" s="0" t="n">
        <v>1.22238132786299</v>
      </c>
      <c r="K449" s="0" t="n">
        <v>-2.05528259745939</v>
      </c>
      <c r="L449" s="0" t="n">
        <v>-1.79904492224797</v>
      </c>
      <c r="M449" s="0" t="n">
        <v>-0.10794954987091</v>
      </c>
      <c r="N449" s="0" t="n">
        <v>-0.561225591592556</v>
      </c>
      <c r="O449" s="0" t="n">
        <v>3</v>
      </c>
      <c r="P449" s="0" t="n">
        <v>2.93586218883832</v>
      </c>
      <c r="Q449" s="0" t="n">
        <v>3</v>
      </c>
      <c r="R449" s="0" t="n">
        <v>0.669495599682135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1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1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0</v>
      </c>
      <c r="AI449" s="0" t="n">
        <v>0.232101804284345</v>
      </c>
      <c r="AJ449" s="0" t="n">
        <v>0</v>
      </c>
    </row>
    <row r="450" customFormat="false" ht="15" hidden="false" customHeight="false" outlineLevel="0" collapsed="false">
      <c r="A450" s="0" t="s">
        <v>484</v>
      </c>
      <c r="B450" s="0" t="n">
        <v>1</v>
      </c>
      <c r="C450" s="0" t="n">
        <v>0.341110502368652</v>
      </c>
      <c r="D450" s="0" t="n">
        <v>0.262828690052564</v>
      </c>
      <c r="E450" s="0" t="n">
        <v>-0.168669204983469</v>
      </c>
      <c r="F450" s="0" t="n">
        <v>-0.34191955248832</v>
      </c>
      <c r="G450" s="0" t="n">
        <v>0.341708343667381</v>
      </c>
      <c r="H450" s="0" t="n">
        <v>0.535303133802568</v>
      </c>
      <c r="I450" s="0" t="n">
        <v>1.62760620713741</v>
      </c>
      <c r="J450" s="0" t="n">
        <v>-0.067659484746046</v>
      </c>
      <c r="K450" s="0" t="n">
        <v>-0.149766442883367</v>
      </c>
      <c r="L450" s="0" t="n">
        <v>0.131698260101833</v>
      </c>
      <c r="M450" s="0" t="n">
        <v>-0.107974637549722</v>
      </c>
      <c r="N450" s="0" t="n">
        <v>-0.180160192575284</v>
      </c>
      <c r="O450" s="0" t="n">
        <v>-0.319185332251216</v>
      </c>
      <c r="P450" s="0" t="n">
        <v>-0.335176607133119</v>
      </c>
      <c r="Q450" s="0" t="n">
        <v>-0.300944850024711</v>
      </c>
      <c r="R450" s="0" t="n">
        <v>-0.248813617506255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1</v>
      </c>
      <c r="AI450" s="0" t="n">
        <v>0</v>
      </c>
      <c r="AJ450" s="0" t="n">
        <v>0</v>
      </c>
    </row>
    <row r="451" customFormat="false" ht="15" hidden="false" customHeight="false" outlineLevel="0" collapsed="false">
      <c r="A451" s="0" t="s">
        <v>485</v>
      </c>
      <c r="B451" s="0" t="n">
        <v>1</v>
      </c>
      <c r="C451" s="0" t="n">
        <v>0.350880200122188</v>
      </c>
      <c r="D451" s="0" t="n">
        <v>0.122973333069281</v>
      </c>
      <c r="E451" s="0" t="n">
        <v>-0.359471189494519</v>
      </c>
      <c r="F451" s="0" t="n">
        <v>-0.173793414704382</v>
      </c>
      <c r="G451" s="0" t="n">
        <v>0.666048403011411</v>
      </c>
      <c r="H451" s="0" t="n">
        <v>0.753856292680349</v>
      </c>
      <c r="I451" s="0" t="n">
        <v>0.939114698208718</v>
      </c>
      <c r="J451" s="0" t="n">
        <v>1.2438493346446</v>
      </c>
      <c r="K451" s="0" t="n">
        <v>-0.532261981126636</v>
      </c>
      <c r="L451" s="0" t="n">
        <v>1.90771322551581</v>
      </c>
      <c r="M451" s="0" t="n">
        <v>0.0994254322969033</v>
      </c>
      <c r="N451" s="0" t="n">
        <v>-0.309510782319891</v>
      </c>
      <c r="O451" s="0" t="n">
        <v>-0.0795605115029884</v>
      </c>
      <c r="P451" s="0" t="n">
        <v>-0.236968705919223</v>
      </c>
      <c r="Q451" s="0" t="n">
        <v>-0.272759312141118</v>
      </c>
      <c r="R451" s="0" t="n">
        <v>-0.735664547467096</v>
      </c>
      <c r="S451" s="0" t="n">
        <v>0</v>
      </c>
      <c r="T451" s="0" t="n">
        <v>0</v>
      </c>
      <c r="U451" s="0" t="n">
        <v>0</v>
      </c>
      <c r="V451" s="0" t="n">
        <v>1</v>
      </c>
      <c r="W451" s="0" t="n">
        <v>0</v>
      </c>
      <c r="X451" s="0" t="n">
        <v>1</v>
      </c>
      <c r="Y451" s="0" t="n">
        <v>0</v>
      </c>
      <c r="Z451" s="0" t="n">
        <v>0</v>
      </c>
      <c r="AA451" s="0" t="n">
        <v>1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0</v>
      </c>
    </row>
    <row r="452" customFormat="false" ht="15" hidden="false" customHeight="false" outlineLevel="0" collapsed="false">
      <c r="A452" s="0" t="s">
        <v>486</v>
      </c>
      <c r="B452" s="0" t="n">
        <v>1</v>
      </c>
      <c r="C452" s="0" t="n">
        <v>0.604041491097264</v>
      </c>
      <c r="D452" s="0" t="n">
        <v>0.574090856565835</v>
      </c>
      <c r="E452" s="0" t="n">
        <v>-0.0498546200715862</v>
      </c>
      <c r="F452" s="0" t="n">
        <v>-0.46885361221144</v>
      </c>
      <c r="G452" s="0" t="n">
        <v>0.42790191031384</v>
      </c>
      <c r="H452" s="0" t="n">
        <v>0.676012387749541</v>
      </c>
      <c r="I452" s="0" t="n">
        <v>1.07368924647816</v>
      </c>
      <c r="J452" s="0" t="n">
        <v>-0.067659484746046</v>
      </c>
      <c r="K452" s="0" t="n">
        <v>-0.149766442883367</v>
      </c>
      <c r="L452" s="0" t="n">
        <v>0.131698260101833</v>
      </c>
      <c r="M452" s="0" t="n">
        <v>-0.107974637549722</v>
      </c>
      <c r="N452" s="0" t="n">
        <v>-0.180160192575284</v>
      </c>
      <c r="O452" s="0" t="n">
        <v>-0.319185332251216</v>
      </c>
      <c r="P452" s="0" t="n">
        <v>-0.335176607133119</v>
      </c>
      <c r="Q452" s="0" t="n">
        <v>-0.300944850024711</v>
      </c>
      <c r="R452" s="0" t="n">
        <v>-0.248813617506255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1</v>
      </c>
      <c r="AI452" s="0" t="n">
        <v>0</v>
      </c>
      <c r="AJ452" s="0" t="n">
        <v>0</v>
      </c>
    </row>
    <row r="453" customFormat="false" ht="15" hidden="false" customHeight="false" outlineLevel="0" collapsed="false">
      <c r="A453" s="0" t="s">
        <v>487</v>
      </c>
      <c r="B453" s="0" t="n">
        <v>1</v>
      </c>
      <c r="C453" s="0" t="n">
        <v>-0.215323879711825</v>
      </c>
      <c r="D453" s="0" t="n">
        <v>0.788770606399674</v>
      </c>
      <c r="E453" s="0" t="n">
        <v>0.0274660148042284</v>
      </c>
      <c r="F453" s="0" t="n">
        <v>-1.14251431622816</v>
      </c>
      <c r="G453" s="0" t="n">
        <v>-0.460684963403033</v>
      </c>
      <c r="H453" s="0" t="n">
        <v>-0.251572953987087</v>
      </c>
      <c r="I453" s="0" t="n">
        <v>1.11348488151235</v>
      </c>
      <c r="J453" s="0" t="n">
        <v>-1.84322628265733</v>
      </c>
      <c r="K453" s="0" t="n">
        <v>0.243883406244436</v>
      </c>
      <c r="L453" s="0" t="n">
        <v>-0.136905933495211</v>
      </c>
      <c r="M453" s="0" t="n">
        <v>-0.901666257617723</v>
      </c>
      <c r="N453" s="0" t="n">
        <v>1.13872266727501</v>
      </c>
      <c r="O453" s="0" t="n">
        <v>-0.542586024811158</v>
      </c>
      <c r="P453" s="0" t="n">
        <v>-0.308476982796331</v>
      </c>
      <c r="Q453" s="0" t="n">
        <v>-0.0889568052275937</v>
      </c>
      <c r="R453" s="0" t="n">
        <v>0.192673264001012</v>
      </c>
      <c r="S453" s="0" t="n">
        <v>0</v>
      </c>
      <c r="T453" s="0" t="n">
        <v>1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1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0.495772585424966</v>
      </c>
      <c r="AJ453" s="0" t="n">
        <v>0.333333333333333</v>
      </c>
    </row>
    <row r="454" customFormat="false" ht="15" hidden="false" customHeight="false" outlineLevel="0" collapsed="false">
      <c r="A454" s="0" t="s">
        <v>488</v>
      </c>
      <c r="B454" s="0" t="n">
        <v>1</v>
      </c>
      <c r="C454" s="0" t="n">
        <v>0.581143892578335</v>
      </c>
      <c r="D454" s="0" t="n">
        <v>0.811666602741866</v>
      </c>
      <c r="E454" s="0" t="n">
        <v>0.0267543793948553</v>
      </c>
      <c r="F454" s="0" t="n">
        <v>-0.681090538640037</v>
      </c>
      <c r="G454" s="0" t="n">
        <v>0.296525950925195</v>
      </c>
      <c r="H454" s="0" t="n">
        <v>0.568736561597583</v>
      </c>
      <c r="I454" s="0" t="n">
        <v>1.16681345290349</v>
      </c>
      <c r="J454" s="0" t="n">
        <v>0.180754487325122</v>
      </c>
      <c r="K454" s="0" t="n">
        <v>-0.471382260781552</v>
      </c>
      <c r="L454" s="0" t="n">
        <v>1.26483385660244</v>
      </c>
      <c r="M454" s="0" t="n">
        <v>-0.429437446834566</v>
      </c>
      <c r="N454" s="0" t="n">
        <v>0.411523720323199</v>
      </c>
      <c r="O454" s="0" t="n">
        <v>-0.600089210101024</v>
      </c>
      <c r="P454" s="0" t="n">
        <v>-0.561596575085727</v>
      </c>
      <c r="Q454" s="0" t="n">
        <v>-0.37882179188166</v>
      </c>
      <c r="R454" s="0" t="n">
        <v>-1.08640776090415</v>
      </c>
      <c r="S454" s="0" t="n">
        <v>1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1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0.307520799107588</v>
      </c>
      <c r="AJ454" s="0" t="n">
        <v>0</v>
      </c>
    </row>
    <row r="455" customFormat="false" ht="15" hidden="false" customHeight="false" outlineLevel="0" collapsed="false">
      <c r="A455" s="0" t="s">
        <v>489</v>
      </c>
      <c r="B455" s="0" t="n">
        <v>1</v>
      </c>
      <c r="C455" s="0" t="n">
        <v>0.909549813824206</v>
      </c>
      <c r="D455" s="0" t="n">
        <v>0.947692444487735</v>
      </c>
      <c r="E455" s="0" t="n">
        <v>0.251837269975925</v>
      </c>
      <c r="F455" s="0" t="n">
        <v>-0.593054256285227</v>
      </c>
      <c r="G455" s="0" t="n">
        <v>0.297647740743556</v>
      </c>
      <c r="H455" s="0" t="n">
        <v>0.660691142083674</v>
      </c>
      <c r="I455" s="0" t="n">
        <v>1.45500850201664</v>
      </c>
      <c r="J455" s="0" t="n">
        <v>0.560688805690941</v>
      </c>
      <c r="K455" s="0" t="n">
        <v>-0.294610177898714</v>
      </c>
      <c r="L455" s="0" t="n">
        <v>0.746742588495228</v>
      </c>
      <c r="M455" s="0" t="n">
        <v>1.18100888347852</v>
      </c>
      <c r="N455" s="0" t="n">
        <v>0.484058681689118</v>
      </c>
      <c r="O455" s="0" t="n">
        <v>-0.66278942543024</v>
      </c>
      <c r="P455" s="0" t="n">
        <v>-0.586557937418242</v>
      </c>
      <c r="Q455" s="0" t="n">
        <v>-0.428830115587746</v>
      </c>
      <c r="R455" s="0" t="n">
        <v>-0.207667399783278</v>
      </c>
      <c r="S455" s="0" t="n">
        <v>0</v>
      </c>
      <c r="T455" s="0" t="n">
        <v>1</v>
      </c>
      <c r="U455" s="0" t="n">
        <v>0</v>
      </c>
      <c r="V455" s="0" t="n">
        <v>0</v>
      </c>
      <c r="W455" s="0" t="n">
        <v>0</v>
      </c>
      <c r="X455" s="0" t="n">
        <v>1</v>
      </c>
      <c r="Y455" s="0" t="n">
        <v>0</v>
      </c>
      <c r="Z455" s="0" t="n">
        <v>0</v>
      </c>
      <c r="AA455" s="0" t="n">
        <v>1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0.807486986467545</v>
      </c>
      <c r="AJ455" s="0" t="n">
        <v>0.333333333333333</v>
      </c>
    </row>
    <row r="456" customFormat="false" ht="15" hidden="false" customHeight="false" outlineLevel="0" collapsed="false">
      <c r="A456" s="0" t="s">
        <v>490</v>
      </c>
      <c r="B456" s="0" t="n">
        <v>1</v>
      </c>
      <c r="C456" s="0" t="n">
        <v>1.32184065832421</v>
      </c>
      <c r="D456" s="0" t="n">
        <v>0.897203692388463</v>
      </c>
      <c r="E456" s="0" t="n">
        <v>0.319838430152224</v>
      </c>
      <c r="F456" s="0" t="n">
        <v>-0.315024340822943</v>
      </c>
      <c r="G456" s="0" t="n">
        <v>0.565062640704288</v>
      </c>
      <c r="H456" s="0" t="n">
        <v>1.0106122292243</v>
      </c>
      <c r="I456" s="0" t="n">
        <v>1.56096481063213</v>
      </c>
      <c r="J456" s="0" t="n">
        <v>1.04194892257559</v>
      </c>
      <c r="K456" s="0" t="n">
        <v>-0.481843194426828</v>
      </c>
      <c r="L456" s="0" t="n">
        <v>-0.0985314457550651</v>
      </c>
      <c r="M456" s="0" t="n">
        <v>0.784519536172543</v>
      </c>
      <c r="N456" s="0" t="n">
        <v>0.561114235548098</v>
      </c>
      <c r="O456" s="0" t="n">
        <v>0.983101126431286</v>
      </c>
      <c r="P456" s="0" t="n">
        <v>-0.00533403253720486</v>
      </c>
      <c r="Q456" s="0" t="n">
        <v>-0.203860716778918</v>
      </c>
      <c r="R456" s="0" t="n">
        <v>0.582795589673975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1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1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0.520818348768723</v>
      </c>
      <c r="AJ456" s="0" t="n">
        <v>0</v>
      </c>
    </row>
    <row r="457" customFormat="false" ht="15" hidden="false" customHeight="false" outlineLevel="0" collapsed="false">
      <c r="A457" s="0" t="s">
        <v>491</v>
      </c>
      <c r="B457" s="0" t="n">
        <v>1</v>
      </c>
      <c r="C457" s="0" t="n">
        <v>2.03856954663745</v>
      </c>
      <c r="D457" s="0" t="n">
        <v>1.02617996438425</v>
      </c>
      <c r="E457" s="0" t="n">
        <v>0.353475298240239</v>
      </c>
      <c r="F457" s="0" t="n">
        <v>-0.0231292070129319</v>
      </c>
      <c r="G457" s="0" t="n">
        <v>1.12518832903476</v>
      </c>
      <c r="H457" s="0" t="n">
        <v>1.71133915389895</v>
      </c>
      <c r="I457" s="0" t="n">
        <v>0.573651038287044</v>
      </c>
      <c r="J457" s="0" t="n">
        <v>1.89331107349761</v>
      </c>
      <c r="K457" s="0" t="n">
        <v>-0.294938852985679</v>
      </c>
      <c r="L457" s="0" t="n">
        <v>0.151302659146443</v>
      </c>
      <c r="M457" s="0" t="n">
        <v>2.01260512737955</v>
      </c>
      <c r="N457" s="0" t="n">
        <v>0.664265936980652</v>
      </c>
      <c r="O457" s="0" t="n">
        <v>-0.529839567512199</v>
      </c>
      <c r="P457" s="0" t="n">
        <v>-0.419484108431994</v>
      </c>
      <c r="Q457" s="0" t="n">
        <v>-0.496423020463797</v>
      </c>
      <c r="R457" s="0" t="n">
        <v>-0.337954037772479</v>
      </c>
      <c r="S457" s="0" t="n">
        <v>0</v>
      </c>
      <c r="T457" s="0" t="n">
        <v>1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1</v>
      </c>
      <c r="AD457" s="0" t="n">
        <v>0</v>
      </c>
      <c r="AE457" s="0" t="n">
        <v>0</v>
      </c>
      <c r="AF457" s="0" t="n">
        <v>0</v>
      </c>
      <c r="AG457" s="0" t="n">
        <v>1</v>
      </c>
      <c r="AH457" s="0" t="n">
        <v>0</v>
      </c>
      <c r="AI457" s="0" t="n">
        <v>0.200856430637541</v>
      </c>
      <c r="AJ457" s="0" t="n">
        <v>0</v>
      </c>
    </row>
    <row r="458" customFormat="false" ht="15" hidden="false" customHeight="false" outlineLevel="0" collapsed="false">
      <c r="A458" s="0" t="s">
        <v>492</v>
      </c>
      <c r="B458" s="0" t="n">
        <v>1</v>
      </c>
      <c r="C458" s="0" t="n">
        <v>0.0341336022047448</v>
      </c>
      <c r="D458" s="0" t="n">
        <v>0.623087456788437</v>
      </c>
      <c r="E458" s="0" t="n">
        <v>0.322445172248934</v>
      </c>
      <c r="F458" s="0" t="n">
        <v>-0.876021420592292</v>
      </c>
      <c r="G458" s="0" t="n">
        <v>-0.536070327245834</v>
      </c>
      <c r="H458" s="0" t="n">
        <v>-0.317232761841131</v>
      </c>
      <c r="I458" s="0" t="n">
        <v>0.230480280492143</v>
      </c>
      <c r="J458" s="0" t="n">
        <v>-1.19101203618265</v>
      </c>
      <c r="K458" s="0" t="n">
        <v>-0.539413221765812</v>
      </c>
      <c r="L458" s="0" t="n">
        <v>-0.0909963876363083</v>
      </c>
      <c r="M458" s="0" t="n">
        <v>0.0689837193192237</v>
      </c>
      <c r="N458" s="0" t="n">
        <v>0.823514081622542</v>
      </c>
      <c r="O458" s="0" t="n">
        <v>-0.488023694284962</v>
      </c>
      <c r="P458" s="0" t="n">
        <v>-0.371043003109516</v>
      </c>
      <c r="Q458" s="0" t="n">
        <v>-0.328801388290859</v>
      </c>
      <c r="R458" s="0" t="n">
        <v>-0.930575753516845</v>
      </c>
      <c r="S458" s="0" t="n">
        <v>0</v>
      </c>
      <c r="T458" s="0" t="n">
        <v>1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1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</row>
    <row r="459" customFormat="false" ht="15" hidden="false" customHeight="false" outlineLevel="0" collapsed="false">
      <c r="A459" s="0" t="s">
        <v>493</v>
      </c>
      <c r="B459" s="0" t="n">
        <v>1</v>
      </c>
      <c r="C459" s="0" t="n">
        <v>0.201033218227795</v>
      </c>
      <c r="D459" s="0" t="n">
        <v>0.642145943867376</v>
      </c>
      <c r="E459" s="0" t="n">
        <v>0.351599598436377</v>
      </c>
      <c r="F459" s="0" t="n">
        <v>-0.784431537953039</v>
      </c>
      <c r="G459" s="0" t="n">
        <v>-0.422654095824556</v>
      </c>
      <c r="H459" s="0" t="n">
        <v>-0.177358826358347</v>
      </c>
      <c r="I459" s="0" t="n">
        <v>-0.260342479208061</v>
      </c>
      <c r="J459" s="0" t="n">
        <v>-0.341248144020206</v>
      </c>
      <c r="K459" s="0" t="n">
        <v>-0.292545589524896</v>
      </c>
      <c r="L459" s="0" t="n">
        <v>0.544586373912355</v>
      </c>
      <c r="M459" s="0" t="n">
        <v>0.896727371285151</v>
      </c>
      <c r="N459" s="0" t="n">
        <v>0.367550684254342</v>
      </c>
      <c r="O459" s="0" t="n">
        <v>-0.524887638905208</v>
      </c>
      <c r="P459" s="0" t="n">
        <v>-0.473222445294672</v>
      </c>
      <c r="Q459" s="0" t="n">
        <v>-0.428678873577854</v>
      </c>
      <c r="R459" s="0" t="n">
        <v>-0.657089080671955</v>
      </c>
      <c r="S459" s="0" t="n">
        <v>0</v>
      </c>
      <c r="T459" s="0" t="n">
        <v>1</v>
      </c>
      <c r="U459" s="0" t="n">
        <v>0</v>
      </c>
      <c r="V459" s="0" t="n">
        <v>0</v>
      </c>
      <c r="W459" s="0" t="n">
        <v>0</v>
      </c>
      <c r="X459" s="0" t="n">
        <v>1</v>
      </c>
      <c r="Y459" s="0" t="n">
        <v>0</v>
      </c>
      <c r="Z459" s="0" t="n">
        <v>0</v>
      </c>
      <c r="AA459" s="0" t="n">
        <v>1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0.114736438394417</v>
      </c>
      <c r="AJ459" s="0" t="n">
        <v>0.333333333333333</v>
      </c>
    </row>
    <row r="460" customFormat="false" ht="15" hidden="false" customHeight="false" outlineLevel="0" collapsed="false">
      <c r="A460" s="0" t="s">
        <v>494</v>
      </c>
      <c r="B460" s="0" t="n">
        <v>1</v>
      </c>
      <c r="C460" s="0" t="n">
        <v>-0.108650567889598</v>
      </c>
      <c r="D460" s="0" t="n">
        <v>0.701232193695692</v>
      </c>
      <c r="E460" s="0" t="n">
        <v>0.332046297024945</v>
      </c>
      <c r="F460" s="0" t="n">
        <v>-1.02118030665849</v>
      </c>
      <c r="G460" s="0" t="n">
        <v>-0.666471823098781</v>
      </c>
      <c r="H460" s="0" t="n">
        <v>-0.474643386736045</v>
      </c>
      <c r="I460" s="0" t="n">
        <v>-0.621937060157186</v>
      </c>
      <c r="J460" s="0" t="n">
        <v>0.179518973973135</v>
      </c>
      <c r="K460" s="0" t="n">
        <v>0.524735494363822</v>
      </c>
      <c r="L460" s="0" t="n">
        <v>1.23905656300519</v>
      </c>
      <c r="M460" s="0" t="n">
        <v>0.106303848594575</v>
      </c>
      <c r="N460" s="0" t="n">
        <v>-0.229373006306552</v>
      </c>
      <c r="O460" s="0" t="n">
        <v>-0.593876914359744</v>
      </c>
      <c r="P460" s="0" t="n">
        <v>-0.605311265613645</v>
      </c>
      <c r="Q460" s="0" t="n">
        <v>-0.589564012281559</v>
      </c>
      <c r="R460" s="0" t="n">
        <v>-0.572278647926667</v>
      </c>
      <c r="S460" s="0" t="n">
        <v>1</v>
      </c>
      <c r="T460" s="0" t="n">
        <v>0</v>
      </c>
      <c r="U460" s="0" t="n">
        <v>0</v>
      </c>
      <c r="V460" s="0" t="n">
        <v>0</v>
      </c>
      <c r="W460" s="0" t="n">
        <v>1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1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0.00127358174927698</v>
      </c>
      <c r="AJ460" s="0" t="n">
        <v>0</v>
      </c>
    </row>
    <row r="461" customFormat="false" ht="15" hidden="false" customHeight="false" outlineLevel="0" collapsed="false">
      <c r="A461" s="0" t="s">
        <v>495</v>
      </c>
      <c r="B461" s="0" t="n">
        <v>1</v>
      </c>
      <c r="C461" s="0" t="n">
        <v>-0.801569032237299</v>
      </c>
      <c r="D461" s="0" t="n">
        <v>0.100194373147249</v>
      </c>
      <c r="E461" s="0" t="n">
        <v>0.331941777260538</v>
      </c>
      <c r="F461" s="0" t="n">
        <v>-1.05286507549018</v>
      </c>
      <c r="G461" s="0" t="n">
        <v>-1.25509418287308</v>
      </c>
      <c r="H461" s="0" t="n">
        <v>-1.18751315488065</v>
      </c>
      <c r="I461" s="0" t="n">
        <v>-0.788267055275641</v>
      </c>
      <c r="J461" s="0" t="n">
        <v>-1.59856911563438</v>
      </c>
      <c r="K461" s="0" t="n">
        <v>2.30806254081236</v>
      </c>
      <c r="L461" s="0" t="n">
        <v>0.633208422888669</v>
      </c>
      <c r="M461" s="0" t="n">
        <v>-0.735019759828888</v>
      </c>
      <c r="N461" s="0" t="n">
        <v>0.0985754309172645</v>
      </c>
      <c r="O461" s="0" t="n">
        <v>-0.837049206378524</v>
      </c>
      <c r="P461" s="0" t="n">
        <v>-0.549615063548571</v>
      </c>
      <c r="Q461" s="0" t="n">
        <v>-0.525109086281406</v>
      </c>
      <c r="R461" s="0" t="n">
        <v>0.355626485189993</v>
      </c>
      <c r="S461" s="0" t="n">
        <v>0</v>
      </c>
      <c r="T461" s="0" t="n">
        <v>1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1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</row>
    <row r="462" customFormat="false" ht="15" hidden="false" customHeight="false" outlineLevel="0" collapsed="false">
      <c r="A462" s="0" t="s">
        <v>496</v>
      </c>
      <c r="B462" s="0" t="n">
        <v>1</v>
      </c>
      <c r="C462" s="0" t="n">
        <v>-0.140575487186798</v>
      </c>
      <c r="D462" s="0" t="n">
        <v>0.0753378156348142</v>
      </c>
      <c r="E462" s="0" t="n">
        <v>0.374591265895963</v>
      </c>
      <c r="F462" s="0" t="n">
        <v>-0.505540038245026</v>
      </c>
      <c r="G462" s="0" t="n">
        <v>-0.731026506816982</v>
      </c>
      <c r="H462" s="0" t="n">
        <v>-0.553984176942552</v>
      </c>
      <c r="I462" s="0" t="n">
        <v>-0.436574038667662</v>
      </c>
      <c r="J462" s="0" t="n">
        <v>0.0619588344830798</v>
      </c>
      <c r="K462" s="0" t="n">
        <v>-0.454970479048586</v>
      </c>
      <c r="L462" s="0" t="n">
        <v>-0.167939405684091</v>
      </c>
      <c r="M462" s="0" t="n">
        <v>0.351579135198182</v>
      </c>
      <c r="N462" s="0" t="n">
        <v>-0.20081108100949</v>
      </c>
      <c r="O462" s="0" t="n">
        <v>-0.44323525698501</v>
      </c>
      <c r="P462" s="0" t="n">
        <v>-0.592911920635269</v>
      </c>
      <c r="Q462" s="0" t="n">
        <v>-0.419437615206591</v>
      </c>
      <c r="R462" s="0" t="n">
        <v>-0.51746523298607</v>
      </c>
      <c r="S462" s="0" t="n">
        <v>0</v>
      </c>
      <c r="T462" s="0" t="n">
        <v>1</v>
      </c>
      <c r="U462" s="0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0" t="n">
        <v>1</v>
      </c>
      <c r="AA462" s="0" t="n">
        <v>0</v>
      </c>
      <c r="AB462" s="0" t="n">
        <v>0</v>
      </c>
      <c r="AC462" s="0" t="n">
        <v>0</v>
      </c>
      <c r="AD462" s="0" t="n">
        <v>1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0.550510748899687</v>
      </c>
      <c r="AJ462" s="0" t="n">
        <v>0.333333333333333</v>
      </c>
    </row>
    <row r="463" customFormat="false" ht="15" hidden="false" customHeight="false" outlineLevel="0" collapsed="false">
      <c r="A463" s="0" t="s">
        <v>497</v>
      </c>
      <c r="B463" s="0" t="n">
        <v>1</v>
      </c>
      <c r="C463" s="0" t="n">
        <v>0.112513302665214</v>
      </c>
      <c r="D463" s="0" t="n">
        <v>-0.316487106354801</v>
      </c>
      <c r="E463" s="0" t="n">
        <v>0.292511451066629</v>
      </c>
      <c r="F463" s="0" t="n">
        <v>0.262810532878109</v>
      </c>
      <c r="G463" s="0" t="n">
        <v>-0.439813562226411</v>
      </c>
      <c r="H463" s="0" t="n">
        <v>-0.203873005945316</v>
      </c>
      <c r="I463" s="0" t="n">
        <v>-0.653497865065516</v>
      </c>
      <c r="J463" s="0" t="n">
        <v>-0.0727088075523534</v>
      </c>
      <c r="K463" s="0" t="n">
        <v>-0.235192269249621</v>
      </c>
      <c r="L463" s="0" t="n">
        <v>0.419194451069562</v>
      </c>
      <c r="M463" s="0" t="n">
        <v>0.702966755751533</v>
      </c>
      <c r="N463" s="0" t="n">
        <v>0.115013949073847</v>
      </c>
      <c r="O463" s="0" t="n">
        <v>-0.548946539128211</v>
      </c>
      <c r="P463" s="0" t="n">
        <v>-0.547998460118385</v>
      </c>
      <c r="Q463" s="0" t="n">
        <v>-0.473101524842806</v>
      </c>
      <c r="R463" s="0" t="n">
        <v>-0.763680337184139</v>
      </c>
      <c r="S463" s="0" t="n">
        <v>0</v>
      </c>
      <c r="T463" s="0" t="n">
        <v>1</v>
      </c>
      <c r="U463" s="0" t="n">
        <v>0</v>
      </c>
      <c r="V463" s="0" t="n">
        <v>0</v>
      </c>
      <c r="W463" s="0" t="n">
        <v>0</v>
      </c>
      <c r="X463" s="0" t="n">
        <v>1</v>
      </c>
      <c r="Y463" s="0" t="n">
        <v>0</v>
      </c>
      <c r="Z463" s="0" t="n">
        <v>0</v>
      </c>
      <c r="AA463" s="0" t="n">
        <v>1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0.113760904799528</v>
      </c>
      <c r="AJ463" s="0" t="n">
        <v>0</v>
      </c>
    </row>
    <row r="464" customFormat="false" ht="15" hidden="false" customHeight="false" outlineLevel="0" collapsed="false">
      <c r="A464" s="0" t="s">
        <v>498</v>
      </c>
      <c r="B464" s="0" t="n">
        <v>1</v>
      </c>
      <c r="C464" s="0" t="n">
        <v>-0.675327361159593</v>
      </c>
      <c r="D464" s="0" t="n">
        <v>-0.5400471203604</v>
      </c>
      <c r="E464" s="0" t="n">
        <v>0.281048034107325</v>
      </c>
      <c r="F464" s="0" t="n">
        <v>-0.158510666937661</v>
      </c>
      <c r="G464" s="0" t="n">
        <v>-1.10971554236455</v>
      </c>
      <c r="H464" s="0" t="n">
        <v>-1.00200119364044</v>
      </c>
      <c r="I464" s="0" t="n">
        <v>-0.669080548788787</v>
      </c>
      <c r="J464" s="0" t="n">
        <v>-1.97758930318172</v>
      </c>
      <c r="K464" s="0" t="n">
        <v>1.54134564252763</v>
      </c>
      <c r="L464" s="0" t="n">
        <v>0.461515591075843</v>
      </c>
      <c r="M464" s="0" t="n">
        <v>-0.328423404595105</v>
      </c>
      <c r="N464" s="0" t="n">
        <v>0.614128456603076</v>
      </c>
      <c r="O464" s="0" t="n">
        <v>-0.470479282895116</v>
      </c>
      <c r="P464" s="0" t="n">
        <v>0.408224467933484</v>
      </c>
      <c r="Q464" s="0" t="n">
        <v>-0.208995310530669</v>
      </c>
      <c r="R464" s="0" t="n">
        <v>-0.438663473002597</v>
      </c>
      <c r="S464" s="0" t="n">
        <v>1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1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0.0253498976061868</v>
      </c>
      <c r="AJ464" s="0" t="n">
        <v>0</v>
      </c>
    </row>
    <row r="465" customFormat="false" ht="15" hidden="false" customHeight="false" outlineLevel="0" collapsed="false">
      <c r="A465" s="0" t="s">
        <v>499</v>
      </c>
      <c r="B465" s="0" t="n">
        <v>1</v>
      </c>
      <c r="C465" s="0" t="n">
        <v>-0.539118710435597</v>
      </c>
      <c r="D465" s="0" t="n">
        <v>-0.538823508537674</v>
      </c>
      <c r="E465" s="0" t="n">
        <v>-0.0567818844541888</v>
      </c>
      <c r="F465" s="0" t="n">
        <v>-0.0103483693189589</v>
      </c>
      <c r="G465" s="0" t="n">
        <v>-0.683746135468328</v>
      </c>
      <c r="H465" s="0" t="n">
        <v>-0.492681594257649</v>
      </c>
      <c r="I465" s="0" t="n">
        <v>-0.857983659635879</v>
      </c>
      <c r="J465" s="0" t="n">
        <v>-0.291664702299898</v>
      </c>
      <c r="K465" s="0" t="n">
        <v>-0.556340960512366</v>
      </c>
      <c r="L465" s="0" t="n">
        <v>0.812076012689466</v>
      </c>
      <c r="M465" s="0" t="n">
        <v>-0.571375493119844</v>
      </c>
      <c r="N465" s="0" t="n">
        <v>-0.413484409660274</v>
      </c>
      <c r="O465" s="0" t="n">
        <v>-0.205180426823167</v>
      </c>
      <c r="P465" s="0" t="n">
        <v>-0.117699035670723</v>
      </c>
      <c r="Q465" s="0" t="n">
        <v>0.212178170470886</v>
      </c>
      <c r="R465" s="0" t="n">
        <v>-0.307470458781773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0</v>
      </c>
      <c r="X465" s="0" t="n">
        <v>0</v>
      </c>
      <c r="Y465" s="0" t="n">
        <v>0</v>
      </c>
      <c r="Z465" s="0" t="n">
        <v>1</v>
      </c>
      <c r="AA465" s="0" t="n">
        <v>0</v>
      </c>
      <c r="AB465" s="0" t="n">
        <v>0</v>
      </c>
      <c r="AC465" s="0" t="n">
        <v>0</v>
      </c>
      <c r="AD465" s="0" t="n">
        <v>1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</row>
    <row r="466" customFormat="false" ht="15" hidden="false" customHeight="false" outlineLevel="0" collapsed="false">
      <c r="A466" s="0" t="s">
        <v>500</v>
      </c>
      <c r="B466" s="0" t="n">
        <v>1</v>
      </c>
      <c r="C466" s="0" t="n">
        <v>-0.212481244471696</v>
      </c>
      <c r="D466" s="0" t="n">
        <v>-0.644278368309365</v>
      </c>
      <c r="E466" s="0" t="n">
        <v>-0.0612337352164981</v>
      </c>
      <c r="F466" s="0" t="n">
        <v>0.582736473875574</v>
      </c>
      <c r="G466" s="0" t="n">
        <v>-0.357998750220906</v>
      </c>
      <c r="H466" s="0" t="n">
        <v>-0.151720568086295</v>
      </c>
      <c r="I466" s="0" t="n">
        <v>-0.850695647952777</v>
      </c>
      <c r="J466" s="0" t="n">
        <v>1.23269059510152</v>
      </c>
      <c r="K466" s="0" t="n">
        <v>-0.0778640495889718</v>
      </c>
      <c r="L466" s="0" t="n">
        <v>0.410619024372505</v>
      </c>
      <c r="M466" s="0" t="n">
        <v>0.568996912280445</v>
      </c>
      <c r="N466" s="0" t="n">
        <v>-0.748830180054552</v>
      </c>
      <c r="O466" s="0" t="n">
        <v>-0.673928650672093</v>
      </c>
      <c r="P466" s="0" t="n">
        <v>-0.600041849010428</v>
      </c>
      <c r="Q466" s="0" t="n">
        <v>-0.578429671860549</v>
      </c>
      <c r="R466" s="0" t="n">
        <v>-0.426730868323501</v>
      </c>
      <c r="S466" s="0" t="n">
        <v>1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0</v>
      </c>
      <c r="Y466" s="0" t="n">
        <v>1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</row>
    <row r="467" customFormat="false" ht="15" hidden="false" customHeight="false" outlineLevel="0" collapsed="false">
      <c r="A467" s="0" t="s">
        <v>501</v>
      </c>
      <c r="B467" s="0" t="n">
        <v>1</v>
      </c>
      <c r="C467" s="0" t="n">
        <v>-0.0798842430918549</v>
      </c>
      <c r="D467" s="0" t="n">
        <v>-0.773012082857747</v>
      </c>
      <c r="E467" s="0" t="n">
        <v>-0.0838758181017335</v>
      </c>
      <c r="F467" s="0" t="n">
        <v>1.0873667634322</v>
      </c>
      <c r="G467" s="0" t="n">
        <v>-0.19977693876506</v>
      </c>
      <c r="H467" s="0" t="n">
        <v>0.00945851019588231</v>
      </c>
      <c r="I467" s="0" t="n">
        <v>-2.15050106424117</v>
      </c>
      <c r="J467" s="0" t="n">
        <v>1.1494799906526</v>
      </c>
      <c r="K467" s="0" t="n">
        <v>-0.303691456098383</v>
      </c>
      <c r="L467" s="0" t="n">
        <v>-0.380444752661654</v>
      </c>
      <c r="M467" s="0" t="n">
        <v>0.207790809929127</v>
      </c>
      <c r="N467" s="0" t="n">
        <v>-0.614445294124491</v>
      </c>
      <c r="O467" s="0" t="n">
        <v>0.146557900639308</v>
      </c>
      <c r="P467" s="0" t="n">
        <v>0.0656486202600556</v>
      </c>
      <c r="Q467" s="0" t="n">
        <v>-0.543519403323116</v>
      </c>
      <c r="R467" s="0" t="n">
        <v>0.0596474971561575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1</v>
      </c>
      <c r="Y467" s="0" t="n">
        <v>0</v>
      </c>
      <c r="Z467" s="0" t="n">
        <v>0</v>
      </c>
      <c r="AA467" s="0" t="n">
        <v>1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0.0650666409140589</v>
      </c>
      <c r="AJ467" s="0" t="n">
        <v>0.333333333333333</v>
      </c>
    </row>
    <row r="468" customFormat="false" ht="15" hidden="false" customHeight="false" outlineLevel="0" collapsed="false">
      <c r="A468" s="0" t="s">
        <v>502</v>
      </c>
      <c r="B468" s="0" t="n">
        <v>1</v>
      </c>
      <c r="C468" s="0" t="n">
        <v>-0.128509827721064</v>
      </c>
      <c r="D468" s="0" t="n">
        <v>-0.89612361987308</v>
      </c>
      <c r="E468" s="0" t="n">
        <v>-0.0946172888100502</v>
      </c>
      <c r="F468" s="0" t="n">
        <v>1.41884721288375</v>
      </c>
      <c r="G468" s="0" t="n">
        <v>-0.23483355815068</v>
      </c>
      <c r="H468" s="0" t="n">
        <v>-0.0288373363183057</v>
      </c>
      <c r="I468" s="0" t="n">
        <v>-2.18991859892352</v>
      </c>
      <c r="J468" s="0" t="n">
        <v>0.662478675029527</v>
      </c>
      <c r="K468" s="0" t="n">
        <v>-0.359625249880936</v>
      </c>
      <c r="L468" s="0" t="n">
        <v>0.289190700571538</v>
      </c>
      <c r="M468" s="0" t="n">
        <v>-0.0692906057821967</v>
      </c>
      <c r="N468" s="0" t="n">
        <v>-0.465265741853508</v>
      </c>
      <c r="O468" s="0" t="n">
        <v>0.121869598980207</v>
      </c>
      <c r="P468" s="0" t="n">
        <v>0.385528664577694</v>
      </c>
      <c r="Q468" s="0" t="n">
        <v>0.153366752624243</v>
      </c>
      <c r="R468" s="0" t="n">
        <v>0.753865623565607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1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1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0.0132655885564842</v>
      </c>
      <c r="AJ468" s="0" t="n">
        <v>0</v>
      </c>
    </row>
    <row r="469" customFormat="false" ht="15" hidden="false" customHeight="false" outlineLevel="0" collapsed="false">
      <c r="A469" s="0" t="s">
        <v>503</v>
      </c>
      <c r="B469" s="0" t="n">
        <v>1</v>
      </c>
      <c r="C469" s="0" t="n">
        <v>-0.66306717280649</v>
      </c>
      <c r="D469" s="0" t="n">
        <v>-0.719982003374921</v>
      </c>
      <c r="E469" s="0" t="n">
        <v>-0.411590858440349</v>
      </c>
      <c r="F469" s="0" t="n">
        <v>0.210167796978236</v>
      </c>
      <c r="G469" s="0" t="n">
        <v>-0.397588608735223</v>
      </c>
      <c r="H469" s="0" t="n">
        <v>-0.232498719840601</v>
      </c>
      <c r="I469" s="0" t="n">
        <v>-0.754679057509246</v>
      </c>
      <c r="J469" s="0" t="n">
        <v>-0.905959614648506</v>
      </c>
      <c r="K469" s="0" t="n">
        <v>1.73862205427832</v>
      </c>
      <c r="L469" s="0" t="n">
        <v>0.381996484224124</v>
      </c>
      <c r="M469" s="0" t="n">
        <v>0.295208931359591</v>
      </c>
      <c r="N469" s="0" t="n">
        <v>-0.208619377133866</v>
      </c>
      <c r="O469" s="0" t="n">
        <v>-0.459520308266134</v>
      </c>
      <c r="P469" s="0" t="n">
        <v>-0.00258082436535711</v>
      </c>
      <c r="Q469" s="0" t="n">
        <v>-0.588671398950128</v>
      </c>
      <c r="R469" s="0" t="n">
        <v>-0.44958069657394</v>
      </c>
      <c r="S469" s="0" t="n">
        <v>1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1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0</v>
      </c>
    </row>
    <row r="470" customFormat="false" ht="15" hidden="false" customHeight="false" outlineLevel="0" collapsed="false">
      <c r="A470" s="0" t="s">
        <v>504</v>
      </c>
      <c r="B470" s="0" t="n">
        <v>1</v>
      </c>
      <c r="C470" s="0" t="n">
        <v>-0.249210266467788</v>
      </c>
      <c r="D470" s="0" t="n">
        <v>-0.81813568890042</v>
      </c>
      <c r="E470" s="0" t="n">
        <v>-0.563427113523655</v>
      </c>
      <c r="F470" s="0" t="n">
        <v>0.998869351675626</v>
      </c>
      <c r="G470" s="0" t="n">
        <v>0.330205441269218</v>
      </c>
      <c r="H470" s="0" t="n">
        <v>0.359263052428345</v>
      </c>
      <c r="I470" s="0" t="n">
        <v>-0.299637247527768</v>
      </c>
      <c r="J470" s="0" t="n">
        <v>0.490976719837947</v>
      </c>
      <c r="K470" s="0" t="n">
        <v>-0.274254086720642</v>
      </c>
      <c r="L470" s="0" t="n">
        <v>-0.387328467223285</v>
      </c>
      <c r="M470" s="0" t="n">
        <v>-0.147783191991689</v>
      </c>
      <c r="N470" s="0" t="n">
        <v>-0.498553741120586</v>
      </c>
      <c r="O470" s="0" t="n">
        <v>-0.328712105389415</v>
      </c>
      <c r="P470" s="0" t="n">
        <v>-0.560575742033246</v>
      </c>
      <c r="Q470" s="0" t="n">
        <v>-0.603088978138587</v>
      </c>
      <c r="R470" s="0" t="n">
        <v>-0.693733044328262</v>
      </c>
      <c r="S470" s="0" t="n">
        <v>1</v>
      </c>
      <c r="T470" s="0" t="n">
        <v>0</v>
      </c>
      <c r="U470" s="0" t="n">
        <v>0</v>
      </c>
      <c r="V470" s="0" t="n">
        <v>0</v>
      </c>
      <c r="W470" s="0" t="n">
        <v>0</v>
      </c>
      <c r="X470" s="0" t="n">
        <v>0</v>
      </c>
      <c r="Y470" s="0" t="n">
        <v>1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0.616861213038937</v>
      </c>
      <c r="AJ470" s="0" t="n">
        <v>0.333333333333333</v>
      </c>
    </row>
    <row r="471" customFormat="false" ht="15" hidden="false" customHeight="false" outlineLevel="0" collapsed="false">
      <c r="A471" s="0" t="s">
        <v>505</v>
      </c>
      <c r="B471" s="0" t="n">
        <v>1</v>
      </c>
      <c r="C471" s="0" t="n">
        <v>-0.114048821175341</v>
      </c>
      <c r="D471" s="0" t="n">
        <v>-0.952435145034166</v>
      </c>
      <c r="E471" s="0" t="n">
        <v>-0.787570087769948</v>
      </c>
      <c r="F471" s="0" t="n">
        <v>1.64830126187741</v>
      </c>
      <c r="G471" s="0" t="n">
        <v>0.97298252506537</v>
      </c>
      <c r="H471" s="0" t="n">
        <v>0.743272710921194</v>
      </c>
      <c r="I471" s="0" t="n">
        <v>0.0928907668973894</v>
      </c>
      <c r="J471" s="0" t="n">
        <v>0.774352350952465</v>
      </c>
      <c r="K471" s="0" t="n">
        <v>-0.310457533512353</v>
      </c>
      <c r="L471" s="0" t="n">
        <v>-0.0943897429043006</v>
      </c>
      <c r="M471" s="0" t="n">
        <v>0.49004509580642</v>
      </c>
      <c r="N471" s="0" t="n">
        <v>-0.498759222597544</v>
      </c>
      <c r="O471" s="0" t="n">
        <v>-0.857480724209381</v>
      </c>
      <c r="P471" s="0" t="n">
        <v>-0.60139961286954</v>
      </c>
      <c r="Q471" s="0" t="n">
        <v>-0.425531406657548</v>
      </c>
      <c r="R471" s="0" t="n">
        <v>-0.851963607329754</v>
      </c>
      <c r="S471" s="0" t="n">
        <v>1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1</v>
      </c>
      <c r="Y471" s="0" t="n">
        <v>0</v>
      </c>
      <c r="Z471" s="0" t="n">
        <v>0</v>
      </c>
      <c r="AA471" s="0" t="n">
        <v>1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0.336512277295721</v>
      </c>
      <c r="AJ471" s="0" t="n">
        <v>0</v>
      </c>
    </row>
    <row r="472" customFormat="false" ht="15" hidden="false" customHeight="false" outlineLevel="0" collapsed="false">
      <c r="A472" s="0" t="s">
        <v>506</v>
      </c>
      <c r="B472" s="0" t="n">
        <v>1</v>
      </c>
      <c r="C472" s="0" t="n">
        <v>-0.281386553235774</v>
      </c>
      <c r="D472" s="0" t="n">
        <v>-0.992196350679913</v>
      </c>
      <c r="E472" s="0" t="n">
        <v>-0.943316905297626</v>
      </c>
      <c r="F472" s="0" t="n">
        <v>1.55001145360239</v>
      </c>
      <c r="G472" s="0" t="n">
        <v>1.12764487020367</v>
      </c>
      <c r="H472" s="0" t="n">
        <v>0.741282923943654</v>
      </c>
      <c r="I472" s="0" t="n">
        <v>0.323667930848531</v>
      </c>
      <c r="J472" s="0" t="n">
        <v>0.858787040366775</v>
      </c>
      <c r="K472" s="0" t="n">
        <v>0.0731574740855536</v>
      </c>
      <c r="L472" s="0" t="n">
        <v>0.250978031226706</v>
      </c>
      <c r="M472" s="0" t="n">
        <v>0.028000353953201</v>
      </c>
      <c r="N472" s="0" t="n">
        <v>-0.671774626195572</v>
      </c>
      <c r="O472" s="0" t="n">
        <v>-0.723424347403557</v>
      </c>
      <c r="P472" s="0" t="n">
        <v>-0.642923933294857</v>
      </c>
      <c r="Q472" s="0" t="n">
        <v>-0.537050043663356</v>
      </c>
      <c r="R472" s="0" t="n">
        <v>-1.50142605425097</v>
      </c>
      <c r="S472" s="0" t="n">
        <v>1</v>
      </c>
      <c r="T472" s="0" t="n">
        <v>0</v>
      </c>
      <c r="U472" s="0" t="n">
        <v>0</v>
      </c>
      <c r="V472" s="0" t="n">
        <v>0</v>
      </c>
      <c r="W472" s="0" t="n">
        <v>1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1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</row>
    <row r="473" customFormat="false" ht="15" hidden="false" customHeight="false" outlineLevel="0" collapsed="false">
      <c r="A473" s="0" t="s">
        <v>507</v>
      </c>
      <c r="B473" s="0" t="n">
        <v>1</v>
      </c>
      <c r="C473" s="0" t="n">
        <v>-0.0404163780514367</v>
      </c>
      <c r="D473" s="0" t="n">
        <v>-0.592226803492224</v>
      </c>
      <c r="E473" s="0" t="n">
        <v>-0.792692632081733</v>
      </c>
      <c r="F473" s="0" t="n">
        <v>0.660351280134347</v>
      </c>
      <c r="G473" s="0" t="n">
        <v>1.08758400323124</v>
      </c>
      <c r="H473" s="0" t="n">
        <v>0.82463510627401</v>
      </c>
      <c r="I473" s="0" t="n">
        <v>0.824761400920382</v>
      </c>
      <c r="J473" s="0" t="n">
        <v>-0.405443634650653</v>
      </c>
      <c r="K473" s="0" t="n">
        <v>0.673072413645225</v>
      </c>
      <c r="L473" s="0" t="n">
        <v>0.129395815753419</v>
      </c>
      <c r="M473" s="0" t="n">
        <v>1.68126235334638</v>
      </c>
      <c r="N473" s="0" t="n">
        <v>0.160219874004448</v>
      </c>
      <c r="O473" s="0" t="n">
        <v>-0.301714271872172</v>
      </c>
      <c r="P473" s="0" t="n">
        <v>-0.249930106494595</v>
      </c>
      <c r="Q473" s="0" t="n">
        <v>-0.218112996076721</v>
      </c>
      <c r="R473" s="0" t="n">
        <v>0.283064521270982</v>
      </c>
      <c r="S473" s="0" t="n">
        <v>1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1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0.616324136214559</v>
      </c>
      <c r="AJ473" s="0" t="n">
        <v>0.333333333333333</v>
      </c>
    </row>
    <row r="474" customFormat="false" ht="15" hidden="false" customHeight="false" outlineLevel="0" collapsed="false">
      <c r="A474" s="0" t="s">
        <v>508</v>
      </c>
      <c r="B474" s="0" t="n">
        <v>1</v>
      </c>
      <c r="C474" s="0" t="n">
        <v>-0.432555063906694</v>
      </c>
      <c r="D474" s="0" t="n">
        <v>-0.329926506888736</v>
      </c>
      <c r="E474" s="0" t="n">
        <v>-0.697616985405851</v>
      </c>
      <c r="F474" s="0" t="n">
        <v>-0.244985769053803</v>
      </c>
      <c r="G474" s="0" t="n">
        <v>0.348027042701868</v>
      </c>
      <c r="H474" s="0" t="n">
        <v>0.31724612543126</v>
      </c>
      <c r="I474" s="0" t="n">
        <v>1.3165718286187</v>
      </c>
      <c r="J474" s="0" t="n">
        <v>0.624265153176462</v>
      </c>
      <c r="K474" s="0" t="n">
        <v>-0.222469381182871</v>
      </c>
      <c r="L474" s="0" t="n">
        <v>0.423182253456097</v>
      </c>
      <c r="M474" s="0" t="n">
        <v>0.374992992285848</v>
      </c>
      <c r="N474" s="0" t="n">
        <v>-0.712048995679199</v>
      </c>
      <c r="O474" s="0" t="n">
        <v>-1.01366766328029</v>
      </c>
      <c r="P474" s="0" t="n">
        <v>-0.709795627468054</v>
      </c>
      <c r="Q474" s="0" t="n">
        <v>-0.515496034177095</v>
      </c>
      <c r="R474" s="0" t="n">
        <v>-0.374296570864968</v>
      </c>
      <c r="S474" s="0" t="n">
        <v>1</v>
      </c>
      <c r="T474" s="0" t="n">
        <v>0</v>
      </c>
      <c r="U474" s="0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0" t="n">
        <v>1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1</v>
      </c>
      <c r="AF474" s="0" t="n">
        <v>0</v>
      </c>
      <c r="AG474" s="0" t="n">
        <v>0</v>
      </c>
      <c r="AH474" s="0" t="n">
        <v>0</v>
      </c>
      <c r="AI474" s="0" t="n">
        <v>1.4333816694826</v>
      </c>
      <c r="AJ474" s="0" t="n">
        <v>0.666666666666667</v>
      </c>
    </row>
    <row r="475" customFormat="false" ht="15" hidden="false" customHeight="false" outlineLevel="0" collapsed="false">
      <c r="A475" s="0" t="s">
        <v>509</v>
      </c>
      <c r="B475" s="0" t="n">
        <v>1</v>
      </c>
      <c r="C475" s="0" t="n">
        <v>-0.347786021844059</v>
      </c>
      <c r="D475" s="0" t="n">
        <v>-0.335581536877422</v>
      </c>
      <c r="E475" s="0" t="n">
        <v>-0.759904822010666</v>
      </c>
      <c r="F475" s="0" t="n">
        <v>-0.153593171940662</v>
      </c>
      <c r="G475" s="0" t="n">
        <v>0.588921860692464</v>
      </c>
      <c r="H475" s="0" t="n">
        <v>0.472535490168833</v>
      </c>
      <c r="I475" s="0" t="n">
        <v>1.31053952506892</v>
      </c>
      <c r="J475" s="0" t="n">
        <v>3</v>
      </c>
      <c r="K475" s="0" t="n">
        <v>-0.33483333544398</v>
      </c>
      <c r="L475" s="0" t="n">
        <v>0.2284470152629</v>
      </c>
      <c r="M475" s="0" t="n">
        <v>0.0316649142308568</v>
      </c>
      <c r="N475" s="0" t="n">
        <v>-1.69733267768935</v>
      </c>
      <c r="O475" s="0" t="n">
        <v>-0.559989185604887</v>
      </c>
      <c r="P475" s="0" t="n">
        <v>-0.211709746636594</v>
      </c>
      <c r="Q475" s="0" t="n">
        <v>-0.473894931601734</v>
      </c>
      <c r="R475" s="0" t="n">
        <v>-0.806289286005261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1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1.07242548647465</v>
      </c>
      <c r="AJ475" s="0" t="n">
        <v>0</v>
      </c>
    </row>
    <row r="476" customFormat="false" ht="15" hidden="false" customHeight="false" outlineLevel="0" collapsed="false">
      <c r="A476" s="0" t="s">
        <v>510</v>
      </c>
      <c r="B476" s="0" t="n">
        <v>1</v>
      </c>
      <c r="C476" s="0" t="n">
        <v>-0.403106203102499</v>
      </c>
      <c r="D476" s="0" t="n">
        <v>-0.344303513568268</v>
      </c>
      <c r="E476" s="0" t="n">
        <v>-0.82490071667533</v>
      </c>
      <c r="F476" s="0" t="n">
        <v>-0.194432478297881</v>
      </c>
      <c r="G476" s="0" t="n">
        <v>0.655243534517635</v>
      </c>
      <c r="H476" s="0" t="n">
        <v>0.486638185042556</v>
      </c>
      <c r="I476" s="0" t="n">
        <v>1.4699067256904</v>
      </c>
      <c r="J476" s="0" t="n">
        <v>1.24118618804537</v>
      </c>
      <c r="K476" s="0" t="n">
        <v>-0.152872579009902</v>
      </c>
      <c r="L476" s="0" t="n">
        <v>-0.358259024728162</v>
      </c>
      <c r="M476" s="0" t="n">
        <v>0.0704276809124319</v>
      </c>
      <c r="N476" s="0" t="n">
        <v>-0.901708398910767</v>
      </c>
      <c r="O476" s="0" t="n">
        <v>0.050231088655549</v>
      </c>
      <c r="P476" s="0" t="n">
        <v>0.309630122929352</v>
      </c>
      <c r="Q476" s="0" t="n">
        <v>0.708557548490178</v>
      </c>
      <c r="R476" s="0" t="n">
        <v>-1.42265978106504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1</v>
      </c>
      <c r="Y476" s="0" t="n">
        <v>0</v>
      </c>
      <c r="Z476" s="0" t="n">
        <v>0</v>
      </c>
      <c r="AA476" s="0" t="n">
        <v>1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0.565509797009848</v>
      </c>
      <c r="AJ476" s="0" t="n">
        <v>0</v>
      </c>
    </row>
    <row r="477" customFormat="false" ht="15" hidden="false" customHeight="false" outlineLevel="0" collapsed="false">
      <c r="A477" s="0" t="s">
        <v>511</v>
      </c>
      <c r="B477" s="0" t="n">
        <v>1</v>
      </c>
      <c r="C477" s="0" t="n">
        <v>-0.542743069028219</v>
      </c>
      <c r="D477" s="0" t="n">
        <v>-0.466453548942721</v>
      </c>
      <c r="E477" s="0" t="n">
        <v>-0.817210147744659</v>
      </c>
      <c r="F477" s="0" t="n">
        <v>-0.141095839525581</v>
      </c>
      <c r="G477" s="0" t="n">
        <v>0.441188523529187</v>
      </c>
      <c r="H477" s="0" t="n">
        <v>0.334553780626657</v>
      </c>
      <c r="I477" s="0" t="n">
        <v>-0.0927088875615327</v>
      </c>
      <c r="J477" s="0" t="n">
        <v>0.300943554518746</v>
      </c>
      <c r="K477" s="0" t="n">
        <v>-0.25895475722607</v>
      </c>
      <c r="L477" s="0" t="n">
        <v>-0.397367975637924</v>
      </c>
      <c r="M477" s="0" t="n">
        <v>-0.546885548595021</v>
      </c>
      <c r="N477" s="0" t="n">
        <v>-0.68328158890518</v>
      </c>
      <c r="O477" s="0" t="n">
        <v>-0.716085890907873</v>
      </c>
      <c r="P477" s="0" t="n">
        <v>-0.393670772942111</v>
      </c>
      <c r="Q477" s="0" t="n">
        <v>-0.431157335007169</v>
      </c>
      <c r="R477" s="0" t="n">
        <v>-1.22350896879475</v>
      </c>
      <c r="S477" s="0" t="n">
        <v>1</v>
      </c>
      <c r="T477" s="0" t="n">
        <v>0</v>
      </c>
      <c r="U477" s="0" t="n">
        <v>0</v>
      </c>
      <c r="V477" s="0" t="n">
        <v>0</v>
      </c>
      <c r="W477" s="0" t="n">
        <v>1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1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0.120142975553354</v>
      </c>
      <c r="AJ477" s="0" t="n">
        <v>0</v>
      </c>
    </row>
    <row r="478" customFormat="false" ht="15" hidden="false" customHeight="false" outlineLevel="0" collapsed="false">
      <c r="A478" s="0" t="s">
        <v>512</v>
      </c>
      <c r="B478" s="0" t="n">
        <v>1</v>
      </c>
      <c r="C478" s="0" t="n">
        <v>-0.856594429538273</v>
      </c>
      <c r="D478" s="0" t="n">
        <v>-0.492671916802141</v>
      </c>
      <c r="E478" s="0" t="n">
        <v>-0.885938918409121</v>
      </c>
      <c r="F478" s="0" t="n">
        <v>-0.433010488144381</v>
      </c>
      <c r="G478" s="0" t="n">
        <v>0.133317869428694</v>
      </c>
      <c r="H478" s="0" t="n">
        <v>0.0867178888105951</v>
      </c>
      <c r="I478" s="0" t="n">
        <v>0.122234458005586</v>
      </c>
      <c r="J478" s="0" t="n">
        <v>-0.853566467766949</v>
      </c>
      <c r="K478" s="0" t="n">
        <v>0.385014063300773</v>
      </c>
      <c r="L478" s="0" t="n">
        <v>0.00690011808738953</v>
      </c>
      <c r="M478" s="0" t="n">
        <v>-0.445239640505588</v>
      </c>
      <c r="N478" s="0" t="n">
        <v>-0.458895816067832</v>
      </c>
      <c r="O478" s="0" t="n">
        <v>-0.0651483361912089</v>
      </c>
      <c r="P478" s="0" t="n">
        <v>0.514355358300963</v>
      </c>
      <c r="Q478" s="0" t="n">
        <v>0.0232919245071138</v>
      </c>
      <c r="R478" s="0" t="n">
        <v>0.349224409199268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1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0.226901826302164</v>
      </c>
      <c r="AJ478" s="0" t="n">
        <v>0.333333333333333</v>
      </c>
    </row>
    <row r="479" customFormat="false" ht="15" hidden="false" customHeight="false" outlineLevel="0" collapsed="false">
      <c r="A479" s="0" t="s">
        <v>513</v>
      </c>
      <c r="B479" s="0" t="n">
        <v>1</v>
      </c>
      <c r="C479" s="0" t="n">
        <v>-0.559955627866732</v>
      </c>
      <c r="D479" s="0" t="n">
        <v>-0.484692250627211</v>
      </c>
      <c r="E479" s="0" t="n">
        <v>-0.875107359807089</v>
      </c>
      <c r="F479" s="0" t="n">
        <v>-0.12857109619369</v>
      </c>
      <c r="G479" s="0" t="n">
        <v>0.543682102533804</v>
      </c>
      <c r="H479" s="0" t="n">
        <v>0.3801104696838</v>
      </c>
      <c r="I479" s="0" t="n">
        <v>-0.836688975026544</v>
      </c>
      <c r="J479" s="0" t="n">
        <v>1.49096183532021</v>
      </c>
      <c r="K479" s="0" t="n">
        <v>-0.693681571228111</v>
      </c>
      <c r="L479" s="0" t="n">
        <v>0.257630805546516</v>
      </c>
      <c r="M479" s="0" t="n">
        <v>-1.41860250112281</v>
      </c>
      <c r="N479" s="0" t="n">
        <v>-1.0973267649741</v>
      </c>
      <c r="O479" s="0" t="n">
        <v>0.286450507862728</v>
      </c>
      <c r="P479" s="0" t="n">
        <v>0.445450980521594</v>
      </c>
      <c r="Q479" s="0" t="n">
        <v>-0.0840804382141347</v>
      </c>
      <c r="R479" s="0" t="n">
        <v>-0.705646589825708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0</v>
      </c>
      <c r="Y479" s="0" t="n">
        <v>1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</row>
    <row r="480" customFormat="false" ht="15" hidden="false" customHeight="false" outlineLevel="0" collapsed="false">
      <c r="A480" s="0" t="s">
        <v>514</v>
      </c>
      <c r="B480" s="0" t="n">
        <v>1</v>
      </c>
      <c r="C480" s="0" t="n">
        <v>-0.596694534833854</v>
      </c>
      <c r="D480" s="0" t="n">
        <v>-0.441630238158591</v>
      </c>
      <c r="E480" s="0" t="n">
        <v>-0.903150962805885</v>
      </c>
      <c r="F480" s="0" t="n">
        <v>-0.238170254076087</v>
      </c>
      <c r="G480" s="0" t="n">
        <v>0.553811586438776</v>
      </c>
      <c r="H480" s="0" t="n">
        <v>0.372952572571579</v>
      </c>
      <c r="I480" s="0" t="n">
        <v>-0.361788261246026</v>
      </c>
      <c r="J480" s="0" t="n">
        <v>0.65011834822199</v>
      </c>
      <c r="K480" s="0" t="n">
        <v>-0.0025772816030291</v>
      </c>
      <c r="L480" s="0" t="n">
        <v>0.369581312859535</v>
      </c>
      <c r="M480" s="0" t="n">
        <v>0.824770829699455</v>
      </c>
      <c r="N480" s="0" t="n">
        <v>-0.863077881242798</v>
      </c>
      <c r="O480" s="0" t="n">
        <v>-0.847833157251557</v>
      </c>
      <c r="P480" s="0" t="n">
        <v>-0.662639238569659</v>
      </c>
      <c r="Q480" s="0" t="n">
        <v>-0.604549922100924</v>
      </c>
      <c r="R480" s="0" t="n">
        <v>-0.460950296738814</v>
      </c>
      <c r="S480" s="0" t="n">
        <v>0</v>
      </c>
      <c r="T480" s="0" t="n">
        <v>1</v>
      </c>
      <c r="U480" s="0" t="n">
        <v>0</v>
      </c>
      <c r="V480" s="0" t="n">
        <v>0</v>
      </c>
      <c r="W480" s="0" t="n">
        <v>0</v>
      </c>
      <c r="X480" s="0" t="n">
        <v>1</v>
      </c>
      <c r="Y480" s="0" t="n">
        <v>0</v>
      </c>
      <c r="Z480" s="0" t="n">
        <v>0</v>
      </c>
      <c r="AA480" s="0" t="n">
        <v>1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</row>
    <row r="481" customFormat="false" ht="15" hidden="false" customHeight="false" outlineLevel="0" collapsed="false">
      <c r="A481" s="0" t="s">
        <v>515</v>
      </c>
      <c r="B481" s="0" t="n">
        <v>1</v>
      </c>
      <c r="C481" s="0" t="n">
        <v>-0.509461077643729</v>
      </c>
      <c r="D481" s="0" t="n">
        <v>-0.450746832147074</v>
      </c>
      <c r="E481" s="0" t="n">
        <v>-0.929485138316941</v>
      </c>
      <c r="F481" s="0" t="n">
        <v>-0.132364716544375</v>
      </c>
      <c r="G481" s="0" t="n">
        <v>0.746931627042507</v>
      </c>
      <c r="H481" s="0" t="n">
        <v>0.49148903684219</v>
      </c>
      <c r="I481" s="0" t="n">
        <v>-0.300951925617613</v>
      </c>
      <c r="J481" s="0" t="n">
        <v>-0.315938591110468</v>
      </c>
      <c r="K481" s="0" t="n">
        <v>0.00812875650926356</v>
      </c>
      <c r="L481" s="0" t="n">
        <v>0.511464832697559</v>
      </c>
      <c r="M481" s="0" t="n">
        <v>0.394283541168815</v>
      </c>
      <c r="N481" s="0" t="n">
        <v>-0.371155225407074</v>
      </c>
      <c r="O481" s="0" t="n">
        <v>-0.825908003779759</v>
      </c>
      <c r="P481" s="0" t="n">
        <v>-0.482011923106932</v>
      </c>
      <c r="Q481" s="0" t="n">
        <v>-0.305479412015452</v>
      </c>
      <c r="R481" s="0" t="n">
        <v>-0.804781021853649</v>
      </c>
      <c r="S481" s="0" t="n">
        <v>1</v>
      </c>
      <c r="T481" s="0" t="n">
        <v>0</v>
      </c>
      <c r="U481" s="0" t="n">
        <v>0</v>
      </c>
      <c r="V481" s="0" t="n">
        <v>0</v>
      </c>
      <c r="W481" s="0" t="n">
        <v>1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1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0.467858423028447</v>
      </c>
      <c r="AJ481" s="0" t="n">
        <v>0.333333333333333</v>
      </c>
    </row>
    <row r="482" customFormat="false" ht="15" hidden="false" customHeight="false" outlineLevel="0" collapsed="false">
      <c r="A482" s="0" t="s">
        <v>516</v>
      </c>
      <c r="B482" s="0" t="n">
        <v>1</v>
      </c>
      <c r="C482" s="0" t="n">
        <v>-0.167350703170514</v>
      </c>
      <c r="D482" s="0" t="n">
        <v>-0.144784311169817</v>
      </c>
      <c r="E482" s="0" t="n">
        <v>-0.556066199277384</v>
      </c>
      <c r="F482" s="0" t="n">
        <v>-0.260647742075157</v>
      </c>
      <c r="G482" s="0" t="n">
        <v>0.417293270088403</v>
      </c>
      <c r="H482" s="0" t="n">
        <v>0.435449399355952</v>
      </c>
      <c r="I482" s="0" t="n">
        <v>1.06179461220319</v>
      </c>
      <c r="J482" s="0" t="n">
        <v>-0.994818779129593</v>
      </c>
      <c r="K482" s="0" t="n">
        <v>0.976744964778022</v>
      </c>
      <c r="L482" s="0" t="n">
        <v>-0.127200740632454</v>
      </c>
      <c r="M482" s="0" t="n">
        <v>2.58188525337842</v>
      </c>
      <c r="N482" s="0" t="n">
        <v>0.423852608940636</v>
      </c>
      <c r="O482" s="0" t="n">
        <v>-0.613819326690951</v>
      </c>
      <c r="P482" s="0" t="n">
        <v>0.268122019641293</v>
      </c>
      <c r="Q482" s="0" t="n">
        <v>-0.226655582252052</v>
      </c>
      <c r="R482" s="0" t="n">
        <v>-0.439121231587063</v>
      </c>
      <c r="S482" s="0" t="n">
        <v>1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1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1.00343190872558</v>
      </c>
      <c r="AJ482" s="0" t="n">
        <v>0.666666666666667</v>
      </c>
    </row>
    <row r="483" customFormat="false" ht="15" hidden="false" customHeight="false" outlineLevel="0" collapsed="false">
      <c r="A483" s="0" t="s">
        <v>517</v>
      </c>
      <c r="B483" s="0" t="n">
        <v>1</v>
      </c>
      <c r="C483" s="0" t="n">
        <v>-0.285968590342286</v>
      </c>
      <c r="D483" s="0" t="n">
        <v>-0.308554065575419</v>
      </c>
      <c r="E483" s="0" t="n">
        <v>-0.483518734410975</v>
      </c>
      <c r="F483" s="0" t="n">
        <v>-0.135173727448358</v>
      </c>
      <c r="G483" s="0" t="n">
        <v>0.148072538287643</v>
      </c>
      <c r="H483" s="0" t="n">
        <v>0.234119696128891</v>
      </c>
      <c r="I483" s="0" t="n">
        <v>0.999474209635269</v>
      </c>
      <c r="J483" s="0" t="n">
        <v>-0.547383363487985</v>
      </c>
      <c r="K483" s="0" t="n">
        <v>-0.388504446027795</v>
      </c>
      <c r="L483" s="0" t="n">
        <v>-0.60176143615828</v>
      </c>
      <c r="M483" s="0" t="n">
        <v>0.273984867716734</v>
      </c>
      <c r="N483" s="0" t="n">
        <v>-0.010329751870093</v>
      </c>
      <c r="O483" s="0" t="n">
        <v>-0.37862607833681</v>
      </c>
      <c r="P483" s="0" t="n">
        <v>-0.491272835980365</v>
      </c>
      <c r="Q483" s="0" t="n">
        <v>-0.558937382716426</v>
      </c>
      <c r="R483" s="0" t="n">
        <v>-0.809295340251959</v>
      </c>
      <c r="S483" s="0" t="n">
        <v>1</v>
      </c>
      <c r="T483" s="0" t="n">
        <v>0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1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0.907218445330254</v>
      </c>
      <c r="AJ483" s="0" t="n">
        <v>0</v>
      </c>
    </row>
    <row r="484" customFormat="false" ht="15" hidden="false" customHeight="false" outlineLevel="0" collapsed="false">
      <c r="A484" s="0" t="s">
        <v>518</v>
      </c>
      <c r="B484" s="0" t="n">
        <v>1</v>
      </c>
      <c r="C484" s="0" t="n">
        <v>-0.279878389084528</v>
      </c>
      <c r="D484" s="0" t="n">
        <v>-0.336148213499173</v>
      </c>
      <c r="E484" s="0" t="n">
        <v>-0.497493998566601</v>
      </c>
      <c r="F484" s="0" t="n">
        <v>-0.0862551185477773</v>
      </c>
      <c r="G484" s="0" t="n">
        <v>0.178506112145761</v>
      </c>
      <c r="H484" s="0" t="n">
        <v>0.255657850402236</v>
      </c>
      <c r="I484" s="0" t="n">
        <v>1.0769785686209</v>
      </c>
      <c r="J484" s="0" t="n">
        <v>-0.319701808619438</v>
      </c>
      <c r="K484" s="0" t="n">
        <v>-0.539640890182159</v>
      </c>
      <c r="L484" s="0" t="n">
        <v>-0.579956639881699</v>
      </c>
      <c r="M484" s="0" t="n">
        <v>-0.0818601802093964</v>
      </c>
      <c r="N484" s="0" t="n">
        <v>-0.135673452814033</v>
      </c>
      <c r="O484" s="0" t="n">
        <v>-0.603523962963261</v>
      </c>
      <c r="P484" s="0" t="n">
        <v>-0.572934750452442</v>
      </c>
      <c r="Q484" s="0" t="n">
        <v>-0.46134029787209</v>
      </c>
      <c r="R484" s="0" t="n">
        <v>-0.943800540589554</v>
      </c>
      <c r="S484" s="0" t="n">
        <v>1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1</v>
      </c>
      <c r="Y484" s="0" t="n">
        <v>0</v>
      </c>
      <c r="Z484" s="0" t="n">
        <v>0</v>
      </c>
      <c r="AA484" s="0" t="n">
        <v>1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0.60865306451126</v>
      </c>
      <c r="AJ484" s="0" t="n">
        <v>0</v>
      </c>
    </row>
    <row r="485" customFormat="false" ht="15" hidden="false" customHeight="false" outlineLevel="0" collapsed="false">
      <c r="A485" s="0" t="s">
        <v>519</v>
      </c>
      <c r="B485" s="0" t="n">
        <v>1</v>
      </c>
      <c r="C485" s="0" t="n">
        <v>-0.369003053053263</v>
      </c>
      <c r="D485" s="0" t="n">
        <v>-0.213771472542706</v>
      </c>
      <c r="E485" s="0" t="n">
        <v>-0.413271157786222</v>
      </c>
      <c r="F485" s="0" t="n">
        <v>-0.349380186473265</v>
      </c>
      <c r="G485" s="0" t="n">
        <v>-0.058888072199092</v>
      </c>
      <c r="H485" s="0" t="n">
        <v>0.0719170645876108</v>
      </c>
      <c r="I485" s="0" t="n">
        <v>0.98812857321514</v>
      </c>
      <c r="J485" s="0" t="n">
        <v>0.0688410850416341</v>
      </c>
      <c r="K485" s="0" t="n">
        <v>0.178200716664884</v>
      </c>
      <c r="L485" s="0" t="n">
        <v>0.667488554379958</v>
      </c>
      <c r="M485" s="0" t="n">
        <v>0.676596693532978</v>
      </c>
      <c r="N485" s="0" t="n">
        <v>-0.420881742830735</v>
      </c>
      <c r="O485" s="0" t="n">
        <v>-0.688571365399731</v>
      </c>
      <c r="P485" s="0" t="n">
        <v>-0.270724897592771</v>
      </c>
      <c r="Q485" s="0" t="n">
        <v>-0.0790932156196534</v>
      </c>
      <c r="R485" s="0" t="n">
        <v>-0.632682615150133</v>
      </c>
      <c r="S485" s="0" t="n">
        <v>0</v>
      </c>
      <c r="T485" s="0" t="n">
        <v>1</v>
      </c>
      <c r="U485" s="0" t="n">
        <v>0</v>
      </c>
      <c r="V485" s="0" t="n">
        <v>0</v>
      </c>
      <c r="W485" s="0" t="n">
        <v>1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1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0.42912805193937</v>
      </c>
      <c r="AJ485" s="0" t="n">
        <v>0</v>
      </c>
    </row>
    <row r="486" customFormat="false" ht="15" hidden="false" customHeight="false" outlineLevel="0" collapsed="false">
      <c r="A486" s="0" t="s">
        <v>520</v>
      </c>
      <c r="B486" s="0" t="n">
        <v>1</v>
      </c>
      <c r="C486" s="0" t="n">
        <v>-0.688665003622737</v>
      </c>
      <c r="D486" s="0" t="n">
        <v>-0.188390033151343</v>
      </c>
      <c r="E486" s="0" t="n">
        <v>-0.451878479418431</v>
      </c>
      <c r="F486" s="0" t="n">
        <v>-0.67212826287663</v>
      </c>
      <c r="G486" s="0" t="n">
        <v>-0.372441293298529</v>
      </c>
      <c r="H486" s="0" t="n">
        <v>-0.214813159174142</v>
      </c>
      <c r="I486" s="0" t="n">
        <v>0.0734394687997192</v>
      </c>
      <c r="J486" s="0" t="n">
        <v>-0.067659484746046</v>
      </c>
      <c r="K486" s="0" t="n">
        <v>-0.149766442883367</v>
      </c>
      <c r="L486" s="0" t="n">
        <v>0.131698260101833</v>
      </c>
      <c r="M486" s="0" t="n">
        <v>-0.107974637549722</v>
      </c>
      <c r="N486" s="0" t="n">
        <v>-0.180160192575284</v>
      </c>
      <c r="O486" s="0" t="n">
        <v>-0.319185332251216</v>
      </c>
      <c r="P486" s="0" t="n">
        <v>-0.335176607133119</v>
      </c>
      <c r="Q486" s="0" t="n">
        <v>-0.300944850024711</v>
      </c>
      <c r="R486" s="0" t="n">
        <v>-0.248813617506255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1</v>
      </c>
      <c r="AI486" s="0" t="n">
        <v>0.436054936352715</v>
      </c>
      <c r="AJ486" s="0" t="n">
        <v>0.333333333333333</v>
      </c>
    </row>
    <row r="487" customFormat="false" ht="15" hidden="false" customHeight="false" outlineLevel="0" collapsed="false">
      <c r="A487" s="0" t="s">
        <v>521</v>
      </c>
      <c r="B487" s="0" t="n">
        <v>1</v>
      </c>
      <c r="C487" s="0" t="n">
        <v>-0.436427734371104</v>
      </c>
      <c r="D487" s="0" t="n">
        <v>-0.0816462617598658</v>
      </c>
      <c r="E487" s="0" t="n">
        <v>-0.423807747923583</v>
      </c>
      <c r="F487" s="0" t="n">
        <v>-0.573479518582253</v>
      </c>
      <c r="G487" s="0" t="n">
        <v>-0.120554781507686</v>
      </c>
      <c r="H487" s="0" t="n">
        <v>0.0140538524782762</v>
      </c>
      <c r="I487" s="0" t="n">
        <v>0.0372174540804116</v>
      </c>
      <c r="J487" s="0" t="n">
        <v>0.0422886810126019</v>
      </c>
      <c r="K487" s="0" t="n">
        <v>-0.393181794284134</v>
      </c>
      <c r="L487" s="0" t="n">
        <v>-0.445872030433858</v>
      </c>
      <c r="M487" s="0" t="n">
        <v>-0.242259078579457</v>
      </c>
      <c r="N487" s="0" t="n">
        <v>-0.47266307502397</v>
      </c>
      <c r="O487" s="0" t="n">
        <v>-0.753699869435196</v>
      </c>
      <c r="P487" s="0" t="n">
        <v>-0.358212851801967</v>
      </c>
      <c r="Q487" s="0" t="n">
        <v>-0.438153822323839</v>
      </c>
      <c r="R487" s="0" t="n">
        <v>-0.532024850298651</v>
      </c>
      <c r="S487" s="0" t="n">
        <v>1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1</v>
      </c>
      <c r="Y487" s="0" t="n">
        <v>0</v>
      </c>
      <c r="Z487" s="0" t="n">
        <v>0</v>
      </c>
      <c r="AA487" s="0" t="n">
        <v>1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0</v>
      </c>
    </row>
    <row r="488" customFormat="false" ht="15" hidden="false" customHeight="false" outlineLevel="0" collapsed="false">
      <c r="A488" s="0" t="s">
        <v>522</v>
      </c>
      <c r="B488" s="0" t="n">
        <v>1</v>
      </c>
      <c r="C488" s="0" t="n">
        <v>-0.634931014911831</v>
      </c>
      <c r="D488" s="0" t="n">
        <v>-0.103943863125105</v>
      </c>
      <c r="E488" s="0" t="n">
        <v>-0.427265499710332</v>
      </c>
      <c r="F488" s="0" t="n">
        <v>-0.719577663471479</v>
      </c>
      <c r="G488" s="0" t="n">
        <v>-0.344045390263827</v>
      </c>
      <c r="H488" s="0" t="n">
        <v>-0.186419193248808</v>
      </c>
      <c r="I488" s="0" t="n">
        <v>0.115105158557008</v>
      </c>
      <c r="J488" s="0" t="n">
        <v>0.291057658411135</v>
      </c>
      <c r="K488" s="0" t="n">
        <v>0.0182577357874177</v>
      </c>
      <c r="L488" s="0" t="n">
        <v>0.267846660890003</v>
      </c>
      <c r="M488" s="0" t="n">
        <v>-0.140273995836084</v>
      </c>
      <c r="N488" s="0" t="n">
        <v>-0.763419364918519</v>
      </c>
      <c r="O488" s="0" t="n">
        <v>-0.673990625225258</v>
      </c>
      <c r="P488" s="0" t="n">
        <v>-0.550514814617011</v>
      </c>
      <c r="Q488" s="0" t="n">
        <v>-0.388577537333621</v>
      </c>
      <c r="R488" s="0" t="n">
        <v>-0.492131345466906</v>
      </c>
      <c r="S488" s="0" t="n">
        <v>1</v>
      </c>
      <c r="T488" s="0" t="n">
        <v>0</v>
      </c>
      <c r="U488" s="0" t="n">
        <v>0</v>
      </c>
      <c r="V488" s="0" t="n">
        <v>0</v>
      </c>
      <c r="W488" s="0" t="n">
        <v>1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1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0</v>
      </c>
    </row>
    <row r="489" customFormat="false" ht="15" hidden="false" customHeight="false" outlineLevel="0" collapsed="false">
      <c r="A489" s="0" t="s">
        <v>523</v>
      </c>
      <c r="B489" s="0" t="n">
        <v>1</v>
      </c>
      <c r="C489" s="0" t="n">
        <v>-0.889521974104445</v>
      </c>
      <c r="D489" s="0" t="n">
        <v>-0.072773782500894</v>
      </c>
      <c r="E489" s="0" t="n">
        <v>-0.421705738568091</v>
      </c>
      <c r="F489" s="0" t="n">
        <v>-0.970298519468601</v>
      </c>
      <c r="G489" s="0" t="n">
        <v>-0.644097269264449</v>
      </c>
      <c r="H489" s="0" t="n">
        <v>-0.454458070215679</v>
      </c>
      <c r="I489" s="0" t="n">
        <v>-0.955579644559435</v>
      </c>
      <c r="J489" s="0" t="n">
        <v>1.13335718591636</v>
      </c>
      <c r="K489" s="0" t="n">
        <v>0.451571078723801</v>
      </c>
      <c r="L489" s="0" t="n">
        <v>0.520082869928318</v>
      </c>
      <c r="M489" s="0" t="n">
        <v>-0.919202614125366</v>
      </c>
      <c r="N489" s="0" t="n">
        <v>-1.25575298370816</v>
      </c>
      <c r="O489" s="0" t="n">
        <v>-0.062060067232306</v>
      </c>
      <c r="P489" s="0" t="n">
        <v>0.699334832786041</v>
      </c>
      <c r="Q489" s="0" t="n">
        <v>0.890747289006965</v>
      </c>
      <c r="R489" s="0" t="n">
        <v>-1.35249871469338</v>
      </c>
      <c r="S489" s="0" t="n">
        <v>0</v>
      </c>
      <c r="T489" s="0" t="n">
        <v>0</v>
      </c>
      <c r="U489" s="0" t="n">
        <v>0</v>
      </c>
      <c r="V489" s="0" t="n">
        <v>1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1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</row>
    <row r="490" customFormat="false" ht="15" hidden="false" customHeight="false" outlineLevel="0" collapsed="false">
      <c r="A490" s="0" t="s">
        <v>524</v>
      </c>
      <c r="B490" s="0" t="n">
        <v>1</v>
      </c>
      <c r="C490" s="0" t="n">
        <v>-0.561583823809043</v>
      </c>
      <c r="D490" s="0" t="n">
        <v>-0.578858622297579</v>
      </c>
      <c r="E490" s="0" t="n">
        <v>-0.543985382686875</v>
      </c>
      <c r="F490" s="0" t="n">
        <v>0.0395265448308804</v>
      </c>
      <c r="G490" s="0" t="n">
        <v>-0.0850751271002449</v>
      </c>
      <c r="H490" s="0" t="n">
        <v>0.0165986652721064</v>
      </c>
      <c r="I490" s="0" t="n">
        <v>-0.796841914417407</v>
      </c>
      <c r="J490" s="0" t="n">
        <v>-0.690904782880342</v>
      </c>
      <c r="K490" s="0" t="n">
        <v>-0.455682246348389</v>
      </c>
      <c r="L490" s="0" t="n">
        <v>1.15246963059345</v>
      </c>
      <c r="M490" s="0" t="n">
        <v>-0.253242264206978</v>
      </c>
      <c r="N490" s="0" t="n">
        <v>-0.222592117566962</v>
      </c>
      <c r="O490" s="0" t="n">
        <v>-0.215314035101127</v>
      </c>
      <c r="P490" s="0" t="n">
        <v>-0.231900366114981</v>
      </c>
      <c r="Q490" s="0" t="n">
        <v>-0.538596383143268</v>
      </c>
      <c r="R490" s="0" t="n">
        <v>-0.237431565643581</v>
      </c>
      <c r="S490" s="0" t="n">
        <v>1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1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0.396304108561271</v>
      </c>
      <c r="AJ490" s="0" t="n">
        <v>0.333333333333333</v>
      </c>
    </row>
    <row r="491" customFormat="false" ht="15" hidden="false" customHeight="false" outlineLevel="0" collapsed="false">
      <c r="A491" s="0" t="s">
        <v>525</v>
      </c>
      <c r="B491" s="0" t="n">
        <v>1</v>
      </c>
      <c r="C491" s="0" t="n">
        <v>-0.788793413251981</v>
      </c>
      <c r="D491" s="0" t="n">
        <v>-0.653678235399601</v>
      </c>
      <c r="E491" s="0" t="n">
        <v>-0.543895125702979</v>
      </c>
      <c r="F491" s="0" t="n">
        <v>-0.0802923594785165</v>
      </c>
      <c r="G491" s="0" t="n">
        <v>-0.361993544015698</v>
      </c>
      <c r="H491" s="0" t="n">
        <v>-0.217289083920494</v>
      </c>
      <c r="I491" s="0" t="n">
        <v>-1.15749173677126</v>
      </c>
      <c r="J491" s="0" t="n">
        <v>0.112055665477516</v>
      </c>
      <c r="K491" s="0" t="n">
        <v>-0.133489799128203</v>
      </c>
      <c r="L491" s="0" t="n">
        <v>-0.497498957504784</v>
      </c>
      <c r="M491" s="0" t="n">
        <v>-0.509349902088447</v>
      </c>
      <c r="N491" s="0" t="n">
        <v>-0.835954326284438</v>
      </c>
      <c r="O491" s="0" t="n">
        <v>-0.608815949547791</v>
      </c>
      <c r="P491" s="0" t="n">
        <v>-0.507217826609567</v>
      </c>
      <c r="Q491" s="0" t="n">
        <v>-0.376926833980872</v>
      </c>
      <c r="R491" s="0" t="n">
        <v>0.0620209096756283</v>
      </c>
      <c r="S491" s="0" t="n">
        <v>1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1</v>
      </c>
      <c r="Y491" s="0" t="n">
        <v>0</v>
      </c>
      <c r="Z491" s="0" t="n">
        <v>0</v>
      </c>
      <c r="AA491" s="0" t="n">
        <v>1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0</v>
      </c>
    </row>
    <row r="492" customFormat="false" ht="15" hidden="false" customHeight="false" outlineLevel="0" collapsed="false">
      <c r="A492" s="0" t="s">
        <v>526</v>
      </c>
      <c r="B492" s="0" t="n">
        <v>1</v>
      </c>
      <c r="C492" s="0" t="n">
        <v>-0.902523888319386</v>
      </c>
      <c r="D492" s="0" t="n">
        <v>-0.78009996575236</v>
      </c>
      <c r="E492" s="0" t="n">
        <v>-0.705340336053213</v>
      </c>
      <c r="F492" s="0" t="n">
        <v>0.0384775473444336</v>
      </c>
      <c r="G492" s="0" t="n">
        <v>-0.259142982299664</v>
      </c>
      <c r="H492" s="0" t="n">
        <v>-0.157892287069684</v>
      </c>
      <c r="I492" s="0" t="n">
        <v>-0.887038793950069</v>
      </c>
      <c r="J492" s="0" t="n">
        <v>0.487576741681239</v>
      </c>
      <c r="K492" s="0" t="n">
        <v>0.271649962051423</v>
      </c>
      <c r="L492" s="0" t="n">
        <v>-1.03870085389306</v>
      </c>
      <c r="M492" s="0" t="n">
        <v>-0.133817894860772</v>
      </c>
      <c r="N492" s="0" t="n">
        <v>-1.07431283955488</v>
      </c>
      <c r="O492" s="0" t="n">
        <v>-0.71866064372772</v>
      </c>
      <c r="P492" s="0" t="n">
        <v>-0.417404027525472</v>
      </c>
      <c r="Q492" s="0" t="n">
        <v>-0.127007496190831</v>
      </c>
      <c r="R492" s="0" t="n">
        <v>-0.810539921789224</v>
      </c>
      <c r="S492" s="0" t="n">
        <v>1</v>
      </c>
      <c r="T492" s="0" t="n">
        <v>0</v>
      </c>
      <c r="U492" s="0" t="n">
        <v>0</v>
      </c>
      <c r="V492" s="0" t="n">
        <v>0</v>
      </c>
      <c r="W492" s="0" t="n">
        <v>1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1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</row>
    <row r="493" customFormat="false" ht="15" hidden="false" customHeight="false" outlineLevel="0" collapsed="false">
      <c r="A493" s="0" t="s">
        <v>527</v>
      </c>
      <c r="B493" s="0" t="n">
        <v>1</v>
      </c>
      <c r="C493" s="0" t="n">
        <v>-0.820544029709713</v>
      </c>
      <c r="D493" s="0" t="n">
        <v>-1.23609454599939</v>
      </c>
      <c r="E493" s="0" t="n">
        <v>-0.698899416528433</v>
      </c>
      <c r="F493" s="0" t="n">
        <v>1.71295842805153</v>
      </c>
      <c r="G493" s="0" t="n">
        <v>-0.161406625168709</v>
      </c>
      <c r="H493" s="0" t="n">
        <v>-0.0805768289791966</v>
      </c>
      <c r="I493" s="0" t="n">
        <v>-1.18839450946388</v>
      </c>
      <c r="J493" s="0" t="n">
        <v>-1.42472553184306</v>
      </c>
      <c r="K493" s="0" t="n">
        <v>-0.866975328526854</v>
      </c>
      <c r="L493" s="0" t="n">
        <v>-1.053835068455</v>
      </c>
      <c r="M493" s="0" t="n">
        <v>-0.0646293721032724</v>
      </c>
      <c r="N493" s="0" t="n">
        <v>-0.0569740471393956</v>
      </c>
      <c r="O493" s="0" t="n">
        <v>2.67137936068502</v>
      </c>
      <c r="P493" s="0" t="n">
        <v>0.864986419837467</v>
      </c>
      <c r="Q493" s="0" t="n">
        <v>0.735171846763563</v>
      </c>
      <c r="R493" s="0" t="n">
        <v>-0.252054636566578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1</v>
      </c>
      <c r="AA493" s="0" t="n">
        <v>0</v>
      </c>
      <c r="AB493" s="0" t="n">
        <v>0</v>
      </c>
      <c r="AC493" s="0" t="n">
        <v>0</v>
      </c>
      <c r="AD493" s="0" t="n">
        <v>1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</row>
    <row r="494" customFormat="false" ht="15" hidden="false" customHeight="false" outlineLevel="0" collapsed="false">
      <c r="A494" s="0" t="s">
        <v>528</v>
      </c>
      <c r="B494" s="0" t="n">
        <v>1</v>
      </c>
      <c r="C494" s="0" t="n">
        <v>-0.744231257784952</v>
      </c>
      <c r="D494" s="0" t="n">
        <v>-1.20464709683663</v>
      </c>
      <c r="E494" s="0" t="n">
        <v>-0.701446690572267</v>
      </c>
      <c r="F494" s="0" t="n">
        <v>1.70001849452873</v>
      </c>
      <c r="G494" s="0" t="n">
        <v>-0.0563139711069092</v>
      </c>
      <c r="H494" s="0" t="n">
        <v>0.000729362795691764</v>
      </c>
      <c r="I494" s="0" t="n">
        <v>-1.46045301045241</v>
      </c>
      <c r="J494" s="0" t="n">
        <v>0.082850837281438</v>
      </c>
      <c r="K494" s="0" t="n">
        <v>0.307118022386231</v>
      </c>
      <c r="L494" s="0" t="n">
        <v>0.672432566768318</v>
      </c>
      <c r="M494" s="0" t="n">
        <v>0.168628550612203</v>
      </c>
      <c r="N494" s="0" t="n">
        <v>-0.782323660798588</v>
      </c>
      <c r="O494" s="0" t="n">
        <v>-0.651216384480495</v>
      </c>
      <c r="P494" s="0" t="n">
        <v>-0.616839783745015</v>
      </c>
      <c r="Q494" s="0" t="n">
        <v>-0.58948339233292</v>
      </c>
      <c r="R494" s="0" t="n">
        <v>-0.182745297554525</v>
      </c>
      <c r="S494" s="0" t="n">
        <v>1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1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</row>
    <row r="495" customFormat="false" ht="15" hidden="false" customHeight="false" outlineLevel="0" collapsed="false">
      <c r="A495" s="0" t="s">
        <v>529</v>
      </c>
      <c r="B495" s="0" t="n">
        <v>1</v>
      </c>
      <c r="C495" s="0" t="n">
        <v>-0.882738765770635</v>
      </c>
      <c r="D495" s="0" t="n">
        <v>-1.29970802224463</v>
      </c>
      <c r="E495" s="0" t="n">
        <v>-0.708876771833844</v>
      </c>
      <c r="F495" s="0" t="n">
        <v>1.93707651958955</v>
      </c>
      <c r="G495" s="0" t="n">
        <v>-0.227139087923228</v>
      </c>
      <c r="H495" s="0" t="n">
        <v>-0.133669755976081</v>
      </c>
      <c r="I495" s="0" t="n">
        <v>-1.11005293512309</v>
      </c>
      <c r="J495" s="0" t="n">
        <v>0.730140910513123</v>
      </c>
      <c r="K495" s="0" t="n">
        <v>0.212319113352789</v>
      </c>
      <c r="L495" s="0" t="n">
        <v>0.713455316762066</v>
      </c>
      <c r="M495" s="0" t="n">
        <v>-0.690349691592916</v>
      </c>
      <c r="N495" s="0" t="n">
        <v>-1.13410794934945</v>
      </c>
      <c r="O495" s="0" t="n">
        <v>-0.631833859752173</v>
      </c>
      <c r="P495" s="0" t="n">
        <v>-0.602760464867897</v>
      </c>
      <c r="Q495" s="0" t="n">
        <v>-0.409481196600939</v>
      </c>
      <c r="R495" s="0" t="n">
        <v>-0.358770264155428</v>
      </c>
      <c r="S495" s="0" t="n">
        <v>0</v>
      </c>
      <c r="T495" s="0" t="n">
        <v>0</v>
      </c>
      <c r="U495" s="0" t="n">
        <v>1</v>
      </c>
      <c r="V495" s="0" t="n">
        <v>0</v>
      </c>
      <c r="W495" s="0" t="n">
        <v>1</v>
      </c>
      <c r="X495" s="0" t="n">
        <v>0</v>
      </c>
      <c r="Y495" s="0" t="n">
        <v>0</v>
      </c>
      <c r="Z495" s="0" t="n">
        <v>0</v>
      </c>
      <c r="AA495" s="0" t="n">
        <v>1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</row>
    <row r="496" customFormat="false" ht="15" hidden="false" customHeight="false" outlineLevel="0" collapsed="false">
      <c r="A496" s="0" t="s">
        <v>530</v>
      </c>
      <c r="B496" s="0" t="n">
        <v>1</v>
      </c>
      <c r="C496" s="0" t="n">
        <v>-1.038563041552</v>
      </c>
      <c r="D496" s="0" t="n">
        <v>-1.39743948420656</v>
      </c>
      <c r="E496" s="0" t="n">
        <v>-0.7413133493369</v>
      </c>
      <c r="F496" s="0" t="n">
        <v>2.21277886615446</v>
      </c>
      <c r="G496" s="0" t="n">
        <v>-0.383202284046818</v>
      </c>
      <c r="H496" s="0" t="n">
        <v>-0.258561031960452</v>
      </c>
      <c r="I496" s="0" t="n">
        <v>-1.2373133269571</v>
      </c>
      <c r="J496" s="0" t="n">
        <v>1.7684041694526</v>
      </c>
      <c r="K496" s="0" t="n">
        <v>-0.46909390388276</v>
      </c>
      <c r="L496" s="0" t="n">
        <v>-1.01783788817186</v>
      </c>
      <c r="M496" s="0" t="n">
        <v>-0.515788326526759</v>
      </c>
      <c r="N496" s="0" t="n">
        <v>-1.52164601489088</v>
      </c>
      <c r="O496" s="0" t="n">
        <v>-0.571038402125162</v>
      </c>
      <c r="P496" s="0" t="n">
        <v>-0.526370694806405</v>
      </c>
      <c r="Q496" s="0" t="n">
        <v>-0.292841515115744</v>
      </c>
      <c r="R496" s="0" t="n">
        <v>-0.719500630724343</v>
      </c>
      <c r="S496" s="0" t="n">
        <v>1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1</v>
      </c>
      <c r="AA496" s="0" t="n">
        <v>0</v>
      </c>
      <c r="AB496" s="0" t="n">
        <v>0</v>
      </c>
      <c r="AC496" s="0" t="n">
        <v>0</v>
      </c>
      <c r="AD496" s="0" t="n">
        <v>1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</row>
    <row r="497" customFormat="false" ht="15" hidden="false" customHeight="false" outlineLevel="0" collapsed="false">
      <c r="A497" s="0" t="s">
        <v>531</v>
      </c>
      <c r="B497" s="0" t="n">
        <v>1</v>
      </c>
      <c r="C497" s="0" t="n">
        <v>-0.589717863495623</v>
      </c>
      <c r="D497" s="0" t="n">
        <v>-1.01830311657498</v>
      </c>
      <c r="E497" s="0" t="n">
        <v>-0.655609692049768</v>
      </c>
      <c r="F497" s="0" t="n">
        <v>1.16819751413923</v>
      </c>
      <c r="G497" s="0" t="n">
        <v>0.0655072530849306</v>
      </c>
      <c r="H497" s="0" t="n">
        <v>0.109628368620346</v>
      </c>
      <c r="I497" s="0" t="n">
        <v>-0.251054909852668</v>
      </c>
      <c r="J497" s="0" t="n">
        <v>0.21612455288085</v>
      </c>
      <c r="K497" s="0" t="n">
        <v>-1.0519910058805</v>
      </c>
      <c r="L497" s="0" t="n">
        <v>-1.695347193931</v>
      </c>
      <c r="M497" s="0" t="n">
        <v>2.22216395293487</v>
      </c>
      <c r="N497" s="0" t="n">
        <v>-0.691911810937385</v>
      </c>
      <c r="O497" s="0" t="n">
        <v>-0.592873420453826</v>
      </c>
      <c r="P497" s="0" t="n">
        <v>-0.266023631507925</v>
      </c>
      <c r="Q497" s="0" t="n">
        <v>0.133567189000147</v>
      </c>
      <c r="R497" s="0" t="n">
        <v>-0.366280519881987</v>
      </c>
      <c r="S497" s="0" t="n">
        <v>0</v>
      </c>
      <c r="T497" s="0" t="n">
        <v>1</v>
      </c>
      <c r="U497" s="0" t="n">
        <v>0</v>
      </c>
      <c r="V497" s="0" t="n">
        <v>0</v>
      </c>
      <c r="W497" s="0" t="n">
        <v>0</v>
      </c>
      <c r="X497" s="0" t="n">
        <v>0</v>
      </c>
      <c r="Y497" s="0" t="n">
        <v>1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0</v>
      </c>
    </row>
    <row r="498" customFormat="false" ht="15" hidden="false" customHeight="false" outlineLevel="0" collapsed="false">
      <c r="A498" s="0" t="s">
        <v>532</v>
      </c>
      <c r="B498" s="0" t="n">
        <v>1</v>
      </c>
      <c r="C498" s="0" t="n">
        <v>-0.840748820979164</v>
      </c>
      <c r="D498" s="0" t="n">
        <v>-0.518241221177488</v>
      </c>
      <c r="E498" s="0" t="n">
        <v>-1.02882247612704</v>
      </c>
      <c r="F498" s="0" t="n">
        <v>-0.376171813862899</v>
      </c>
      <c r="G498" s="0" t="n">
        <v>0.476434103722735</v>
      </c>
      <c r="H498" s="0" t="n">
        <v>0.259159621334768</v>
      </c>
      <c r="I498" s="0" t="n">
        <v>0.372863206773639</v>
      </c>
      <c r="J498" s="0" t="n">
        <v>1.20917935301192</v>
      </c>
      <c r="K498" s="0" t="n">
        <v>-0.0620589209518637</v>
      </c>
      <c r="L498" s="0" t="n">
        <v>-0.598192406311259</v>
      </c>
      <c r="M498" s="0" t="n">
        <v>-0.505915176844284</v>
      </c>
      <c r="N498" s="0" t="n">
        <v>-1.23746513225896</v>
      </c>
      <c r="O498" s="0" t="n">
        <v>0.000324169338081997</v>
      </c>
      <c r="P498" s="0" t="n">
        <v>3</v>
      </c>
      <c r="Q498" s="0" t="n">
        <v>1.54887059965534</v>
      </c>
      <c r="R498" s="0" t="n">
        <v>1.09621374836806</v>
      </c>
      <c r="S498" s="0" t="n">
        <v>0</v>
      </c>
      <c r="T498" s="0" t="n">
        <v>0</v>
      </c>
      <c r="U498" s="0" t="n">
        <v>0</v>
      </c>
      <c r="V498" s="0" t="n">
        <v>1</v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1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</row>
    <row r="499" customFormat="false" ht="15" hidden="false" customHeight="false" outlineLevel="0" collapsed="false">
      <c r="A499" s="0" t="s">
        <v>533</v>
      </c>
      <c r="B499" s="0" t="n">
        <v>1</v>
      </c>
      <c r="C499" s="0" t="n">
        <v>-0.863008363597222</v>
      </c>
      <c r="D499" s="0" t="n">
        <v>-0.428849401839605</v>
      </c>
      <c r="E499" s="0" t="n">
        <v>-0.984465898578477</v>
      </c>
      <c r="F499" s="0" t="n">
        <v>-0.533226966136433</v>
      </c>
      <c r="G499" s="0" t="n">
        <v>0.336250785230613</v>
      </c>
      <c r="H499" s="0" t="n">
        <v>0.18778444623622</v>
      </c>
      <c r="I499" s="0" t="n">
        <v>0.10088033178137</v>
      </c>
      <c r="J499" s="0" t="n">
        <v>0.162982649353085</v>
      </c>
      <c r="K499" s="0" t="n">
        <v>0.466895281266516</v>
      </c>
      <c r="L499" s="0" t="n">
        <v>0.722362851190194</v>
      </c>
      <c r="M499" s="0" t="n">
        <v>0.385082913374976</v>
      </c>
      <c r="N499" s="0" t="n">
        <v>-0.924927805806939</v>
      </c>
      <c r="O499" s="0" t="n">
        <v>-0.842601776599547</v>
      </c>
      <c r="P499" s="0" t="n">
        <v>-0.603514474269038</v>
      </c>
      <c r="Q499" s="0" t="n">
        <v>-0.33744574945789</v>
      </c>
      <c r="R499" s="0" t="n">
        <v>-0.525880788305369</v>
      </c>
      <c r="S499" s="0" t="n">
        <v>1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1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0.531238686213389</v>
      </c>
      <c r="AJ499" s="0" t="n">
        <v>0.333333333333333</v>
      </c>
    </row>
    <row r="500" customFormat="false" ht="15" hidden="false" customHeight="false" outlineLevel="0" collapsed="false">
      <c r="A500" s="0" t="s">
        <v>534</v>
      </c>
      <c r="B500" s="0" t="n">
        <v>1</v>
      </c>
      <c r="C500" s="0" t="n">
        <v>-0.577793764157496</v>
      </c>
      <c r="D500" s="0" t="n">
        <v>-0.702074419264447</v>
      </c>
      <c r="E500" s="0" t="n">
        <v>-0.964602968791933</v>
      </c>
      <c r="F500" s="0" t="n">
        <v>0.275661641507916</v>
      </c>
      <c r="G500" s="0" t="n">
        <v>0.730214781013263</v>
      </c>
      <c r="H500" s="0" t="n">
        <v>0.459552892593728</v>
      </c>
      <c r="I500" s="0" t="n">
        <v>-0.183003220054672</v>
      </c>
      <c r="J500" s="0" t="n">
        <v>0.399671218645096</v>
      </c>
      <c r="K500" s="0" t="n">
        <v>1.4011709295199</v>
      </c>
      <c r="L500" s="0" t="n">
        <v>0.411466567325661</v>
      </c>
      <c r="M500" s="0" t="n">
        <v>0.00800227961212527</v>
      </c>
      <c r="N500" s="0" t="n">
        <v>-0.753967216978483</v>
      </c>
      <c r="O500" s="0" t="n">
        <v>1.13953810454847</v>
      </c>
      <c r="P500" s="0" t="n">
        <v>2.82285257142748</v>
      </c>
      <c r="Q500" s="0" t="n">
        <v>2.1901748407396</v>
      </c>
      <c r="R500" s="0" t="n">
        <v>0.0518108942338044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1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0.437190704193745</v>
      </c>
      <c r="AJ500" s="0" t="n">
        <v>0</v>
      </c>
    </row>
    <row r="501" customFormat="false" ht="15" hidden="false" customHeight="false" outlineLevel="0" collapsed="false">
      <c r="A501" s="0" t="s">
        <v>535</v>
      </c>
      <c r="B501" s="0" t="n">
        <v>1</v>
      </c>
      <c r="C501" s="0" t="n">
        <v>-0.363565259883404</v>
      </c>
      <c r="D501" s="0" t="n">
        <v>-0.719348534288756</v>
      </c>
      <c r="E501" s="0" t="n">
        <v>-0.871620410580055</v>
      </c>
      <c r="F501" s="0" t="n">
        <v>0.581528226590492</v>
      </c>
      <c r="G501" s="0" t="n">
        <v>0.821389135503516</v>
      </c>
      <c r="H501" s="0" t="n">
        <v>0.578377511414713</v>
      </c>
      <c r="I501" s="0" t="n">
        <v>0.281710245490238</v>
      </c>
      <c r="J501" s="0" t="n">
        <v>-0.546098268699346</v>
      </c>
      <c r="K501" s="0" t="n">
        <v>-0.155435167895158</v>
      </c>
      <c r="L501" s="0" t="n">
        <v>0.461089689634863</v>
      </c>
      <c r="M501" s="0" t="n">
        <v>0.39676507165274</v>
      </c>
      <c r="N501" s="0" t="n">
        <v>-0.0935497500377913</v>
      </c>
      <c r="O501" s="0" t="n">
        <v>-0.511793331381613</v>
      </c>
      <c r="P501" s="0" t="n">
        <v>-0.262594472716622</v>
      </c>
      <c r="Q501" s="0" t="n">
        <v>-0.386947623138052</v>
      </c>
      <c r="R501" s="0" t="n">
        <v>-0.60156953877799</v>
      </c>
      <c r="S501" s="0" t="n">
        <v>1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1</v>
      </c>
      <c r="Y501" s="0" t="n">
        <v>0</v>
      </c>
      <c r="Z501" s="0" t="n">
        <v>0</v>
      </c>
      <c r="AA501" s="0" t="n">
        <v>1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0</v>
      </c>
    </row>
    <row r="502" customFormat="false" ht="15" hidden="false" customHeight="false" outlineLevel="0" collapsed="false">
      <c r="A502" s="0" t="s">
        <v>536</v>
      </c>
      <c r="B502" s="0" t="n">
        <v>1</v>
      </c>
      <c r="C502" s="0" t="n">
        <v>-0.118106601782648</v>
      </c>
      <c r="D502" s="0" t="n">
        <v>-0.810981531123857</v>
      </c>
      <c r="E502" s="0" t="n">
        <v>-0.836029679905074</v>
      </c>
      <c r="F502" s="0" t="n">
        <v>1.15208366033733</v>
      </c>
      <c r="G502" s="0" t="n">
        <v>1.08648890971476</v>
      </c>
      <c r="H502" s="0" t="n">
        <v>0.792052071643613</v>
      </c>
      <c r="I502" s="0" t="n">
        <v>-0.470969071938882</v>
      </c>
      <c r="J502" s="0" t="n">
        <v>0.126732841602418</v>
      </c>
      <c r="K502" s="0" t="n">
        <v>-0.44433626949539</v>
      </c>
      <c r="L502" s="0" t="n">
        <v>-0.686470622357601</v>
      </c>
      <c r="M502" s="0" t="n">
        <v>0.631755926669275</v>
      </c>
      <c r="N502" s="0" t="n">
        <v>-0.21211256224214</v>
      </c>
      <c r="O502" s="0" t="n">
        <v>-0.267130066205204</v>
      </c>
      <c r="P502" s="0" t="n">
        <v>-0.156912938491483</v>
      </c>
      <c r="Q502" s="0" t="n">
        <v>0.0347199895487701</v>
      </c>
      <c r="R502" s="0" t="n">
        <v>-0.400890135118369</v>
      </c>
      <c r="S502" s="0" t="n">
        <v>1</v>
      </c>
      <c r="T502" s="0" t="n">
        <v>0</v>
      </c>
      <c r="U502" s="0" t="n">
        <v>0</v>
      </c>
      <c r="V502" s="0" t="n">
        <v>0</v>
      </c>
      <c r="W502" s="0" t="n">
        <v>1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1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0.485368679626954</v>
      </c>
      <c r="AJ502" s="0" t="n">
        <v>0.333333333333333</v>
      </c>
    </row>
    <row r="503" customFormat="false" ht="15" hidden="false" customHeight="false" outlineLevel="0" collapsed="false">
      <c r="A503" s="0" t="s">
        <v>537</v>
      </c>
      <c r="B503" s="0" t="n">
        <v>1</v>
      </c>
      <c r="C503" s="0" t="n">
        <v>-0.40163581366197</v>
      </c>
      <c r="D503" s="0" t="n">
        <v>-0.813941353013554</v>
      </c>
      <c r="E503" s="0" t="n">
        <v>-0.835146875306292</v>
      </c>
      <c r="F503" s="0" t="n">
        <v>0.783000449003037</v>
      </c>
      <c r="G503" s="0" t="n">
        <v>0.680660980690166</v>
      </c>
      <c r="H503" s="0" t="n">
        <v>0.499347734150107</v>
      </c>
      <c r="I503" s="0" t="n">
        <v>-0.417003893544862</v>
      </c>
      <c r="J503" s="0" t="n">
        <v>-0.864417170491536</v>
      </c>
      <c r="K503" s="0" t="n">
        <v>-0.060641811935926</v>
      </c>
      <c r="L503" s="0" t="n">
        <v>0.124484311774934</v>
      </c>
      <c r="M503" s="0" t="n">
        <v>-0.480182862425678</v>
      </c>
      <c r="N503" s="0" t="n">
        <v>0.0626161724497408</v>
      </c>
      <c r="O503" s="0" t="n">
        <v>0.536735604380026</v>
      </c>
      <c r="P503" s="0" t="n">
        <v>0.673697768031479</v>
      </c>
      <c r="Q503" s="0" t="n">
        <v>-0.583834287911105</v>
      </c>
      <c r="R503" s="0" t="n">
        <v>-0.624208285919487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1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0.424698112482183</v>
      </c>
      <c r="AJ503" s="0" t="n">
        <v>0</v>
      </c>
    </row>
    <row r="504" customFormat="false" ht="15" hidden="false" customHeight="false" outlineLevel="0" collapsed="false">
      <c r="A504" s="0" t="s">
        <v>538</v>
      </c>
      <c r="B504" s="0" t="n">
        <v>1</v>
      </c>
      <c r="C504" s="0" t="n">
        <v>-0.0993293932441519</v>
      </c>
      <c r="D504" s="0" t="n">
        <v>-0.562800180974511</v>
      </c>
      <c r="E504" s="0" t="n">
        <v>-0.688504363314937</v>
      </c>
      <c r="F504" s="0" t="n">
        <v>0.526974427828961</v>
      </c>
      <c r="G504" s="0" t="n">
        <v>0.767632510237529</v>
      </c>
      <c r="H504" s="0" t="n">
        <v>0.650163440122195</v>
      </c>
      <c r="I504" s="0" t="n">
        <v>0.177929727746723</v>
      </c>
      <c r="J504" s="0" t="n">
        <v>0.373303745197808</v>
      </c>
      <c r="K504" s="0" t="n">
        <v>-0.564917602774474</v>
      </c>
      <c r="L504" s="0" t="n">
        <v>-0.356259641253358</v>
      </c>
      <c r="M504" s="0" t="n">
        <v>-0.599668054578047</v>
      </c>
      <c r="N504" s="0" t="n">
        <v>-0.313003967428164</v>
      </c>
      <c r="O504" s="0" t="n">
        <v>-0.480821853064104</v>
      </c>
      <c r="P504" s="0" t="n">
        <v>-0.41612679456392</v>
      </c>
      <c r="Q504" s="0" t="n">
        <v>-0.500033678553537</v>
      </c>
      <c r="R504" s="0" t="n">
        <v>-0.887344098102986</v>
      </c>
      <c r="S504" s="0" t="n">
        <v>1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1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0.564207443341499</v>
      </c>
      <c r="AJ504" s="0" t="n">
        <v>0.333333333333333</v>
      </c>
    </row>
    <row r="505" customFormat="false" ht="15" hidden="false" customHeight="false" outlineLevel="0" collapsed="false">
      <c r="A505" s="0" t="s">
        <v>539</v>
      </c>
      <c r="B505" s="0" t="n">
        <v>1</v>
      </c>
      <c r="C505" s="0" t="n">
        <v>-0.454353776297087</v>
      </c>
      <c r="D505" s="0" t="n">
        <v>-0.534201610221725</v>
      </c>
      <c r="E505" s="0" t="n">
        <v>-0.698146474432628</v>
      </c>
      <c r="F505" s="0" t="n">
        <v>0.0744598041970228</v>
      </c>
      <c r="G505" s="0" t="n">
        <v>0.320306113727639</v>
      </c>
      <c r="H505" s="0" t="n">
        <v>0.295394770175424</v>
      </c>
      <c r="I505" s="0" t="n">
        <v>0.418417005451176</v>
      </c>
      <c r="J505" s="0" t="n">
        <v>-0.948664763340504</v>
      </c>
      <c r="K505" s="0" t="n">
        <v>-0.156800859482951</v>
      </c>
      <c r="L505" s="0" t="n">
        <v>0.755704980343773</v>
      </c>
      <c r="M505" s="0" t="n">
        <v>-0.552574790710099</v>
      </c>
      <c r="N505" s="0" t="n">
        <v>0.0583010614336382</v>
      </c>
      <c r="O505" s="0" t="n">
        <v>-0.536713492411667</v>
      </c>
      <c r="P505" s="0" t="n">
        <v>-0.684620815712684</v>
      </c>
      <c r="Q505" s="0" t="n">
        <v>-0.455821354991668</v>
      </c>
      <c r="R505" s="0" t="n">
        <v>-0.359900936154018</v>
      </c>
      <c r="S505" s="0" t="n">
        <v>1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1</v>
      </c>
      <c r="Y505" s="0" t="n">
        <v>0</v>
      </c>
      <c r="Z505" s="0" t="n">
        <v>0</v>
      </c>
      <c r="AA505" s="0" t="n">
        <v>1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0.479366945626559</v>
      </c>
      <c r="AJ505" s="0" t="n">
        <v>0</v>
      </c>
    </row>
    <row r="506" customFormat="false" ht="15" hidden="false" customHeight="false" outlineLevel="0" collapsed="false">
      <c r="A506" s="0" t="s">
        <v>540</v>
      </c>
      <c r="B506" s="0" t="n">
        <v>1</v>
      </c>
      <c r="C506" s="0" t="n">
        <v>-0.511291209422768</v>
      </c>
      <c r="D506" s="0" t="n">
        <v>-0.635873263409294</v>
      </c>
      <c r="E506" s="0" t="n">
        <v>-0.712815864163358</v>
      </c>
      <c r="F506" s="0" t="n">
        <v>0.211860890392999</v>
      </c>
      <c r="G506" s="0" t="n">
        <v>0.273145599803092</v>
      </c>
      <c r="H506" s="0" t="n">
        <v>0.252838648961099</v>
      </c>
      <c r="I506" s="0" t="n">
        <v>0.64554462588103</v>
      </c>
      <c r="J506" s="0" t="n">
        <v>-0.390352596723729</v>
      </c>
      <c r="K506" s="0" t="n">
        <v>-0.128889930226691</v>
      </c>
      <c r="L506" s="0" t="n">
        <v>0.413252719662239</v>
      </c>
      <c r="M506" s="0" t="n">
        <v>-0.19436964656848</v>
      </c>
      <c r="N506" s="0" t="n">
        <v>-0.334579522508679</v>
      </c>
      <c r="O506" s="0" t="n">
        <v>-0.677546991995933</v>
      </c>
      <c r="P506" s="0" t="n">
        <v>-0.544970550100003</v>
      </c>
      <c r="Q506" s="0" t="n">
        <v>-0.541584795219467</v>
      </c>
      <c r="R506" s="0" t="n">
        <v>-0.575798594324259</v>
      </c>
      <c r="S506" s="0" t="n">
        <v>1</v>
      </c>
      <c r="T506" s="0" t="n">
        <v>0</v>
      </c>
      <c r="U506" s="0" t="n">
        <v>0</v>
      </c>
      <c r="V506" s="0" t="n">
        <v>0</v>
      </c>
      <c r="W506" s="0" t="n">
        <v>1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1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0.250803579401654</v>
      </c>
      <c r="AJ506" s="0" t="n">
        <v>0</v>
      </c>
    </row>
    <row r="507" customFormat="false" ht="15" hidden="false" customHeight="false" outlineLevel="0" collapsed="false">
      <c r="A507" s="0" t="s">
        <v>541</v>
      </c>
      <c r="B507" s="0" t="n">
        <v>1</v>
      </c>
      <c r="C507" s="0" t="n">
        <v>-0.761804618066018</v>
      </c>
      <c r="D507" s="0" t="n">
        <v>-0.636890037715201</v>
      </c>
      <c r="E507" s="0" t="n">
        <v>-0.840566607897114</v>
      </c>
      <c r="F507" s="0" t="n">
        <v>-0.0805748966349861</v>
      </c>
      <c r="G507" s="0" t="n">
        <v>0.178811241401273</v>
      </c>
      <c r="H507" s="0" t="n">
        <v>0.134671629450363</v>
      </c>
      <c r="I507" s="0" t="n">
        <v>0.872201664339342</v>
      </c>
      <c r="J507" s="0" t="n">
        <v>-0.814902101733557</v>
      </c>
      <c r="K507" s="0" t="n">
        <v>1.01183118723781</v>
      </c>
      <c r="L507" s="0" t="n">
        <v>0.992335773508752</v>
      </c>
      <c r="M507" s="0" t="n">
        <v>0.481360025413307</v>
      </c>
      <c r="N507" s="0" t="n">
        <v>-0.373621003130561</v>
      </c>
      <c r="O507" s="0" t="n">
        <v>-0.447928903472469</v>
      </c>
      <c r="P507" s="0" t="n">
        <v>1.02811824553129</v>
      </c>
      <c r="Q507" s="0" t="n">
        <v>-0.605243419384154</v>
      </c>
      <c r="R507" s="0" t="n">
        <v>0.260990669583446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1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</row>
    <row r="508" customFormat="false" ht="15" hidden="false" customHeight="false" outlineLevel="0" collapsed="false">
      <c r="A508" s="0" t="s">
        <v>542</v>
      </c>
      <c r="B508" s="0" t="n">
        <v>1</v>
      </c>
      <c r="C508" s="0" t="n">
        <v>-0.611405747042251</v>
      </c>
      <c r="D508" s="0" t="n">
        <v>-0.479709862794491</v>
      </c>
      <c r="E508" s="0" t="n">
        <v>-0.825342154670397</v>
      </c>
      <c r="F508" s="0" t="n">
        <v>-0.19175830735015</v>
      </c>
      <c r="G508" s="0" t="n">
        <v>0.361405650084851</v>
      </c>
      <c r="H508" s="0" t="n">
        <v>0.272789092438241</v>
      </c>
      <c r="I508" s="0" t="n">
        <v>-1.0901442856338</v>
      </c>
      <c r="J508" s="0" t="n">
        <v>-1.33164178532623</v>
      </c>
      <c r="K508" s="0" t="n">
        <v>-0.750434733967673</v>
      </c>
      <c r="L508" s="0" t="n">
        <v>-0.155321707004653</v>
      </c>
      <c r="M508" s="0" t="n">
        <v>-0.495003888402101</v>
      </c>
      <c r="N508" s="0" t="n">
        <v>0.140288170739592</v>
      </c>
      <c r="O508" s="0" t="n">
        <v>0.425622450878199</v>
      </c>
      <c r="P508" s="0" t="n">
        <v>-0.262697082680455</v>
      </c>
      <c r="Q508" s="0" t="n">
        <v>-0.567766862764984</v>
      </c>
      <c r="R508" s="0" t="n">
        <v>-0.934354160746774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1</v>
      </c>
      <c r="AA508" s="0" t="n">
        <v>0</v>
      </c>
      <c r="AB508" s="0" t="n">
        <v>0</v>
      </c>
      <c r="AC508" s="0" t="n">
        <v>0</v>
      </c>
      <c r="AD508" s="0" t="n">
        <v>1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0.552637477339461</v>
      </c>
      <c r="AJ508" s="0" t="n">
        <v>0.333333333333333</v>
      </c>
    </row>
    <row r="509" customFormat="false" ht="15" hidden="false" customHeight="false" outlineLevel="0" collapsed="false">
      <c r="A509" s="0" t="s">
        <v>543</v>
      </c>
      <c r="B509" s="0" t="n">
        <v>1</v>
      </c>
      <c r="C509" s="0" t="n">
        <v>-0.886630154637395</v>
      </c>
      <c r="D509" s="0" t="n">
        <v>-0.593400751149641</v>
      </c>
      <c r="E509" s="0" t="n">
        <v>-0.875712068484639</v>
      </c>
      <c r="F509" s="0" t="n">
        <v>-0.303785821252429</v>
      </c>
      <c r="G509" s="0" t="n">
        <v>0.0688580023186955</v>
      </c>
      <c r="H509" s="0" t="n">
        <v>0.0446369093990373</v>
      </c>
      <c r="I509" s="0" t="n">
        <v>-1.03099226266089</v>
      </c>
      <c r="J509" s="0" t="n">
        <v>-0.176265444329253</v>
      </c>
      <c r="K509" s="0" t="n">
        <v>-0.126562163631894</v>
      </c>
      <c r="L509" s="0" t="n">
        <v>0.454534761063376</v>
      </c>
      <c r="M509" s="0" t="n">
        <v>-0.411988774482245</v>
      </c>
      <c r="N509" s="0" t="n">
        <v>-0.814173289726966</v>
      </c>
      <c r="O509" s="0" t="n">
        <v>-0.969766970999983</v>
      </c>
      <c r="P509" s="0" t="n">
        <v>-0.800542832303261</v>
      </c>
      <c r="Q509" s="0" t="n">
        <v>-0.581677394649545</v>
      </c>
      <c r="R509" s="0" t="n">
        <v>-0.676249256232512</v>
      </c>
      <c r="S509" s="0" t="n">
        <v>1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1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1</v>
      </c>
      <c r="AF509" s="0" t="n">
        <v>0</v>
      </c>
      <c r="AG509" s="0" t="n">
        <v>0</v>
      </c>
      <c r="AH509" s="0" t="n">
        <v>0</v>
      </c>
      <c r="AI509" s="0" t="n">
        <v>0.138282939934713</v>
      </c>
      <c r="AJ509" s="0" t="n">
        <v>0</v>
      </c>
    </row>
    <row r="510" customFormat="false" ht="15" hidden="false" customHeight="false" outlineLevel="0" collapsed="false">
      <c r="A510" s="0" t="s">
        <v>544</v>
      </c>
      <c r="B510" s="0" t="n">
        <v>1</v>
      </c>
      <c r="C510" s="0" t="n">
        <v>-0.310664072249575</v>
      </c>
      <c r="D510" s="0" t="n">
        <v>-0.585044782867193</v>
      </c>
      <c r="E510" s="0" t="n">
        <v>-0.878926287120492</v>
      </c>
      <c r="F510" s="0" t="n">
        <v>0.336556943405041</v>
      </c>
      <c r="G510" s="0" t="n">
        <v>0.916434614746041</v>
      </c>
      <c r="H510" s="0" t="n">
        <v>0.640794171543864</v>
      </c>
      <c r="I510" s="0" t="n">
        <v>-1.04426892312606</v>
      </c>
      <c r="J510" s="0" t="n">
        <v>3</v>
      </c>
      <c r="K510" s="0" t="n">
        <v>-0.871438332233624</v>
      </c>
      <c r="L510" s="0" t="n">
        <v>0.324525242167436</v>
      </c>
      <c r="M510" s="0" t="n">
        <v>-0.216419856710311</v>
      </c>
      <c r="N510" s="0" t="n">
        <v>-1.83521074872768</v>
      </c>
      <c r="O510" s="0" t="n">
        <v>1.45102027112995</v>
      </c>
      <c r="P510" s="0" t="n">
        <v>2.08197374435122</v>
      </c>
      <c r="Q510" s="0" t="n">
        <v>1.42933935874233</v>
      </c>
      <c r="R510" s="0" t="n">
        <v>-0.309051976926896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1</v>
      </c>
      <c r="Y510" s="0" t="n">
        <v>0</v>
      </c>
      <c r="Z510" s="0" t="n">
        <v>0</v>
      </c>
      <c r="AA510" s="0" t="n">
        <v>1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</row>
    <row r="511" customFormat="false" ht="15" hidden="false" customHeight="false" outlineLevel="0" collapsed="false">
      <c r="A511" s="0" t="s">
        <v>545</v>
      </c>
      <c r="B511" s="0" t="n">
        <v>1</v>
      </c>
      <c r="C511" s="0" t="n">
        <v>-0.51424540362165</v>
      </c>
      <c r="D511" s="0" t="n">
        <v>-0.708187174733156</v>
      </c>
      <c r="E511" s="0" t="n">
        <v>-1.00397762343941</v>
      </c>
      <c r="F511" s="0" t="n">
        <v>0.367908489639125</v>
      </c>
      <c r="G511" s="0" t="n">
        <v>0.931702451128327</v>
      </c>
      <c r="H511" s="0" t="n">
        <v>0.567968486189402</v>
      </c>
      <c r="I511" s="0" t="n">
        <v>-0.964061260595342</v>
      </c>
      <c r="J511" s="0" t="n">
        <v>0.844932702529785</v>
      </c>
      <c r="K511" s="0" t="n">
        <v>0.119040231341673</v>
      </c>
      <c r="L511" s="0" t="n">
        <v>0.320709538698367</v>
      </c>
      <c r="M511" s="0" t="n">
        <v>0.492223955249448</v>
      </c>
      <c r="N511" s="0" t="n">
        <v>-0.861023066473226</v>
      </c>
      <c r="O511" s="0" t="n">
        <v>-0.798368874159451</v>
      </c>
      <c r="P511" s="0" t="n">
        <v>-0.567969942644309</v>
      </c>
      <c r="Q511" s="0" t="n">
        <v>-0.365244930807145</v>
      </c>
      <c r="R511" s="0" t="n">
        <v>-0.162528244359862</v>
      </c>
      <c r="S511" s="0" t="n">
        <v>1</v>
      </c>
      <c r="T511" s="0" t="n">
        <v>0</v>
      </c>
      <c r="U511" s="0" t="n">
        <v>0</v>
      </c>
      <c r="V511" s="0" t="n">
        <v>0</v>
      </c>
      <c r="W511" s="0" t="n">
        <v>1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1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</row>
    <row r="512" customFormat="false" ht="15" hidden="false" customHeight="false" outlineLevel="0" collapsed="false">
      <c r="A512" s="0" t="s">
        <v>546</v>
      </c>
      <c r="B512" s="0" t="n">
        <v>1</v>
      </c>
      <c r="C512" s="0" t="n">
        <v>-0.608310787931369</v>
      </c>
      <c r="D512" s="0" t="n">
        <v>-0.697079998445987</v>
      </c>
      <c r="E512" s="0" t="n">
        <v>-0.992069508211941</v>
      </c>
      <c r="F512" s="0" t="n">
        <v>0.22710315905509</v>
      </c>
      <c r="G512" s="0" t="n">
        <v>0.752516392960475</v>
      </c>
      <c r="H512" s="0" t="n">
        <v>0.45816646052846</v>
      </c>
      <c r="I512" s="0" t="n">
        <v>-1.26478468945158</v>
      </c>
      <c r="J512" s="0" t="n">
        <v>0.470990484820175</v>
      </c>
      <c r="K512" s="0" t="n">
        <v>0.358114108947121</v>
      </c>
      <c r="L512" s="0" t="n">
        <v>0.169739116659545</v>
      </c>
      <c r="M512" s="0" t="n">
        <v>-0.00421123574375918</v>
      </c>
      <c r="N512" s="0" t="n">
        <v>-0.808214326895205</v>
      </c>
      <c r="O512" s="0" t="n">
        <v>-0.170246002144229</v>
      </c>
      <c r="P512" s="0" t="n">
        <v>0.7003598582857</v>
      </c>
      <c r="Q512" s="0" t="n">
        <v>0.11445002412096</v>
      </c>
      <c r="R512" s="0" t="n">
        <v>0.102280058386901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1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</row>
    <row r="513" customFormat="false" ht="15" hidden="false" customHeight="false" outlineLevel="0" collapsed="false">
      <c r="A513" s="0" t="s">
        <v>547</v>
      </c>
      <c r="B513" s="0" t="n">
        <v>1</v>
      </c>
      <c r="C513" s="0" t="n">
        <v>-0.444506524759836</v>
      </c>
      <c r="D513" s="0" t="n">
        <v>-1.01371413099876</v>
      </c>
      <c r="E513" s="0" t="n">
        <v>-0.728466069836984</v>
      </c>
      <c r="F513" s="0" t="n">
        <v>1.37976471948285</v>
      </c>
      <c r="G513" s="0" t="n">
        <v>0.392979123790684</v>
      </c>
      <c r="H513" s="0" t="n">
        <v>0.338659183353995</v>
      </c>
      <c r="I513" s="0" t="n">
        <v>-0.0663973416970618</v>
      </c>
      <c r="J513" s="0" t="n">
        <v>0.412056875205668</v>
      </c>
      <c r="K513" s="0" t="n">
        <v>-0.785042659862967</v>
      </c>
      <c r="L513" s="0" t="n">
        <v>-0.144556266985828</v>
      </c>
      <c r="M513" s="0" t="n">
        <v>0.573211863215265</v>
      </c>
      <c r="N513" s="0" t="n">
        <v>-0.63951403431328</v>
      </c>
      <c r="O513" s="0" t="n">
        <v>-0.196676500426493</v>
      </c>
      <c r="P513" s="0" t="n">
        <v>-0.0435420696684984</v>
      </c>
      <c r="Q513" s="0" t="n">
        <v>-0.136737942365791</v>
      </c>
      <c r="R513" s="0" t="n">
        <v>0.274319097325928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1</v>
      </c>
      <c r="AA513" s="0" t="n">
        <v>0</v>
      </c>
      <c r="AB513" s="0" t="n">
        <v>0</v>
      </c>
      <c r="AC513" s="0" t="n">
        <v>0</v>
      </c>
      <c r="AD513" s="0" t="n">
        <v>1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0.609283737387935</v>
      </c>
      <c r="AJ513" s="0" t="n">
        <v>0.333333333333333</v>
      </c>
    </row>
    <row r="514" customFormat="false" ht="15" hidden="false" customHeight="false" outlineLevel="0" collapsed="false">
      <c r="A514" s="0" t="s">
        <v>548</v>
      </c>
      <c r="B514" s="0" t="n">
        <v>1</v>
      </c>
      <c r="C514" s="0" t="n">
        <v>-0.315267291436862</v>
      </c>
      <c r="D514" s="0" t="n">
        <v>-0.991949424911923</v>
      </c>
      <c r="E514" s="0" t="n">
        <v>-0.761958828479371</v>
      </c>
      <c r="F514" s="0" t="n">
        <v>1.49676689207241</v>
      </c>
      <c r="G514" s="0" t="n">
        <v>0.637740721102141</v>
      </c>
      <c r="H514" s="0" t="n">
        <v>0.508240430978677</v>
      </c>
      <c r="I514" s="0" t="n">
        <v>0.0456011203326196</v>
      </c>
      <c r="J514" s="0" t="n">
        <v>0.366091435027793</v>
      </c>
      <c r="K514" s="0" t="n">
        <v>-0.0368061128403801</v>
      </c>
      <c r="L514" s="0" t="n">
        <v>0.468612063056374</v>
      </c>
      <c r="M514" s="0" t="n">
        <v>0.186739818085236</v>
      </c>
      <c r="N514" s="0" t="n">
        <v>-0.50430722247539</v>
      </c>
      <c r="O514" s="0" t="n">
        <v>-0.869198772571188</v>
      </c>
      <c r="P514" s="0" t="n">
        <v>-0.538889724473628</v>
      </c>
      <c r="Q514" s="0" t="n">
        <v>-0.373810435355311</v>
      </c>
      <c r="R514" s="0" t="n">
        <v>-0.43854899404361</v>
      </c>
      <c r="S514" s="0" t="n">
        <v>1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1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0.321011668590618</v>
      </c>
      <c r="AJ514" s="0" t="n">
        <v>0</v>
      </c>
    </row>
    <row r="515" customFormat="false" ht="15" hidden="false" customHeight="false" outlineLevel="0" collapsed="false">
      <c r="A515" s="0" t="s">
        <v>549</v>
      </c>
      <c r="B515" s="0" t="n">
        <v>1</v>
      </c>
      <c r="C515" s="0" t="n">
        <v>-0.20936359521616</v>
      </c>
      <c r="D515" s="0" t="n">
        <v>-0.924304795996425</v>
      </c>
      <c r="E515" s="0" t="n">
        <v>-0.782920753207584</v>
      </c>
      <c r="F515" s="0" t="n">
        <v>1.40271444713034</v>
      </c>
      <c r="G515" s="0" t="n">
        <v>0.830181369905209</v>
      </c>
      <c r="H515" s="0" t="n">
        <v>0.640117212281935</v>
      </c>
      <c r="I515" s="0" t="n">
        <v>0.320935525775013</v>
      </c>
      <c r="J515" s="0" t="n">
        <v>0.346117267889148</v>
      </c>
      <c r="K515" s="0" t="n">
        <v>-0.291993649683549</v>
      </c>
      <c r="L515" s="0" t="n">
        <v>0.414853619128537</v>
      </c>
      <c r="M515" s="0" t="n">
        <v>0.135018324009287</v>
      </c>
      <c r="N515" s="0" t="n">
        <v>-0.399922632181093</v>
      </c>
      <c r="O515" s="0" t="n">
        <v>-0.805163977255922</v>
      </c>
      <c r="P515" s="0" t="n">
        <v>-0.550691146199954</v>
      </c>
      <c r="Q515" s="0" t="n">
        <v>-0.411551475305128</v>
      </c>
      <c r="R515" s="0" t="n">
        <v>-0.554942578469924</v>
      </c>
      <c r="S515" s="0" t="n">
        <v>1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1</v>
      </c>
      <c r="Y515" s="0" t="n">
        <v>0</v>
      </c>
      <c r="Z515" s="0" t="n">
        <v>0</v>
      </c>
      <c r="AA515" s="0" t="n">
        <v>1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0.133782499188686</v>
      </c>
      <c r="AJ515" s="0" t="n">
        <v>0</v>
      </c>
    </row>
    <row r="516" customFormat="false" ht="15" hidden="false" customHeight="false" outlineLevel="0" collapsed="false">
      <c r="A516" s="0" t="s">
        <v>550</v>
      </c>
      <c r="B516" s="0" t="n">
        <v>1</v>
      </c>
      <c r="C516" s="0" t="n">
        <v>-0.104456868930643</v>
      </c>
      <c r="D516" s="0" t="n">
        <v>-0.864578274582321</v>
      </c>
      <c r="E516" s="0" t="n">
        <v>-0.840596963305522</v>
      </c>
      <c r="F516" s="0" t="n">
        <v>1.34384912846738</v>
      </c>
      <c r="G516" s="0" t="n">
        <v>1.11755386380919</v>
      </c>
      <c r="H516" s="0" t="n">
        <v>0.811088012374424</v>
      </c>
      <c r="I516" s="0" t="n">
        <v>0.607907912367113</v>
      </c>
      <c r="J516" s="0" t="n">
        <v>1.10293412027565</v>
      </c>
      <c r="K516" s="0" t="n">
        <v>-0.465359443700687</v>
      </c>
      <c r="L516" s="0" t="n">
        <v>-0.638919336636218</v>
      </c>
      <c r="M516" s="0" t="n">
        <v>0.185707184461955</v>
      </c>
      <c r="N516" s="0" t="n">
        <v>-0.617116553324936</v>
      </c>
      <c r="O516" s="0" t="n">
        <v>-0.14780780617044</v>
      </c>
      <c r="P516" s="0" t="n">
        <v>0.412790914115106</v>
      </c>
      <c r="Q516" s="0" t="n">
        <v>-0.159633482881347</v>
      </c>
      <c r="R516" s="0" t="n">
        <v>-0.813139878472451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1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1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</row>
    <row r="517" customFormat="false" ht="15" hidden="false" customHeight="false" outlineLevel="0" collapsed="false">
      <c r="A517" s="0" t="s">
        <v>551</v>
      </c>
      <c r="B517" s="0" t="n">
        <v>1</v>
      </c>
      <c r="C517" s="0" t="n">
        <v>-0.225380425594874</v>
      </c>
      <c r="D517" s="0" t="n">
        <v>-0.61266290066599</v>
      </c>
      <c r="E517" s="0" t="n">
        <v>-0.754589666833673</v>
      </c>
      <c r="F517" s="0" t="n">
        <v>0.494659376354106</v>
      </c>
      <c r="G517" s="0" t="n">
        <v>0.744036655774107</v>
      </c>
      <c r="H517" s="0" t="n">
        <v>0.592677522495165</v>
      </c>
      <c r="I517" s="0" t="n">
        <v>1.16913437366514</v>
      </c>
      <c r="J517" s="0" t="n">
        <v>-0.323768051241193</v>
      </c>
      <c r="K517" s="0" t="n">
        <v>0.722637401234936</v>
      </c>
      <c r="L517" s="0" t="n">
        <v>-0.668065188331948</v>
      </c>
      <c r="M517" s="0" t="n">
        <v>1.07374436883054</v>
      </c>
      <c r="N517" s="0" t="n">
        <v>-0.0779331577890379</v>
      </c>
      <c r="O517" s="0" t="n">
        <v>-0.851298580811146</v>
      </c>
      <c r="P517" s="0" t="n">
        <v>-0.174043954763639</v>
      </c>
      <c r="Q517" s="0" t="n">
        <v>-0.267232926723202</v>
      </c>
      <c r="R517" s="0" t="n">
        <v>-0.458346159837402</v>
      </c>
      <c r="S517" s="0" t="n">
        <v>1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1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0</v>
      </c>
    </row>
    <row r="518" customFormat="false" ht="15" hidden="false" customHeight="false" outlineLevel="0" collapsed="false">
      <c r="A518" s="0" t="s">
        <v>552</v>
      </c>
      <c r="B518" s="0" t="n">
        <v>1</v>
      </c>
      <c r="C518" s="0" t="n">
        <v>3</v>
      </c>
      <c r="D518" s="0" t="n">
        <v>-0.416571110873467</v>
      </c>
      <c r="E518" s="0" t="n">
        <v>-0.643031263267912</v>
      </c>
      <c r="F518" s="0" t="n">
        <v>3</v>
      </c>
      <c r="G518" s="0" t="n">
        <v>3</v>
      </c>
      <c r="H518" s="0" t="n">
        <v>3</v>
      </c>
      <c r="I518" s="0" t="n">
        <v>-0.577103615598673</v>
      </c>
      <c r="J518" s="0" t="n">
        <v>3</v>
      </c>
      <c r="K518" s="0" t="n">
        <v>-0.487719077494872</v>
      </c>
      <c r="L518" s="0" t="n">
        <v>0.506760308994152</v>
      </c>
      <c r="M518" s="0" t="n">
        <v>0.687453760507839</v>
      </c>
      <c r="N518" s="0" t="n">
        <v>0.946392004842995</v>
      </c>
      <c r="O518" s="0" t="n">
        <v>-0.436528130146435</v>
      </c>
      <c r="P518" s="0" t="n">
        <v>-0.189109668759506</v>
      </c>
      <c r="Q518" s="0" t="n">
        <v>0.105223123577438</v>
      </c>
      <c r="R518" s="0" t="n">
        <v>-1.30295441677984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1</v>
      </c>
      <c r="AA518" s="0" t="n">
        <v>0</v>
      </c>
      <c r="AB518" s="0" t="n">
        <v>0</v>
      </c>
      <c r="AC518" s="0" t="n">
        <v>0</v>
      </c>
      <c r="AD518" s="0" t="n">
        <v>1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</row>
    <row r="519" customFormat="false" ht="15" hidden="false" customHeight="false" outlineLevel="0" collapsed="false">
      <c r="A519" s="0" t="s">
        <v>553</v>
      </c>
      <c r="B519" s="0" t="n">
        <v>1</v>
      </c>
      <c r="C519" s="0" t="n">
        <v>3</v>
      </c>
      <c r="D519" s="0" t="n">
        <v>0.719046828644774</v>
      </c>
      <c r="E519" s="0" t="n">
        <v>0.0644091681977826</v>
      </c>
      <c r="F519" s="0" t="n">
        <v>2.33140213780091</v>
      </c>
      <c r="G519" s="0" t="n">
        <v>3</v>
      </c>
      <c r="H519" s="0" t="n">
        <v>3</v>
      </c>
      <c r="I519" s="0" t="n">
        <v>2.17139276844861</v>
      </c>
      <c r="J519" s="0" t="n">
        <v>-0.0317568810214482</v>
      </c>
      <c r="K519" s="0" t="n">
        <v>-1.26167272666671</v>
      </c>
      <c r="L519" s="0" t="n">
        <v>-1.88192610611642</v>
      </c>
      <c r="M519" s="0" t="n">
        <v>-1.00830511978813</v>
      </c>
      <c r="N519" s="0" t="n">
        <v>3</v>
      </c>
      <c r="O519" s="0" t="n">
        <v>0.685586081689233</v>
      </c>
      <c r="P519" s="0" t="n">
        <v>0.2411995803445</v>
      </c>
      <c r="Q519" s="0" t="n">
        <v>0.00728832641984934</v>
      </c>
      <c r="R519" s="0" t="n">
        <v>-0.258609139371382</v>
      </c>
      <c r="S519" s="0" t="n">
        <v>0</v>
      </c>
      <c r="T519" s="0" t="n">
        <v>1</v>
      </c>
      <c r="U519" s="0" t="n">
        <v>0</v>
      </c>
      <c r="V519" s="0" t="n">
        <v>0</v>
      </c>
      <c r="W519" s="0" t="n">
        <v>0</v>
      </c>
      <c r="X519" s="0" t="n">
        <v>1</v>
      </c>
      <c r="Y519" s="0" t="n">
        <v>0</v>
      </c>
      <c r="Z519" s="0" t="n">
        <v>0</v>
      </c>
      <c r="AA519" s="0" t="n">
        <v>1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1</v>
      </c>
      <c r="AH519" s="0" t="n">
        <v>0</v>
      </c>
      <c r="AI519" s="0" t="n">
        <v>0</v>
      </c>
      <c r="AJ519" s="0" t="n">
        <v>0</v>
      </c>
    </row>
    <row r="520" customFormat="false" ht="15" hidden="false" customHeight="false" outlineLevel="0" collapsed="false">
      <c r="A520" s="0" t="s">
        <v>554</v>
      </c>
      <c r="B520" s="0" t="n">
        <v>1</v>
      </c>
      <c r="C520" s="0" t="n">
        <v>3</v>
      </c>
      <c r="D520" s="0" t="n">
        <v>3</v>
      </c>
      <c r="E520" s="0" t="n">
        <v>2.47635079276805</v>
      </c>
      <c r="F520" s="0" t="n">
        <v>-1.07957514610299</v>
      </c>
      <c r="G520" s="0" t="n">
        <v>-0.151389206499719</v>
      </c>
      <c r="H520" s="0" t="n">
        <v>0.610831066251602</v>
      </c>
      <c r="I520" s="0" t="n">
        <v>2.78788817433781</v>
      </c>
      <c r="J520" s="0" t="n">
        <v>-0.067659484746046</v>
      </c>
      <c r="K520" s="0" t="n">
        <v>-0.149766442883367</v>
      </c>
      <c r="L520" s="0" t="n">
        <v>0.131698260101833</v>
      </c>
      <c r="M520" s="0" t="n">
        <v>-0.107974637549722</v>
      </c>
      <c r="N520" s="0" t="n">
        <v>-0.180160192575284</v>
      </c>
      <c r="O520" s="0" t="n">
        <v>-0.319185332251216</v>
      </c>
      <c r="P520" s="0" t="n">
        <v>-0.335176607133119</v>
      </c>
      <c r="Q520" s="0" t="n">
        <v>-0.300944850024711</v>
      </c>
      <c r="R520" s="0" t="n">
        <v>-0.248813617506255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1</v>
      </c>
      <c r="AI520" s="0" t="n">
        <v>0.335077864300874</v>
      </c>
      <c r="AJ520" s="0" t="n">
        <v>0.333333333333333</v>
      </c>
    </row>
    <row r="521" customFormat="false" ht="15" hidden="false" customHeight="false" outlineLevel="0" collapsed="false">
      <c r="A521" s="0" t="s">
        <v>555</v>
      </c>
      <c r="B521" s="0" t="n">
        <v>1</v>
      </c>
      <c r="C521" s="0" t="n">
        <v>1.73880497591274</v>
      </c>
      <c r="D521" s="0" t="n">
        <v>3</v>
      </c>
      <c r="E521" s="0" t="n">
        <v>2.9707952993308</v>
      </c>
      <c r="F521" s="0" t="n">
        <v>-1.65039905008876</v>
      </c>
      <c r="G521" s="0" t="n">
        <v>-1.09068838474692</v>
      </c>
      <c r="H521" s="0" t="n">
        <v>-1.45720549493258</v>
      </c>
      <c r="I521" s="0" t="n">
        <v>3</v>
      </c>
      <c r="J521" s="0" t="n">
        <v>-2.12006913290486</v>
      </c>
      <c r="K521" s="0" t="n">
        <v>2.28915938841525</v>
      </c>
      <c r="L521" s="0" t="n">
        <v>0.780626761086932</v>
      </c>
      <c r="M521" s="0" t="n">
        <v>-2.49024354141656</v>
      </c>
      <c r="N521" s="0" t="n">
        <v>3</v>
      </c>
      <c r="O521" s="0" t="n">
        <v>0.587029779047734</v>
      </c>
      <c r="P521" s="0" t="n">
        <v>0.162621217404784</v>
      </c>
      <c r="Q521" s="0" t="n">
        <v>0.144654943633226</v>
      </c>
      <c r="R521" s="0" t="n">
        <v>-0.296268807102288</v>
      </c>
      <c r="S521" s="0" t="n">
        <v>1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1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1.00666630557461</v>
      </c>
      <c r="AJ521" s="0" t="n">
        <v>0.666666666666667</v>
      </c>
    </row>
    <row r="522" customFormat="false" ht="15" hidden="false" customHeight="false" outlineLevel="0" collapsed="false">
      <c r="A522" s="0" t="s">
        <v>556</v>
      </c>
      <c r="B522" s="0" t="n">
        <v>1</v>
      </c>
      <c r="C522" s="0" t="n">
        <v>0.820280758671515</v>
      </c>
      <c r="D522" s="0" t="n">
        <v>3</v>
      </c>
      <c r="E522" s="0" t="n">
        <v>3</v>
      </c>
      <c r="F522" s="0" t="n">
        <v>-1.90829034056574</v>
      </c>
      <c r="G522" s="0" t="n">
        <v>-1.52120638700696</v>
      </c>
      <c r="H522" s="0" t="n">
        <v>-2.47893948318469</v>
      </c>
      <c r="I522" s="0" t="n">
        <v>3</v>
      </c>
      <c r="J522" s="0" t="n">
        <v>0.515282197731928</v>
      </c>
      <c r="K522" s="0" t="n">
        <v>-0.367041781745347</v>
      </c>
      <c r="L522" s="0" t="n">
        <v>0.84198532051276</v>
      </c>
      <c r="M522" s="0" t="n">
        <v>0.0490866269090501</v>
      </c>
      <c r="N522" s="0" t="n">
        <v>0.43186638654197</v>
      </c>
      <c r="O522" s="0" t="n">
        <v>1.9953821887065</v>
      </c>
      <c r="P522" s="0" t="n">
        <v>0.0559695175924357</v>
      </c>
      <c r="Q522" s="0" t="n">
        <v>0.567886939586349</v>
      </c>
      <c r="R522" s="0" t="n">
        <v>-0.635511312138262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1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0.390554083827932</v>
      </c>
      <c r="AJ522" s="0" t="n">
        <v>0</v>
      </c>
    </row>
    <row r="523" customFormat="false" ht="15" hidden="false" customHeight="false" outlineLevel="0" collapsed="false">
      <c r="A523" s="0" t="s">
        <v>557</v>
      </c>
      <c r="B523" s="0" t="n">
        <v>1</v>
      </c>
      <c r="C523" s="0" t="n">
        <v>0.461859475931482</v>
      </c>
      <c r="D523" s="0" t="n">
        <v>3</v>
      </c>
      <c r="E523" s="0" t="n">
        <v>3</v>
      </c>
      <c r="F523" s="0" t="n">
        <v>-2.00021977932953</v>
      </c>
      <c r="G523" s="0" t="n">
        <v>-1.68169041950973</v>
      </c>
      <c r="H523" s="0" t="n">
        <v>-2.85989375362827</v>
      </c>
      <c r="I523" s="0" t="n">
        <v>2.80139932324972</v>
      </c>
      <c r="J523" s="0" t="n">
        <v>-0.0714195939643191</v>
      </c>
      <c r="K523" s="0" t="n">
        <v>-0.0327250465274826</v>
      </c>
      <c r="L523" s="0" t="n">
        <v>0.235428295300248</v>
      </c>
      <c r="M523" s="0" t="n">
        <v>-0.504466710207654</v>
      </c>
      <c r="N523" s="0" t="n">
        <v>0.453852904576399</v>
      </c>
      <c r="O523" s="0" t="n">
        <v>-0.417370424722405</v>
      </c>
      <c r="P523" s="0" t="n">
        <v>-0.312662531792354</v>
      </c>
      <c r="Q523" s="0" t="n">
        <v>-0.392101389126839</v>
      </c>
      <c r="R523" s="0" t="n">
        <v>-0.474438804784124</v>
      </c>
      <c r="S523" s="0" t="n">
        <v>1</v>
      </c>
      <c r="T523" s="0" t="n">
        <v>0</v>
      </c>
      <c r="U523" s="0" t="n">
        <v>0</v>
      </c>
      <c r="V523" s="0" t="n">
        <v>0</v>
      </c>
      <c r="W523" s="0" t="n">
        <v>0</v>
      </c>
      <c r="X523" s="0" t="n">
        <v>1</v>
      </c>
      <c r="Y523" s="0" t="n">
        <v>0</v>
      </c>
      <c r="Z523" s="0" t="n">
        <v>0</v>
      </c>
      <c r="AA523" s="0" t="n">
        <v>1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0</v>
      </c>
      <c r="AJ523" s="0" t="n">
        <v>0</v>
      </c>
    </row>
    <row r="524" customFormat="false" ht="15" hidden="false" customHeight="false" outlineLevel="0" collapsed="false">
      <c r="A524" s="0" t="s">
        <v>558</v>
      </c>
      <c r="B524" s="0" t="n">
        <v>1</v>
      </c>
      <c r="C524" s="0" t="n">
        <v>-0.72454463191181</v>
      </c>
      <c r="D524" s="0" t="n">
        <v>3</v>
      </c>
      <c r="E524" s="0" t="n">
        <v>3</v>
      </c>
      <c r="F524" s="0" t="n">
        <v>-2.29738541423396</v>
      </c>
      <c r="G524" s="0" t="n">
        <v>-2.20009791797676</v>
      </c>
      <c r="H524" s="0" t="n">
        <v>-3</v>
      </c>
      <c r="I524" s="0" t="n">
        <v>-1.31765911674301</v>
      </c>
      <c r="J524" s="0" t="n">
        <v>-0.452696827558856</v>
      </c>
      <c r="K524" s="0" t="n">
        <v>2.26132047593562</v>
      </c>
      <c r="L524" s="0" t="n">
        <v>1.08697751497489</v>
      </c>
      <c r="M524" s="0" t="n">
        <v>0.429609339698126</v>
      </c>
      <c r="N524" s="0" t="n">
        <v>-0.524033444263289</v>
      </c>
      <c r="O524" s="0" t="n">
        <v>-0.00665492825093986</v>
      </c>
      <c r="P524" s="0" t="n">
        <v>2.69387445470537</v>
      </c>
      <c r="Q524" s="0" t="n">
        <v>2.72094485103104</v>
      </c>
      <c r="R524" s="0" t="n">
        <v>0.10400307538848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1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0</v>
      </c>
      <c r="AJ524" s="0" t="n">
        <v>0</v>
      </c>
    </row>
    <row r="525" customFormat="false" ht="15" hidden="false" customHeight="false" outlineLevel="0" collapsed="false">
      <c r="A525" s="0" t="s">
        <v>559</v>
      </c>
      <c r="B525" s="0" t="n">
        <v>1</v>
      </c>
      <c r="C525" s="0" t="n">
        <v>-0.986835277466472</v>
      </c>
      <c r="D525" s="0" t="n">
        <v>3</v>
      </c>
      <c r="E525" s="0" t="n">
        <v>3</v>
      </c>
      <c r="F525" s="0" t="n">
        <v>-2.3573079919503</v>
      </c>
      <c r="G525" s="0" t="n">
        <v>-2.31320541711933</v>
      </c>
      <c r="H525" s="0" t="n">
        <v>-3</v>
      </c>
      <c r="I525" s="0" t="n">
        <v>-2.16560883737346</v>
      </c>
      <c r="J525" s="0" t="n">
        <v>0.613925988604687</v>
      </c>
      <c r="K525" s="0" t="n">
        <v>1.07489634992952</v>
      </c>
      <c r="L525" s="0" t="n">
        <v>0.897956891555099</v>
      </c>
      <c r="M525" s="0" t="n">
        <v>-0.927238686100921</v>
      </c>
      <c r="N525" s="0" t="n">
        <v>-1.18794409631226</v>
      </c>
      <c r="O525" s="0" t="n">
        <v>-0.837843300458945</v>
      </c>
      <c r="P525" s="0" t="n">
        <v>-0.413928801159983</v>
      </c>
      <c r="Q525" s="0" t="n">
        <v>-0.191977358258711</v>
      </c>
      <c r="R525" s="0" t="n">
        <v>-0.27027479624292</v>
      </c>
      <c r="S525" s="0" t="n">
        <v>0</v>
      </c>
      <c r="T525" s="0" t="n">
        <v>1</v>
      </c>
      <c r="U525" s="0" t="n">
        <v>0</v>
      </c>
      <c r="V525" s="0" t="n">
        <v>0</v>
      </c>
      <c r="W525" s="0" t="n">
        <v>0</v>
      </c>
      <c r="X525" s="0" t="n">
        <v>1</v>
      </c>
      <c r="Y525" s="0" t="n">
        <v>0</v>
      </c>
      <c r="Z525" s="0" t="n">
        <v>0</v>
      </c>
      <c r="AA525" s="0" t="n">
        <v>1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0</v>
      </c>
    </row>
    <row r="526" customFormat="false" ht="15" hidden="false" customHeight="false" outlineLevel="0" collapsed="false">
      <c r="A526" s="0" t="s">
        <v>560</v>
      </c>
      <c r="B526" s="0" t="n">
        <v>1</v>
      </c>
      <c r="C526" s="0" t="n">
        <v>-0.781888054919029</v>
      </c>
      <c r="D526" s="0" t="n">
        <v>3</v>
      </c>
      <c r="E526" s="0" t="n">
        <v>3</v>
      </c>
      <c r="F526" s="0" t="n">
        <v>-2.26755907442382</v>
      </c>
      <c r="G526" s="0" t="n">
        <v>-2.22339186484697</v>
      </c>
      <c r="H526" s="0" t="n">
        <v>-3</v>
      </c>
      <c r="I526" s="0" t="n">
        <v>-2.39436008263226</v>
      </c>
      <c r="J526" s="0" t="n">
        <v>0.96533024922625</v>
      </c>
      <c r="K526" s="0" t="n">
        <v>-0.718953689264328</v>
      </c>
      <c r="L526" s="0" t="n">
        <v>0.622368571140009</v>
      </c>
      <c r="M526" s="0" t="n">
        <v>-1.10227689753477</v>
      </c>
      <c r="N526" s="0" t="n">
        <v>-1.12095713482418</v>
      </c>
      <c r="O526" s="0" t="n">
        <v>-0.182743570668978</v>
      </c>
      <c r="P526" s="0" t="n">
        <v>-0.0852992903897518</v>
      </c>
      <c r="Q526" s="0" t="n">
        <v>-0.014882841007967</v>
      </c>
      <c r="R526" s="0" t="n">
        <v>-0.481490557277567</v>
      </c>
      <c r="S526" s="0" t="n">
        <v>0</v>
      </c>
      <c r="T526" s="0" t="n">
        <v>0</v>
      </c>
      <c r="U526" s="0" t="n">
        <v>0</v>
      </c>
      <c r="V526" s="0" t="n">
        <v>1</v>
      </c>
      <c r="W526" s="0" t="n">
        <v>1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1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</row>
    <row r="527" customFormat="false" ht="15" hidden="false" customHeight="false" outlineLevel="0" collapsed="false">
      <c r="A527" s="0" t="s">
        <v>561</v>
      </c>
      <c r="B527" s="0" t="n">
        <v>1</v>
      </c>
      <c r="C527" s="0" t="n">
        <v>-0.490041345988362</v>
      </c>
      <c r="D527" s="0" t="n">
        <v>0.693769835674805</v>
      </c>
      <c r="E527" s="0" t="n">
        <v>3</v>
      </c>
      <c r="F527" s="0" t="n">
        <v>-1.25325328067254</v>
      </c>
      <c r="G527" s="0" t="n">
        <v>-2.09642650176308</v>
      </c>
      <c r="H527" s="0" t="n">
        <v>-3</v>
      </c>
      <c r="I527" s="0" t="n">
        <v>-2.19882343222767</v>
      </c>
      <c r="J527" s="0" t="n">
        <v>-0.484143808122554</v>
      </c>
      <c r="K527" s="0" t="n">
        <v>0.0632992877666985</v>
      </c>
      <c r="L527" s="0" t="n">
        <v>0.284961914308397</v>
      </c>
      <c r="M527" s="0" t="n">
        <v>2.64899910677027</v>
      </c>
      <c r="N527" s="0" t="n">
        <v>-0.262250042619717</v>
      </c>
      <c r="O527" s="0" t="n">
        <v>-0.51684668069805</v>
      </c>
      <c r="P527" s="0" t="n">
        <v>-0.043427933434183</v>
      </c>
      <c r="Q527" s="0" t="n">
        <v>0.0849732947321666</v>
      </c>
      <c r="R527" s="0" t="n">
        <v>-1.23993298021796</v>
      </c>
      <c r="S527" s="0" t="n">
        <v>1</v>
      </c>
      <c r="T527" s="0" t="n">
        <v>0</v>
      </c>
      <c r="U527" s="0" t="n">
        <v>0</v>
      </c>
      <c r="V527" s="0" t="n">
        <v>0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1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0.583860466804848</v>
      </c>
      <c r="AJ527" s="0" t="n">
        <v>0.333333333333333</v>
      </c>
    </row>
    <row r="528" customFormat="false" ht="15" hidden="false" customHeight="false" outlineLevel="0" collapsed="false">
      <c r="A528" s="0" t="s">
        <v>562</v>
      </c>
      <c r="B528" s="0" t="n">
        <v>1</v>
      </c>
      <c r="C528" s="0" t="n">
        <v>-0.660230186121234</v>
      </c>
      <c r="D528" s="0" t="n">
        <v>-0.574096709062022</v>
      </c>
      <c r="E528" s="0" t="n">
        <v>2.97861444867255</v>
      </c>
      <c r="F528" s="0" t="n">
        <v>-0.0808694824553761</v>
      </c>
      <c r="G528" s="0" t="n">
        <v>-2.15857619754891</v>
      </c>
      <c r="H528" s="0" t="n">
        <v>-3</v>
      </c>
      <c r="I528" s="0" t="n">
        <v>-2.01505261711355</v>
      </c>
      <c r="J528" s="0" t="n">
        <v>-0.437004055811862</v>
      </c>
      <c r="K528" s="0" t="n">
        <v>-0.522818480885867</v>
      </c>
      <c r="L528" s="0" t="n">
        <v>-1.01529583995537</v>
      </c>
      <c r="M528" s="0" t="n">
        <v>0.179458081359871</v>
      </c>
      <c r="N528" s="0" t="n">
        <v>-0.464854778899593</v>
      </c>
      <c r="O528" s="0" t="n">
        <v>-0.328789409562314</v>
      </c>
      <c r="P528" s="0" t="n">
        <v>-0.502468119095438</v>
      </c>
      <c r="Q528" s="0" t="n">
        <v>-0.455001615736638</v>
      </c>
      <c r="R528" s="0" t="n">
        <v>-0.705915626190057</v>
      </c>
      <c r="S528" s="0" t="n">
        <v>1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0</v>
      </c>
      <c r="Y528" s="0" t="n">
        <v>1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1.23881644690948</v>
      </c>
      <c r="AJ528" s="0" t="n">
        <v>0.666666666666667</v>
      </c>
    </row>
    <row r="529" customFormat="false" ht="15" hidden="false" customHeight="false" outlineLevel="0" collapsed="false">
      <c r="A529" s="0" t="s">
        <v>563</v>
      </c>
      <c r="B529" s="0" t="n">
        <v>1</v>
      </c>
      <c r="C529" s="0" t="n">
        <v>-0.759442816059502</v>
      </c>
      <c r="D529" s="0" t="n">
        <v>-1.40752226086599</v>
      </c>
      <c r="E529" s="0" t="n">
        <v>2.97921699750429</v>
      </c>
      <c r="F529" s="0" t="n">
        <v>2.96300337876242</v>
      </c>
      <c r="G529" s="0" t="n">
        <v>-2.20272822622399</v>
      </c>
      <c r="H529" s="0" t="n">
        <v>-3</v>
      </c>
      <c r="I529" s="0" t="n">
        <v>-2.04472272990564</v>
      </c>
      <c r="J529" s="0" t="n">
        <v>-0.870568439431993</v>
      </c>
      <c r="K529" s="0" t="n">
        <v>0.103947244480803</v>
      </c>
      <c r="L529" s="0" t="n">
        <v>0.502347367671827</v>
      </c>
      <c r="M529" s="0" t="n">
        <v>0.486176291722215</v>
      </c>
      <c r="N529" s="0" t="n">
        <v>-0.339305596478696</v>
      </c>
      <c r="O529" s="0" t="n">
        <v>-0.53074847953632</v>
      </c>
      <c r="P529" s="0" t="n">
        <v>-0.699131030419871</v>
      </c>
      <c r="Q529" s="0" t="n">
        <v>-0.534174198744208</v>
      </c>
      <c r="R529" s="0" t="n">
        <v>-0.249361334478256</v>
      </c>
      <c r="S529" s="0" t="n">
        <v>0</v>
      </c>
      <c r="T529" s="0" t="n">
        <v>1</v>
      </c>
      <c r="U529" s="0" t="n">
        <v>0</v>
      </c>
      <c r="V529" s="0" t="n">
        <v>0</v>
      </c>
      <c r="W529" s="0" t="n">
        <v>0</v>
      </c>
      <c r="X529" s="0" t="n">
        <v>1</v>
      </c>
      <c r="Y529" s="0" t="n">
        <v>0</v>
      </c>
      <c r="Z529" s="0" t="n">
        <v>0</v>
      </c>
      <c r="AA529" s="0" t="n">
        <v>1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1.33600440074151</v>
      </c>
      <c r="AJ529" s="0" t="n">
        <v>1</v>
      </c>
    </row>
    <row r="530" customFormat="false" ht="15" hidden="false" customHeight="false" outlineLevel="0" collapsed="false">
      <c r="A530" s="0" t="s">
        <v>564</v>
      </c>
      <c r="B530" s="0" t="n">
        <v>1</v>
      </c>
      <c r="C530" s="0" t="n">
        <v>-0.486149138645786</v>
      </c>
      <c r="D530" s="0" t="n">
        <v>-1.32243539462848</v>
      </c>
      <c r="E530" s="0" t="n">
        <v>2.99489168678534</v>
      </c>
      <c r="F530" s="0" t="n">
        <v>2.93641234658798</v>
      </c>
      <c r="G530" s="0" t="n">
        <v>-2.084816280584</v>
      </c>
      <c r="H530" s="0" t="n">
        <v>-3</v>
      </c>
      <c r="I530" s="0" t="n">
        <v>-1.87391873131491</v>
      </c>
      <c r="J530" s="0" t="n">
        <v>1.07642490297774</v>
      </c>
      <c r="K530" s="0" t="n">
        <v>-0.66336530015722</v>
      </c>
      <c r="L530" s="0" t="n">
        <v>0.00787944853823722</v>
      </c>
      <c r="M530" s="0" t="n">
        <v>0.217838063345838</v>
      </c>
      <c r="N530" s="0" t="n">
        <v>-0.91506469491299</v>
      </c>
      <c r="O530" s="0" t="n">
        <v>-0.224638147519036</v>
      </c>
      <c r="P530" s="0" t="n">
        <v>0.893160955696074</v>
      </c>
      <c r="Q530" s="0" t="n">
        <v>1.38734000631904</v>
      </c>
      <c r="R530" s="0" t="n">
        <v>-0.0786885468344024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1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1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1.45453830543608</v>
      </c>
      <c r="AJ530" s="0" t="n">
        <v>1.33333333333333</v>
      </c>
    </row>
    <row r="531" customFormat="false" ht="15" hidden="false" customHeight="false" outlineLevel="0" collapsed="false">
      <c r="A531" s="0" t="s">
        <v>565</v>
      </c>
      <c r="B531" s="0" t="n">
        <v>1</v>
      </c>
      <c r="C531" s="0" t="n">
        <v>-0.344921498453796</v>
      </c>
      <c r="D531" s="0" t="n">
        <v>-1.27506465313566</v>
      </c>
      <c r="E531" s="0" t="n">
        <v>2.99667893404378</v>
      </c>
      <c r="F531" s="0" t="n">
        <v>2.90146481661204</v>
      </c>
      <c r="G531" s="0" t="n">
        <v>-2.02272029652654</v>
      </c>
      <c r="H531" s="0" t="n">
        <v>-3</v>
      </c>
      <c r="I531" s="0" t="n">
        <v>-1.90497012228918</v>
      </c>
      <c r="J531" s="0" t="n">
        <v>1.04220075726227</v>
      </c>
      <c r="K531" s="0" t="n">
        <v>-0.231456192565972</v>
      </c>
      <c r="L531" s="0" t="n">
        <v>-0.320662256020937</v>
      </c>
      <c r="M531" s="0" t="n">
        <v>1.07527099728322</v>
      </c>
      <c r="N531" s="0" t="n">
        <v>-0.789515512492093</v>
      </c>
      <c r="O531" s="0" t="n">
        <v>0.174107364163175</v>
      </c>
      <c r="P531" s="0" t="n">
        <v>0.539533267052093</v>
      </c>
      <c r="Q531" s="0" t="n">
        <v>-0.374356279228959</v>
      </c>
      <c r="R531" s="0" t="n">
        <v>-0.193005472853055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1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1.1823784011396</v>
      </c>
      <c r="AJ531" s="0" t="n">
        <v>0</v>
      </c>
    </row>
    <row r="532" customFormat="false" ht="15" hidden="false" customHeight="false" outlineLevel="0" collapsed="false">
      <c r="A532" s="0" t="s">
        <v>566</v>
      </c>
      <c r="B532" s="0" t="n">
        <v>1</v>
      </c>
      <c r="C532" s="0" t="n">
        <v>-0.607673067536521</v>
      </c>
      <c r="D532" s="0" t="n">
        <v>-1.24306425019707</v>
      </c>
      <c r="E532" s="0" t="n">
        <v>2.95924359188072</v>
      </c>
      <c r="F532" s="0" t="n">
        <v>2.17088398839207</v>
      </c>
      <c r="G532" s="0" t="n">
        <v>-2.13123983232655</v>
      </c>
      <c r="H532" s="0" t="n">
        <v>-3</v>
      </c>
      <c r="I532" s="0" t="n">
        <v>-1.88018193941447</v>
      </c>
      <c r="J532" s="0" t="n">
        <v>-0.863149471698491</v>
      </c>
      <c r="K532" s="0" t="n">
        <v>-0.77256897809756</v>
      </c>
      <c r="L532" s="0" t="n">
        <v>1.10983013832819</v>
      </c>
      <c r="M532" s="0" t="n">
        <v>-0.279737163643063</v>
      </c>
      <c r="N532" s="0" t="n">
        <v>-0.171632711281557</v>
      </c>
      <c r="O532" s="0" t="n">
        <v>0.974243981197248</v>
      </c>
      <c r="P532" s="0" t="n">
        <v>0.211871244181379</v>
      </c>
      <c r="Q532" s="0" t="n">
        <v>-0.419990742313657</v>
      </c>
      <c r="R532" s="0" t="n">
        <v>-0.295459211796336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0</v>
      </c>
      <c r="Z532" s="0" t="n">
        <v>1</v>
      </c>
      <c r="AA532" s="0" t="n">
        <v>0</v>
      </c>
      <c r="AB532" s="0" t="n">
        <v>0</v>
      </c>
      <c r="AC532" s="0" t="n">
        <v>0</v>
      </c>
      <c r="AD532" s="0" t="n">
        <v>1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1.03216343369998</v>
      </c>
      <c r="AJ532" s="0" t="n">
        <v>0</v>
      </c>
    </row>
    <row r="533" customFormat="false" ht="15" hidden="false" customHeight="false" outlineLevel="0" collapsed="false">
      <c r="A533" s="0" t="s">
        <v>567</v>
      </c>
      <c r="B533" s="0" t="n">
        <v>1</v>
      </c>
      <c r="C533" s="0" t="n">
        <v>-0.50719847838218</v>
      </c>
      <c r="D533" s="0" t="n">
        <v>-1.24025835147917</v>
      </c>
      <c r="E533" s="0" t="n">
        <v>2.89041480380773</v>
      </c>
      <c r="F533" s="0" t="n">
        <v>2.35309537329188</v>
      </c>
      <c r="G533" s="0" t="n">
        <v>-2.07144774235443</v>
      </c>
      <c r="H533" s="0" t="n">
        <v>-3</v>
      </c>
      <c r="I533" s="0" t="n">
        <v>-2.14248046475817</v>
      </c>
      <c r="J533" s="0" t="n">
        <v>-0.158681926264501</v>
      </c>
      <c r="K533" s="0" t="n">
        <v>-0.150969925039656</v>
      </c>
      <c r="L533" s="0" t="n">
        <v>-0.0512538609924867</v>
      </c>
      <c r="M533" s="0" t="n">
        <v>-0.100603926746626</v>
      </c>
      <c r="N533" s="0" t="n">
        <v>-0.446772408927352</v>
      </c>
      <c r="O533" s="0" t="n">
        <v>-0.689814540903373</v>
      </c>
      <c r="P533" s="0" t="n">
        <v>-0.482648093579114</v>
      </c>
      <c r="Q533" s="0" t="n">
        <v>-0.234560810059467</v>
      </c>
      <c r="R533" s="0" t="n">
        <v>-0.393273979596459</v>
      </c>
      <c r="S533" s="0" t="n">
        <v>1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1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0.759650187010072</v>
      </c>
      <c r="AJ533" s="0" t="n">
        <v>0</v>
      </c>
    </row>
    <row r="534" customFormat="false" ht="15" hidden="false" customHeight="false" outlineLevel="0" collapsed="false">
      <c r="A534" s="0" t="s">
        <v>568</v>
      </c>
      <c r="B534" s="0" t="n">
        <v>1</v>
      </c>
      <c r="C534" s="0" t="n">
        <v>-0.676351161730429</v>
      </c>
      <c r="D534" s="0" t="n">
        <v>-1.24233400098148</v>
      </c>
      <c r="E534" s="0" t="n">
        <v>2.89007802733173</v>
      </c>
      <c r="F534" s="0" t="n">
        <v>2.03082936905432</v>
      </c>
      <c r="G534" s="0" t="n">
        <v>-2.14766985076098</v>
      </c>
      <c r="H534" s="0" t="n">
        <v>-3</v>
      </c>
      <c r="I534" s="0" t="n">
        <v>-2.17161996438405</v>
      </c>
      <c r="J534" s="0" t="n">
        <v>0.544149877835006</v>
      </c>
      <c r="K534" s="0" t="n">
        <v>0.0771074503237196</v>
      </c>
      <c r="L534" s="0" t="n">
        <v>0.537786622451498</v>
      </c>
      <c r="M534" s="0" t="n">
        <v>-0.271630639615911</v>
      </c>
      <c r="N534" s="0" t="n">
        <v>-0.89472202869422</v>
      </c>
      <c r="O534" s="0" t="n">
        <v>-0.363750778501461</v>
      </c>
      <c r="P534" s="0" t="n">
        <v>-0.377171074043113</v>
      </c>
      <c r="Q534" s="0" t="n">
        <v>-0.54269600361792</v>
      </c>
      <c r="R534" s="0" t="n">
        <v>-1.75537586051673</v>
      </c>
      <c r="S534" s="0" t="n">
        <v>1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1</v>
      </c>
      <c r="Y534" s="0" t="n">
        <v>0</v>
      </c>
      <c r="Z534" s="0" t="n">
        <v>0</v>
      </c>
      <c r="AA534" s="0" t="n">
        <v>1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0.54941855546606</v>
      </c>
      <c r="AJ534" s="0" t="n">
        <v>0</v>
      </c>
    </row>
    <row r="535" customFormat="false" ht="15" hidden="false" customHeight="false" outlineLevel="0" collapsed="false">
      <c r="A535" s="0" t="s">
        <v>569</v>
      </c>
      <c r="B535" s="0" t="n">
        <v>1</v>
      </c>
      <c r="C535" s="0" t="n">
        <v>-0.80822761932921</v>
      </c>
      <c r="D535" s="0" t="n">
        <v>-1.22178523384337</v>
      </c>
      <c r="E535" s="0" t="n">
        <v>2.59848739284383</v>
      </c>
      <c r="F535" s="0" t="n">
        <v>1.66363576893983</v>
      </c>
      <c r="G535" s="0" t="n">
        <v>-2.14664756357811</v>
      </c>
      <c r="H535" s="0" t="n">
        <v>-3</v>
      </c>
      <c r="I535" s="0" t="n">
        <v>-2.1465381113079</v>
      </c>
      <c r="J535" s="0" t="n">
        <v>-0.248901685680065</v>
      </c>
      <c r="K535" s="0" t="n">
        <v>0.716649694282538</v>
      </c>
      <c r="L535" s="0" t="n">
        <v>1.01610859844451</v>
      </c>
      <c r="M535" s="0" t="n">
        <v>0.285979302914188</v>
      </c>
      <c r="N535" s="0" t="n">
        <v>-0.704857143985694</v>
      </c>
      <c r="O535" s="0" t="n">
        <v>-0.50923753939435</v>
      </c>
      <c r="P535" s="0" t="n">
        <v>-0.0953764805304923</v>
      </c>
      <c r="Q535" s="0" t="n">
        <v>-0.371593053915849</v>
      </c>
      <c r="R535" s="0" t="n">
        <v>-0.305827661721463</v>
      </c>
      <c r="S535" s="0" t="n">
        <v>1</v>
      </c>
      <c r="T535" s="0" t="n">
        <v>0</v>
      </c>
      <c r="U535" s="0" t="n">
        <v>0</v>
      </c>
      <c r="V535" s="0" t="n">
        <v>0</v>
      </c>
      <c r="W535" s="0" t="n">
        <v>1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1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0.564384610987606</v>
      </c>
      <c r="AJ535" s="0" t="n">
        <v>0.333333333333333</v>
      </c>
    </row>
    <row r="536" customFormat="false" ht="15" hidden="false" customHeight="false" outlineLevel="0" collapsed="false">
      <c r="A536" s="0" t="s">
        <v>570</v>
      </c>
      <c r="B536" s="0" t="n">
        <v>1</v>
      </c>
      <c r="C536" s="0" t="n">
        <v>-0.821627756662739</v>
      </c>
      <c r="D536" s="0" t="n">
        <v>-1.2785415025062</v>
      </c>
      <c r="E536" s="0" t="n">
        <v>-0.126817108622717</v>
      </c>
      <c r="F536" s="0" t="n">
        <v>1.94213848056703</v>
      </c>
      <c r="G536" s="0" t="n">
        <v>-0.894386511800918</v>
      </c>
      <c r="H536" s="0" t="n">
        <v>-0.706839923113656</v>
      </c>
      <c r="I536" s="0" t="n">
        <v>-1.71386318937077</v>
      </c>
      <c r="J536" s="0" t="n">
        <v>-0.0687312646993143</v>
      </c>
      <c r="K536" s="0" t="n">
        <v>0.982556794234632</v>
      </c>
      <c r="L536" s="0" t="n">
        <v>0.701852396872204</v>
      </c>
      <c r="M536" s="0" t="n">
        <v>0.274857887271901</v>
      </c>
      <c r="N536" s="0" t="n">
        <v>-0.794858030892982</v>
      </c>
      <c r="O536" s="0" t="n">
        <v>0.0226743030532751</v>
      </c>
      <c r="P536" s="0" t="n">
        <v>1.59839538812352</v>
      </c>
      <c r="Q536" s="0" t="n">
        <v>1.1993909701715</v>
      </c>
      <c r="R536" s="0" t="n">
        <v>-0.509679279923723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1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0.578271899398302</v>
      </c>
      <c r="AJ536" s="0" t="n">
        <v>0.666666666666667</v>
      </c>
    </row>
    <row r="537" customFormat="false" ht="15" hidden="false" customHeight="false" outlineLevel="0" collapsed="false">
      <c r="A537" s="0" t="s">
        <v>571</v>
      </c>
      <c r="B537" s="0" t="n">
        <v>1</v>
      </c>
      <c r="C537" s="0" t="n">
        <v>-0.759298424875546</v>
      </c>
      <c r="D537" s="0" t="n">
        <v>-1.45353831191557</v>
      </c>
      <c r="E537" s="0" t="n">
        <v>-1.1992566489927</v>
      </c>
      <c r="F537" s="0" t="n">
        <v>3</v>
      </c>
      <c r="G537" s="0" t="n">
        <v>1.09254509929539</v>
      </c>
      <c r="H537" s="0" t="n">
        <v>0.529212101046981</v>
      </c>
      <c r="I537" s="0" t="n">
        <v>-1.00730854661</v>
      </c>
      <c r="J537" s="0" t="n">
        <v>2.76859357950738</v>
      </c>
      <c r="K537" s="0" t="n">
        <v>-0.981944933944306</v>
      </c>
      <c r="L537" s="0" t="n">
        <v>0.0805765443583666</v>
      </c>
      <c r="M537" s="0" t="n">
        <v>-0.20216996461902</v>
      </c>
      <c r="N537" s="0" t="n">
        <v>-1.52801594067655</v>
      </c>
      <c r="O537" s="0" t="n">
        <v>0.22938348180792</v>
      </c>
      <c r="P537" s="0" t="n">
        <v>-0.0820441405669227</v>
      </c>
      <c r="Q537" s="0" t="n">
        <v>0.0295267606461046</v>
      </c>
      <c r="R537" s="0" t="n">
        <v>0.655130283656925</v>
      </c>
      <c r="S537" s="0" t="n">
        <v>0</v>
      </c>
      <c r="T537" s="0" t="n">
        <v>0</v>
      </c>
      <c r="U537" s="0" t="n">
        <v>0</v>
      </c>
      <c r="V537" s="0" t="n">
        <v>1</v>
      </c>
      <c r="W537" s="0" t="n">
        <v>1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1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0</v>
      </c>
    </row>
    <row r="538" customFormat="false" ht="15" hidden="false" customHeight="false" outlineLevel="0" collapsed="false">
      <c r="A538" s="0" t="s">
        <v>572</v>
      </c>
      <c r="B538" s="0" t="n">
        <v>1</v>
      </c>
      <c r="C538" s="0" t="n">
        <v>-1.1373946833443</v>
      </c>
      <c r="D538" s="0" t="n">
        <v>-1.26614903260955</v>
      </c>
      <c r="E538" s="0" t="n">
        <v>-1.59161989369441</v>
      </c>
      <c r="F538" s="0" t="n">
        <v>1.23037981690648</v>
      </c>
      <c r="G538" s="0" t="n">
        <v>1.90055044139249</v>
      </c>
      <c r="H538" s="0" t="n">
        <v>0.568925333045109</v>
      </c>
      <c r="I538" s="0" t="n">
        <v>0.925479030582983</v>
      </c>
      <c r="J538" s="0" t="n">
        <v>-0.613328194556144</v>
      </c>
      <c r="K538" s="0" t="n">
        <v>0.019961791155734</v>
      </c>
      <c r="L538" s="0" t="n">
        <v>0.837307357993506</v>
      </c>
      <c r="M538" s="0" t="n">
        <v>0.160576084892153</v>
      </c>
      <c r="N538" s="0" t="n">
        <v>-0.886708251092885</v>
      </c>
      <c r="O538" s="0" t="n">
        <v>-0.767634131212867</v>
      </c>
      <c r="P538" s="0" t="n">
        <v>-0.541004948499221</v>
      </c>
      <c r="Q538" s="0" t="n">
        <v>-0.544836625900753</v>
      </c>
      <c r="R538" s="0" t="n">
        <v>-0.83059222941292</v>
      </c>
      <c r="S538" s="0" t="n">
        <v>0</v>
      </c>
      <c r="T538" s="0" t="n">
        <v>1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1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0.488642975862022</v>
      </c>
      <c r="AJ538" s="0" t="n">
        <v>0.333333333333333</v>
      </c>
    </row>
    <row r="539" customFormat="false" ht="15" hidden="false" customHeight="false" outlineLevel="0" collapsed="false">
      <c r="A539" s="0" t="s">
        <v>573</v>
      </c>
      <c r="B539" s="0" t="n">
        <v>1</v>
      </c>
      <c r="C539" s="0" t="n">
        <v>-1.26545977854213</v>
      </c>
      <c r="D539" s="0" t="n">
        <v>-1.30626328175049</v>
      </c>
      <c r="E539" s="0" t="n">
        <v>-1.5895523989206</v>
      </c>
      <c r="F539" s="0" t="n">
        <v>1.15992289679036</v>
      </c>
      <c r="G539" s="0" t="n">
        <v>1.56598476107895</v>
      </c>
      <c r="H539" s="0" t="n">
        <v>0.434892458306738</v>
      </c>
      <c r="I539" s="0" t="n">
        <v>0.929236648656231</v>
      </c>
      <c r="J539" s="0" t="n">
        <v>0.106760491297631</v>
      </c>
      <c r="K539" s="0" t="n">
        <v>0.189267513128684</v>
      </c>
      <c r="L539" s="0" t="n">
        <v>0.365005793403392</v>
      </c>
      <c r="M539" s="0" t="n">
        <v>-0.342989289245797</v>
      </c>
      <c r="N539" s="0" t="n">
        <v>-1.28287653866652</v>
      </c>
      <c r="O539" s="0" t="n">
        <v>-0.851331858585451</v>
      </c>
      <c r="P539" s="0" t="n">
        <v>-0.440364450288777</v>
      </c>
      <c r="Q539" s="0" t="n">
        <v>-0.477132855065879</v>
      </c>
      <c r="R539" s="0" t="n">
        <v>-0.0960305405909004</v>
      </c>
      <c r="S539" s="0" t="n">
        <v>1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1</v>
      </c>
      <c r="Y539" s="0" t="n">
        <v>0</v>
      </c>
      <c r="Z539" s="0" t="n">
        <v>0</v>
      </c>
      <c r="AA539" s="0" t="n">
        <v>1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0.212027314967745</v>
      </c>
      <c r="AJ539" s="0" t="n">
        <v>0</v>
      </c>
    </row>
    <row r="540" customFormat="false" ht="15" hidden="false" customHeight="false" outlineLevel="0" collapsed="false">
      <c r="A540" s="0" t="s">
        <v>574</v>
      </c>
      <c r="B540" s="0" t="n">
        <v>1</v>
      </c>
      <c r="C540" s="0" t="n">
        <v>0.307095487635924</v>
      </c>
      <c r="D540" s="0" t="n">
        <v>-1.30425322759183</v>
      </c>
      <c r="E540" s="0" t="n">
        <v>-1.58680554221673</v>
      </c>
      <c r="F540" s="0" t="n">
        <v>3</v>
      </c>
      <c r="G540" s="0" t="n">
        <v>3</v>
      </c>
      <c r="H540" s="0" t="n">
        <v>2.04998409578116</v>
      </c>
      <c r="I540" s="0" t="n">
        <v>0.720822556283006</v>
      </c>
      <c r="J540" s="0" t="n">
        <v>-0.067659484746046</v>
      </c>
      <c r="K540" s="0" t="n">
        <v>-0.149766442883367</v>
      </c>
      <c r="L540" s="0" t="n">
        <v>0.131698260101833</v>
      </c>
      <c r="M540" s="0" t="n">
        <v>-0.107974637549722</v>
      </c>
      <c r="N540" s="0" t="n">
        <v>-0.180160192575284</v>
      </c>
      <c r="O540" s="0" t="n">
        <v>-0.319185332251216</v>
      </c>
      <c r="P540" s="0" t="n">
        <v>-0.335176607133119</v>
      </c>
      <c r="Q540" s="0" t="n">
        <v>-0.300944850024711</v>
      </c>
      <c r="R540" s="0" t="n">
        <v>-0.248813617506255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1</v>
      </c>
      <c r="AI540" s="0" t="n">
        <v>0</v>
      </c>
      <c r="AJ540" s="0" t="n">
        <v>0</v>
      </c>
    </row>
    <row r="541" customFormat="false" ht="15" hidden="false" customHeight="false" outlineLevel="0" collapsed="false">
      <c r="A541" s="0" t="s">
        <v>575</v>
      </c>
      <c r="B541" s="0" t="n">
        <v>1</v>
      </c>
      <c r="C541" s="0" t="n">
        <v>0.14369328146986</v>
      </c>
      <c r="D541" s="0" t="n">
        <v>-1.23217595257489</v>
      </c>
      <c r="E541" s="0" t="n">
        <v>-1.55272862341298</v>
      </c>
      <c r="F541" s="0" t="n">
        <v>3</v>
      </c>
      <c r="G541" s="0" t="n">
        <v>3</v>
      </c>
      <c r="H541" s="0" t="n">
        <v>1.84461223848043</v>
      </c>
      <c r="I541" s="0" t="n">
        <v>-0.667355397098387</v>
      </c>
      <c r="J541" s="0" t="n">
        <v>0.683847356355691</v>
      </c>
      <c r="K541" s="0" t="n">
        <v>-0.453992932246186</v>
      </c>
      <c r="L541" s="0" t="n">
        <v>-0.0405841894812871</v>
      </c>
      <c r="M541" s="0" t="n">
        <v>0.262566160768128</v>
      </c>
      <c r="N541" s="0" t="n">
        <v>-0.241085450493117</v>
      </c>
      <c r="O541" s="0" t="n">
        <v>-0.773997032169995</v>
      </c>
      <c r="P541" s="0" t="n">
        <v>-0.770022680532715</v>
      </c>
      <c r="Q541" s="0" t="n">
        <v>-0.588456438031598</v>
      </c>
      <c r="R541" s="0" t="n">
        <v>-1.01214474762467</v>
      </c>
      <c r="S541" s="0" t="n">
        <v>1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1</v>
      </c>
      <c r="AA541" s="0" t="n">
        <v>0</v>
      </c>
      <c r="AB541" s="0" t="n">
        <v>0</v>
      </c>
      <c r="AC541" s="0" t="n">
        <v>0</v>
      </c>
      <c r="AD541" s="0" t="n">
        <v>1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0.369539466583265</v>
      </c>
      <c r="AJ541" s="0" t="n">
        <v>0.333333333333333</v>
      </c>
    </row>
    <row r="542" customFormat="false" ht="15" hidden="false" customHeight="false" outlineLevel="0" collapsed="false">
      <c r="A542" s="0" t="s">
        <v>576</v>
      </c>
      <c r="B542" s="0" t="n">
        <v>1</v>
      </c>
      <c r="C542" s="0" t="n">
        <v>1.06189451607676</v>
      </c>
      <c r="D542" s="0" t="n">
        <v>-0.746218154314922</v>
      </c>
      <c r="E542" s="0" t="n">
        <v>-1.23089562705314</v>
      </c>
      <c r="F542" s="0" t="n">
        <v>2.4583081366348</v>
      </c>
      <c r="G542" s="0" t="n">
        <v>3</v>
      </c>
      <c r="H542" s="0" t="n">
        <v>2.43771688202244</v>
      </c>
      <c r="I542" s="0" t="n">
        <v>1.64826519029766</v>
      </c>
      <c r="J542" s="0" t="n">
        <v>2.24714406142237</v>
      </c>
      <c r="K542" s="0" t="n">
        <v>-0.328587071698607</v>
      </c>
      <c r="L542" s="0" t="n">
        <v>-0.586004741046078</v>
      </c>
      <c r="M542" s="0" t="n">
        <v>1.50182970370325</v>
      </c>
      <c r="N542" s="0" t="n">
        <v>-0.174509451958958</v>
      </c>
      <c r="O542" s="0" t="n">
        <v>1.09196358254764</v>
      </c>
      <c r="P542" s="0" t="n">
        <v>0.370495352886071</v>
      </c>
      <c r="Q542" s="0" t="n">
        <v>0.33174517609862</v>
      </c>
      <c r="R542" s="0" t="n">
        <v>-0.504873433076659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0</v>
      </c>
      <c r="Y542" s="0" t="n">
        <v>1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0.917401437323436</v>
      </c>
      <c r="AJ542" s="0" t="n">
        <v>0.666666666666667</v>
      </c>
    </row>
    <row r="543" customFormat="false" ht="15" hidden="false" customHeight="false" outlineLevel="0" collapsed="false">
      <c r="A543" s="0" t="s">
        <v>577</v>
      </c>
      <c r="B543" s="0" t="n">
        <v>1</v>
      </c>
      <c r="C543" s="0" t="n">
        <v>1.23092399032183</v>
      </c>
      <c r="D543" s="0" t="n">
        <v>-0.796276970316254</v>
      </c>
      <c r="E543" s="0" t="n">
        <v>-1.24511024726536</v>
      </c>
      <c r="F543" s="0" t="n">
        <v>2.88301345971398</v>
      </c>
      <c r="G543" s="0" t="n">
        <v>3</v>
      </c>
      <c r="H543" s="0" t="n">
        <v>2.62717425985185</v>
      </c>
      <c r="I543" s="0" t="n">
        <v>1.42666100489093</v>
      </c>
      <c r="J543" s="0" t="n">
        <v>1.2608766779934</v>
      </c>
      <c r="K543" s="0" t="n">
        <v>-0.133372839242192</v>
      </c>
      <c r="L543" s="0" t="n">
        <v>0.471240604878359</v>
      </c>
      <c r="M543" s="0" t="n">
        <v>0.826417061090741</v>
      </c>
      <c r="N543" s="0" t="n">
        <v>0.374126091516975</v>
      </c>
      <c r="O543" s="0" t="n">
        <v>-0.72280785234863</v>
      </c>
      <c r="P543" s="0" t="n">
        <v>-0.500528041178707</v>
      </c>
      <c r="Q543" s="0" t="n">
        <v>-0.23365691981621</v>
      </c>
      <c r="R543" s="0" t="n">
        <v>-0.642069521560736</v>
      </c>
      <c r="S543" s="0" t="n">
        <v>0</v>
      </c>
      <c r="T543" s="0" t="n">
        <v>1</v>
      </c>
      <c r="U543" s="0" t="n">
        <v>0</v>
      </c>
      <c r="V543" s="0" t="n">
        <v>0</v>
      </c>
      <c r="W543" s="0" t="n">
        <v>0</v>
      </c>
      <c r="X543" s="0" t="n">
        <v>1</v>
      </c>
      <c r="Y543" s="0" t="n">
        <v>0</v>
      </c>
      <c r="Z543" s="0" t="n">
        <v>0</v>
      </c>
      <c r="AA543" s="0" t="n">
        <v>1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1</v>
      </c>
      <c r="AH543" s="0" t="n">
        <v>0</v>
      </c>
      <c r="AI543" s="0" t="n">
        <v>0.697651764390103</v>
      </c>
      <c r="AJ543" s="0" t="n">
        <v>0</v>
      </c>
    </row>
    <row r="544" customFormat="false" ht="15" hidden="false" customHeight="false" outlineLevel="0" collapsed="false">
      <c r="A544" s="0" t="s">
        <v>578</v>
      </c>
      <c r="B544" s="0" t="n">
        <v>1</v>
      </c>
      <c r="C544" s="0" t="n">
        <v>-0.504972747165212</v>
      </c>
      <c r="D544" s="0" t="n">
        <v>-0.786140957771872</v>
      </c>
      <c r="E544" s="0" t="n">
        <v>-1.23211130038814</v>
      </c>
      <c r="F544" s="0" t="n">
        <v>0.571216337622999</v>
      </c>
      <c r="G544" s="0" t="n">
        <v>1.67044160592872</v>
      </c>
      <c r="H544" s="0" t="n">
        <v>0.82680474643346</v>
      </c>
      <c r="I544" s="0" t="n">
        <v>1.20211772671488</v>
      </c>
      <c r="J544" s="0" t="n">
        <v>-0.067659484746046</v>
      </c>
      <c r="K544" s="0" t="n">
        <v>-0.149766442883367</v>
      </c>
      <c r="L544" s="0" t="n">
        <v>0.131698260101833</v>
      </c>
      <c r="M544" s="0" t="n">
        <v>-0.107974637549722</v>
      </c>
      <c r="N544" s="0" t="n">
        <v>-0.180160192575284</v>
      </c>
      <c r="O544" s="0" t="n">
        <v>-0.319185332251216</v>
      </c>
      <c r="P544" s="0" t="n">
        <v>-0.335176607133119</v>
      </c>
      <c r="Q544" s="0" t="n">
        <v>-0.300944850024711</v>
      </c>
      <c r="R544" s="0" t="n">
        <v>-0.248813617506255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1</v>
      </c>
      <c r="AI544" s="0" t="n">
        <v>0.87450932771803</v>
      </c>
      <c r="AJ544" s="0" t="n">
        <v>0.333333333333333</v>
      </c>
    </row>
    <row r="545" customFormat="false" ht="15" hidden="false" customHeight="false" outlineLevel="0" collapsed="false">
      <c r="A545" s="0" t="s">
        <v>579</v>
      </c>
      <c r="B545" s="0" t="n">
        <v>1</v>
      </c>
      <c r="C545" s="0" t="n">
        <v>-0.283058525478353</v>
      </c>
      <c r="D545" s="0" t="n">
        <v>-0.813496947978088</v>
      </c>
      <c r="E545" s="0" t="n">
        <v>-1.24362257618268</v>
      </c>
      <c r="F545" s="0" t="n">
        <v>0.93988977307174</v>
      </c>
      <c r="G545" s="0" t="n">
        <v>2.1272999969991</v>
      </c>
      <c r="H545" s="0" t="n">
        <v>1.06772420369602</v>
      </c>
      <c r="I545" s="0" t="n">
        <v>1.17811459525306</v>
      </c>
      <c r="J545" s="0" t="n">
        <v>-0.905665874021275</v>
      </c>
      <c r="K545" s="0" t="n">
        <v>-0.502376884546479</v>
      </c>
      <c r="L545" s="0" t="n">
        <v>-1.25204638013269</v>
      </c>
      <c r="M545" s="0" t="n">
        <v>-0.236164689562711</v>
      </c>
      <c r="N545" s="0" t="n">
        <v>0.225562983676862</v>
      </c>
      <c r="O545" s="0" t="n">
        <v>0.753505192366466</v>
      </c>
      <c r="P545" s="0" t="n">
        <v>1.41949873483428</v>
      </c>
      <c r="Q545" s="0" t="n">
        <v>0.0173557951212035</v>
      </c>
      <c r="R545" s="0" t="n">
        <v>0.490473299723069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1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1.45957242359467</v>
      </c>
      <c r="AJ545" s="0" t="n">
        <v>0.666666666666667</v>
      </c>
    </row>
    <row r="546" customFormat="false" ht="15" hidden="false" customHeight="false" outlineLevel="0" collapsed="false">
      <c r="A546" s="0" t="s">
        <v>580</v>
      </c>
      <c r="B546" s="0" t="n">
        <v>1</v>
      </c>
      <c r="C546" s="0" t="n">
        <v>-0.901773245545069</v>
      </c>
      <c r="D546" s="0" t="n">
        <v>-0.879483807004146</v>
      </c>
      <c r="E546" s="0" t="n">
        <v>-1.23267459724127</v>
      </c>
      <c r="F546" s="0" t="n">
        <v>0.2752961326183</v>
      </c>
      <c r="G546" s="0" t="n">
        <v>0.938922469168121</v>
      </c>
      <c r="H546" s="0" t="n">
        <v>0.419129254954554</v>
      </c>
      <c r="I546" s="0" t="n">
        <v>-0.0122291904489477</v>
      </c>
      <c r="J546" s="0" t="n">
        <v>-0.981693428138058</v>
      </c>
      <c r="K546" s="0" t="n">
        <v>-0.214227828526949</v>
      </c>
      <c r="L546" s="0" t="n">
        <v>0.787761963931763</v>
      </c>
      <c r="M546" s="0" t="n">
        <v>-0.250215174390689</v>
      </c>
      <c r="N546" s="0" t="n">
        <v>-0.439169594279933</v>
      </c>
      <c r="O546" s="0" t="n">
        <v>-0.822038825950205</v>
      </c>
      <c r="P546" s="0" t="n">
        <v>-0.533237654118033</v>
      </c>
      <c r="Q546" s="0" t="n">
        <v>-0.281700297851324</v>
      </c>
      <c r="R546" s="0" t="n">
        <v>-0.627406334374521</v>
      </c>
      <c r="S546" s="0" t="n">
        <v>0</v>
      </c>
      <c r="T546" s="0" t="n">
        <v>1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0</v>
      </c>
      <c r="Z546" s="0" t="n">
        <v>1</v>
      </c>
      <c r="AA546" s="0" t="n">
        <v>0</v>
      </c>
      <c r="AB546" s="0" t="n">
        <v>0</v>
      </c>
      <c r="AC546" s="0" t="n">
        <v>0</v>
      </c>
      <c r="AD546" s="0" t="n">
        <v>1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0.936255935281843</v>
      </c>
      <c r="AJ546" s="0" t="n">
        <v>0</v>
      </c>
    </row>
    <row r="547" customFormat="false" ht="15" hidden="false" customHeight="false" outlineLevel="0" collapsed="false">
      <c r="A547" s="0" t="s">
        <v>581</v>
      </c>
      <c r="B547" s="0" t="n">
        <v>1</v>
      </c>
      <c r="C547" s="0" t="n">
        <v>-0.857224596441356</v>
      </c>
      <c r="D547" s="0" t="n">
        <v>-0.248098557903695</v>
      </c>
      <c r="E547" s="0" t="n">
        <v>-0.91296226848792</v>
      </c>
      <c r="F547" s="0" t="n">
        <v>-0.757814759653307</v>
      </c>
      <c r="G547" s="0" t="n">
        <v>0.188248040400024</v>
      </c>
      <c r="H547" s="0" t="n">
        <v>0.115599477545774</v>
      </c>
      <c r="I547" s="0" t="n">
        <v>1.62522789748213</v>
      </c>
      <c r="J547" s="0" t="n">
        <v>-0.0326296924281819</v>
      </c>
      <c r="K547" s="0" t="n">
        <v>-0.112322624594502</v>
      </c>
      <c r="L547" s="0" t="n">
        <v>0.492254433267246</v>
      </c>
      <c r="M547" s="0" t="n">
        <v>-0.149540429161314</v>
      </c>
      <c r="N547" s="0" t="n">
        <v>-0.843968103885771</v>
      </c>
      <c r="O547" s="0" t="n">
        <v>-0.928382867733868</v>
      </c>
      <c r="P547" s="0" t="n">
        <v>-0.507184704655402</v>
      </c>
      <c r="Q547" s="0" t="n">
        <v>-0.459533241447668</v>
      </c>
      <c r="R547" s="0" t="n">
        <v>-1.20984770056886</v>
      </c>
      <c r="S547" s="0" t="n">
        <v>1</v>
      </c>
      <c r="T547" s="0" t="n">
        <v>0</v>
      </c>
      <c r="U547" s="0" t="n">
        <v>0</v>
      </c>
      <c r="V547" s="0" t="n">
        <v>0</v>
      </c>
      <c r="W547" s="0" t="n">
        <v>1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1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1.46197882522877</v>
      </c>
      <c r="AJ547" s="0" t="n">
        <v>0.333333333333333</v>
      </c>
    </row>
    <row r="548" customFormat="false" ht="15" hidden="false" customHeight="false" outlineLevel="0" collapsed="false">
      <c r="A548" s="0" t="s">
        <v>582</v>
      </c>
      <c r="B548" s="0" t="n">
        <v>1</v>
      </c>
      <c r="C548" s="0" t="n">
        <v>-0.724638539136583</v>
      </c>
      <c r="D548" s="0" t="n">
        <v>-0.241738242439756</v>
      </c>
      <c r="E548" s="0" t="n">
        <v>-0.910485311877369</v>
      </c>
      <c r="F548" s="0" t="n">
        <v>-0.641849743092049</v>
      </c>
      <c r="G548" s="0" t="n">
        <v>0.380389995454803</v>
      </c>
      <c r="H548" s="0" t="n">
        <v>0.249318243011369</v>
      </c>
      <c r="I548" s="0" t="n">
        <v>1.30317768025292</v>
      </c>
      <c r="J548" s="0" t="n">
        <v>0.145415807020144</v>
      </c>
      <c r="K548" s="0" t="n">
        <v>1.15971607484265</v>
      </c>
      <c r="L548" s="0" t="n">
        <v>0.787492063059133</v>
      </c>
      <c r="M548" s="0" t="n">
        <v>2.3364678897519</v>
      </c>
      <c r="N548" s="0" t="n">
        <v>-0.788899068061221</v>
      </c>
      <c r="O548" s="0" t="n">
        <v>-0.434865945847058</v>
      </c>
      <c r="P548" s="0" t="n">
        <v>-0.0504549268741191</v>
      </c>
      <c r="Q548" s="0" t="n">
        <v>-0.246267460088683</v>
      </c>
      <c r="R548" s="0" t="n">
        <v>-0.324155263918017</v>
      </c>
      <c r="S548" s="0" t="n">
        <v>1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1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1.62813670987485</v>
      </c>
      <c r="AJ548" s="0" t="n">
        <v>0.666666666666667</v>
      </c>
    </row>
    <row r="549" customFormat="false" ht="15" hidden="false" customHeight="false" outlineLevel="0" collapsed="false">
      <c r="A549" s="0" t="s">
        <v>583</v>
      </c>
      <c r="B549" s="0" t="n">
        <v>1</v>
      </c>
      <c r="C549" s="0" t="n">
        <v>0.107677433624069</v>
      </c>
      <c r="D549" s="0" t="n">
        <v>-0.237989977428765</v>
      </c>
      <c r="E549" s="0" t="n">
        <v>-0.685544558558278</v>
      </c>
      <c r="F549" s="0" t="n">
        <v>0.125946585141387</v>
      </c>
      <c r="G549" s="0" t="n">
        <v>1.03244483898663</v>
      </c>
      <c r="H549" s="0" t="n">
        <v>0.859930413703398</v>
      </c>
      <c r="I549" s="0" t="n">
        <v>0.0633222682217375</v>
      </c>
      <c r="J549" s="0" t="n">
        <v>-0.0521782963968168</v>
      </c>
      <c r="K549" s="0" t="n">
        <v>-1.56588452942559</v>
      </c>
      <c r="L549" s="0" t="n">
        <v>-3</v>
      </c>
      <c r="M549" s="0" t="n">
        <v>1.25631961746165</v>
      </c>
      <c r="N549" s="0" t="n">
        <v>0.0985754309172645</v>
      </c>
      <c r="O549" s="0" t="n">
        <v>-0.331166680954753</v>
      </c>
      <c r="P549" s="0" t="n">
        <v>0.035986273484627</v>
      </c>
      <c r="Q549" s="0" t="n">
        <v>0.329616287412691</v>
      </c>
      <c r="R549" s="0" t="n">
        <v>-0.727434460762232</v>
      </c>
      <c r="S549" s="0" t="n">
        <v>0</v>
      </c>
      <c r="T549" s="0" t="n">
        <v>1</v>
      </c>
      <c r="U549" s="0" t="n">
        <v>0</v>
      </c>
      <c r="V549" s="0" t="n">
        <v>0</v>
      </c>
      <c r="W549" s="0" t="n">
        <v>0</v>
      </c>
      <c r="X549" s="0" t="n">
        <v>0</v>
      </c>
      <c r="Y549" s="0" t="n">
        <v>1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1</v>
      </c>
      <c r="AH549" s="0" t="n">
        <v>0</v>
      </c>
      <c r="AI549" s="0" t="n">
        <v>0.901744730484995</v>
      </c>
      <c r="AJ549" s="0" t="n">
        <v>0</v>
      </c>
    </row>
    <row r="550" customFormat="false" ht="15" hidden="false" customHeight="false" outlineLevel="0" collapsed="false">
      <c r="A550" s="0" t="s">
        <v>584</v>
      </c>
      <c r="B550" s="0" t="n">
        <v>1</v>
      </c>
      <c r="C550" s="0" t="n">
        <v>-0.0990321380439307</v>
      </c>
      <c r="D550" s="0" t="n">
        <v>0.80913655108749</v>
      </c>
      <c r="E550" s="0" t="n">
        <v>0.0109881145836972</v>
      </c>
      <c r="F550" s="0" t="n">
        <v>-1.08542243379408</v>
      </c>
      <c r="G550" s="0" t="n">
        <v>-0.331525290280111</v>
      </c>
      <c r="H550" s="0" t="n">
        <v>-0.113907267735092</v>
      </c>
      <c r="I550" s="0" t="n">
        <v>1.69905552494288</v>
      </c>
      <c r="J550" s="0" t="n">
        <v>-1.57654883094737</v>
      </c>
      <c r="K550" s="0" t="n">
        <v>-0.124588227531128</v>
      </c>
      <c r="L550" s="0" t="n">
        <v>-0.633116920430592</v>
      </c>
      <c r="M550" s="0" t="n">
        <v>-1.73304808650365</v>
      </c>
      <c r="N550" s="0" t="n">
        <v>1.01666666996238</v>
      </c>
      <c r="O550" s="0" t="n">
        <v>-0.61099125527098</v>
      </c>
      <c r="P550" s="0" t="n">
        <v>0.320832740903136</v>
      </c>
      <c r="Q550" s="0" t="n">
        <v>0.399605881743756</v>
      </c>
      <c r="R550" s="0" t="n">
        <v>-1.12167546752452</v>
      </c>
      <c r="S550" s="0" t="n">
        <v>1</v>
      </c>
      <c r="T550" s="0" t="n">
        <v>0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1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1.07185805301393</v>
      </c>
      <c r="AJ550" s="0" t="n">
        <v>0.333333333333333</v>
      </c>
    </row>
    <row r="551" customFormat="false" ht="15" hidden="false" customHeight="false" outlineLevel="0" collapsed="false">
      <c r="A551" s="0" t="s">
        <v>585</v>
      </c>
      <c r="B551" s="0" t="n">
        <v>1</v>
      </c>
      <c r="C551" s="0" t="n">
        <v>-0.00732149504713481</v>
      </c>
      <c r="D551" s="0" t="n">
        <v>0.588269427511333</v>
      </c>
      <c r="E551" s="0" t="n">
        <v>0.152567770293903</v>
      </c>
      <c r="F551" s="0" t="n">
        <v>-0.876516663631064</v>
      </c>
      <c r="G551" s="0" t="n">
        <v>-0.402083761420465</v>
      </c>
      <c r="H551" s="0" t="n">
        <v>-0.174253286562631</v>
      </c>
      <c r="I551" s="0" t="n">
        <v>1.81475603417989</v>
      </c>
      <c r="J551" s="0" t="n">
        <v>-0.449197109422441</v>
      </c>
      <c r="K551" s="0" t="n">
        <v>-0.621958675754086</v>
      </c>
      <c r="L551" s="0" t="n">
        <v>-0.396810437069633</v>
      </c>
      <c r="M551" s="0" t="n">
        <v>-1.89002896586332</v>
      </c>
      <c r="N551" s="0" t="n">
        <v>0.222069798568589</v>
      </c>
      <c r="O551" s="0" t="n">
        <v>-0.291481747046029</v>
      </c>
      <c r="P551" s="0" t="n">
        <v>-0.530838015550222</v>
      </c>
      <c r="Q551" s="0" t="n">
        <v>-0.400189272213344</v>
      </c>
      <c r="R551" s="0" t="n">
        <v>-1.41802260220679</v>
      </c>
      <c r="S551" s="0" t="n">
        <v>1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1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1.67720084446284</v>
      </c>
      <c r="AJ551" s="0" t="n">
        <v>0.666666666666667</v>
      </c>
    </row>
    <row r="552" customFormat="false" ht="15" hidden="false" customHeight="false" outlineLevel="0" collapsed="false">
      <c r="A552" s="0" t="s">
        <v>586</v>
      </c>
      <c r="B552" s="0" t="n">
        <v>1</v>
      </c>
      <c r="C552" s="0" t="n">
        <v>-0.251073583506709</v>
      </c>
      <c r="D552" s="0" t="n">
        <v>0.586335602703473</v>
      </c>
      <c r="E552" s="0" t="n">
        <v>0.125631964723462</v>
      </c>
      <c r="F552" s="0" t="n">
        <v>-1.0325916238603</v>
      </c>
      <c r="G552" s="0" t="n">
        <v>-0.59625789721809</v>
      </c>
      <c r="H552" s="0" t="n">
        <v>-0.395629604039309</v>
      </c>
      <c r="I552" s="0" t="n">
        <v>0.182259079939282</v>
      </c>
      <c r="J552" s="0" t="n">
        <v>-0.0291088578251418</v>
      </c>
      <c r="K552" s="0" t="n">
        <v>-0.0876023884621504</v>
      </c>
      <c r="L552" s="0" t="n">
        <v>0.389924547247838</v>
      </c>
      <c r="M552" s="0" t="n">
        <v>-0.0407520040332289</v>
      </c>
      <c r="N552" s="0" t="n">
        <v>-0.260606190804059</v>
      </c>
      <c r="O552" s="0" t="n">
        <v>-0.148187050033827</v>
      </c>
      <c r="P552" s="0" t="n">
        <v>-0.486642348982008</v>
      </c>
      <c r="Q552" s="0" t="n">
        <v>-0.381688768431336</v>
      </c>
      <c r="R552" s="0" t="n">
        <v>-1.01509085404457</v>
      </c>
      <c r="S552" s="0" t="n">
        <v>1</v>
      </c>
      <c r="T552" s="0" t="n">
        <v>0</v>
      </c>
      <c r="U552" s="0" t="n">
        <v>0</v>
      </c>
      <c r="V552" s="0" t="n">
        <v>0</v>
      </c>
      <c r="W552" s="0" t="n">
        <v>1</v>
      </c>
      <c r="X552" s="0" t="n">
        <v>0</v>
      </c>
      <c r="Y552" s="0" t="n">
        <v>0</v>
      </c>
      <c r="Z552" s="0" t="n">
        <v>0</v>
      </c>
      <c r="AA552" s="0" t="n">
        <v>1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1.43393757041642</v>
      </c>
      <c r="AJ552" s="0" t="n">
        <v>0</v>
      </c>
    </row>
    <row r="553" customFormat="false" ht="15" hidden="false" customHeight="false" outlineLevel="0" collapsed="false">
      <c r="A553" s="0" t="s">
        <v>587</v>
      </c>
      <c r="B553" s="0" t="n">
        <v>1</v>
      </c>
      <c r="C553" s="0" t="n">
        <v>-0.673910986025043</v>
      </c>
      <c r="D553" s="0" t="n">
        <v>0.592104281578517</v>
      </c>
      <c r="E553" s="0" t="n">
        <v>0.144257888014243</v>
      </c>
      <c r="F553" s="0" t="n">
        <v>-1.30930480963848</v>
      </c>
      <c r="G553" s="0" t="n">
        <v>-0.998864708270429</v>
      </c>
      <c r="H553" s="0" t="n">
        <v>-0.851065165250648</v>
      </c>
      <c r="I553" s="0" t="n">
        <v>0.387590231398235</v>
      </c>
      <c r="J553" s="0" t="n">
        <v>-0.626119410072318</v>
      </c>
      <c r="K553" s="0" t="n">
        <v>2.08076910618661</v>
      </c>
      <c r="L553" s="0" t="n">
        <v>0.193822012588441</v>
      </c>
      <c r="M553" s="0" t="n">
        <v>0.771092536413013</v>
      </c>
      <c r="N553" s="0" t="n">
        <v>-0.380812854824066</v>
      </c>
      <c r="O553" s="0" t="n">
        <v>-0.614161956002618</v>
      </c>
      <c r="P553" s="0" t="n">
        <v>-0.0902647567708696</v>
      </c>
      <c r="Q553" s="0" t="n">
        <v>-0.0525272874091148</v>
      </c>
      <c r="R553" s="0" t="n">
        <v>0.0202254984479615</v>
      </c>
      <c r="S553" s="0" t="n">
        <v>1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1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1.07975629151225</v>
      </c>
      <c r="AJ553" s="0" t="n">
        <v>0</v>
      </c>
    </row>
    <row r="554" customFormat="false" ht="15" hidden="false" customHeight="false" outlineLevel="0" collapsed="false">
      <c r="A554" s="0" t="s">
        <v>588</v>
      </c>
      <c r="B554" s="0" t="n">
        <v>1</v>
      </c>
      <c r="C554" s="0" t="n">
        <v>-1.10739067003781</v>
      </c>
      <c r="D554" s="0" t="n">
        <v>-0.0397118532306979</v>
      </c>
      <c r="E554" s="0" t="n">
        <v>0.235612402470242</v>
      </c>
      <c r="F554" s="0" t="n">
        <v>-1.18424269477704</v>
      </c>
      <c r="G554" s="0" t="n">
        <v>-1.45423540352164</v>
      </c>
      <c r="H554" s="0" t="n">
        <v>-1.39692599599481</v>
      </c>
      <c r="I554" s="0" t="n">
        <v>-0.178602789413119</v>
      </c>
      <c r="J554" s="0" t="n">
        <v>1.79277173694386</v>
      </c>
      <c r="K554" s="0" t="n">
        <v>-0.70062118364369</v>
      </c>
      <c r="L554" s="0" t="n">
        <v>-0.0395198332323156</v>
      </c>
      <c r="M554" s="0" t="n">
        <v>-0.436154006362037</v>
      </c>
      <c r="N554" s="0" t="n">
        <v>-1.57692053219238</v>
      </c>
      <c r="O554" s="0" t="n">
        <v>-0.786415606862409</v>
      </c>
      <c r="P554" s="0" t="n">
        <v>-0.402333309773949</v>
      </c>
      <c r="Q554" s="0" t="n">
        <v>-0.295925397382444</v>
      </c>
      <c r="R554" s="0" t="n">
        <v>-0.797186841370398</v>
      </c>
      <c r="S554" s="0" t="n">
        <v>1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  <c r="Z554" s="0" t="n">
        <v>1</v>
      </c>
      <c r="AA554" s="0" t="n">
        <v>0</v>
      </c>
      <c r="AB554" s="0" t="n">
        <v>0</v>
      </c>
      <c r="AC554" s="0" t="n">
        <v>0</v>
      </c>
      <c r="AD554" s="0" t="n">
        <v>1</v>
      </c>
      <c r="AE554" s="0" t="n">
        <v>0</v>
      </c>
      <c r="AF554" s="0" t="n">
        <v>0</v>
      </c>
      <c r="AG554" s="0" t="n">
        <v>0</v>
      </c>
      <c r="AH554" s="0" t="n">
        <v>0</v>
      </c>
      <c r="AI554" s="0" t="n">
        <v>0.361718559334501</v>
      </c>
      <c r="AJ554" s="0" t="n">
        <v>0</v>
      </c>
    </row>
    <row r="555" customFormat="false" ht="15" hidden="false" customHeight="false" outlineLevel="0" collapsed="false">
      <c r="A555" s="0" t="s">
        <v>589</v>
      </c>
      <c r="B555" s="0" t="n">
        <v>1</v>
      </c>
      <c r="C555" s="0" t="n">
        <v>-1.08373800149613</v>
      </c>
      <c r="D555" s="0" t="n">
        <v>-0.0702445090059533</v>
      </c>
      <c r="E555" s="0" t="n">
        <v>0.233399575419478</v>
      </c>
      <c r="F555" s="0" t="n">
        <v>-1.13824030870322</v>
      </c>
      <c r="G555" s="0" t="n">
        <v>-1.43198822956428</v>
      </c>
      <c r="H555" s="0" t="n">
        <v>-1.3701703076973</v>
      </c>
      <c r="I555" s="0" t="n">
        <v>-0.627857657164247</v>
      </c>
      <c r="J555" s="0" t="n">
        <v>0.73208795967394</v>
      </c>
      <c r="K555" s="0" t="n">
        <v>0.498909228422027</v>
      </c>
      <c r="L555" s="0" t="n">
        <v>0.885626426112591</v>
      </c>
      <c r="M555" s="0" t="n">
        <v>0.373200972456835</v>
      </c>
      <c r="N555" s="0" t="n">
        <v>-1.30547950113182</v>
      </c>
      <c r="O555" s="0" t="n">
        <v>-0.956729510333058</v>
      </c>
      <c r="P555" s="0" t="n">
        <v>-0.69119916232013</v>
      </c>
      <c r="Q555" s="0" t="n">
        <v>-0.587184773389802</v>
      </c>
      <c r="R555" s="0" t="n">
        <v>-0.526908129835851</v>
      </c>
      <c r="S555" s="0" t="n">
        <v>0</v>
      </c>
      <c r="T555" s="0" t="n">
        <v>1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1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0.0295326473983854</v>
      </c>
      <c r="AJ555" s="0" t="n">
        <v>0</v>
      </c>
    </row>
    <row r="556" customFormat="false" ht="15" hidden="false" customHeight="false" outlineLevel="0" collapsed="false">
      <c r="A556" s="0" t="s">
        <v>590</v>
      </c>
      <c r="B556" s="0" t="n">
        <v>1</v>
      </c>
      <c r="C556" s="0" t="n">
        <v>-1.11038470607756</v>
      </c>
      <c r="D556" s="0" t="n">
        <v>-0.873705200766085</v>
      </c>
      <c r="E556" s="0" t="n">
        <v>0.0182764507633305</v>
      </c>
      <c r="F556" s="0" t="n">
        <v>-0.0309931614242184</v>
      </c>
      <c r="G556" s="0" t="n">
        <v>-1.30352099687725</v>
      </c>
      <c r="H556" s="0" t="n">
        <v>-1.16251095631244</v>
      </c>
      <c r="I556" s="0" t="n">
        <v>-1.55138029252244</v>
      </c>
      <c r="J556" s="0" t="n">
        <v>0.880527571838744</v>
      </c>
      <c r="K556" s="0" t="n">
        <v>-0.308957691070881</v>
      </c>
      <c r="L556" s="0" t="n">
        <v>0.39890302061404</v>
      </c>
      <c r="M556" s="0" t="n">
        <v>-0.584355679960996</v>
      </c>
      <c r="N556" s="0" t="n">
        <v>-1.36815135160379</v>
      </c>
      <c r="O556" s="0" t="n">
        <v>-0.74409479410514</v>
      </c>
      <c r="P556" s="0" t="n">
        <v>-0.631385721780117</v>
      </c>
      <c r="Q556" s="0" t="n">
        <v>-0.444210651299061</v>
      </c>
      <c r="R556" s="0" t="n">
        <v>-1.58095121874877</v>
      </c>
      <c r="S556" s="0" t="n">
        <v>1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1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0.0106439291603238</v>
      </c>
      <c r="AJ556" s="0" t="n">
        <v>0</v>
      </c>
    </row>
    <row r="557" customFormat="false" ht="15" hidden="false" customHeight="false" outlineLevel="0" collapsed="false">
      <c r="A557" s="0" t="s">
        <v>591</v>
      </c>
      <c r="B557" s="0" t="n">
        <v>1</v>
      </c>
      <c r="C557" s="0" t="n">
        <v>-1.12783874063692</v>
      </c>
      <c r="D557" s="0" t="n">
        <v>-0.831797450798539</v>
      </c>
      <c r="E557" s="0" t="n">
        <v>0.0138277106545184</v>
      </c>
      <c r="F557" s="0" t="n">
        <v>-0.148119494806251</v>
      </c>
      <c r="G557" s="0" t="n">
        <v>-1.316771881096</v>
      </c>
      <c r="H557" s="0" t="n">
        <v>-1.17560902447914</v>
      </c>
      <c r="I557" s="0" t="n">
        <v>-1.73948547857954</v>
      </c>
      <c r="J557" s="0" t="n">
        <v>1.07941618105858</v>
      </c>
      <c r="K557" s="0" t="n">
        <v>0.0124794012166987</v>
      </c>
      <c r="L557" s="0" t="n">
        <v>0.0172106809708037</v>
      </c>
      <c r="M557" s="0" t="n">
        <v>0.348338099234598</v>
      </c>
      <c r="N557" s="0" t="n">
        <v>-1.43308349832229</v>
      </c>
      <c r="O557" s="0" t="n">
        <v>-0.673881594736687</v>
      </c>
      <c r="P557" s="0" t="n">
        <v>-0.643711336534747</v>
      </c>
      <c r="Q557" s="0" t="n">
        <v>-0.551954675858593</v>
      </c>
      <c r="R557" s="0" t="n">
        <v>-0.472888059818756</v>
      </c>
      <c r="S557" s="0" t="n">
        <v>1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1</v>
      </c>
      <c r="Y557" s="0" t="n">
        <v>0</v>
      </c>
      <c r="Z557" s="0" t="n">
        <v>0</v>
      </c>
      <c r="AA557" s="0" t="n">
        <v>1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</row>
    <row r="558" customFormat="false" ht="15" hidden="false" customHeight="false" outlineLevel="0" collapsed="false">
      <c r="A558" s="0" t="s">
        <v>592</v>
      </c>
      <c r="B558" s="0" t="n">
        <v>1</v>
      </c>
      <c r="C558" s="0" t="n">
        <v>-0.840878384706577</v>
      </c>
      <c r="D558" s="0" t="n">
        <v>-1.45504092869865</v>
      </c>
      <c r="E558" s="0" t="n">
        <v>0.013254250920793</v>
      </c>
      <c r="F558" s="0" t="n">
        <v>3</v>
      </c>
      <c r="G558" s="0" t="n">
        <v>-1.04236965287379</v>
      </c>
      <c r="H558" s="0" t="n">
        <v>-0.87971222326354</v>
      </c>
      <c r="I558" s="0" t="n">
        <v>-1.8271749923856</v>
      </c>
      <c r="J558" s="0" t="n">
        <v>2.913576139726</v>
      </c>
      <c r="K558" s="0" t="n">
        <v>-1.18305399078009</v>
      </c>
      <c r="L558" s="0" t="n">
        <v>-1.76435431571551</v>
      </c>
      <c r="M558" s="0" t="n">
        <v>-0.156259933403629</v>
      </c>
      <c r="N558" s="0" t="n">
        <v>-1.60609890192032</v>
      </c>
      <c r="O558" s="0" t="n">
        <v>-0.554831437004375</v>
      </c>
      <c r="P558" s="0" t="n">
        <v>-0.28304311265766</v>
      </c>
      <c r="Q558" s="0" t="n">
        <v>-0.399132903026055</v>
      </c>
      <c r="R558" s="0" t="n">
        <v>-1.22254700890194</v>
      </c>
      <c r="S558" s="0" t="n">
        <v>1</v>
      </c>
      <c r="T558" s="0" t="n">
        <v>0</v>
      </c>
      <c r="U558" s="0" t="n">
        <v>0</v>
      </c>
      <c r="V558" s="0" t="n">
        <v>0</v>
      </c>
      <c r="W558" s="0" t="n">
        <v>1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1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</row>
    <row r="559" customFormat="false" ht="15" hidden="false" customHeight="false" outlineLevel="0" collapsed="false">
      <c r="A559" s="0" t="s">
        <v>593</v>
      </c>
      <c r="B559" s="0" t="n">
        <v>1</v>
      </c>
      <c r="C559" s="0" t="n">
        <v>-0.843551916335178</v>
      </c>
      <c r="D559" s="0" t="n">
        <v>-1.30737209411081</v>
      </c>
      <c r="E559" s="0" t="n">
        <v>-0.109594523760569</v>
      </c>
      <c r="F559" s="0" t="n">
        <v>2.06606444372827</v>
      </c>
      <c r="G559" s="0" t="n">
        <v>-0.933099436371744</v>
      </c>
      <c r="H559" s="0" t="n">
        <v>-0.748219093570848</v>
      </c>
      <c r="I559" s="0" t="n">
        <v>-1.3893082837613</v>
      </c>
      <c r="J559" s="0" t="n">
        <v>-0.488874111770386</v>
      </c>
      <c r="K559" s="0" t="n">
        <v>0.0952177267573841</v>
      </c>
      <c r="L559" s="0" t="n">
        <v>0.899389117870026</v>
      </c>
      <c r="M559" s="0" t="n">
        <v>1.63168588893152</v>
      </c>
      <c r="N559" s="0" t="n">
        <v>-0.631089293758031</v>
      </c>
      <c r="O559" s="0" t="n">
        <v>-0.644642504880233</v>
      </c>
      <c r="P559" s="0" t="n">
        <v>0.0683092767344933</v>
      </c>
      <c r="Q559" s="0" t="n">
        <v>0.117699880923249</v>
      </c>
      <c r="R559" s="0" t="n">
        <v>-0.521551306313291</v>
      </c>
      <c r="S559" s="0" t="n">
        <v>0</v>
      </c>
      <c r="T559" s="0" t="n">
        <v>0</v>
      </c>
      <c r="U559" s="0" t="n">
        <v>0</v>
      </c>
      <c r="V559" s="0" t="n">
        <v>1</v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1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</row>
    <row r="560" customFormat="false" ht="15" hidden="false" customHeight="false" outlineLevel="0" collapsed="false">
      <c r="A560" s="0" t="s">
        <v>594</v>
      </c>
      <c r="B560" s="0" t="n">
        <v>1</v>
      </c>
      <c r="C560" s="0" t="n">
        <v>-1.06390521926563</v>
      </c>
      <c r="D560" s="0" t="n">
        <v>-0.271146357419544</v>
      </c>
      <c r="E560" s="0" t="n">
        <v>-0.696188218668499</v>
      </c>
      <c r="F560" s="0" t="n">
        <v>-0.926115770326902</v>
      </c>
      <c r="G560" s="0" t="n">
        <v>-0.486567256685896</v>
      </c>
      <c r="H560" s="0" t="n">
        <v>-0.333947952234682</v>
      </c>
      <c r="I560" s="0" t="n">
        <v>0.830268304170132</v>
      </c>
      <c r="J560" s="0" t="n">
        <v>0.0209286804143155</v>
      </c>
      <c r="K560" s="0" t="n">
        <v>0.325376000914704</v>
      </c>
      <c r="L560" s="0" t="n">
        <v>0.764350409863024</v>
      </c>
      <c r="M560" s="0" t="n">
        <v>-0.609160953488365</v>
      </c>
      <c r="N560" s="0" t="n">
        <v>-1.06280587684527</v>
      </c>
      <c r="O560" s="0" t="n">
        <v>-1.00801087225115</v>
      </c>
      <c r="P560" s="0" t="n">
        <v>-0.744670400470544</v>
      </c>
      <c r="Q560" s="0" t="n">
        <v>-0.504936173916697</v>
      </c>
      <c r="R560" s="0" t="n">
        <v>-1.0793737438465</v>
      </c>
      <c r="S560" s="0" t="n">
        <v>0</v>
      </c>
      <c r="T560" s="0" t="n">
        <v>1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1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</row>
    <row r="561" customFormat="false" ht="15" hidden="false" customHeight="false" outlineLevel="0" collapsed="false">
      <c r="A561" s="0" t="s">
        <v>595</v>
      </c>
      <c r="B561" s="0" t="n">
        <v>1</v>
      </c>
      <c r="C561" s="0" t="n">
        <v>-0.964405219098167</v>
      </c>
      <c r="D561" s="0" t="n">
        <v>-0.261116880021995</v>
      </c>
      <c r="E561" s="0" t="n">
        <v>-0.695657074808066</v>
      </c>
      <c r="F561" s="0" t="n">
        <v>-0.843386104819632</v>
      </c>
      <c r="G561" s="0" t="n">
        <v>-0.356304908596681</v>
      </c>
      <c r="H561" s="0" t="n">
        <v>-0.23214704523671</v>
      </c>
      <c r="I561" s="0" t="n">
        <v>0.825284249092647</v>
      </c>
      <c r="J561" s="0" t="n">
        <v>0.970519900337849</v>
      </c>
      <c r="K561" s="0" t="n">
        <v>-0.49127632182529</v>
      </c>
      <c r="L561" s="0" t="n">
        <v>-0.0424292195073013</v>
      </c>
      <c r="M561" s="0" t="n">
        <v>-0.406761262123111</v>
      </c>
      <c r="N561" s="0" t="n">
        <v>-1.27198602038778</v>
      </c>
      <c r="O561" s="0" t="n">
        <v>-0.794432769154213</v>
      </c>
      <c r="P561" s="0" t="n">
        <v>-0.325665333562541</v>
      </c>
      <c r="Q561" s="0" t="n">
        <v>0.0803688511703249</v>
      </c>
      <c r="R561" s="0" t="n">
        <v>-0.413958339004077</v>
      </c>
      <c r="S561" s="0" t="n">
        <v>1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1</v>
      </c>
      <c r="Y561" s="0" t="n">
        <v>0</v>
      </c>
      <c r="Z561" s="0" t="n">
        <v>0</v>
      </c>
      <c r="AA561" s="0" t="n">
        <v>1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</row>
    <row r="562" customFormat="false" ht="15" hidden="false" customHeight="false" outlineLevel="0" collapsed="false">
      <c r="A562" s="0" t="s">
        <v>596</v>
      </c>
      <c r="B562" s="0" t="n">
        <v>1</v>
      </c>
      <c r="C562" s="0" t="n">
        <v>-0.761007465759484</v>
      </c>
      <c r="D562" s="0" t="n">
        <v>-0.261190528539817</v>
      </c>
      <c r="E562" s="0" t="n">
        <v>-0.961876471139179</v>
      </c>
      <c r="F562" s="0" t="n">
        <v>-0.652223076598894</v>
      </c>
      <c r="G562" s="0" t="n">
        <v>0.441946616793613</v>
      </c>
      <c r="H562" s="0" t="n">
        <v>0.268054288032286</v>
      </c>
      <c r="I562" s="0" t="n">
        <v>1.44900925427157</v>
      </c>
      <c r="J562" s="0" t="n">
        <v>2.3972396906443</v>
      </c>
      <c r="K562" s="0" t="n">
        <v>-0.254933732194861</v>
      </c>
      <c r="L562" s="0" t="n">
        <v>0.0235210832102202</v>
      </c>
      <c r="M562" s="0" t="n">
        <v>1.30641548403483</v>
      </c>
      <c r="N562" s="0" t="n">
        <v>-1.45712483112629</v>
      </c>
      <c r="O562" s="0" t="n">
        <v>-0.898012256804639</v>
      </c>
      <c r="P562" s="0" t="n">
        <v>-0.717183249815599</v>
      </c>
      <c r="Q562" s="0" t="n">
        <v>-0.491465027008986</v>
      </c>
      <c r="R562" s="0" t="n">
        <v>-0.626915226385068</v>
      </c>
      <c r="S562" s="0" t="n">
        <v>1</v>
      </c>
      <c r="T562" s="0" t="n">
        <v>0</v>
      </c>
      <c r="U562" s="0" t="n">
        <v>0</v>
      </c>
      <c r="V562" s="0" t="n">
        <v>0</v>
      </c>
      <c r="W562" s="0" t="n">
        <v>1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1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0</v>
      </c>
    </row>
    <row r="563" customFormat="false" ht="15" hidden="false" customHeight="false" outlineLevel="0" collapsed="false">
      <c r="A563" s="0" t="s">
        <v>597</v>
      </c>
      <c r="B563" s="0" t="n">
        <v>1</v>
      </c>
      <c r="C563" s="0" t="n">
        <v>-0.684969444328793</v>
      </c>
      <c r="D563" s="0" t="n">
        <v>-0.60213017757077</v>
      </c>
      <c r="E563" s="0" t="n">
        <v>-0.842046239954361</v>
      </c>
      <c r="F563" s="0" t="n">
        <v>-0.0570602221200948</v>
      </c>
      <c r="G563" s="0" t="n">
        <v>0.291595122659869</v>
      </c>
      <c r="H563" s="0" t="n">
        <v>0.215348675547019</v>
      </c>
      <c r="I563" s="0" t="n">
        <v>-0.50381482702541</v>
      </c>
      <c r="J563" s="0" t="n">
        <v>-1.91949133705222</v>
      </c>
      <c r="K563" s="0" t="n">
        <v>-0.77229413199091</v>
      </c>
      <c r="L563" s="0" t="n">
        <v>1.6249305236451</v>
      </c>
      <c r="M563" s="0" t="n">
        <v>-0.462106696361376</v>
      </c>
      <c r="N563" s="0" t="n">
        <v>0.542415421144986</v>
      </c>
      <c r="O563" s="0" t="n">
        <v>-0.474574215426272</v>
      </c>
      <c r="P563" s="0" t="n">
        <v>0.0873218212437401</v>
      </c>
      <c r="Q563" s="0" t="n">
        <v>-0.0316704659924479</v>
      </c>
      <c r="R563" s="0" t="n">
        <v>-0.816407770000523</v>
      </c>
      <c r="S563" s="0" t="n">
        <v>1</v>
      </c>
      <c r="T563" s="0" t="n">
        <v>0</v>
      </c>
      <c r="U563" s="0" t="n">
        <v>0</v>
      </c>
      <c r="V563" s="0" t="n">
        <v>0</v>
      </c>
      <c r="W563" s="0" t="n">
        <v>0</v>
      </c>
      <c r="X563" s="0" t="n">
        <v>0</v>
      </c>
      <c r="Y563" s="0" t="n">
        <v>1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0.515095486529814</v>
      </c>
      <c r="AJ563" s="0" t="n">
        <v>0.333333333333333</v>
      </c>
    </row>
    <row r="564" customFormat="false" ht="15" hidden="false" customHeight="false" outlineLevel="0" collapsed="false">
      <c r="A564" s="0" t="s">
        <v>598</v>
      </c>
      <c r="B564" s="0" t="n">
        <v>1</v>
      </c>
      <c r="C564" s="0" t="n">
        <v>-0.798105762030435</v>
      </c>
      <c r="D564" s="0" t="n">
        <v>-0.589386748709244</v>
      </c>
      <c r="E564" s="0" t="n">
        <v>-0.861454643999428</v>
      </c>
      <c r="F564" s="0" t="n">
        <v>-0.209738899576887</v>
      </c>
      <c r="G564" s="0" t="n">
        <v>0.168774675449774</v>
      </c>
      <c r="H564" s="0" t="n">
        <v>0.120144863273344</v>
      </c>
      <c r="I564" s="0" t="n">
        <v>-0.398456603280465</v>
      </c>
      <c r="J564" s="0" t="n">
        <v>-0.301011415851937</v>
      </c>
      <c r="K564" s="0" t="n">
        <v>-0.227634571287876</v>
      </c>
      <c r="L564" s="0" t="n">
        <v>0.241972365029644</v>
      </c>
      <c r="M564" s="0" t="n">
        <v>0.2513684858645</v>
      </c>
      <c r="N564" s="0" t="n">
        <v>-0.671363663241658</v>
      </c>
      <c r="O564" s="0" t="n">
        <v>-0.755142273975119</v>
      </c>
      <c r="P564" s="0" t="n">
        <v>-0.533376246213404</v>
      </c>
      <c r="Q564" s="0" t="n">
        <v>-0.6008116387917</v>
      </c>
      <c r="R564" s="0" t="n">
        <v>-0.737819109377808</v>
      </c>
      <c r="S564" s="0" t="n">
        <v>1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1</v>
      </c>
      <c r="Y564" s="0" t="n">
        <v>0</v>
      </c>
      <c r="Z564" s="0" t="n">
        <v>0</v>
      </c>
      <c r="AA564" s="0" t="n">
        <v>1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0.0553041384017585</v>
      </c>
      <c r="AJ564" s="0" t="n">
        <v>0</v>
      </c>
    </row>
    <row r="565" customFormat="false" ht="15" hidden="false" customHeight="false" outlineLevel="0" collapsed="false">
      <c r="A565" s="0" t="s">
        <v>599</v>
      </c>
      <c r="B565" s="0" t="n">
        <v>1</v>
      </c>
      <c r="C565" s="0" t="n">
        <v>-0.904189505937733</v>
      </c>
      <c r="D565" s="0" t="n">
        <v>-0.576225463080756</v>
      </c>
      <c r="E565" s="0" t="n">
        <v>-0.869513507581659</v>
      </c>
      <c r="F565" s="0" t="n">
        <v>-0.352633421329729</v>
      </c>
      <c r="G565" s="0" t="n">
        <v>0.0311048828423094</v>
      </c>
      <c r="H565" s="0" t="n">
        <v>0.0197955426990409</v>
      </c>
      <c r="I565" s="0" t="n">
        <v>-0.462367534055163</v>
      </c>
      <c r="J565" s="0" t="n">
        <v>1.47906713249697</v>
      </c>
      <c r="K565" s="0" t="n">
        <v>-0.165472892736873</v>
      </c>
      <c r="L565" s="0" t="n">
        <v>-0.135694693794529</v>
      </c>
      <c r="M565" s="0" t="n">
        <v>-0.32438852354315</v>
      </c>
      <c r="N565" s="0" t="n">
        <v>-1.35582246298635</v>
      </c>
      <c r="O565" s="0" t="n">
        <v>-0.83226376457693</v>
      </c>
      <c r="P565" s="0" t="n">
        <v>-0.514867960512531</v>
      </c>
      <c r="Q565" s="0" t="n">
        <v>-0.268909462831494</v>
      </c>
      <c r="R565" s="0" t="n">
        <v>-0.130374929556838</v>
      </c>
      <c r="S565" s="0" t="n">
        <v>0</v>
      </c>
      <c r="T565" s="0" t="n">
        <v>0</v>
      </c>
      <c r="U565" s="0" t="n">
        <v>1</v>
      </c>
      <c r="V565" s="0" t="n">
        <v>0</v>
      </c>
      <c r="W565" s="0" t="n">
        <v>1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1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</row>
    <row r="566" customFormat="false" ht="15" hidden="false" customHeight="false" outlineLevel="0" collapsed="false">
      <c r="A566" s="0" t="s">
        <v>600</v>
      </c>
      <c r="B566" s="0" t="n">
        <v>1</v>
      </c>
      <c r="C566" s="0" t="n">
        <v>-0.813445118858999</v>
      </c>
      <c r="D566" s="0" t="n">
        <v>-0.781003427520052</v>
      </c>
      <c r="E566" s="0" t="n">
        <v>-0.869605074608087</v>
      </c>
      <c r="F566" s="0" t="n">
        <v>0.156403052592676</v>
      </c>
      <c r="G566" s="0" t="n">
        <v>0.163084974090513</v>
      </c>
      <c r="H566" s="0" t="n">
        <v>0.113267764554452</v>
      </c>
      <c r="I566" s="0" t="n">
        <v>-0.840772714802941</v>
      </c>
      <c r="J566" s="0" t="n">
        <v>1.51491519544397</v>
      </c>
      <c r="K566" s="0" t="n">
        <v>-0.587202860681695</v>
      </c>
      <c r="L566" s="0" t="n">
        <v>0.453152752581513</v>
      </c>
      <c r="M566" s="0" t="n">
        <v>-0.0306391667863335</v>
      </c>
      <c r="N566" s="0" t="n">
        <v>-1.29582187171483</v>
      </c>
      <c r="O566" s="0" t="n">
        <v>-0.454161993312008</v>
      </c>
      <c r="P566" s="0" t="n">
        <v>0.301406894041636</v>
      </c>
      <c r="Q566" s="0" t="n">
        <v>0.272955005539579</v>
      </c>
      <c r="R566" s="0" t="n">
        <v>-0.00889665640537056</v>
      </c>
      <c r="S566" s="0" t="n">
        <v>0</v>
      </c>
      <c r="T566" s="0" t="n">
        <v>1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1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</row>
    <row r="567" customFormat="false" ht="15" hidden="false" customHeight="false" outlineLevel="0" collapsed="false">
      <c r="A567" s="0" t="s">
        <v>601</v>
      </c>
      <c r="B567" s="0" t="n">
        <v>1</v>
      </c>
      <c r="C567" s="0" t="n">
        <v>-1.08685644623386</v>
      </c>
      <c r="D567" s="0" t="n">
        <v>-1.23992159917791</v>
      </c>
      <c r="E567" s="0" t="n">
        <v>-0.84304109433326</v>
      </c>
      <c r="F567" s="0" t="n">
        <v>1.20752656921971</v>
      </c>
      <c r="G567" s="0" t="n">
        <v>-0.281043600631254</v>
      </c>
      <c r="H567" s="0" t="n">
        <v>-0.197089026031648</v>
      </c>
      <c r="I567" s="0" t="n">
        <v>-0.836953949855576</v>
      </c>
      <c r="J567" s="0" t="n">
        <v>-0.0347874264988557</v>
      </c>
      <c r="K567" s="0" t="n">
        <v>-0.271760989986678</v>
      </c>
      <c r="L567" s="0" t="n">
        <v>0.485408936486395</v>
      </c>
      <c r="M567" s="0" t="n">
        <v>-0.106389552388444</v>
      </c>
      <c r="N567" s="0" t="n">
        <v>-1.06486069161485</v>
      </c>
      <c r="O567" s="0" t="n">
        <v>-0.936127097428509</v>
      </c>
      <c r="P567" s="0" t="n">
        <v>-0.705067060150584</v>
      </c>
      <c r="Q567" s="0" t="n">
        <v>-0.568763640919772</v>
      </c>
      <c r="R567" s="0" t="n">
        <v>-1.28634894603559</v>
      </c>
      <c r="S567" s="0" t="n">
        <v>0</v>
      </c>
      <c r="T567" s="0" t="n">
        <v>1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1</v>
      </c>
      <c r="AA567" s="0" t="n">
        <v>0</v>
      </c>
      <c r="AB567" s="0" t="n">
        <v>0</v>
      </c>
      <c r="AC567" s="0" t="n">
        <v>0</v>
      </c>
      <c r="AD567" s="0" t="n">
        <v>1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0.527348244398236</v>
      </c>
      <c r="AJ567" s="0" t="n">
        <v>0.333333333333333</v>
      </c>
    </row>
    <row r="568" customFormat="false" ht="15" hidden="false" customHeight="false" outlineLevel="0" collapsed="false">
      <c r="A568" s="0" t="s">
        <v>602</v>
      </c>
      <c r="B568" s="0" t="n">
        <v>1</v>
      </c>
      <c r="C568" s="0" t="n">
        <v>-0.0657176674689176</v>
      </c>
      <c r="D568" s="0" t="n">
        <v>-0.451940663687782</v>
      </c>
      <c r="E568" s="0" t="n">
        <v>-0.549580847323115</v>
      </c>
      <c r="F568" s="0" t="n">
        <v>0.333892706750402</v>
      </c>
      <c r="G568" s="0" t="n">
        <v>0.529544294428331</v>
      </c>
      <c r="H568" s="0" t="n">
        <v>0.532938596908865</v>
      </c>
      <c r="I568" s="0" t="n">
        <v>0.622051610094828</v>
      </c>
      <c r="J568" s="0" t="n">
        <v>1.42121629497091</v>
      </c>
      <c r="K568" s="0" t="n">
        <v>-1.86928499821761</v>
      </c>
      <c r="L568" s="0" t="n">
        <v>-2.57820249268242</v>
      </c>
      <c r="M568" s="0" t="n">
        <v>-2.42481417646371</v>
      </c>
      <c r="N568" s="0" t="n">
        <v>-0.698692699676975</v>
      </c>
      <c r="O568" s="0" t="n">
        <v>0.988729902084437</v>
      </c>
      <c r="P568" s="0" t="n">
        <v>3</v>
      </c>
      <c r="Q568" s="0" t="n">
        <v>0.659092715797134</v>
      </c>
      <c r="R568" s="0" t="n">
        <v>-0.0289725437125536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1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0.177276628865972</v>
      </c>
      <c r="AJ568" s="0" t="n">
        <v>0</v>
      </c>
    </row>
    <row r="569" customFormat="false" ht="15" hidden="false" customHeight="false" outlineLevel="0" collapsed="false">
      <c r="A569" s="0" t="s">
        <v>603</v>
      </c>
      <c r="B569" s="0" t="n">
        <v>1</v>
      </c>
      <c r="C569" s="0" t="n">
        <v>0.719293070364225</v>
      </c>
      <c r="D569" s="0" t="n">
        <v>0.384454772935902</v>
      </c>
      <c r="E569" s="0" t="n">
        <v>-0.029563765986411</v>
      </c>
      <c r="F569" s="0" t="n">
        <v>-0.202949919047201</v>
      </c>
      <c r="G569" s="0" t="n">
        <v>0.510111930098185</v>
      </c>
      <c r="H569" s="0" t="n">
        <v>0.772428410229828</v>
      </c>
      <c r="I569" s="0" t="n">
        <v>0.285577965833325</v>
      </c>
      <c r="J569" s="0" t="n">
        <v>-0.362147260821614</v>
      </c>
      <c r="K569" s="0" t="n">
        <v>-0.996269687831865</v>
      </c>
      <c r="L569" s="0" t="n">
        <v>1.12927215429648</v>
      </c>
      <c r="M569" s="0" t="n">
        <v>1.4256225850409</v>
      </c>
      <c r="N569" s="0" t="n">
        <v>0.912693042622001</v>
      </c>
      <c r="O569" s="0" t="n">
        <v>-0.719231623651972</v>
      </c>
      <c r="P569" s="0" t="n">
        <v>-0.696827013409803</v>
      </c>
      <c r="Q569" s="0" t="n">
        <v>-0.516651318038552</v>
      </c>
      <c r="R569" s="0" t="n">
        <v>-0.764345627056895</v>
      </c>
      <c r="S569" s="0" t="n">
        <v>0</v>
      </c>
      <c r="T569" s="0" t="n">
        <v>0</v>
      </c>
      <c r="U569" s="0" t="n">
        <v>0</v>
      </c>
      <c r="V569" s="0" t="n">
        <v>1</v>
      </c>
      <c r="W569" s="0" t="n">
        <v>0</v>
      </c>
      <c r="X569" s="0" t="n">
        <v>0</v>
      </c>
      <c r="Y569" s="0" t="n">
        <v>1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0.268669504880951</v>
      </c>
      <c r="AJ569" s="0" t="n">
        <v>0.333333333333333</v>
      </c>
    </row>
    <row r="570" customFormat="false" ht="15" hidden="false" customHeight="false" outlineLevel="0" collapsed="false">
      <c r="A570" s="0" t="s">
        <v>604</v>
      </c>
      <c r="B570" s="0" t="n">
        <v>1</v>
      </c>
      <c r="C570" s="0" t="n">
        <v>0.867744859204845</v>
      </c>
      <c r="D570" s="0" t="n">
        <v>0.170494700231015</v>
      </c>
      <c r="E570" s="0" t="n">
        <v>-0.114863726508264</v>
      </c>
      <c r="F570" s="0" t="n">
        <v>0.163756105730497</v>
      </c>
      <c r="G570" s="0" t="n">
        <v>0.791249706842474</v>
      </c>
      <c r="H570" s="0" t="n">
        <v>1.01839134667447</v>
      </c>
      <c r="I570" s="0" t="n">
        <v>-0.251087647487184</v>
      </c>
      <c r="J570" s="0" t="n">
        <v>-0.288199381420369</v>
      </c>
      <c r="K570" s="0" t="n">
        <v>-1.11333547928757</v>
      </c>
      <c r="L570" s="0" t="n">
        <v>0.0293475720201135</v>
      </c>
      <c r="M570" s="0" t="n">
        <v>1.34287883822815</v>
      </c>
      <c r="N570" s="0" t="n">
        <v>1.00762548497626</v>
      </c>
      <c r="O570" s="0" t="n">
        <v>0.084992679113189</v>
      </c>
      <c r="P570" s="0" t="n">
        <v>-0.525461418199874</v>
      </c>
      <c r="Q570" s="0" t="n">
        <v>-0.605748259958652</v>
      </c>
      <c r="R570" s="0" t="n">
        <v>-0.408463533275959</v>
      </c>
      <c r="S570" s="0" t="n">
        <v>0</v>
      </c>
      <c r="T570" s="0" t="n">
        <v>1</v>
      </c>
      <c r="U570" s="0" t="n">
        <v>0</v>
      </c>
      <c r="V570" s="0" t="n">
        <v>0</v>
      </c>
      <c r="W570" s="0" t="n">
        <v>0</v>
      </c>
      <c r="X570" s="0" t="n">
        <v>1</v>
      </c>
      <c r="Y570" s="0" t="n">
        <v>0</v>
      </c>
      <c r="Z570" s="0" t="n">
        <v>0</v>
      </c>
      <c r="AA570" s="0" t="n">
        <v>1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1</v>
      </c>
      <c r="AH570" s="0" t="n">
        <v>0</v>
      </c>
      <c r="AI570" s="0" t="n">
        <v>0</v>
      </c>
      <c r="AJ570" s="0" t="n">
        <v>0</v>
      </c>
    </row>
    <row r="571" customFormat="false" ht="15" hidden="false" customHeight="false" outlineLevel="0" collapsed="false">
      <c r="A571" s="0" t="s">
        <v>605</v>
      </c>
      <c r="B571" s="0" t="n">
        <v>1</v>
      </c>
      <c r="C571" s="0" t="n">
        <v>-0.028072167444588</v>
      </c>
      <c r="D571" s="0" t="n">
        <v>0.153851847305346</v>
      </c>
      <c r="E571" s="0" t="n">
        <v>-0.0931059006663924</v>
      </c>
      <c r="F571" s="0" t="n">
        <v>-0.50232624944405</v>
      </c>
      <c r="G571" s="0" t="n">
        <v>-0.136677218148258</v>
      </c>
      <c r="H571" s="0" t="n">
        <v>0.0728572129499514</v>
      </c>
      <c r="I571" s="0" t="n">
        <v>0.571367562825379</v>
      </c>
      <c r="J571" s="0" t="n">
        <v>-0.455780358939333</v>
      </c>
      <c r="K571" s="0" t="n">
        <v>0.0537444352825842</v>
      </c>
      <c r="L571" s="0" t="n">
        <v>0.646196095655696</v>
      </c>
      <c r="M571" s="0" t="n">
        <v>-0.96518294044349</v>
      </c>
      <c r="N571" s="0" t="n">
        <v>0.20460387302722</v>
      </c>
      <c r="O571" s="0" t="n">
        <v>-0.626177957450093</v>
      </c>
      <c r="P571" s="0" t="n">
        <v>-0.216896947261116</v>
      </c>
      <c r="Q571" s="0" t="n">
        <v>-0.284204501428244</v>
      </c>
      <c r="R571" s="0" t="n">
        <v>-0.299939673579767</v>
      </c>
      <c r="S571" s="0" t="n">
        <v>1</v>
      </c>
      <c r="T571" s="0" t="n">
        <v>0</v>
      </c>
      <c r="U571" s="0" t="n">
        <v>0</v>
      </c>
      <c r="V571" s="0" t="n">
        <v>0</v>
      </c>
      <c r="W571" s="0" t="n">
        <v>1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1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0</v>
      </c>
      <c r="AJ571" s="0" t="n">
        <v>0</v>
      </c>
    </row>
    <row r="572" customFormat="false" ht="15" hidden="false" customHeight="false" outlineLevel="0" collapsed="false">
      <c r="A572" s="0" t="s">
        <v>606</v>
      </c>
      <c r="B572" s="0" t="n">
        <v>1</v>
      </c>
      <c r="C572" s="0" t="n">
        <v>-0.386865548736919</v>
      </c>
      <c r="D572" s="0" t="n">
        <v>0.130849280956066</v>
      </c>
      <c r="E572" s="0" t="n">
        <v>-0.108297312599227</v>
      </c>
      <c r="F572" s="0" t="n">
        <v>-0.756259673019918</v>
      </c>
      <c r="G572" s="0" t="n">
        <v>-0.476743370183187</v>
      </c>
      <c r="H572" s="0" t="n">
        <v>-0.279725550429401</v>
      </c>
      <c r="I572" s="0" t="n">
        <v>0.607285285290644</v>
      </c>
      <c r="J572" s="0" t="n">
        <v>-0.872330276659556</v>
      </c>
      <c r="K572" s="0" t="n">
        <v>0.690207735797115</v>
      </c>
      <c r="L572" s="0" t="n">
        <v>0.981719971814476</v>
      </c>
      <c r="M572" s="0" t="n">
        <v>-0.405207458718193</v>
      </c>
      <c r="N572" s="0" t="n">
        <v>0.0846026904841699</v>
      </c>
      <c r="O572" s="0" t="n">
        <v>-0.588599181927567</v>
      </c>
      <c r="P572" s="0" t="n">
        <v>0.0771922712365195</v>
      </c>
      <c r="Q572" s="0" t="n">
        <v>-0.296912355673192</v>
      </c>
      <c r="R572" s="0" t="n">
        <v>0.514862788572311</v>
      </c>
      <c r="S572" s="0" t="n">
        <v>1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1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0</v>
      </c>
      <c r="AJ572" s="0" t="n">
        <v>0</v>
      </c>
    </row>
    <row r="573" customFormat="false" ht="15" hidden="false" customHeight="false" outlineLevel="0" collapsed="false">
      <c r="A573" s="0" t="s">
        <v>607</v>
      </c>
      <c r="B573" s="0" t="n">
        <v>1</v>
      </c>
      <c r="C573" s="0" t="n">
        <v>-0.888995232079501</v>
      </c>
      <c r="D573" s="0" t="n">
        <v>-0.128817068115942</v>
      </c>
      <c r="E573" s="0" t="n">
        <v>-0.349292694466554</v>
      </c>
      <c r="F573" s="0" t="n">
        <v>-0.915021403179465</v>
      </c>
      <c r="G573" s="0" t="n">
        <v>-0.729673749420205</v>
      </c>
      <c r="H573" s="0" t="n">
        <v>-0.533046067039673</v>
      </c>
      <c r="I573" s="0" t="n">
        <v>-1.03957753288298</v>
      </c>
      <c r="J573" s="0" t="n">
        <v>-0.067659484746046</v>
      </c>
      <c r="K573" s="0" t="n">
        <v>-0.149766442883367</v>
      </c>
      <c r="L573" s="0" t="n">
        <v>0.131698260101833</v>
      </c>
      <c r="M573" s="0" t="n">
        <v>-0.107974637549722</v>
      </c>
      <c r="N573" s="0" t="n">
        <v>-0.180160192575284</v>
      </c>
      <c r="O573" s="0" t="n">
        <v>-0.319185332251216</v>
      </c>
      <c r="P573" s="0" t="n">
        <v>-0.335176607133119</v>
      </c>
      <c r="Q573" s="0" t="n">
        <v>-0.300944850024711</v>
      </c>
      <c r="R573" s="0" t="n">
        <v>-0.248813617506255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0</v>
      </c>
      <c r="AJ573" s="0" t="n">
        <v>0</v>
      </c>
    </row>
    <row r="574" customFormat="false" ht="15" hidden="false" customHeight="false" outlineLevel="0" collapsed="false">
      <c r="A574" s="0" t="s">
        <v>608</v>
      </c>
      <c r="B574" s="0" t="n">
        <v>1</v>
      </c>
      <c r="C574" s="0" t="n">
        <v>-0.591586155959745</v>
      </c>
      <c r="D574" s="0" t="n">
        <v>-0.648151516147026</v>
      </c>
      <c r="E574" s="0" t="n">
        <v>-0.298756870432435</v>
      </c>
      <c r="F574" s="0" t="n">
        <v>0.142742003266308</v>
      </c>
      <c r="G574" s="0" t="n">
        <v>-0.46348550428545</v>
      </c>
      <c r="H574" s="0" t="n">
        <v>-0.282248092154549</v>
      </c>
      <c r="I574" s="0" t="n">
        <v>-0.639431248814306</v>
      </c>
      <c r="J574" s="0" t="n">
        <v>1.08063457680372</v>
      </c>
      <c r="K574" s="0" t="n">
        <v>-1.08264091610632</v>
      </c>
      <c r="L574" s="0" t="n">
        <v>-1.43738010662251</v>
      </c>
      <c r="M574" s="0" t="n">
        <v>0.754272818887084</v>
      </c>
      <c r="N574" s="0" t="n">
        <v>-1.00136691523505</v>
      </c>
      <c r="O574" s="0" t="n">
        <v>-0.161509115211252</v>
      </c>
      <c r="P574" s="0" t="n">
        <v>0.0208723711984689</v>
      </c>
      <c r="Q574" s="0" t="n">
        <v>0.331719080207548</v>
      </c>
      <c r="R574" s="0" t="n">
        <v>-0.462646515915972</v>
      </c>
      <c r="S574" s="0" t="n">
        <v>1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0</v>
      </c>
      <c r="Z574" s="0" t="n">
        <v>1</v>
      </c>
      <c r="AA574" s="0" t="n">
        <v>0</v>
      </c>
      <c r="AB574" s="0" t="n">
        <v>0</v>
      </c>
      <c r="AC574" s="0" t="n">
        <v>0</v>
      </c>
      <c r="AD574" s="0" t="n">
        <v>1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0</v>
      </c>
    </row>
    <row r="575" customFormat="false" ht="15" hidden="false" customHeight="false" outlineLevel="0" collapsed="false">
      <c r="A575" s="0" t="s">
        <v>609</v>
      </c>
      <c r="B575" s="0" t="n">
        <v>1</v>
      </c>
      <c r="C575" s="0" t="n">
        <v>-0.450100414477282</v>
      </c>
      <c r="D575" s="0" t="n">
        <v>-0.922276606499453</v>
      </c>
      <c r="E575" s="0" t="n">
        <v>-0.433510174031406</v>
      </c>
      <c r="F575" s="0" t="n">
        <v>1.0454533397928</v>
      </c>
      <c r="G575" s="0" t="n">
        <v>-0.121960408012438</v>
      </c>
      <c r="H575" s="0" t="n">
        <v>0.0105876508340668</v>
      </c>
      <c r="I575" s="0" t="n">
        <v>-0.907418978228934</v>
      </c>
      <c r="J575" s="0" t="n">
        <v>-0.848897204537467</v>
      </c>
      <c r="K575" s="0" t="n">
        <v>-0.962958030302789</v>
      </c>
      <c r="L575" s="0" t="n">
        <v>0.374206979025032</v>
      </c>
      <c r="M575" s="0" t="n">
        <v>0.258666618987481</v>
      </c>
      <c r="N575" s="0" t="n">
        <v>-0.00231597426875968</v>
      </c>
      <c r="O575" s="0" t="n">
        <v>-0.679023295556091</v>
      </c>
      <c r="P575" s="0" t="n">
        <v>-0.49020488748927</v>
      </c>
      <c r="Q575" s="0" t="n">
        <v>-0.162030306539186</v>
      </c>
      <c r="R575" s="0" t="n">
        <v>-0.311948513610252</v>
      </c>
      <c r="S575" s="0" t="n">
        <v>0</v>
      </c>
      <c r="T575" s="0" t="n">
        <v>0</v>
      </c>
      <c r="U575" s="0" t="n">
        <v>0</v>
      </c>
      <c r="V575" s="0" t="n">
        <v>1</v>
      </c>
      <c r="W575" s="0" t="n">
        <v>0</v>
      </c>
      <c r="X575" s="0" t="n">
        <v>1</v>
      </c>
      <c r="Y575" s="0" t="n">
        <v>0</v>
      </c>
      <c r="Z575" s="0" t="n">
        <v>0</v>
      </c>
      <c r="AA575" s="0" t="n">
        <v>1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J575" s="0" t="n">
        <v>0</v>
      </c>
    </row>
    <row r="576" customFormat="false" ht="15" hidden="false" customHeight="false" outlineLevel="0" collapsed="false">
      <c r="A576" s="0" t="s">
        <v>610</v>
      </c>
      <c r="B576" s="0" t="n">
        <v>1</v>
      </c>
      <c r="C576" s="0" t="n">
        <v>-0.122191213025606</v>
      </c>
      <c r="D576" s="0" t="n">
        <v>-0.838167628303209</v>
      </c>
      <c r="E576" s="0" t="n">
        <v>-0.451449513191853</v>
      </c>
      <c r="F576" s="0" t="n">
        <v>1.23240282972093</v>
      </c>
      <c r="G576" s="0" t="n">
        <v>0.286809061779792</v>
      </c>
      <c r="H576" s="0" t="n">
        <v>0.367595811217219</v>
      </c>
      <c r="I576" s="0" t="n">
        <v>-0.514749626742198</v>
      </c>
      <c r="J576" s="0" t="n">
        <v>-0.587015581962014</v>
      </c>
      <c r="K576" s="0" t="n">
        <v>-0.485089338967278</v>
      </c>
      <c r="L576" s="0" t="n">
        <v>0.0874805447263151</v>
      </c>
      <c r="M576" s="0" t="n">
        <v>2.49061784191022</v>
      </c>
      <c r="N576" s="0" t="n">
        <v>0.189192762255424</v>
      </c>
      <c r="O576" s="0" t="n">
        <v>-0.484696926204303</v>
      </c>
      <c r="P576" s="0" t="n">
        <v>-0.28780948069629</v>
      </c>
      <c r="Q576" s="0" t="n">
        <v>-0.0294620603449355</v>
      </c>
      <c r="R576" s="0" t="n">
        <v>-0.372613627105475</v>
      </c>
      <c r="S576" s="0" t="n">
        <v>1</v>
      </c>
      <c r="T576" s="0" t="n">
        <v>0</v>
      </c>
      <c r="U576" s="0" t="n">
        <v>0</v>
      </c>
      <c r="V576" s="0" t="n">
        <v>0</v>
      </c>
      <c r="W576" s="0" t="n">
        <v>1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1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0.107931161310808</v>
      </c>
      <c r="AJ576" s="0" t="n">
        <v>0.333333333333333</v>
      </c>
    </row>
    <row r="577" customFormat="false" ht="15" hidden="false" customHeight="false" outlineLevel="0" collapsed="false">
      <c r="A577" s="0" t="s">
        <v>611</v>
      </c>
      <c r="B577" s="0" t="n">
        <v>1</v>
      </c>
      <c r="C577" s="0" t="n">
        <v>-0.346326576478598</v>
      </c>
      <c r="D577" s="0" t="n">
        <v>-0.843996768275682</v>
      </c>
      <c r="E577" s="0" t="n">
        <v>-0.46869240813633</v>
      </c>
      <c r="F577" s="0" t="n">
        <v>0.945250348043953</v>
      </c>
      <c r="G577" s="0" t="n">
        <v>0.0529325120359403</v>
      </c>
      <c r="H577" s="0" t="n">
        <v>0.155812265942246</v>
      </c>
      <c r="I577" s="0" t="n">
        <v>-0.50869666223663</v>
      </c>
      <c r="J577" s="0" t="n">
        <v>-0.818404614132095</v>
      </c>
      <c r="K577" s="0" t="n">
        <v>-0.299621720609761</v>
      </c>
      <c r="L577" s="0" t="n">
        <v>0.570116693631924</v>
      </c>
      <c r="M577" s="0" t="n">
        <v>-0.384495679277498</v>
      </c>
      <c r="N577" s="0" t="n">
        <v>0.0946712828550757</v>
      </c>
      <c r="O577" s="0" t="n">
        <v>0.809888731572332</v>
      </c>
      <c r="P577" s="0" t="n">
        <v>2.07133040090983</v>
      </c>
      <c r="Q577" s="0" t="n">
        <v>1.32506408565507</v>
      </c>
      <c r="R577" s="0" t="n">
        <v>-0.268091421887482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1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</row>
    <row r="578" customFormat="false" ht="15" hidden="false" customHeight="false" outlineLevel="0" collapsed="false">
      <c r="A578" s="0" t="s">
        <v>612</v>
      </c>
      <c r="B578" s="0" t="n">
        <v>1</v>
      </c>
      <c r="C578" s="0" t="n">
        <v>-0.307345899296026</v>
      </c>
      <c r="D578" s="0" t="n">
        <v>-0.740845381816568</v>
      </c>
      <c r="E578" s="0" t="n">
        <v>-0.572709640880324</v>
      </c>
      <c r="F578" s="0" t="n">
        <v>0.706894799349737</v>
      </c>
      <c r="G578" s="0" t="n">
        <v>0.275190866816004</v>
      </c>
      <c r="H578" s="0" t="n">
        <v>0.309587492726759</v>
      </c>
      <c r="I578" s="0" t="n">
        <v>-0.86137616031765</v>
      </c>
      <c r="J578" s="0" t="n">
        <v>-0.442565296348366</v>
      </c>
      <c r="K578" s="0" t="n">
        <v>-0.551883912281365</v>
      </c>
      <c r="L578" s="0" t="n">
        <v>0.884352567950047</v>
      </c>
      <c r="M578" s="0" t="n">
        <v>0.546266227498168</v>
      </c>
      <c r="N578" s="0" t="n">
        <v>-0.0945771574225775</v>
      </c>
      <c r="O578" s="0" t="n">
        <v>-0.44288301224838</v>
      </c>
      <c r="P578" s="0" t="n">
        <v>-0.353906369439149</v>
      </c>
      <c r="Q578" s="0" t="n">
        <v>-0.254807550850141</v>
      </c>
      <c r="R578" s="0" t="n">
        <v>-0.248813617506255</v>
      </c>
      <c r="S578" s="0" t="n">
        <v>0</v>
      </c>
      <c r="T578" s="0" t="n">
        <v>0</v>
      </c>
      <c r="U578" s="0" t="n">
        <v>0</v>
      </c>
      <c r="V578" s="0" t="n">
        <v>1</v>
      </c>
      <c r="W578" s="0" t="n">
        <v>0</v>
      </c>
      <c r="X578" s="0" t="n">
        <v>0</v>
      </c>
      <c r="Y578" s="0" t="n">
        <v>1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0</v>
      </c>
      <c r="AI578" s="0" t="n">
        <v>0</v>
      </c>
      <c r="AJ578" s="0" t="n">
        <v>0</v>
      </c>
    </row>
    <row r="579" customFormat="false" ht="15" hidden="false" customHeight="false" outlineLevel="0" collapsed="false">
      <c r="A579" s="0" t="s">
        <v>613</v>
      </c>
      <c r="B579" s="0" t="n">
        <v>1</v>
      </c>
      <c r="C579" s="0" t="n">
        <v>-0.724680197228776</v>
      </c>
      <c r="D579" s="0" t="n">
        <v>-0.604375890367927</v>
      </c>
      <c r="E579" s="0" t="n">
        <v>-0.543367470754682</v>
      </c>
      <c r="F579" s="0" t="n">
        <v>-0.0985340718640079</v>
      </c>
      <c r="G579" s="0" t="n">
        <v>-0.284676211465062</v>
      </c>
      <c r="H579" s="0" t="n">
        <v>-0.151895878297365</v>
      </c>
      <c r="I579" s="0" t="n">
        <v>0.0391776557540237</v>
      </c>
      <c r="J579" s="0" t="n">
        <v>-0.927280548172591</v>
      </c>
      <c r="K579" s="0" t="n">
        <v>-0.879028000534962</v>
      </c>
      <c r="L579" s="0" t="n">
        <v>-0.604304174224686</v>
      </c>
      <c r="M579" s="0" t="n">
        <v>-0.519718685773715</v>
      </c>
      <c r="N579" s="0" t="n">
        <v>-0.266359672158862</v>
      </c>
      <c r="O579" s="0" t="n">
        <v>-0.385796305647146</v>
      </c>
      <c r="P579" s="0" t="n">
        <v>0.717590224732356</v>
      </c>
      <c r="Q579" s="0" t="n">
        <v>1.30344353536559</v>
      </c>
      <c r="R579" s="0" t="n">
        <v>0.27291955390368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1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1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0</v>
      </c>
    </row>
    <row r="580" customFormat="false" ht="15" hidden="false" customHeight="false" outlineLevel="0" collapsed="false">
      <c r="A580" s="0" t="s">
        <v>614</v>
      </c>
      <c r="B580" s="0" t="n">
        <v>1</v>
      </c>
      <c r="C580" s="0" t="n">
        <v>-0.513639596111459</v>
      </c>
      <c r="D580" s="0" t="n">
        <v>-0.599366097213406</v>
      </c>
      <c r="E580" s="0" t="n">
        <v>-0.545848136716144</v>
      </c>
      <c r="F580" s="0" t="n">
        <v>0.134278996711051</v>
      </c>
      <c r="G580" s="0" t="n">
        <v>-0.0236666433549776</v>
      </c>
      <c r="H580" s="0" t="n">
        <v>0.0679668018177552</v>
      </c>
      <c r="I580" s="0" t="n">
        <v>0.120780625566698</v>
      </c>
      <c r="J580" s="0" t="n">
        <v>-0.392622117286755</v>
      </c>
      <c r="K580" s="0" t="n">
        <v>-0.133369321935168</v>
      </c>
      <c r="L580" s="0" t="n">
        <v>-0.553543997426619</v>
      </c>
      <c r="M580" s="0" t="n">
        <v>2.01602273923893</v>
      </c>
      <c r="N580" s="0" t="n">
        <v>-0.335812411370422</v>
      </c>
      <c r="O580" s="0" t="n">
        <v>0.453621280622311</v>
      </c>
      <c r="P580" s="0" t="n">
        <v>2.61989875414404</v>
      </c>
      <c r="Q580" s="0" t="n">
        <v>2.70539373305126</v>
      </c>
      <c r="R580" s="0" t="n">
        <v>1.29317690460105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1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J580" s="0" t="n">
        <v>0</v>
      </c>
    </row>
    <row r="581" customFormat="false" ht="15" hidden="false" customHeight="false" outlineLevel="0" collapsed="false">
      <c r="A581" s="0" t="s">
        <v>615</v>
      </c>
      <c r="B581" s="0" t="n">
        <v>1</v>
      </c>
      <c r="C581" s="0" t="n">
        <v>0.628389817679672</v>
      </c>
      <c r="D581" s="0" t="n">
        <v>-0.730587182418397</v>
      </c>
      <c r="E581" s="0" t="n">
        <v>-1.02015247563112</v>
      </c>
      <c r="F581" s="0" t="n">
        <v>1.85425067958989</v>
      </c>
      <c r="G581" s="0" t="n">
        <v>2.79738496841946</v>
      </c>
      <c r="H581" s="0" t="n">
        <v>1.76136732712067</v>
      </c>
      <c r="I581" s="0" t="n">
        <v>0.173837405234129</v>
      </c>
      <c r="J581" s="0" t="n">
        <v>3</v>
      </c>
      <c r="K581" s="0" t="n">
        <v>-0.486178541589042</v>
      </c>
      <c r="L581" s="0" t="n">
        <v>-0.308294639686002</v>
      </c>
      <c r="M581" s="0" t="n">
        <v>0.419117020929325</v>
      </c>
      <c r="N581" s="0" t="n">
        <v>-1.23315002124286</v>
      </c>
      <c r="O581" s="0" t="n">
        <v>1.23078776321426</v>
      </c>
      <c r="P581" s="0" t="n">
        <v>0.553709818005379</v>
      </c>
      <c r="Q581" s="0" t="n">
        <v>0.82091201890637</v>
      </c>
      <c r="R581" s="0" t="n">
        <v>-0.31495582023044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1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  <c r="AI581" s="0" t="n">
        <v>0</v>
      </c>
      <c r="AJ581" s="0" t="n">
        <v>0</v>
      </c>
    </row>
    <row r="582" customFormat="false" ht="15" hidden="false" customHeight="false" outlineLevel="0" collapsed="false">
      <c r="A582" s="0" t="s">
        <v>616</v>
      </c>
      <c r="B582" s="0" t="n">
        <v>1</v>
      </c>
      <c r="C582" s="0" t="n">
        <v>1.24201987030162</v>
      </c>
      <c r="D582" s="0" t="n">
        <v>-0.59608651854985</v>
      </c>
      <c r="E582" s="0" t="n">
        <v>-0.951861443793502</v>
      </c>
      <c r="F582" s="0" t="n">
        <v>2.13725053825769</v>
      </c>
      <c r="G582" s="0" t="n">
        <v>3</v>
      </c>
      <c r="H582" s="0" t="n">
        <v>2.31814123923303</v>
      </c>
      <c r="I582" s="0" t="n">
        <v>0.424066016186955</v>
      </c>
      <c r="J582" s="0" t="n">
        <v>0.74908385728783</v>
      </c>
      <c r="K582" s="0" t="n">
        <v>-0.765313003606346</v>
      </c>
      <c r="L582" s="0" t="n">
        <v>-0.188634842840829</v>
      </c>
      <c r="M582" s="0" t="n">
        <v>1.3583520969927</v>
      </c>
      <c r="N582" s="0" t="n">
        <v>0.66056727039542</v>
      </c>
      <c r="O582" s="0" t="n">
        <v>0.589987264990706</v>
      </c>
      <c r="P582" s="0" t="n">
        <v>1.40789573847462</v>
      </c>
      <c r="Q582" s="0" t="n">
        <v>0.856528426061676</v>
      </c>
      <c r="R582" s="0" t="n">
        <v>-0.404988294294583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1</v>
      </c>
      <c r="Y582" s="0" t="n">
        <v>0</v>
      </c>
      <c r="Z582" s="0" t="n">
        <v>0</v>
      </c>
      <c r="AA582" s="0" t="n">
        <v>1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0.492434610923435</v>
      </c>
      <c r="AJ582" s="0" t="n">
        <v>0.333333333333333</v>
      </c>
    </row>
    <row r="583" customFormat="false" ht="15" hidden="false" customHeight="false" outlineLevel="0" collapsed="false">
      <c r="A583" s="0" t="s">
        <v>617</v>
      </c>
      <c r="B583" s="0" t="n">
        <v>1</v>
      </c>
      <c r="C583" s="0" t="n">
        <v>0.623089001965498</v>
      </c>
      <c r="D583" s="0" t="n">
        <v>-0.538731453568733</v>
      </c>
      <c r="E583" s="0" t="n">
        <v>-0.922848397804202</v>
      </c>
      <c r="F583" s="0" t="n">
        <v>1.27178271005874</v>
      </c>
      <c r="G583" s="0" t="n">
        <v>2.4290083368014</v>
      </c>
      <c r="H583" s="0" t="n">
        <v>1.64958312175216</v>
      </c>
      <c r="I583" s="0" t="n">
        <v>0.629570408941297</v>
      </c>
      <c r="J583" s="0" t="n">
        <v>-0.103539845318666</v>
      </c>
      <c r="K583" s="0" t="n">
        <v>0.571324371678217</v>
      </c>
      <c r="L583" s="0" t="n">
        <v>0.711046929246743</v>
      </c>
      <c r="M583" s="0" t="n">
        <v>0.160905861123849</v>
      </c>
      <c r="N583" s="0" t="n">
        <v>0.632005345098359</v>
      </c>
      <c r="O583" s="0" t="n">
        <v>-0.304246793412919</v>
      </c>
      <c r="P583" s="0" t="n">
        <v>-0.632024171150213</v>
      </c>
      <c r="Q583" s="0" t="n">
        <v>-0.391778077849425</v>
      </c>
      <c r="R583" s="0" t="n">
        <v>0.284909973649826</v>
      </c>
      <c r="S583" s="0" t="n">
        <v>0</v>
      </c>
      <c r="T583" s="0" t="n">
        <v>1</v>
      </c>
      <c r="U583" s="0" t="n">
        <v>0</v>
      </c>
      <c r="V583" s="0" t="n">
        <v>0</v>
      </c>
      <c r="W583" s="0" t="n">
        <v>1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1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1</v>
      </c>
      <c r="AH583" s="0" t="n">
        <v>0</v>
      </c>
      <c r="AI583" s="0" t="n">
        <v>0.145015026434327</v>
      </c>
      <c r="AJ583" s="0" t="n">
        <v>0</v>
      </c>
    </row>
    <row r="584" customFormat="false" ht="15" hidden="false" customHeight="false" outlineLevel="0" collapsed="false">
      <c r="A584" s="0" t="s">
        <v>618</v>
      </c>
      <c r="B584" s="0" t="n">
        <v>1</v>
      </c>
      <c r="C584" s="0" t="n">
        <v>-0.765957011967457</v>
      </c>
      <c r="D584" s="0" t="n">
        <v>-0.22849750711502</v>
      </c>
      <c r="E584" s="0" t="n">
        <v>-0.70271227514905</v>
      </c>
      <c r="F584" s="0" t="n">
        <v>-0.695915689964648</v>
      </c>
      <c r="G584" s="0" t="n">
        <v>-0.0828467398263233</v>
      </c>
      <c r="H584" s="0" t="n">
        <v>-0.0202425466293111</v>
      </c>
      <c r="I584" s="0" t="n">
        <v>1.29696802227478</v>
      </c>
      <c r="J584" s="0" t="n">
        <v>-1.58980643892747</v>
      </c>
      <c r="K584" s="0" t="n">
        <v>1.85407731891314</v>
      </c>
      <c r="L584" s="0" t="n">
        <v>-0.115368468845213</v>
      </c>
      <c r="M584" s="0" t="n">
        <v>-2.66932828598116</v>
      </c>
      <c r="N584" s="0" t="n">
        <v>0.139260763354805</v>
      </c>
      <c r="O584" s="0" t="n">
        <v>-0.567192802685373</v>
      </c>
      <c r="P584" s="0" t="n">
        <v>-0.151914746728639</v>
      </c>
      <c r="Q584" s="0" t="n">
        <v>-0.323922816560967</v>
      </c>
      <c r="R584" s="0" t="n">
        <v>0.0322636228004553</v>
      </c>
      <c r="S584" s="0" t="n">
        <v>0</v>
      </c>
      <c r="T584" s="0" t="n">
        <v>1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1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0</v>
      </c>
      <c r="AI584" s="0" t="n">
        <v>0</v>
      </c>
      <c r="AJ584" s="0" t="n">
        <v>0</v>
      </c>
    </row>
    <row r="585" customFormat="false" ht="15" hidden="false" customHeight="false" outlineLevel="0" collapsed="false">
      <c r="A585" s="0" t="s">
        <v>619</v>
      </c>
      <c r="B585" s="0" t="n">
        <v>1</v>
      </c>
      <c r="C585" s="0" t="n">
        <v>-0.403142502236845</v>
      </c>
      <c r="D585" s="0" t="n">
        <v>-0.0261250722560272</v>
      </c>
      <c r="E585" s="0" t="n">
        <v>-0.596817355702389</v>
      </c>
      <c r="F585" s="0" t="n">
        <v>-0.60783114370687</v>
      </c>
      <c r="G585" s="0" t="n">
        <v>0.198922407762512</v>
      </c>
      <c r="H585" s="0" t="n">
        <v>0.237360731592703</v>
      </c>
      <c r="I585" s="0" t="n">
        <v>1.61023095810501</v>
      </c>
      <c r="J585" s="0" t="n">
        <v>0.967011377070022</v>
      </c>
      <c r="K585" s="0" t="n">
        <v>-0.710511818667268</v>
      </c>
      <c r="L585" s="0" t="n">
        <v>-0.836442378053838</v>
      </c>
      <c r="M585" s="0" t="n">
        <v>-0.333425354907258</v>
      </c>
      <c r="N585" s="0" t="n">
        <v>-0.811091067572607</v>
      </c>
      <c r="O585" s="0" t="n">
        <v>2.00705975760394</v>
      </c>
      <c r="P585" s="0" t="n">
        <v>-0.0501338630056844</v>
      </c>
      <c r="Q585" s="0" t="n">
        <v>-0.562600859639485</v>
      </c>
      <c r="R585" s="0" t="n">
        <v>0.694472887883869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0</v>
      </c>
      <c r="Y585" s="0" t="n">
        <v>0</v>
      </c>
      <c r="Z585" s="0" t="n">
        <v>1</v>
      </c>
      <c r="AA585" s="0" t="n">
        <v>0</v>
      </c>
      <c r="AB585" s="0" t="n">
        <v>0</v>
      </c>
      <c r="AC585" s="0" t="n">
        <v>0</v>
      </c>
      <c r="AD585" s="0" t="n">
        <v>1</v>
      </c>
      <c r="AE585" s="0" t="n">
        <v>0</v>
      </c>
      <c r="AF585" s="0" t="n">
        <v>0</v>
      </c>
      <c r="AG585" s="0" t="n">
        <v>0</v>
      </c>
      <c r="AH585" s="0" t="n">
        <v>0</v>
      </c>
      <c r="AI585" s="0" t="n">
        <v>0.624525979464985</v>
      </c>
      <c r="AJ585" s="0" t="n">
        <v>0.333333333333333</v>
      </c>
    </row>
    <row r="586" customFormat="false" ht="15" hidden="false" customHeight="false" outlineLevel="0" collapsed="false">
      <c r="A586" s="0" t="s">
        <v>620</v>
      </c>
      <c r="B586" s="0" t="n">
        <v>1</v>
      </c>
      <c r="C586" s="0" t="n">
        <v>-0.207830365602662</v>
      </c>
      <c r="D586" s="0" t="n">
        <v>-0.218185283371836</v>
      </c>
      <c r="E586" s="0" t="n">
        <v>-0.607919831713878</v>
      </c>
      <c r="F586" s="0" t="n">
        <v>-0.19542125893513</v>
      </c>
      <c r="G586" s="0" t="n">
        <v>0.464378403925126</v>
      </c>
      <c r="H586" s="0" t="n">
        <v>0.450461041602448</v>
      </c>
      <c r="I586" s="0" t="n">
        <v>1.2237230316335</v>
      </c>
      <c r="J586" s="0" t="n">
        <v>-0.769011965286093</v>
      </c>
      <c r="K586" s="0" t="n">
        <v>-0.962550974920286</v>
      </c>
      <c r="L586" s="0" t="n">
        <v>-0.354656402383418</v>
      </c>
      <c r="M586" s="0" t="n">
        <v>1.08701389799155</v>
      </c>
      <c r="N586" s="0" t="n">
        <v>0.216316317213785</v>
      </c>
      <c r="O586" s="0" t="n">
        <v>-0.331180156178975</v>
      </c>
      <c r="P586" s="0" t="n">
        <v>-0.610268280530032</v>
      </c>
      <c r="Q586" s="0" t="n">
        <v>-0.445281336725937</v>
      </c>
      <c r="R586" s="0" t="n">
        <v>-0.0897080773510389</v>
      </c>
      <c r="S586" s="0" t="n">
        <v>0</v>
      </c>
      <c r="T586" s="0" t="n">
        <v>1</v>
      </c>
      <c r="U586" s="0" t="n">
        <v>0</v>
      </c>
      <c r="V586" s="0" t="n">
        <v>0</v>
      </c>
      <c r="W586" s="0" t="n">
        <v>1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1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0.230262389302734</v>
      </c>
      <c r="AJ586" s="0" t="n">
        <v>0</v>
      </c>
    </row>
    <row r="587" customFormat="false" ht="15" hidden="false" customHeight="false" outlineLevel="0" collapsed="false">
      <c r="A587" s="0" t="s">
        <v>621</v>
      </c>
      <c r="B587" s="0" t="n">
        <v>1</v>
      </c>
      <c r="C587" s="0" t="n">
        <v>0.366660144230891</v>
      </c>
      <c r="D587" s="0" t="n">
        <v>-0.0257748254426604</v>
      </c>
      <c r="E587" s="0" t="n">
        <v>-0.478654206053444</v>
      </c>
      <c r="F587" s="0" t="n">
        <v>0.0340486015804638</v>
      </c>
      <c r="G587" s="0" t="n">
        <v>0.91019391172905</v>
      </c>
      <c r="H587" s="0" t="n">
        <v>0.900331483982114</v>
      </c>
      <c r="I587" s="0" t="n">
        <v>-0.270433056349351</v>
      </c>
      <c r="J587" s="0" t="n">
        <v>-0.363011733111277</v>
      </c>
      <c r="K587" s="0" t="n">
        <v>-0.523760047126923</v>
      </c>
      <c r="L587" s="0" t="n">
        <v>0.363561290451704</v>
      </c>
      <c r="M587" s="0" t="n">
        <v>2.79054676544511</v>
      </c>
      <c r="N587" s="0" t="n">
        <v>0.551662087608063</v>
      </c>
      <c r="O587" s="0" t="n">
        <v>1.35064270986895</v>
      </c>
      <c r="P587" s="0" t="n">
        <v>2.9471902076555</v>
      </c>
      <c r="Q587" s="0" t="n">
        <v>3</v>
      </c>
      <c r="R587" s="0" t="n">
        <v>0.744873829641532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1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0.170252439300894</v>
      </c>
      <c r="AJ587" s="0" t="n">
        <v>0</v>
      </c>
    </row>
    <row r="588" customFormat="false" ht="15" hidden="false" customHeight="false" outlineLevel="0" collapsed="false">
      <c r="A588" s="0" t="s">
        <v>622</v>
      </c>
      <c r="B588" s="0" t="n">
        <v>1</v>
      </c>
      <c r="C588" s="0" t="n">
        <v>1.02940791182541</v>
      </c>
      <c r="D588" s="0" t="n">
        <v>-0.121807854958342</v>
      </c>
      <c r="E588" s="0" t="n">
        <v>-0.539980813322759</v>
      </c>
      <c r="F588" s="0" t="n">
        <v>0.755079185976887</v>
      </c>
      <c r="G588" s="0" t="n">
        <v>1.84292331536921</v>
      </c>
      <c r="H588" s="0" t="n">
        <v>1.64928627851191</v>
      </c>
      <c r="I588" s="0" t="n">
        <v>-0.168108869631384</v>
      </c>
      <c r="J588" s="0" t="n">
        <v>0.860836710738651</v>
      </c>
      <c r="K588" s="0" t="n">
        <v>-0.664118136645145</v>
      </c>
      <c r="L588" s="0" t="n">
        <v>-0.764647794533946</v>
      </c>
      <c r="M588" s="0" t="n">
        <v>1.09140267756079</v>
      </c>
      <c r="N588" s="0" t="n">
        <v>0.419126534970618</v>
      </c>
      <c r="O588" s="0" t="n">
        <v>3</v>
      </c>
      <c r="P588" s="0" t="n">
        <v>3</v>
      </c>
      <c r="Q588" s="0" t="n">
        <v>-0.255177926693596</v>
      </c>
      <c r="R588" s="0" t="n">
        <v>0.901920954266584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1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</row>
    <row r="589" customFormat="false" ht="15" hidden="false" customHeight="false" outlineLevel="0" collapsed="false">
      <c r="A589" s="0" t="s">
        <v>623</v>
      </c>
      <c r="B589" s="0" t="n">
        <v>1</v>
      </c>
      <c r="C589" s="0" t="n">
        <v>0.124230586592402</v>
      </c>
      <c r="D589" s="0" t="n">
        <v>-0.263977320337119</v>
      </c>
      <c r="E589" s="0" t="n">
        <v>-0.571377227249171</v>
      </c>
      <c r="F589" s="0" t="n">
        <v>0.1840493850909</v>
      </c>
      <c r="G589" s="0" t="n">
        <v>0.805793401039709</v>
      </c>
      <c r="H589" s="0" t="n">
        <v>0.752205554909211</v>
      </c>
      <c r="I589" s="0" t="n">
        <v>-0.277682916325275</v>
      </c>
      <c r="J589" s="0" t="n">
        <v>0.130962666049315</v>
      </c>
      <c r="K589" s="0" t="n">
        <v>-1.04492627947911</v>
      </c>
      <c r="L589" s="0" t="n">
        <v>1.13094668776061</v>
      </c>
      <c r="M589" s="0" t="n">
        <v>-0.012445350153848</v>
      </c>
      <c r="N589" s="0" t="n">
        <v>0.0130951365030362</v>
      </c>
      <c r="O589" s="0" t="n">
        <v>-0.726972625319847</v>
      </c>
      <c r="P589" s="0" t="n">
        <v>-0.479661616286719</v>
      </c>
      <c r="Q589" s="0" t="n">
        <v>-0.286003391483633</v>
      </c>
      <c r="R589" s="0" t="n">
        <v>-0.314735627230029</v>
      </c>
      <c r="S589" s="0" t="n">
        <v>0</v>
      </c>
      <c r="T589" s="0" t="n">
        <v>0</v>
      </c>
      <c r="U589" s="0" t="n">
        <v>0</v>
      </c>
      <c r="V589" s="0" t="n">
        <v>1</v>
      </c>
      <c r="W589" s="0" t="n">
        <v>0</v>
      </c>
      <c r="X589" s="0" t="n">
        <v>0</v>
      </c>
      <c r="Y589" s="0" t="n">
        <v>0</v>
      </c>
      <c r="Z589" s="0" t="n">
        <v>1</v>
      </c>
      <c r="AA589" s="0" t="n">
        <v>0</v>
      </c>
      <c r="AB589" s="0" t="n">
        <v>0</v>
      </c>
      <c r="AC589" s="0" t="n">
        <v>0</v>
      </c>
      <c r="AD589" s="0" t="n">
        <v>1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0</v>
      </c>
    </row>
    <row r="590" customFormat="false" ht="15" hidden="false" customHeight="false" outlineLevel="0" collapsed="false">
      <c r="A590" s="0" t="s">
        <v>624</v>
      </c>
      <c r="B590" s="0" t="n">
        <v>1</v>
      </c>
      <c r="C590" s="0" t="n">
        <v>-0.474205269365603</v>
      </c>
      <c r="D590" s="0" t="n">
        <v>0.651220270195264</v>
      </c>
      <c r="E590" s="0" t="n">
        <v>0.158501808217353</v>
      </c>
      <c r="F590" s="0" t="n">
        <v>-1.21764323762568</v>
      </c>
      <c r="G590" s="0" t="n">
        <v>-0.830307284637297</v>
      </c>
      <c r="H590" s="0" t="n">
        <v>-0.661141543897063</v>
      </c>
      <c r="I590" s="0" t="n">
        <v>1.06020008836769</v>
      </c>
      <c r="J590" s="0" t="n">
        <v>-0.140250226675379</v>
      </c>
      <c r="K590" s="0" t="n">
        <v>0.0899022425018545</v>
      </c>
      <c r="L590" s="0" t="n">
        <v>0.0027693612407569</v>
      </c>
      <c r="M590" s="0" t="n">
        <v>-0.437376560250125</v>
      </c>
      <c r="N590" s="0" t="n">
        <v>-0.423142039077265</v>
      </c>
      <c r="O590" s="0" t="n">
        <v>-0.637852247568346</v>
      </c>
      <c r="P590" s="0" t="n">
        <v>-0.664143676043984</v>
      </c>
      <c r="Q590" s="0" t="n">
        <v>-0.573743562839744</v>
      </c>
      <c r="R590" s="0" t="n">
        <v>-0.718859711206342</v>
      </c>
      <c r="S590" s="0" t="n">
        <v>1</v>
      </c>
      <c r="T590" s="0" t="n">
        <v>0</v>
      </c>
      <c r="U590" s="0" t="n">
        <v>0</v>
      </c>
      <c r="V590" s="0" t="n">
        <v>0</v>
      </c>
      <c r="W590" s="0" t="n">
        <v>1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1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0.553199606430123</v>
      </c>
      <c r="AJ590" s="0" t="n">
        <v>0.333333333333333</v>
      </c>
    </row>
    <row r="591" customFormat="false" ht="15" hidden="false" customHeight="false" outlineLevel="0" collapsed="false">
      <c r="A591" s="0" t="s">
        <v>625</v>
      </c>
      <c r="B591" s="0" t="n">
        <v>1</v>
      </c>
      <c r="C591" s="0" t="n">
        <v>-0.549267149907203</v>
      </c>
      <c r="D591" s="0" t="n">
        <v>0.664397849066253</v>
      </c>
      <c r="E591" s="0" t="n">
        <v>0.133751390885894</v>
      </c>
      <c r="F591" s="0" t="n">
        <v>-1.27286302394282</v>
      </c>
      <c r="G591" s="0" t="n">
        <v>-0.876302323061866</v>
      </c>
      <c r="H591" s="0" t="n">
        <v>-0.711330828133273</v>
      </c>
      <c r="I591" s="0" t="n">
        <v>1.04622833744942</v>
      </c>
      <c r="J591" s="0" t="n">
        <v>-0.0085835009481112</v>
      </c>
      <c r="K591" s="0" t="n">
        <v>-0.159112647453172</v>
      </c>
      <c r="L591" s="0" t="n">
        <v>0.354227745505724</v>
      </c>
      <c r="M591" s="0" t="n">
        <v>-0.418416310001675</v>
      </c>
      <c r="N591" s="0" t="n">
        <v>-0.557526925007326</v>
      </c>
      <c r="O591" s="0" t="n">
        <v>-0.53032147976856</v>
      </c>
      <c r="P591" s="0" t="n">
        <v>0.395407643730526</v>
      </c>
      <c r="Q591" s="0" t="n">
        <v>-0.20215431572535</v>
      </c>
      <c r="R591" s="0" t="n">
        <v>0.7528551002909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1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J591" s="0" t="n">
        <v>0</v>
      </c>
    </row>
    <row r="592" customFormat="false" ht="15" hidden="false" customHeight="false" outlineLevel="0" collapsed="false">
      <c r="A592" s="0" t="s">
        <v>626</v>
      </c>
      <c r="B592" s="0" t="n">
        <v>1</v>
      </c>
      <c r="C592" s="0" t="n">
        <v>0.130060538379988</v>
      </c>
      <c r="D592" s="0" t="n">
        <v>0.520922302108403</v>
      </c>
      <c r="E592" s="0" t="n">
        <v>0.287192318525668</v>
      </c>
      <c r="F592" s="0" t="n">
        <v>-0.733429497130952</v>
      </c>
      <c r="G592" s="0" t="n">
        <v>-0.41937408026578</v>
      </c>
      <c r="H592" s="0" t="n">
        <v>-0.180005108768164</v>
      </c>
      <c r="I592" s="0" t="n">
        <v>-0.240045547047066</v>
      </c>
      <c r="J592" s="0" t="n">
        <v>-0.0726990207945539</v>
      </c>
      <c r="K592" s="0" t="n">
        <v>-0.546254527448912</v>
      </c>
      <c r="L592" s="0" t="n">
        <v>0.498443819128451</v>
      </c>
      <c r="M592" s="0" t="n">
        <v>1.54748020818645</v>
      </c>
      <c r="N592" s="0" t="n">
        <v>0.132068911661301</v>
      </c>
      <c r="O592" s="0" t="n">
        <v>-0.839163192145247</v>
      </c>
      <c r="P592" s="0" t="n">
        <v>-0.592546091843011</v>
      </c>
      <c r="Q592" s="0" t="n">
        <v>-0.452707235035792</v>
      </c>
      <c r="R592" s="0" t="n">
        <v>-0.396797570698803</v>
      </c>
      <c r="S592" s="0" t="n">
        <v>0</v>
      </c>
      <c r="T592" s="0" t="n">
        <v>1</v>
      </c>
      <c r="U592" s="0" t="n">
        <v>0</v>
      </c>
      <c r="V592" s="0" t="n">
        <v>0</v>
      </c>
      <c r="W592" s="0" t="n">
        <v>0</v>
      </c>
      <c r="X592" s="0" t="n">
        <v>1</v>
      </c>
      <c r="Y592" s="0" t="n">
        <v>0</v>
      </c>
      <c r="Z592" s="0" t="n">
        <v>0</v>
      </c>
      <c r="AA592" s="0" t="n">
        <v>1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0.64833799592195</v>
      </c>
      <c r="AJ592" s="0" t="n">
        <v>0.333333333333333</v>
      </c>
    </row>
    <row r="593" customFormat="false" ht="15" hidden="false" customHeight="false" outlineLevel="0" collapsed="false">
      <c r="A593" s="0" t="s">
        <v>627</v>
      </c>
      <c r="B593" s="0" t="n">
        <v>1</v>
      </c>
      <c r="C593" s="0" t="n">
        <v>0.287269705482733</v>
      </c>
      <c r="D593" s="0" t="n">
        <v>0.459323758522467</v>
      </c>
      <c r="E593" s="0" t="n">
        <v>0.310928771862952</v>
      </c>
      <c r="F593" s="0" t="n">
        <v>-0.574644327850845</v>
      </c>
      <c r="G593" s="0" t="n">
        <v>-0.308440683720566</v>
      </c>
      <c r="H593" s="0" t="n">
        <v>-0.0441817004376817</v>
      </c>
      <c r="I593" s="0" t="n">
        <v>-0.192976521086452</v>
      </c>
      <c r="J593" s="0" t="n">
        <v>1.71062807194969</v>
      </c>
      <c r="K593" s="0" t="n">
        <v>-0.554298072209131</v>
      </c>
      <c r="L593" s="0" t="n">
        <v>0.248695825875212</v>
      </c>
      <c r="M593" s="0" t="n">
        <v>0.542091041867576</v>
      </c>
      <c r="N593" s="0" t="n">
        <v>-0.532663666295495</v>
      </c>
      <c r="O593" s="0" t="n">
        <v>-0.395496444725749</v>
      </c>
      <c r="P593" s="0" t="n">
        <v>0.958492370943905</v>
      </c>
      <c r="Q593" s="0" t="n">
        <v>0.542446620686027</v>
      </c>
      <c r="R593" s="0" t="n">
        <v>0.190118708614974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1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1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0.468636705485539</v>
      </c>
      <c r="AJ593" s="0" t="n">
        <v>0</v>
      </c>
    </row>
    <row r="594" customFormat="false" ht="15" hidden="false" customHeight="false" outlineLevel="0" collapsed="false">
      <c r="A594" s="0" t="s">
        <v>628</v>
      </c>
      <c r="B594" s="0" t="n">
        <v>1</v>
      </c>
      <c r="C594" s="0" t="n">
        <v>1.0274958760007</v>
      </c>
      <c r="D594" s="0" t="n">
        <v>0.464368895368317</v>
      </c>
      <c r="E594" s="0" t="n">
        <v>0.212058818416526</v>
      </c>
      <c r="F594" s="0" t="n">
        <v>-0.0783238679335914</v>
      </c>
      <c r="G594" s="0" t="n">
        <v>0.453441707068355</v>
      </c>
      <c r="H594" s="0" t="n">
        <v>0.825520937484156</v>
      </c>
      <c r="I594" s="0" t="n">
        <v>-0.127113388255354</v>
      </c>
      <c r="J594" s="0" t="n">
        <v>0.426270431747024</v>
      </c>
      <c r="K594" s="0" t="n">
        <v>-0.36709866196052</v>
      </c>
      <c r="L594" s="0" t="n">
        <v>0.414542853469214</v>
      </c>
      <c r="M594" s="0" t="n">
        <v>2.59207055567696</v>
      </c>
      <c r="N594" s="0" t="n">
        <v>0.668375566519798</v>
      </c>
      <c r="O594" s="0" t="n">
        <v>-0.0918645370457296</v>
      </c>
      <c r="P594" s="0" t="n">
        <v>1.1886158468552</v>
      </c>
      <c r="Q594" s="0" t="n">
        <v>1.330846974481</v>
      </c>
      <c r="R594" s="0" t="n">
        <v>0.748064854450879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1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0.963493397441695</v>
      </c>
      <c r="AJ594" s="0" t="n">
        <v>0.333333333333333</v>
      </c>
    </row>
    <row r="595" customFormat="false" ht="15" hidden="false" customHeight="false" outlineLevel="0" collapsed="false">
      <c r="A595" s="0" t="s">
        <v>629</v>
      </c>
      <c r="B595" s="0" t="n">
        <v>1</v>
      </c>
      <c r="C595" s="0" t="n">
        <v>0.345063584649016</v>
      </c>
      <c r="D595" s="0" t="n">
        <v>0.273228594071117</v>
      </c>
      <c r="E595" s="0" t="n">
        <v>0.22524420822183</v>
      </c>
      <c r="F595" s="0" t="n">
        <v>-0.350221493326671</v>
      </c>
      <c r="G595" s="0" t="n">
        <v>-0.166198848247869</v>
      </c>
      <c r="H595" s="0" t="n">
        <v>0.108918334890812</v>
      </c>
      <c r="I595" s="0" t="n">
        <v>-1.70179614558853</v>
      </c>
      <c r="J595" s="0" t="n">
        <v>-0.793841802193011</v>
      </c>
      <c r="K595" s="0" t="n">
        <v>-1.13439306119413</v>
      </c>
      <c r="L595" s="0" t="n">
        <v>0.280402170227153</v>
      </c>
      <c r="M595" s="0" t="n">
        <v>0.37447953050761</v>
      </c>
      <c r="N595" s="0" t="n">
        <v>0.850637636580903</v>
      </c>
      <c r="O595" s="0" t="n">
        <v>-0.425113928542739</v>
      </c>
      <c r="P595" s="0" t="n">
        <v>0.123565490869015</v>
      </c>
      <c r="Q595" s="0" t="n">
        <v>0.634490894938365</v>
      </c>
      <c r="R595" s="0" t="n">
        <v>-0.643417661188368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0</v>
      </c>
      <c r="Z595" s="0" t="n">
        <v>1</v>
      </c>
      <c r="AA595" s="0" t="n">
        <v>0</v>
      </c>
      <c r="AB595" s="0" t="n">
        <v>0</v>
      </c>
      <c r="AC595" s="0" t="n">
        <v>0</v>
      </c>
      <c r="AD595" s="0" t="n">
        <v>1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1.48707860792041</v>
      </c>
      <c r="AJ595" s="0" t="n">
        <v>0.666666666666667</v>
      </c>
    </row>
    <row r="596" customFormat="false" ht="15" hidden="false" customHeight="false" outlineLevel="0" collapsed="false">
      <c r="A596" s="0" t="s">
        <v>630</v>
      </c>
      <c r="B596" s="0" t="n">
        <v>1</v>
      </c>
      <c r="C596" s="0" t="n">
        <v>0.0676609526915561</v>
      </c>
      <c r="D596" s="0" t="n">
        <v>-0.25124575275496</v>
      </c>
      <c r="E596" s="0" t="n">
        <v>0.121602524160426</v>
      </c>
      <c r="F596" s="0" t="n">
        <v>0.110098658661654</v>
      </c>
      <c r="G596" s="0" t="n">
        <v>-0.300212666827464</v>
      </c>
      <c r="H596" s="0" t="n">
        <v>-0.0632619529804216</v>
      </c>
      <c r="I596" s="0" t="n">
        <v>-1.56998912907055</v>
      </c>
      <c r="J596" s="0" t="n">
        <v>0.14884315827143</v>
      </c>
      <c r="K596" s="0" t="n">
        <v>-0.286109873078207</v>
      </c>
      <c r="L596" s="0" t="n">
        <v>-0.164047714503582</v>
      </c>
      <c r="M596" s="0" t="n">
        <v>-0.936918594700665</v>
      </c>
      <c r="N596" s="0" t="n">
        <v>-0.0493712324919761</v>
      </c>
      <c r="O596" s="0" t="n">
        <v>-0.785803684461598</v>
      </c>
      <c r="P596" s="0" t="n">
        <v>-0.591647670736472</v>
      </c>
      <c r="Q596" s="0" t="n">
        <v>-0.259342822764837</v>
      </c>
      <c r="R596" s="0" t="n">
        <v>-0.268538443863323</v>
      </c>
      <c r="S596" s="0" t="n">
        <v>1</v>
      </c>
      <c r="T596" s="0" t="n">
        <v>0</v>
      </c>
      <c r="U596" s="0" t="n">
        <v>0</v>
      </c>
      <c r="V596" s="0" t="n">
        <v>0</v>
      </c>
      <c r="W596" s="0" t="n">
        <v>0</v>
      </c>
      <c r="X596" s="0" t="n">
        <v>0</v>
      </c>
      <c r="Y596" s="0" t="n">
        <v>1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0.978582897688696</v>
      </c>
      <c r="AJ596" s="0" t="n">
        <v>0</v>
      </c>
    </row>
    <row r="597" customFormat="false" ht="15" hidden="false" customHeight="false" outlineLevel="0" collapsed="false">
      <c r="A597" s="0" t="s">
        <v>631</v>
      </c>
      <c r="B597" s="0" t="n">
        <v>1</v>
      </c>
      <c r="C597" s="0" t="n">
        <v>-0.203423786731911</v>
      </c>
      <c r="D597" s="0" t="n">
        <v>-0.522892230964632</v>
      </c>
      <c r="E597" s="0" t="n">
        <v>0.0168294454380795</v>
      </c>
      <c r="F597" s="0" t="n">
        <v>0.327461461341324</v>
      </c>
      <c r="G597" s="0" t="n">
        <v>-0.437723306974822</v>
      </c>
      <c r="H597" s="0" t="n">
        <v>-0.227705053426603</v>
      </c>
      <c r="I597" s="0" t="n">
        <v>-1.14081958650347</v>
      </c>
      <c r="J597" s="0" t="n">
        <v>0.655305500956153</v>
      </c>
      <c r="K597" s="0" t="n">
        <v>-0.153696857408336</v>
      </c>
      <c r="L597" s="0" t="n">
        <v>0.374267717201354</v>
      </c>
      <c r="M597" s="0" t="n">
        <v>-0.603161182626818</v>
      </c>
      <c r="N597" s="0" t="n">
        <v>-0.526704703463734</v>
      </c>
      <c r="O597" s="0" t="n">
        <v>-0.812261310969725</v>
      </c>
      <c r="P597" s="0" t="n">
        <v>-0.511890273891768</v>
      </c>
      <c r="Q597" s="0" t="n">
        <v>-0.33935230870345</v>
      </c>
      <c r="R597" s="0" t="n">
        <v>-0.0830319898649704</v>
      </c>
      <c r="S597" s="0" t="n">
        <v>1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1</v>
      </c>
      <c r="Y597" s="0" t="n">
        <v>0</v>
      </c>
      <c r="Z597" s="0" t="n">
        <v>0</v>
      </c>
      <c r="AA597" s="0" t="n">
        <v>1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0.37007808472675</v>
      </c>
      <c r="AJ597" s="0" t="n">
        <v>0</v>
      </c>
    </row>
    <row r="598" customFormat="false" ht="15" hidden="false" customHeight="false" outlineLevel="0" collapsed="false">
      <c r="A598" s="0" t="s">
        <v>632</v>
      </c>
      <c r="B598" s="0" t="n">
        <v>1</v>
      </c>
      <c r="C598" s="0" t="n">
        <v>-0.537015434386408</v>
      </c>
      <c r="D598" s="0" t="n">
        <v>-0.531766003801914</v>
      </c>
      <c r="E598" s="0" t="n">
        <v>0.00817579386140986</v>
      </c>
      <c r="F598" s="0" t="n">
        <v>-0.0209212339334699</v>
      </c>
      <c r="G598" s="0" t="n">
        <v>-0.747277894253</v>
      </c>
      <c r="H598" s="0" t="n">
        <v>-0.561500487138807</v>
      </c>
      <c r="I598" s="0" t="n">
        <v>-1.22623020220679</v>
      </c>
      <c r="J598" s="0" t="n">
        <v>0.1634315013791</v>
      </c>
      <c r="K598" s="0" t="n">
        <v>0.744851694979287</v>
      </c>
      <c r="L598" s="0" t="n">
        <v>0.284343001642117</v>
      </c>
      <c r="M598" s="0" t="n">
        <v>-0.140819570182526</v>
      </c>
      <c r="N598" s="0" t="n">
        <v>-0.621020701387124</v>
      </c>
      <c r="O598" s="0" t="n">
        <v>-0.89171204619391</v>
      </c>
      <c r="P598" s="0" t="n">
        <v>-0.22063446972328</v>
      </c>
      <c r="Q598" s="0" t="n">
        <v>0.150691699324678</v>
      </c>
      <c r="R598" s="0" t="n">
        <v>-0.109199330986074</v>
      </c>
      <c r="S598" s="0" t="n">
        <v>1</v>
      </c>
      <c r="T598" s="0" t="n">
        <v>0</v>
      </c>
      <c r="U598" s="0" t="n">
        <v>0</v>
      </c>
      <c r="V598" s="0" t="n">
        <v>0</v>
      </c>
      <c r="W598" s="0" t="n">
        <v>1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1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</row>
    <row r="599" customFormat="false" ht="15" hidden="false" customHeight="false" outlineLevel="0" collapsed="false">
      <c r="A599" s="0" t="s">
        <v>633</v>
      </c>
      <c r="B599" s="0" t="n">
        <v>1</v>
      </c>
      <c r="C599" s="0" t="n">
        <v>-0.60794934340125</v>
      </c>
      <c r="D599" s="0" t="n">
        <v>-1.09518333707087</v>
      </c>
      <c r="E599" s="0" t="n">
        <v>-0.0866856078212967</v>
      </c>
      <c r="F599" s="0" t="n">
        <v>1.44162726808114</v>
      </c>
      <c r="G599" s="0" t="n">
        <v>-0.720782498628463</v>
      </c>
      <c r="H599" s="0" t="n">
        <v>-0.530827865983535</v>
      </c>
      <c r="I599" s="0" t="n">
        <v>-1.78447834858611</v>
      </c>
      <c r="J599" s="0" t="n">
        <v>1.92951941789238</v>
      </c>
      <c r="K599" s="0" t="n">
        <v>-0.659921892154285</v>
      </c>
      <c r="L599" s="0" t="n">
        <v>-0.798466287785763</v>
      </c>
      <c r="M599" s="0" t="n">
        <v>0.218387765545924</v>
      </c>
      <c r="N599" s="0" t="n">
        <v>-1.24691728019899</v>
      </c>
      <c r="O599" s="0" t="n">
        <v>1.41313169726373</v>
      </c>
      <c r="P599" s="0" t="n">
        <v>-0.252402013350715</v>
      </c>
      <c r="Q599" s="0" t="n">
        <v>-0.0898373077945609</v>
      </c>
      <c r="R599" s="0" t="n">
        <v>-0.0899766592229653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0</v>
      </c>
      <c r="Z599" s="0" t="n">
        <v>1</v>
      </c>
      <c r="AA599" s="0" t="n">
        <v>0</v>
      </c>
      <c r="AB599" s="0" t="n">
        <v>0</v>
      </c>
      <c r="AC599" s="0" t="n">
        <v>0</v>
      </c>
      <c r="AD599" s="0" t="n">
        <v>1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0</v>
      </c>
      <c r="AJ599" s="0" t="n">
        <v>0</v>
      </c>
    </row>
    <row r="600" customFormat="false" ht="15" hidden="false" customHeight="false" outlineLevel="0" collapsed="false">
      <c r="A600" s="0" t="s">
        <v>634</v>
      </c>
      <c r="B600" s="0" t="n">
        <v>1</v>
      </c>
      <c r="C600" s="0" t="n">
        <v>0.178032655817259</v>
      </c>
      <c r="D600" s="0" t="n">
        <v>-1.08317459218355</v>
      </c>
      <c r="E600" s="0" t="n">
        <v>-0.274056213054963</v>
      </c>
      <c r="F600" s="0" t="n">
        <v>2.70985268447978</v>
      </c>
      <c r="G600" s="0" t="n">
        <v>0.333134808086412</v>
      </c>
      <c r="H600" s="0" t="n">
        <v>0.482665464326709</v>
      </c>
      <c r="I600" s="0" t="n">
        <v>-1.14401744066096</v>
      </c>
      <c r="J600" s="0" t="n">
        <v>1.00110564318067</v>
      </c>
      <c r="K600" s="0" t="n">
        <v>-0.619518261822412</v>
      </c>
      <c r="L600" s="0" t="n">
        <v>-0.574312794353652</v>
      </c>
      <c r="M600" s="0" t="n">
        <v>2.67636409350699</v>
      </c>
      <c r="N600" s="0" t="n">
        <v>-0.348963225895688</v>
      </c>
      <c r="O600" s="0" t="n">
        <v>-0.651007936455145</v>
      </c>
      <c r="P600" s="0" t="n">
        <v>-0.494254408571825</v>
      </c>
      <c r="Q600" s="0" t="n">
        <v>-0.506002031388989</v>
      </c>
      <c r="R600" s="0" t="n">
        <v>-1.335553171024</v>
      </c>
      <c r="S600" s="0" t="n">
        <v>1</v>
      </c>
      <c r="T600" s="0" t="n">
        <v>0</v>
      </c>
      <c r="U600" s="0" t="n">
        <v>0</v>
      </c>
      <c r="V600" s="0" t="n">
        <v>0</v>
      </c>
      <c r="W600" s="0" t="n">
        <v>0</v>
      </c>
      <c r="X600" s="0" t="n">
        <v>1</v>
      </c>
      <c r="Y600" s="0" t="n">
        <v>0</v>
      </c>
      <c r="Z600" s="0" t="n">
        <v>0</v>
      </c>
      <c r="AA600" s="0" t="n">
        <v>1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0.490693354902821</v>
      </c>
      <c r="AJ600" s="0" t="n">
        <v>0.333333333333333</v>
      </c>
    </row>
    <row r="601" customFormat="false" ht="15" hidden="false" customHeight="false" outlineLevel="0" collapsed="false">
      <c r="A601" s="0" t="s">
        <v>635</v>
      </c>
      <c r="B601" s="0" t="n">
        <v>1</v>
      </c>
      <c r="C601" s="0" t="n">
        <v>-0.152515479864418</v>
      </c>
      <c r="D601" s="0" t="n">
        <v>-0.696603952438969</v>
      </c>
      <c r="E601" s="0" t="n">
        <v>-0.115455228908288</v>
      </c>
      <c r="F601" s="0" t="n">
        <v>0.7843490423506</v>
      </c>
      <c r="G601" s="0" t="n">
        <v>-0.233047475049229</v>
      </c>
      <c r="H601" s="0" t="n">
        <v>-0.0307673009241069</v>
      </c>
      <c r="I601" s="0" t="n">
        <v>-0.27361989156145</v>
      </c>
      <c r="J601" s="0" t="n">
        <v>-0.499677200085715</v>
      </c>
      <c r="K601" s="0" t="n">
        <v>-0.493426924307411</v>
      </c>
      <c r="L601" s="0" t="n">
        <v>-0.336436558289966</v>
      </c>
      <c r="M601" s="0" t="n">
        <v>-0.786216581788156</v>
      </c>
      <c r="N601" s="0" t="n">
        <v>0.101657653071623</v>
      </c>
      <c r="O601" s="0" t="n">
        <v>-0.619318694517032</v>
      </c>
      <c r="P601" s="0" t="n">
        <v>-0.258005814190135</v>
      </c>
      <c r="Q601" s="0" t="n">
        <v>-0.542089226947056</v>
      </c>
      <c r="R601" s="0" t="n">
        <v>-1.22365308189997</v>
      </c>
      <c r="S601" s="0" t="n">
        <v>1</v>
      </c>
      <c r="T601" s="0" t="n">
        <v>0</v>
      </c>
      <c r="U601" s="0" t="n">
        <v>0</v>
      </c>
      <c r="V601" s="0" t="n">
        <v>0</v>
      </c>
      <c r="W601" s="0" t="n">
        <v>1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1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0.966395073054555</v>
      </c>
      <c r="AJ601" s="0" t="n">
        <v>0.666666666666667</v>
      </c>
    </row>
    <row r="602" customFormat="false" ht="15" hidden="false" customHeight="false" outlineLevel="0" collapsed="false">
      <c r="A602" s="0" t="s">
        <v>636</v>
      </c>
      <c r="B602" s="0" t="n">
        <v>1</v>
      </c>
      <c r="C602" s="0" t="n">
        <v>0.560547496335867</v>
      </c>
      <c r="D602" s="0" t="n">
        <v>-0.621128598972879</v>
      </c>
      <c r="E602" s="0" t="n">
        <v>-0.0564776555481116</v>
      </c>
      <c r="F602" s="0" t="n">
        <v>1.42836484942143</v>
      </c>
      <c r="G602" s="0" t="n">
        <v>0.395014733600165</v>
      </c>
      <c r="H602" s="0" t="n">
        <v>0.638496275175513</v>
      </c>
      <c r="I602" s="0" t="n">
        <v>-0.373438632818318</v>
      </c>
      <c r="J602" s="0" t="n">
        <v>1.15579331687046</v>
      </c>
      <c r="K602" s="0" t="n">
        <v>-2.50926051697829</v>
      </c>
      <c r="L602" s="0" t="n">
        <v>-2.24053083446706</v>
      </c>
      <c r="M602" s="0" t="n">
        <v>-0.738421404064204</v>
      </c>
      <c r="N602" s="0" t="n">
        <v>-0.106495083086099</v>
      </c>
      <c r="O602" s="0" t="n">
        <v>2.5810628273567</v>
      </c>
      <c r="P602" s="0" t="n">
        <v>3</v>
      </c>
      <c r="Q602" s="0" t="n">
        <v>3</v>
      </c>
      <c r="R602" s="0" t="n">
        <v>3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1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0.48176796197964</v>
      </c>
      <c r="AJ602" s="0" t="n">
        <v>0</v>
      </c>
    </row>
    <row r="603" customFormat="false" ht="15" hidden="false" customHeight="false" outlineLevel="0" collapsed="false">
      <c r="A603" s="0" t="s">
        <v>637</v>
      </c>
      <c r="B603" s="0" t="n">
        <v>1</v>
      </c>
      <c r="C603" s="0" t="n">
        <v>-0.828904507478627</v>
      </c>
      <c r="D603" s="0" t="n">
        <v>-0.243587555725335</v>
      </c>
      <c r="E603" s="0" t="n">
        <v>-0.45730638497808</v>
      </c>
      <c r="F603" s="0" t="n">
        <v>-0.736646739928956</v>
      </c>
      <c r="G603" s="0" t="n">
        <v>-0.528759585674932</v>
      </c>
      <c r="H603" s="0" t="n">
        <v>-0.353182324063692</v>
      </c>
      <c r="I603" s="0" t="n">
        <v>0.632088712665888</v>
      </c>
      <c r="J603" s="0" t="n">
        <v>-0.0320991533292494</v>
      </c>
      <c r="K603" s="0" t="n">
        <v>0.247662453481788</v>
      </c>
      <c r="L603" s="0" t="n">
        <v>0.671033514383051</v>
      </c>
      <c r="M603" s="0" t="n">
        <v>-1.53071962014439</v>
      </c>
      <c r="N603" s="0" t="n">
        <v>-0.816844548927411</v>
      </c>
      <c r="O603" s="0" t="n">
        <v>-0.53174659272083</v>
      </c>
      <c r="P603" s="0" t="n">
        <v>0.572088178262434</v>
      </c>
      <c r="Q603" s="0" t="n">
        <v>-0.529835132645691</v>
      </c>
      <c r="R603" s="0" t="n">
        <v>0.556692821228662</v>
      </c>
      <c r="S603" s="0" t="n">
        <v>1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1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</row>
    <row r="604" customFormat="false" ht="15" hidden="false" customHeight="false" outlineLevel="0" collapsed="false">
      <c r="A604" s="0" t="s">
        <v>638</v>
      </c>
      <c r="B604" s="0" t="n">
        <v>1</v>
      </c>
      <c r="C604" s="0" t="n">
        <v>-0.270301970365733</v>
      </c>
      <c r="D604" s="0" t="n">
        <v>-0.209516461085671</v>
      </c>
      <c r="E604" s="0" t="n">
        <v>-0.642260546526562</v>
      </c>
      <c r="F604" s="0" t="n">
        <v>-0.264863937606594</v>
      </c>
      <c r="G604" s="0" t="n">
        <v>0.45129217677772</v>
      </c>
      <c r="H604" s="0" t="n">
        <v>0.42370650419996</v>
      </c>
      <c r="I604" s="0" t="n">
        <v>0.922712509713896</v>
      </c>
      <c r="J604" s="0" t="n">
        <v>1.74468736650075</v>
      </c>
      <c r="K604" s="0" t="n">
        <v>-0.646586021618648</v>
      </c>
      <c r="L604" s="0" t="n">
        <v>-0.417971593106486</v>
      </c>
      <c r="M604" s="0" t="n">
        <v>-1.68991352426101</v>
      </c>
      <c r="N604" s="0" t="n">
        <v>-0.953284249627044</v>
      </c>
      <c r="O604" s="0" t="n">
        <v>-0.21078250275278</v>
      </c>
      <c r="P604" s="0" t="n">
        <v>-0.553665622388163</v>
      </c>
      <c r="Q604" s="0" t="n">
        <v>-0.34873805327148</v>
      </c>
      <c r="R604" s="0" t="n">
        <v>-0.54908547870273</v>
      </c>
      <c r="S604" s="0" t="n">
        <v>0</v>
      </c>
      <c r="T604" s="0" t="n">
        <v>0</v>
      </c>
      <c r="U604" s="0" t="n">
        <v>0</v>
      </c>
      <c r="V604" s="0" t="n">
        <v>1</v>
      </c>
      <c r="W604" s="0" t="n">
        <v>0</v>
      </c>
      <c r="X604" s="0" t="n">
        <v>0</v>
      </c>
      <c r="Y604" s="0" t="n">
        <v>1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</row>
    <row r="605" customFormat="false" ht="15" hidden="false" customHeight="false" outlineLevel="0" collapsed="false">
      <c r="A605" s="0" t="s">
        <v>639</v>
      </c>
      <c r="B605" s="0" t="n">
        <v>1</v>
      </c>
      <c r="C605" s="0" t="n">
        <v>0.237911220858677</v>
      </c>
      <c r="D605" s="0" t="n">
        <v>-0.401014646787116</v>
      </c>
      <c r="E605" s="0" t="n">
        <v>-0.681342079776328</v>
      </c>
      <c r="F605" s="0" t="n">
        <v>0.546132971208333</v>
      </c>
      <c r="G605" s="0" t="n">
        <v>1.19305022805561</v>
      </c>
      <c r="H605" s="0" t="n">
        <v>0.989343212547763</v>
      </c>
      <c r="I605" s="0" t="n">
        <v>-0.544951251830015</v>
      </c>
      <c r="J605" s="0" t="n">
        <v>0.388415379367359</v>
      </c>
      <c r="K605" s="0" t="n">
        <v>-1.03445853026071</v>
      </c>
      <c r="L605" s="0" t="n">
        <v>-1.12156053881667</v>
      </c>
      <c r="M605" s="0" t="n">
        <v>1.10106114551918</v>
      </c>
      <c r="N605" s="0" t="n">
        <v>-0.0171106406096837</v>
      </c>
      <c r="O605" s="0" t="n">
        <v>-0.669398410592668</v>
      </c>
      <c r="P605" s="0" t="n">
        <v>-0.813754143051333</v>
      </c>
      <c r="Q605" s="0" t="n">
        <v>-0.599360381945817</v>
      </c>
      <c r="R605" s="0" t="n">
        <v>-0.250310880237928</v>
      </c>
      <c r="S605" s="0" t="n">
        <v>0</v>
      </c>
      <c r="T605" s="0" t="n">
        <v>0</v>
      </c>
      <c r="U605" s="0" t="n">
        <v>0</v>
      </c>
      <c r="V605" s="0" t="n">
        <v>1</v>
      </c>
      <c r="W605" s="0" t="n">
        <v>0</v>
      </c>
      <c r="X605" s="0" t="n">
        <v>1</v>
      </c>
      <c r="Y605" s="0" t="n">
        <v>0</v>
      </c>
      <c r="Z605" s="0" t="n">
        <v>0</v>
      </c>
      <c r="AA605" s="0" t="n">
        <v>1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</row>
    <row r="606" customFormat="false" ht="15" hidden="false" customHeight="false" outlineLevel="0" collapsed="false">
      <c r="A606" s="0" t="s">
        <v>640</v>
      </c>
      <c r="B606" s="0" t="n">
        <v>1</v>
      </c>
      <c r="C606" s="0" t="n">
        <v>0.0658320216711564</v>
      </c>
      <c r="D606" s="0" t="n">
        <v>-0.367133252626528</v>
      </c>
      <c r="E606" s="0" t="n">
        <v>-0.726032936034429</v>
      </c>
      <c r="F606" s="0" t="n">
        <v>0.307987140070989</v>
      </c>
      <c r="G606" s="0" t="n">
        <v>1.0714237201753</v>
      </c>
      <c r="H606" s="0" t="n">
        <v>0.861117274544446</v>
      </c>
      <c r="I606" s="0" t="n">
        <v>-1.00645568385982</v>
      </c>
      <c r="J606" s="0" t="n">
        <v>-0.067659484746046</v>
      </c>
      <c r="K606" s="0" t="n">
        <v>-0.149766442883367</v>
      </c>
      <c r="L606" s="0" t="n">
        <v>0.131698260101833</v>
      </c>
      <c r="M606" s="0" t="n">
        <v>-0.107974637549722</v>
      </c>
      <c r="N606" s="0" t="n">
        <v>-0.180160192575284</v>
      </c>
      <c r="O606" s="0" t="n">
        <v>-0.319185332251216</v>
      </c>
      <c r="P606" s="0" t="n">
        <v>-0.335176607133119</v>
      </c>
      <c r="Q606" s="0" t="n">
        <v>-0.300944850024711</v>
      </c>
      <c r="R606" s="0" t="n">
        <v>-0.248813617506255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1</v>
      </c>
      <c r="AI606" s="0" t="n">
        <v>0</v>
      </c>
      <c r="AJ606" s="0" t="n">
        <v>0</v>
      </c>
    </row>
    <row r="607" customFormat="false" ht="15" hidden="false" customHeight="false" outlineLevel="0" collapsed="false">
      <c r="A607" s="0" t="s">
        <v>641</v>
      </c>
      <c r="B607" s="0" t="n">
        <v>1</v>
      </c>
      <c r="C607" s="0" t="n">
        <v>0.947226380900341</v>
      </c>
      <c r="D607" s="0" t="n">
        <v>-0.417736154313718</v>
      </c>
      <c r="E607" s="0" t="n">
        <v>-0.749422500232089</v>
      </c>
      <c r="F607" s="0" t="n">
        <v>1.30735673800663</v>
      </c>
      <c r="G607" s="0" t="n">
        <v>2.3228622333111</v>
      </c>
      <c r="H607" s="0" t="n">
        <v>1.79359418601253</v>
      </c>
      <c r="I607" s="0" t="n">
        <v>-0.721988938092105</v>
      </c>
      <c r="J607" s="0" t="n">
        <v>1.46231194628507</v>
      </c>
      <c r="K607" s="0" t="n">
        <v>0.24753757185827</v>
      </c>
      <c r="L607" s="0" t="n">
        <v>0.303690619385674</v>
      </c>
      <c r="M607" s="0" t="n">
        <v>2.72695730585901</v>
      </c>
      <c r="N607" s="0" t="n">
        <v>0.0597394317723383</v>
      </c>
      <c r="O607" s="0" t="n">
        <v>-0.485458278391809</v>
      </c>
      <c r="P607" s="0" t="n">
        <v>0.336231298929734</v>
      </c>
      <c r="Q607" s="0" t="n">
        <v>0.515673080354024</v>
      </c>
      <c r="R607" s="0" t="n">
        <v>0.698355519795808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1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0.53128779640391</v>
      </c>
      <c r="AJ607" s="0" t="n">
        <v>0.333333333333333</v>
      </c>
    </row>
    <row r="608" customFormat="false" ht="15" hidden="false" customHeight="false" outlineLevel="0" collapsed="false">
      <c r="A608" s="0" t="s">
        <v>642</v>
      </c>
      <c r="B608" s="0" t="n">
        <v>1</v>
      </c>
      <c r="C608" s="0" t="n">
        <v>0.221195381814357</v>
      </c>
      <c r="D608" s="0" t="n">
        <v>0.0106756353184116</v>
      </c>
      <c r="E608" s="0" t="n">
        <v>-0.48540810530087</v>
      </c>
      <c r="F608" s="0" t="n">
        <v>-0.13568172607811</v>
      </c>
      <c r="G608" s="0" t="n">
        <v>0.751599333399906</v>
      </c>
      <c r="H608" s="0" t="n">
        <v>0.758034738892019</v>
      </c>
      <c r="I608" s="0" t="n">
        <v>1.03813380896029</v>
      </c>
      <c r="J608" s="0" t="n">
        <v>0.949443272321911</v>
      </c>
      <c r="K608" s="0" t="n">
        <v>-1.23314448104523</v>
      </c>
      <c r="L608" s="0" t="n">
        <v>0.452307629174325</v>
      </c>
      <c r="M608" s="0" t="n">
        <v>-0.736661468124501</v>
      </c>
      <c r="N608" s="0" t="n">
        <v>-0.292044856778522</v>
      </c>
      <c r="O608" s="0" t="n">
        <v>0.137258666916701</v>
      </c>
      <c r="P608" s="0" t="n">
        <v>-0.413618713226442</v>
      </c>
      <c r="Q608" s="0" t="n">
        <v>-0.245133396589593</v>
      </c>
      <c r="R608" s="0" t="n">
        <v>-0.80588883004953</v>
      </c>
      <c r="S608" s="0" t="n">
        <v>0</v>
      </c>
      <c r="T608" s="0" t="n">
        <v>0</v>
      </c>
      <c r="U608" s="0" t="n">
        <v>0</v>
      </c>
      <c r="V608" s="0" t="n">
        <v>1</v>
      </c>
      <c r="W608" s="0" t="n">
        <v>0</v>
      </c>
      <c r="X608" s="0" t="n">
        <v>0</v>
      </c>
      <c r="Y608" s="0" t="n">
        <v>1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0.558070261572211</v>
      </c>
      <c r="AJ608" s="0" t="n">
        <v>0.666666666666667</v>
      </c>
    </row>
    <row r="609" customFormat="false" ht="15" hidden="false" customHeight="false" outlineLevel="0" collapsed="false">
      <c r="A609" s="0" t="s">
        <v>643</v>
      </c>
      <c r="B609" s="0" t="n">
        <v>1</v>
      </c>
      <c r="C609" s="0" t="n">
        <v>-0.245897172182356</v>
      </c>
      <c r="D609" s="0" t="n">
        <v>-0.0542830010163459</v>
      </c>
      <c r="E609" s="0" t="n">
        <v>-0.274561863133044</v>
      </c>
      <c r="F609" s="0" t="n">
        <v>-0.443365750356504</v>
      </c>
      <c r="G609" s="0" t="n">
        <v>-0.121701609424258</v>
      </c>
      <c r="H609" s="0" t="n">
        <v>0.0470120386353074</v>
      </c>
      <c r="I609" s="0" t="n">
        <v>1.48001389957163</v>
      </c>
      <c r="J609" s="0" t="n">
        <v>-0.067659484746046</v>
      </c>
      <c r="K609" s="0" t="n">
        <v>-0.149766442883367</v>
      </c>
      <c r="L609" s="0" t="n">
        <v>0.131698260101833</v>
      </c>
      <c r="M609" s="0" t="n">
        <v>-0.107974637549722</v>
      </c>
      <c r="N609" s="0" t="n">
        <v>-0.180160192575284</v>
      </c>
      <c r="O609" s="0" t="n">
        <v>-0.319185332251216</v>
      </c>
      <c r="P609" s="0" t="n">
        <v>-0.335176607133119</v>
      </c>
      <c r="Q609" s="0" t="n">
        <v>-0.300944850024711</v>
      </c>
      <c r="R609" s="0" t="n">
        <v>-0.248813617506255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1</v>
      </c>
      <c r="AI609" s="0" t="n">
        <v>1.08732628353389</v>
      </c>
      <c r="AJ609" s="0" t="n">
        <v>1</v>
      </c>
    </row>
    <row r="610" customFormat="false" ht="15" hidden="false" customHeight="false" outlineLevel="0" collapsed="false">
      <c r="A610" s="0" t="s">
        <v>644</v>
      </c>
      <c r="B610" s="0" t="n">
        <v>1</v>
      </c>
      <c r="C610" s="0" t="n">
        <v>-0.414801926117549</v>
      </c>
      <c r="D610" s="0" t="n">
        <v>-0.0204313982389824</v>
      </c>
      <c r="E610" s="0" t="n">
        <v>-0.281897626840923</v>
      </c>
      <c r="F610" s="0" t="n">
        <v>-0.623795419814388</v>
      </c>
      <c r="G610" s="0" t="n">
        <v>-0.293671452010509</v>
      </c>
      <c r="H610" s="0" t="n">
        <v>-0.118767635249433</v>
      </c>
      <c r="I610" s="0" t="n">
        <v>-0.0280723649712426</v>
      </c>
      <c r="J610" s="0" t="n">
        <v>0.700984667224122</v>
      </c>
      <c r="K610" s="0" t="n">
        <v>-0.336889151606914</v>
      </c>
      <c r="L610" s="0" t="n">
        <v>-0.0623316717269336</v>
      </c>
      <c r="M610" s="0" t="n">
        <v>0.009903357497362</v>
      </c>
      <c r="N610" s="0" t="n">
        <v>-0.725610773158379</v>
      </c>
      <c r="O610" s="0" t="n">
        <v>-0.698590560953475</v>
      </c>
      <c r="P610" s="0" t="n">
        <v>-0.568341199367975</v>
      </c>
      <c r="Q610" s="0" t="n">
        <v>-0.471879009693261</v>
      </c>
      <c r="R610" s="0" t="n">
        <v>-0.608821689516607</v>
      </c>
      <c r="S610" s="0" t="n">
        <v>1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0</v>
      </c>
      <c r="Z610" s="0" t="n">
        <v>1</v>
      </c>
      <c r="AA610" s="0" t="n">
        <v>0</v>
      </c>
      <c r="AB610" s="0" t="n">
        <v>0</v>
      </c>
      <c r="AC610" s="0" t="n">
        <v>0</v>
      </c>
      <c r="AD610" s="0" t="n">
        <v>1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1.14018917648064</v>
      </c>
      <c r="AJ610" s="0" t="n">
        <v>1.33333333333333</v>
      </c>
    </row>
    <row r="611" customFormat="false" ht="15" hidden="false" customHeight="false" outlineLevel="0" collapsed="false">
      <c r="A611" s="0" t="s">
        <v>645</v>
      </c>
      <c r="B611" s="0" t="n">
        <v>1</v>
      </c>
      <c r="C611" s="0" t="n">
        <v>0.27737520251762</v>
      </c>
      <c r="D611" s="0" t="n">
        <v>-0.015470092535047</v>
      </c>
      <c r="E611" s="0" t="n">
        <v>-0.27103373319865</v>
      </c>
      <c r="F611" s="0" t="n">
        <v>-0.0545147833644844</v>
      </c>
      <c r="G611" s="0" t="n">
        <v>0.434980331150329</v>
      </c>
      <c r="H611" s="0" t="n">
        <v>0.581581928953689</v>
      </c>
      <c r="I611" s="0" t="n">
        <v>-0.0788795413291264</v>
      </c>
      <c r="J611" s="0" t="n">
        <v>-0.073365973255136</v>
      </c>
      <c r="K611" s="0" t="n">
        <v>-1.31471854125547</v>
      </c>
      <c r="L611" s="0" t="n">
        <v>-1.62388642164503</v>
      </c>
      <c r="M611" s="0" t="n">
        <v>-0.206339639350517</v>
      </c>
      <c r="N611" s="0" t="n">
        <v>0.275700464054438</v>
      </c>
      <c r="O611" s="0" t="n">
        <v>0.531773907209641</v>
      </c>
      <c r="P611" s="0" t="n">
        <v>0.409654994536334</v>
      </c>
      <c r="Q611" s="0" t="n">
        <v>0.312779624016015</v>
      </c>
      <c r="R611" s="0" t="n">
        <v>-0.281995468438964</v>
      </c>
      <c r="S611" s="0" t="n">
        <v>1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1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1.68517445912563</v>
      </c>
      <c r="AJ611" s="0" t="n">
        <v>1.66666666666667</v>
      </c>
    </row>
    <row r="612" customFormat="false" ht="15" hidden="false" customHeight="false" outlineLevel="0" collapsed="false">
      <c r="A612" s="0" t="s">
        <v>646</v>
      </c>
      <c r="B612" s="0" t="n">
        <v>1</v>
      </c>
      <c r="C612" s="0" t="n">
        <v>-0.784013323690214</v>
      </c>
      <c r="D612" s="0" t="n">
        <v>0.211741083313749</v>
      </c>
      <c r="E612" s="0" t="n">
        <v>-0.196326457616983</v>
      </c>
      <c r="F612" s="0" t="n">
        <v>-1.12900333949895</v>
      </c>
      <c r="G612" s="0" t="n">
        <v>-0.785284973391381</v>
      </c>
      <c r="H612" s="0" t="n">
        <v>-0.592179298351607</v>
      </c>
      <c r="I612" s="0" t="n">
        <v>-0.307100185451314</v>
      </c>
      <c r="J612" s="0" t="n">
        <v>-0.418762786486804</v>
      </c>
      <c r="K612" s="0" t="n">
        <v>-0.584299899121042</v>
      </c>
      <c r="L612" s="0" t="n">
        <v>0.425162204671449</v>
      </c>
      <c r="M612" s="0" t="n">
        <v>-2.26633886588571</v>
      </c>
      <c r="N612" s="0" t="n">
        <v>-0.602321886984012</v>
      </c>
      <c r="O612" s="0" t="n">
        <v>-0.557923497460634</v>
      </c>
      <c r="P612" s="0" t="n">
        <v>-0.156539287062622</v>
      </c>
      <c r="Q612" s="0" t="n">
        <v>0.144410289401729</v>
      </c>
      <c r="R612" s="0" t="n">
        <v>0.023244527714848</v>
      </c>
      <c r="S612" s="0" t="n">
        <v>0</v>
      </c>
      <c r="T612" s="0" t="n">
        <v>0</v>
      </c>
      <c r="U612" s="0" t="n">
        <v>0</v>
      </c>
      <c r="V612" s="0" t="n">
        <v>1</v>
      </c>
      <c r="W612" s="0" t="n">
        <v>1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1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1.0819745390113</v>
      </c>
      <c r="AJ612" s="0" t="n">
        <v>0</v>
      </c>
    </row>
    <row r="613" customFormat="false" ht="15" hidden="false" customHeight="false" outlineLevel="0" collapsed="false">
      <c r="A613" s="0" t="s">
        <v>647</v>
      </c>
      <c r="B613" s="0" t="n">
        <v>1</v>
      </c>
      <c r="C613" s="0" t="n">
        <v>-0.49441026049819</v>
      </c>
      <c r="D613" s="0" t="n">
        <v>0.158253480134994</v>
      </c>
      <c r="E613" s="0" t="n">
        <v>-0.27873011791923</v>
      </c>
      <c r="F613" s="0" t="n">
        <v>-0.864773985293372</v>
      </c>
      <c r="G613" s="0" t="n">
        <v>-0.383527991877071</v>
      </c>
      <c r="H613" s="0" t="n">
        <v>-0.204142589440165</v>
      </c>
      <c r="I613" s="0" t="n">
        <v>-0.237780616276622</v>
      </c>
      <c r="J613" s="0" t="n">
        <v>-0.067659484746046</v>
      </c>
      <c r="K613" s="0" t="n">
        <v>-0.149766442883367</v>
      </c>
      <c r="L613" s="0" t="n">
        <v>0.131698260101833</v>
      </c>
      <c r="M613" s="0" t="n">
        <v>-0.107974637549722</v>
      </c>
      <c r="N613" s="0" t="n">
        <v>-0.180160192575284</v>
      </c>
      <c r="O613" s="0" t="n">
        <v>-0.319185332251216</v>
      </c>
      <c r="P613" s="0" t="n">
        <v>-0.335176607133119</v>
      </c>
      <c r="Q613" s="0" t="n">
        <v>-0.300944850024711</v>
      </c>
      <c r="R613" s="0" t="n">
        <v>-0.248813617506255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1</v>
      </c>
      <c r="AI613" s="0" t="n">
        <v>0.480747611107023</v>
      </c>
      <c r="AJ613" s="0" t="n">
        <v>0</v>
      </c>
    </row>
    <row r="614" customFormat="false" ht="15" hidden="false" customHeight="false" outlineLevel="0" collapsed="false">
      <c r="A614" s="0" t="s">
        <v>648</v>
      </c>
      <c r="B614" s="0" t="n">
        <v>1</v>
      </c>
      <c r="C614" s="0" t="n">
        <v>-0.217878538760384</v>
      </c>
      <c r="D614" s="0" t="n">
        <v>-0.319548946478732</v>
      </c>
      <c r="E614" s="0" t="n">
        <v>-0.247760139650036</v>
      </c>
      <c r="F614" s="0" t="n">
        <v>-0.0521849436384311</v>
      </c>
      <c r="G614" s="0" t="n">
        <v>-0.128475288865369</v>
      </c>
      <c r="H614" s="0" t="n">
        <v>0.046554215487304</v>
      </c>
      <c r="I614" s="0" t="n">
        <v>0.0778408574578872</v>
      </c>
      <c r="J614" s="0" t="n">
        <v>0.988245405624825</v>
      </c>
      <c r="K614" s="0" t="n">
        <v>-0.57071498153436</v>
      </c>
      <c r="L614" s="0" t="n">
        <v>-0.957896323671483</v>
      </c>
      <c r="M614" s="0" t="n">
        <v>1.12482656593024</v>
      </c>
      <c r="N614" s="0" t="n">
        <v>-0.667048552225555</v>
      </c>
      <c r="O614" s="0" t="n">
        <v>-0.790278369103399</v>
      </c>
      <c r="P614" s="0" t="n">
        <v>-0.520342139524736</v>
      </c>
      <c r="Q614" s="0" t="n">
        <v>-0.314413768974187</v>
      </c>
      <c r="R614" s="0" t="n">
        <v>-0.037509725537599</v>
      </c>
      <c r="S614" s="0" t="n">
        <v>0</v>
      </c>
      <c r="T614" s="0" t="n">
        <v>1</v>
      </c>
      <c r="U614" s="0" t="n">
        <v>0</v>
      </c>
      <c r="V614" s="0" t="n">
        <v>0</v>
      </c>
      <c r="W614" s="0" t="n">
        <v>0</v>
      </c>
      <c r="X614" s="0" t="n">
        <v>0</v>
      </c>
      <c r="Y614" s="0" t="n">
        <v>0</v>
      </c>
      <c r="Z614" s="0" t="n">
        <v>1</v>
      </c>
      <c r="AA614" s="0" t="n">
        <v>0</v>
      </c>
      <c r="AB614" s="0" t="n">
        <v>0</v>
      </c>
      <c r="AC614" s="0" t="n">
        <v>0</v>
      </c>
      <c r="AD614" s="0" t="n">
        <v>1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0.984961970269566</v>
      </c>
      <c r="AJ614" s="0" t="n">
        <v>0.333333333333333</v>
      </c>
    </row>
    <row r="615" customFormat="false" ht="15" hidden="false" customHeight="false" outlineLevel="0" collapsed="false">
      <c r="A615" s="0" t="s">
        <v>649</v>
      </c>
      <c r="B615" s="0" t="n">
        <v>1</v>
      </c>
      <c r="C615" s="0" t="n">
        <v>-0.119014606978577</v>
      </c>
      <c r="D615" s="0" t="n">
        <v>-0.353361509671703</v>
      </c>
      <c r="E615" s="0" t="n">
        <v>-0.296735446698313</v>
      </c>
      <c r="F615" s="0" t="n">
        <v>0.100240136545083</v>
      </c>
      <c r="G615" s="0" t="n">
        <v>0.0468872048527863</v>
      </c>
      <c r="H615" s="0" t="n">
        <v>0.201799245454215</v>
      </c>
      <c r="I615" s="0" t="n">
        <v>0.0724446096729875</v>
      </c>
      <c r="J615" s="0" t="n">
        <v>-0.545618382139635</v>
      </c>
      <c r="K615" s="0" t="n">
        <v>-0.210298258892813</v>
      </c>
      <c r="L615" s="0" t="n">
        <v>0.569408041113133</v>
      </c>
      <c r="M615" s="0" t="n">
        <v>-0.352905715864577</v>
      </c>
      <c r="N615" s="0" t="n">
        <v>0.165973355359251</v>
      </c>
      <c r="O615" s="0" t="n">
        <v>-0.665738902685139</v>
      </c>
      <c r="P615" s="0" t="n">
        <v>-0.621382894670798</v>
      </c>
      <c r="Q615" s="0" t="n">
        <v>-0.577893418960711</v>
      </c>
      <c r="R615" s="0" t="n">
        <v>-0.432937922422252</v>
      </c>
      <c r="S615" s="0" t="n">
        <v>1</v>
      </c>
      <c r="T615" s="0" t="n">
        <v>0</v>
      </c>
      <c r="U615" s="0" t="n">
        <v>0</v>
      </c>
      <c r="V615" s="0" t="n">
        <v>0</v>
      </c>
      <c r="W615" s="0" t="n">
        <v>0</v>
      </c>
      <c r="X615" s="0" t="n">
        <v>0</v>
      </c>
      <c r="Y615" s="0" t="n">
        <v>1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0.530403746280451</v>
      </c>
      <c r="AJ615" s="0" t="n">
        <v>0</v>
      </c>
    </row>
    <row r="616" customFormat="false" ht="15" hidden="false" customHeight="false" outlineLevel="0" collapsed="false">
      <c r="A616" s="0" t="s">
        <v>650</v>
      </c>
      <c r="B616" s="0" t="n">
        <v>1</v>
      </c>
      <c r="C616" s="0" t="n">
        <v>-0.270671244640592</v>
      </c>
      <c r="D616" s="0" t="n">
        <v>-0.586147685812775</v>
      </c>
      <c r="E616" s="0" t="n">
        <v>-0.465926243260813</v>
      </c>
      <c r="F616" s="0" t="n">
        <v>0.384369916816982</v>
      </c>
      <c r="G616" s="0" t="n">
        <v>0.137271966353972</v>
      </c>
      <c r="H616" s="0" t="n">
        <v>0.230635672278881</v>
      </c>
      <c r="I616" s="0" t="n">
        <v>-0.885229012654426</v>
      </c>
      <c r="J616" s="0" t="n">
        <v>0.229256015360356</v>
      </c>
      <c r="K616" s="0" t="n">
        <v>0.0827421593796865</v>
      </c>
      <c r="L616" s="0" t="n">
        <v>0.332160403794513</v>
      </c>
      <c r="M616" s="0" t="n">
        <v>-0.129769558517289</v>
      </c>
      <c r="N616" s="0" t="n">
        <v>-0.403004854335452</v>
      </c>
      <c r="O616" s="0" t="n">
        <v>-0.746683955343295</v>
      </c>
      <c r="P616" s="0" t="n">
        <v>-0.549412560405785</v>
      </c>
      <c r="Q616" s="0" t="n">
        <v>-0.51962134938954</v>
      </c>
      <c r="R616" s="0" t="n">
        <v>0.0729755077329368</v>
      </c>
      <c r="S616" s="0" t="n">
        <v>1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1</v>
      </c>
      <c r="Y616" s="0" t="n">
        <v>0</v>
      </c>
      <c r="Z616" s="0" t="n">
        <v>0</v>
      </c>
      <c r="AA616" s="0" t="n">
        <v>1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1.10289859292924</v>
      </c>
      <c r="AJ616" s="0" t="n">
        <v>0.333333333333333</v>
      </c>
    </row>
    <row r="617" customFormat="false" ht="15" hidden="false" customHeight="false" outlineLevel="0" collapsed="false">
      <c r="A617" s="0" t="s">
        <v>651</v>
      </c>
      <c r="B617" s="0" t="n">
        <v>1</v>
      </c>
      <c r="C617" s="0" t="n">
        <v>0.152047869369623</v>
      </c>
      <c r="D617" s="0" t="n">
        <v>-0.421659857090234</v>
      </c>
      <c r="E617" s="0" t="n">
        <v>-0.388592847260368</v>
      </c>
      <c r="F617" s="0" t="n">
        <v>0.499875012897206</v>
      </c>
      <c r="G617" s="0" t="n">
        <v>0.493962501796731</v>
      </c>
      <c r="H617" s="0" t="n">
        <v>0.581089127587765</v>
      </c>
      <c r="I617" s="0" t="n">
        <v>0.144428135621792</v>
      </c>
      <c r="J617" s="0" t="n">
        <v>-0.067659484746046</v>
      </c>
      <c r="K617" s="0" t="n">
        <v>-0.149766442883367</v>
      </c>
      <c r="L617" s="0" t="n">
        <v>0.131698260101833</v>
      </c>
      <c r="M617" s="0" t="n">
        <v>-0.107974637549722</v>
      </c>
      <c r="N617" s="0" t="n">
        <v>-0.180160192575284</v>
      </c>
      <c r="O617" s="0" t="n">
        <v>-0.319185332251216</v>
      </c>
      <c r="P617" s="0" t="n">
        <v>-0.335176607133119</v>
      </c>
      <c r="Q617" s="0" t="n">
        <v>-0.300944850024711</v>
      </c>
      <c r="R617" s="0" t="n">
        <v>-0.248813617506255</v>
      </c>
      <c r="S617" s="0" t="n">
        <v>0</v>
      </c>
      <c r="T617" s="0" t="n">
        <v>0</v>
      </c>
      <c r="U617" s="0" t="n">
        <v>0</v>
      </c>
      <c r="V617" s="0" t="n">
        <v>0</v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1</v>
      </c>
      <c r="AI617" s="0" t="n">
        <v>1.56749217156859</v>
      </c>
      <c r="AJ617" s="0" t="n">
        <v>0.666666666666667</v>
      </c>
    </row>
    <row r="618" customFormat="false" ht="15" hidden="false" customHeight="false" outlineLevel="0" collapsed="false">
      <c r="A618" s="0" t="s">
        <v>652</v>
      </c>
      <c r="B618" s="0" t="n">
        <v>1</v>
      </c>
      <c r="C618" s="0" t="n">
        <v>-0.168327491579086</v>
      </c>
      <c r="D618" s="0" t="n">
        <v>-0.353551313047544</v>
      </c>
      <c r="E618" s="0" t="n">
        <v>-0.364184793110837</v>
      </c>
      <c r="F618" s="0" t="n">
        <v>0.0518279052460888</v>
      </c>
      <c r="G618" s="0" t="n">
        <v>0.0937208406543971</v>
      </c>
      <c r="H618" s="0" t="n">
        <v>0.224764227183045</v>
      </c>
      <c r="I618" s="0" t="n">
        <v>0.234260441544068</v>
      </c>
      <c r="J618" s="0" t="n">
        <v>-0.067659484746046</v>
      </c>
      <c r="K618" s="0" t="n">
        <v>-0.149766442883367</v>
      </c>
      <c r="L618" s="0" t="n">
        <v>0.131698260101833</v>
      </c>
      <c r="M618" s="0" t="n">
        <v>-0.107974637549722</v>
      </c>
      <c r="N618" s="0" t="n">
        <v>-0.180160192575284</v>
      </c>
      <c r="O618" s="0" t="n">
        <v>-0.319185332251216</v>
      </c>
      <c r="P618" s="0" t="n">
        <v>-0.335176607133119</v>
      </c>
      <c r="Q618" s="0" t="n">
        <v>-0.300944850024711</v>
      </c>
      <c r="R618" s="0" t="n">
        <v>-0.248813617506255</v>
      </c>
      <c r="S618" s="0" t="n">
        <v>0</v>
      </c>
      <c r="T618" s="0" t="n">
        <v>0</v>
      </c>
      <c r="U618" s="0" t="n">
        <v>0</v>
      </c>
      <c r="V618" s="0" t="n">
        <v>0</v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1</v>
      </c>
      <c r="AI618" s="0" t="n">
        <v>0.693780292513584</v>
      </c>
      <c r="AJ618" s="0" t="n">
        <v>0</v>
      </c>
    </row>
    <row r="619" customFormat="false" ht="15" hidden="false" customHeight="false" outlineLevel="0" collapsed="false">
      <c r="A619" s="0" t="s">
        <v>653</v>
      </c>
      <c r="B619" s="0" t="n">
        <v>1</v>
      </c>
      <c r="C619" s="0" t="n">
        <v>-0.213890393781046</v>
      </c>
      <c r="D619" s="0" t="n">
        <v>-0.332997450290681</v>
      </c>
      <c r="E619" s="0" t="n">
        <v>-0.347376159011649</v>
      </c>
      <c r="F619" s="0" t="n">
        <v>-0.0267676947855825</v>
      </c>
      <c r="G619" s="0" t="n">
        <v>0.0175611526994222</v>
      </c>
      <c r="H619" s="0" t="n">
        <v>0.15951413231962</v>
      </c>
      <c r="I619" s="0" t="n">
        <v>0.110548296021186</v>
      </c>
      <c r="J619" s="0" t="n">
        <v>1.76168650917984</v>
      </c>
      <c r="K619" s="0" t="n">
        <v>-0.540464323814566</v>
      </c>
      <c r="L619" s="0" t="n">
        <v>0.329814848817939</v>
      </c>
      <c r="M619" s="0" t="n">
        <v>0.374666931451222</v>
      </c>
      <c r="N619" s="0" t="n">
        <v>-0.916914028205605</v>
      </c>
      <c r="O619" s="0" t="n">
        <v>-0.427695511517358</v>
      </c>
      <c r="P619" s="0" t="n">
        <v>-0.127796715281229</v>
      </c>
      <c r="Q619" s="0" t="n">
        <v>0.330365183164624</v>
      </c>
      <c r="R619" s="0" t="n">
        <v>0.276421504234227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0</v>
      </c>
      <c r="Z619" s="0" t="n">
        <v>1</v>
      </c>
      <c r="AA619" s="0" t="n">
        <v>0</v>
      </c>
      <c r="AB619" s="0" t="n">
        <v>0</v>
      </c>
      <c r="AC619" s="0" t="n">
        <v>0</v>
      </c>
      <c r="AD619" s="0" t="n">
        <v>1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0.812342345428648</v>
      </c>
      <c r="AJ619" s="0" t="n">
        <v>0.333333333333333</v>
      </c>
    </row>
    <row r="620" customFormat="false" ht="15" hidden="false" customHeight="false" outlineLevel="0" collapsed="false">
      <c r="A620" s="0" t="s">
        <v>654</v>
      </c>
      <c r="B620" s="0" t="n">
        <v>1</v>
      </c>
      <c r="C620" s="0" t="n">
        <v>0.261904163753564</v>
      </c>
      <c r="D620" s="0" t="n">
        <v>-0.325747712439108</v>
      </c>
      <c r="E620" s="0" t="n">
        <v>-0.340632015392253</v>
      </c>
      <c r="F620" s="0" t="n">
        <v>0.424554170769788</v>
      </c>
      <c r="G620" s="0" t="n">
        <v>0.534140505296938</v>
      </c>
      <c r="H620" s="0" t="n">
        <v>0.641717016513965</v>
      </c>
      <c r="I620" s="0" t="n">
        <v>0.207725663934775</v>
      </c>
      <c r="J620" s="0" t="n">
        <v>-0.0146865438909163</v>
      </c>
      <c r="K620" s="0" t="n">
        <v>-0.847581761487813</v>
      </c>
      <c r="L620" s="0" t="n">
        <v>-1.16381614361625</v>
      </c>
      <c r="M620" s="0" t="n">
        <v>-0.149508241423917</v>
      </c>
      <c r="N620" s="0" t="n">
        <v>0.225768465153819</v>
      </c>
      <c r="O620" s="0" t="n">
        <v>1.93712578028391</v>
      </c>
      <c r="P620" s="0" t="n">
        <v>0.427923605819602</v>
      </c>
      <c r="Q620" s="0" t="n">
        <v>0.495298310913102</v>
      </c>
      <c r="R620" s="0" t="n">
        <v>-0.713406866320676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0</v>
      </c>
      <c r="X620" s="0" t="n">
        <v>0</v>
      </c>
      <c r="Y620" s="0" t="n">
        <v>1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0.782609350631465</v>
      </c>
      <c r="AJ620" s="0" t="n">
        <v>0</v>
      </c>
    </row>
    <row r="621" customFormat="false" ht="15" hidden="false" customHeight="false" outlineLevel="0" collapsed="false">
      <c r="A621" s="0" t="s">
        <v>655</v>
      </c>
      <c r="B621" s="0" t="n">
        <v>1</v>
      </c>
      <c r="C621" s="0" t="n">
        <v>0.615644912711479</v>
      </c>
      <c r="D621" s="0" t="n">
        <v>-0.418500688853027</v>
      </c>
      <c r="E621" s="0" t="n">
        <v>-0.280197914621962</v>
      </c>
      <c r="F621" s="0" t="n">
        <v>0.969109606855662</v>
      </c>
      <c r="G621" s="0" t="n">
        <v>0.81435176558988</v>
      </c>
      <c r="H621" s="0" t="n">
        <v>0.939661486512137</v>
      </c>
      <c r="I621" s="0" t="n">
        <v>0.0726557885913005</v>
      </c>
      <c r="J621" s="0" t="n">
        <v>-0.236909909815143</v>
      </c>
      <c r="K621" s="0" t="n">
        <v>-1.00166904635225</v>
      </c>
      <c r="L621" s="0" t="n">
        <v>1.05710456045907</v>
      </c>
      <c r="M621" s="0" t="n">
        <v>0.834279464970212</v>
      </c>
      <c r="N621" s="0" t="n">
        <v>0.716252750650843</v>
      </c>
      <c r="O621" s="0" t="n">
        <v>0.176193041286734</v>
      </c>
      <c r="P621" s="0" t="n">
        <v>-0.53774074118659</v>
      </c>
      <c r="Q621" s="0" t="n">
        <v>-0.372484982537561</v>
      </c>
      <c r="R621" s="0" t="n">
        <v>-0.371340078744549</v>
      </c>
      <c r="S621" s="0" t="n">
        <v>0</v>
      </c>
      <c r="T621" s="0" t="n">
        <v>0</v>
      </c>
      <c r="U621" s="0" t="n">
        <v>0</v>
      </c>
      <c r="V621" s="0" t="n">
        <v>1</v>
      </c>
      <c r="W621" s="0" t="n">
        <v>0</v>
      </c>
      <c r="X621" s="0" t="n">
        <v>1</v>
      </c>
      <c r="Y621" s="0" t="n">
        <v>0</v>
      </c>
      <c r="Z621" s="0" t="n">
        <v>0</v>
      </c>
      <c r="AA621" s="0" t="n">
        <v>1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0.339382041764523</v>
      </c>
      <c r="AJ621" s="0" t="n">
        <v>0</v>
      </c>
    </row>
    <row r="622" customFormat="false" ht="15" hidden="false" customHeight="false" outlineLevel="0" collapsed="false">
      <c r="A622" s="0" t="s">
        <v>656</v>
      </c>
      <c r="B622" s="0" t="n">
        <v>1</v>
      </c>
      <c r="C622" s="0" t="n">
        <v>0.593926219222566</v>
      </c>
      <c r="D622" s="0" t="n">
        <v>-0.400236164895502</v>
      </c>
      <c r="E622" s="0" t="n">
        <v>-0.232793810683874</v>
      </c>
      <c r="F622" s="0" t="n">
        <v>0.905915816923739</v>
      </c>
      <c r="G622" s="0" t="n">
        <v>0.708173676499614</v>
      </c>
      <c r="H622" s="0" t="n">
        <v>0.865512611115866</v>
      </c>
      <c r="I622" s="0" t="n">
        <v>-0.0925836068280393</v>
      </c>
      <c r="J622" s="0" t="n">
        <v>-0.0325208335596524</v>
      </c>
      <c r="K622" s="0" t="n">
        <v>-0.247685311318114</v>
      </c>
      <c r="L622" s="0" t="n">
        <v>0.584718706282467</v>
      </c>
      <c r="M622" s="0" t="n">
        <v>1.13548295870519</v>
      </c>
      <c r="N622" s="0" t="n">
        <v>0.556799124531996</v>
      </c>
      <c r="O622" s="0" t="n">
        <v>-0.617647982877377</v>
      </c>
      <c r="P622" s="0" t="n">
        <v>-0.409943520890638</v>
      </c>
      <c r="Q622" s="0" t="n">
        <v>-0.0524247694084335</v>
      </c>
      <c r="R622" s="0" t="n">
        <v>-0.308326379858808</v>
      </c>
      <c r="S622" s="0" t="n">
        <v>0</v>
      </c>
      <c r="T622" s="0" t="n">
        <v>0</v>
      </c>
      <c r="U622" s="0" t="n">
        <v>0</v>
      </c>
      <c r="V622" s="0" t="n">
        <v>1</v>
      </c>
      <c r="W622" s="0" t="n">
        <v>1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1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0.794802293840476</v>
      </c>
      <c r="AJ622" s="0" t="n">
        <v>0.333333333333333</v>
      </c>
    </row>
    <row r="623" customFormat="false" ht="15" hidden="false" customHeight="false" outlineLevel="0" collapsed="false">
      <c r="A623" s="0" t="s">
        <v>657</v>
      </c>
      <c r="B623" s="0" t="n">
        <v>1</v>
      </c>
      <c r="C623" s="0" t="n">
        <v>2.4347471822912</v>
      </c>
      <c r="D623" s="0" t="n">
        <v>-0.273657953052359</v>
      </c>
      <c r="E623" s="0" t="n">
        <v>-0.186789018326943</v>
      </c>
      <c r="F623" s="0" t="n">
        <v>2.3854601731303</v>
      </c>
      <c r="G623" s="0" t="n">
        <v>2.5364083525822</v>
      </c>
      <c r="H623" s="0" t="n">
        <v>2.7093678875478</v>
      </c>
      <c r="I623" s="0" t="n">
        <v>0.104051119622993</v>
      </c>
      <c r="J623" s="0" t="n">
        <v>1.26462944110389</v>
      </c>
      <c r="K623" s="0" t="n">
        <v>-0.227433596558352</v>
      </c>
      <c r="L623" s="0" t="n">
        <v>0.126782559366575</v>
      </c>
      <c r="M623" s="0" t="n">
        <v>3</v>
      </c>
      <c r="N623" s="0" t="n">
        <v>1.3162586633661</v>
      </c>
      <c r="O623" s="0" t="n">
        <v>0.0456410791120864</v>
      </c>
      <c r="P623" s="0" t="n">
        <v>2.14285417471656</v>
      </c>
      <c r="Q623" s="0" t="n">
        <v>2.34558811975806</v>
      </c>
      <c r="R623" s="0" t="n">
        <v>0.576321464297605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1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1.2897043867351</v>
      </c>
      <c r="AJ623" s="0" t="n">
        <v>0.666666666666667</v>
      </c>
    </row>
    <row r="624" customFormat="false" ht="15" hidden="false" customHeight="false" outlineLevel="0" collapsed="false">
      <c r="A624" s="0" t="s">
        <v>658</v>
      </c>
      <c r="B624" s="0" t="n">
        <v>1</v>
      </c>
      <c r="C624" s="0" t="n">
        <v>1.84049375114647</v>
      </c>
      <c r="D624" s="0" t="n">
        <v>-0.25599808831353</v>
      </c>
      <c r="E624" s="0" t="n">
        <v>-0.424040821273103</v>
      </c>
      <c r="F624" s="0" t="n">
        <v>1.77866507787031</v>
      </c>
      <c r="G624" s="0" t="n">
        <v>2.4980110467337</v>
      </c>
      <c r="H624" s="0" t="n">
        <v>2.35716507667015</v>
      </c>
      <c r="I624" s="0" t="n">
        <v>0.534611570848054</v>
      </c>
      <c r="J624" s="0" t="n">
        <v>2.57113501459373</v>
      </c>
      <c r="K624" s="0" t="n">
        <v>-0.838292577319662</v>
      </c>
      <c r="L624" s="0" t="n">
        <v>0.232803812498724</v>
      </c>
      <c r="M624" s="0" t="n">
        <v>-0.478456884184327</v>
      </c>
      <c r="N624" s="0" t="n">
        <v>0.224124613338161</v>
      </c>
      <c r="O624" s="0" t="n">
        <v>1.10660735382058</v>
      </c>
      <c r="P624" s="0" t="n">
        <v>-0.385796053158085</v>
      </c>
      <c r="Q624" s="0" t="n">
        <v>-0.262742278477034</v>
      </c>
      <c r="R624" s="0" t="n">
        <v>-0.0589792080151033</v>
      </c>
      <c r="S624" s="0" t="n">
        <v>0</v>
      </c>
      <c r="T624" s="0" t="n">
        <v>0</v>
      </c>
      <c r="U624" s="0" t="n">
        <v>0</v>
      </c>
      <c r="V624" s="0" t="n">
        <v>0</v>
      </c>
      <c r="W624" s="0" t="n">
        <v>0</v>
      </c>
      <c r="X624" s="0" t="n">
        <v>0</v>
      </c>
      <c r="Y624" s="0" t="n">
        <v>0</v>
      </c>
      <c r="Z624" s="0" t="n">
        <v>1</v>
      </c>
      <c r="AA624" s="0" t="n">
        <v>0</v>
      </c>
      <c r="AB624" s="0" t="n">
        <v>0</v>
      </c>
      <c r="AC624" s="0" t="n">
        <v>0</v>
      </c>
      <c r="AD624" s="0" t="n">
        <v>1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0</v>
      </c>
    </row>
    <row r="625" customFormat="false" ht="15" hidden="false" customHeight="false" outlineLevel="0" collapsed="false">
      <c r="A625" s="0" t="s">
        <v>659</v>
      </c>
      <c r="B625" s="0" t="n">
        <v>1</v>
      </c>
      <c r="C625" s="0" t="n">
        <v>0.686715071483809</v>
      </c>
      <c r="D625" s="0" t="n">
        <v>-0.136838355290317</v>
      </c>
      <c r="E625" s="0" t="n">
        <v>-0.334104938782297</v>
      </c>
      <c r="F625" s="0" t="n">
        <v>0.481000797741268</v>
      </c>
      <c r="G625" s="0" t="n">
        <v>0.991755022429522</v>
      </c>
      <c r="H625" s="0" t="n">
        <v>1.07169706930563</v>
      </c>
      <c r="I625" s="0" t="n">
        <v>0.395303892791817</v>
      </c>
      <c r="J625" s="0" t="n">
        <v>1.68736793840626</v>
      </c>
      <c r="K625" s="0" t="n">
        <v>0.227100009401347</v>
      </c>
      <c r="L625" s="0" t="n">
        <v>0.190994587219461</v>
      </c>
      <c r="M625" s="0" t="n">
        <v>-1.35350313755042</v>
      </c>
      <c r="N625" s="0" t="n">
        <v>-0.229373006306552</v>
      </c>
      <c r="O625" s="0" t="n">
        <v>0.071614413841992</v>
      </c>
      <c r="P625" s="0" t="n">
        <v>-0.351250167439709</v>
      </c>
      <c r="Q625" s="0" t="n">
        <v>0.00181508610966621</v>
      </c>
      <c r="R625" s="0" t="n">
        <v>-0.303321983366534</v>
      </c>
      <c r="S625" s="0" t="n">
        <v>0</v>
      </c>
      <c r="T625" s="0" t="n">
        <v>1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1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1</v>
      </c>
      <c r="AF625" s="0" t="n">
        <v>0</v>
      </c>
      <c r="AG625" s="0" t="n">
        <v>1</v>
      </c>
      <c r="AH625" s="0" t="n">
        <v>0</v>
      </c>
      <c r="AI625" s="0" t="n">
        <v>0</v>
      </c>
      <c r="AJ625" s="0" t="n">
        <v>0</v>
      </c>
    </row>
    <row r="626" customFormat="false" ht="15" hidden="false" customHeight="false" outlineLevel="0" collapsed="false">
      <c r="A626" s="0" t="s">
        <v>660</v>
      </c>
      <c r="B626" s="0" t="n">
        <v>1</v>
      </c>
      <c r="C626" s="0" t="n">
        <v>0.317402627525201</v>
      </c>
      <c r="D626" s="0" t="n">
        <v>-0.432365148474561</v>
      </c>
      <c r="E626" s="0" t="n">
        <v>-0.560979392913166</v>
      </c>
      <c r="F626" s="0" t="n">
        <v>0.692498858009806</v>
      </c>
      <c r="G626" s="0" t="n">
        <v>1.02190400079309</v>
      </c>
      <c r="H626" s="0" t="n">
        <v>0.939609142721328</v>
      </c>
      <c r="I626" s="0" t="n">
        <v>-0.0506899647968734</v>
      </c>
      <c r="J626" s="0" t="n">
        <v>0.360288176473225</v>
      </c>
      <c r="K626" s="0" t="n">
        <v>-2.68633481839363</v>
      </c>
      <c r="L626" s="0" t="n">
        <v>1.41135610683172</v>
      </c>
      <c r="M626" s="0" t="n">
        <v>-1.10942720141441</v>
      </c>
      <c r="N626" s="0" t="n">
        <v>0.0689860982354165</v>
      </c>
      <c r="O626" s="0" t="n">
        <v>-0.194350681042082</v>
      </c>
      <c r="P626" s="0" t="n">
        <v>-0.451042335384065</v>
      </c>
      <c r="Q626" s="0" t="n">
        <v>-0.401651962063899</v>
      </c>
      <c r="R626" s="0" t="n">
        <v>-0.768606781200332</v>
      </c>
      <c r="S626" s="0" t="n">
        <v>0</v>
      </c>
      <c r="T626" s="0" t="n">
        <v>0</v>
      </c>
      <c r="U626" s="0" t="n">
        <v>0</v>
      </c>
      <c r="V626" s="0" t="n">
        <v>1</v>
      </c>
      <c r="W626" s="0" t="n">
        <v>0</v>
      </c>
      <c r="X626" s="0" t="n">
        <v>1</v>
      </c>
      <c r="Y626" s="0" t="n">
        <v>0</v>
      </c>
      <c r="Z626" s="0" t="n">
        <v>0</v>
      </c>
      <c r="AA626" s="0" t="n">
        <v>1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0.185097254296585</v>
      </c>
      <c r="AJ626" s="0" t="n">
        <v>0.333333333333333</v>
      </c>
    </row>
    <row r="627" customFormat="false" ht="15" hidden="false" customHeight="false" outlineLevel="0" collapsed="false">
      <c r="A627" s="0" t="s">
        <v>661</v>
      </c>
      <c r="B627" s="0" t="n">
        <v>1</v>
      </c>
      <c r="C627" s="0" t="n">
        <v>-0.855966027808587</v>
      </c>
      <c r="D627" s="0" t="n">
        <v>-0.181885329042848</v>
      </c>
      <c r="E627" s="0" t="n">
        <v>-0.364122078534363</v>
      </c>
      <c r="F627" s="0" t="n">
        <v>-0.830430256187981</v>
      </c>
      <c r="G627" s="0" t="n">
        <v>-0.675541696495272</v>
      </c>
      <c r="H627" s="0" t="n">
        <v>-0.482855463593211</v>
      </c>
      <c r="I627" s="0" t="n">
        <v>0.213066804440479</v>
      </c>
      <c r="J627" s="0" t="n">
        <v>-1.22929804068946</v>
      </c>
      <c r="K627" s="0" t="n">
        <v>0.152675889152938</v>
      </c>
      <c r="L627" s="0" t="n">
        <v>0.683466609316408</v>
      </c>
      <c r="M627" s="0" t="n">
        <v>0.138147930978504</v>
      </c>
      <c r="N627" s="0" t="n">
        <v>-0.234510043230484</v>
      </c>
      <c r="O627" s="0" t="n">
        <v>-0.886043099064616</v>
      </c>
      <c r="P627" s="0" t="n">
        <v>-0.441251850372345</v>
      </c>
      <c r="Q627" s="0" t="n">
        <v>-0.187775218269952</v>
      </c>
      <c r="R627" s="0" t="n">
        <v>-0.223670855950482</v>
      </c>
      <c r="S627" s="0" t="n">
        <v>0</v>
      </c>
      <c r="T627" s="0" t="n">
        <v>1</v>
      </c>
      <c r="U627" s="0" t="n">
        <v>0</v>
      </c>
      <c r="V627" s="0" t="n">
        <v>0</v>
      </c>
      <c r="W627" s="0" t="n">
        <v>1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1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0</v>
      </c>
    </row>
    <row r="628" customFormat="false" ht="15" hidden="false" customHeight="false" outlineLevel="0" collapsed="false">
      <c r="A628" s="0" t="s">
        <v>662</v>
      </c>
      <c r="B628" s="0" t="n">
        <v>1</v>
      </c>
      <c r="C628" s="0" t="n">
        <v>-0.629817660612522</v>
      </c>
      <c r="D628" s="0" t="n">
        <v>-0.173575543896705</v>
      </c>
      <c r="E628" s="0" t="n">
        <v>-0.39209269694055</v>
      </c>
      <c r="F628" s="0" t="n">
        <v>-0.63640019611265</v>
      </c>
      <c r="G628" s="0" t="n">
        <v>-0.385789325588097</v>
      </c>
      <c r="H628" s="0" t="n">
        <v>-0.219593156801223</v>
      </c>
      <c r="I628" s="0" t="n">
        <v>0.33020155560043</v>
      </c>
      <c r="J628" s="0" t="n">
        <v>0.692969282565475</v>
      </c>
      <c r="K628" s="0" t="n">
        <v>0.28930213970197</v>
      </c>
      <c r="L628" s="0" t="n">
        <v>0.394537689188295</v>
      </c>
      <c r="M628" s="0" t="n">
        <v>1.1260380322694</v>
      </c>
      <c r="N628" s="0" t="n">
        <v>-0.906434472880784</v>
      </c>
      <c r="O628" s="0" t="n">
        <v>-0.763915107177155</v>
      </c>
      <c r="P628" s="0" t="n">
        <v>0.722443045080674</v>
      </c>
      <c r="Q628" s="0" t="n">
        <v>1.40974787151506</v>
      </c>
      <c r="R628" s="0" t="n">
        <v>0.0322636228004553</v>
      </c>
      <c r="S628" s="0" t="n">
        <v>0</v>
      </c>
      <c r="T628" s="0" t="n">
        <v>0</v>
      </c>
      <c r="U628" s="0" t="n">
        <v>0</v>
      </c>
      <c r="V628" s="0" t="n">
        <v>1</v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1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0</v>
      </c>
    </row>
    <row r="629" customFormat="false" ht="15" hidden="false" customHeight="false" outlineLevel="0" collapsed="false">
      <c r="A629" s="0" t="s">
        <v>663</v>
      </c>
      <c r="B629" s="0" t="n">
        <v>1</v>
      </c>
      <c r="C629" s="0" t="n">
        <v>-0.188190971590985</v>
      </c>
      <c r="D629" s="0" t="n">
        <v>-0.250328208768937</v>
      </c>
      <c r="E629" s="0" t="n">
        <v>-0.419554386658598</v>
      </c>
      <c r="F629" s="0" t="n">
        <v>-0.130353710291627</v>
      </c>
      <c r="G629" s="0" t="n">
        <v>0.158028422337647</v>
      </c>
      <c r="H629" s="0" t="n">
        <v>0.264831152333946</v>
      </c>
      <c r="I629" s="0" t="n">
        <v>0.116384407643887</v>
      </c>
      <c r="J629" s="0" t="n">
        <v>2.49367353761558</v>
      </c>
      <c r="K629" s="0" t="n">
        <v>-0.658522517857304</v>
      </c>
      <c r="L629" s="0" t="n">
        <v>0.252931120473512</v>
      </c>
      <c r="M629" s="0" t="n">
        <v>0.468190676195931</v>
      </c>
      <c r="N629" s="0" t="n">
        <v>-1.09506646872757</v>
      </c>
      <c r="O629" s="0" t="n">
        <v>0.0209141116879875</v>
      </c>
      <c r="P629" s="0" t="n">
        <v>0.0150193681360218</v>
      </c>
      <c r="Q629" s="0" t="n">
        <v>-0.206514548796638</v>
      </c>
      <c r="R629" s="0" t="n">
        <v>-0.201401181032456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1</v>
      </c>
      <c r="AA629" s="0" t="n">
        <v>0</v>
      </c>
      <c r="AB629" s="0" t="n">
        <v>0</v>
      </c>
      <c r="AC629" s="0" t="n">
        <v>0</v>
      </c>
      <c r="AD629" s="0" t="n">
        <v>1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0</v>
      </c>
    </row>
    <row r="630" customFormat="false" ht="15" hidden="false" customHeight="false" outlineLevel="0" collapsed="false">
      <c r="A630" s="0" t="s">
        <v>664</v>
      </c>
      <c r="B630" s="0" t="n">
        <v>1</v>
      </c>
      <c r="C630" s="0" t="n">
        <v>0.0287632386586881</v>
      </c>
      <c r="D630" s="0" t="n">
        <v>-0.431009380198875</v>
      </c>
      <c r="E630" s="0" t="n">
        <v>-0.582438233629303</v>
      </c>
      <c r="F630" s="0" t="n">
        <v>0.391340631149269</v>
      </c>
      <c r="G630" s="0" t="n">
        <v>0.710044046852011</v>
      </c>
      <c r="H630" s="0" t="n">
        <v>0.666060677690618</v>
      </c>
      <c r="I630" s="0" t="n">
        <v>0.475253287923422</v>
      </c>
      <c r="J630" s="0" t="n">
        <v>1.0114373911043</v>
      </c>
      <c r="K630" s="0" t="n">
        <v>-0.850792285029624</v>
      </c>
      <c r="L630" s="0" t="n">
        <v>-0.238697360412643</v>
      </c>
      <c r="M630" s="0" t="n">
        <v>0.692803764162057</v>
      </c>
      <c r="N630" s="0" t="n">
        <v>-0.474717889793542</v>
      </c>
      <c r="O630" s="0" t="n">
        <v>-0.765854792876588</v>
      </c>
      <c r="P630" s="0" t="n">
        <v>-0.615187427162899</v>
      </c>
      <c r="Q630" s="0" t="n">
        <v>-0.436733365721239</v>
      </c>
      <c r="R630" s="0" t="n">
        <v>-0.125809853200588</v>
      </c>
      <c r="S630" s="0" t="n">
        <v>1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1</v>
      </c>
      <c r="Y630" s="0" t="n">
        <v>0</v>
      </c>
      <c r="Z630" s="0" t="n">
        <v>0</v>
      </c>
      <c r="AA630" s="0" t="n">
        <v>1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0</v>
      </c>
    </row>
    <row r="631" customFormat="false" ht="15" hidden="false" customHeight="false" outlineLevel="0" collapsed="false">
      <c r="A631" s="0" t="s">
        <v>665</v>
      </c>
      <c r="B631" s="0" t="n">
        <v>1</v>
      </c>
      <c r="C631" s="0" t="n">
        <v>-0.120248816218453</v>
      </c>
      <c r="D631" s="0" t="n">
        <v>-0.168098380237525</v>
      </c>
      <c r="E631" s="0" t="n">
        <v>-0.404336573026033</v>
      </c>
      <c r="F631" s="0" t="n">
        <v>-0.186803914981771</v>
      </c>
      <c r="G631" s="0" t="n">
        <v>0.211218295352063</v>
      </c>
      <c r="H631" s="0" t="n">
        <v>0.318111375263563</v>
      </c>
      <c r="I631" s="0" t="n">
        <v>-0.800740478177016</v>
      </c>
      <c r="J631" s="0" t="n">
        <v>-0.0847456542303608</v>
      </c>
      <c r="K631" s="0" t="n">
        <v>-0.194768704096102</v>
      </c>
      <c r="L631" s="0" t="n">
        <v>-0.0693058949702029</v>
      </c>
      <c r="M631" s="0" t="n">
        <v>0.450200942838158</v>
      </c>
      <c r="N631" s="0" t="n">
        <v>-0.104851231270441</v>
      </c>
      <c r="O631" s="0" t="n">
        <v>-0.555183421845114</v>
      </c>
      <c r="P631" s="0" t="n">
        <v>-0.542618087324</v>
      </c>
      <c r="Q631" s="0" t="n">
        <v>-0.25336712724062</v>
      </c>
      <c r="R631" s="0" t="n">
        <v>-0.455733759582477</v>
      </c>
      <c r="S631" s="0" t="n">
        <v>1</v>
      </c>
      <c r="T631" s="0" t="n">
        <v>0</v>
      </c>
      <c r="U631" s="0" t="n">
        <v>0</v>
      </c>
      <c r="V631" s="0" t="n">
        <v>0</v>
      </c>
      <c r="W631" s="0" t="n">
        <v>1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1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0</v>
      </c>
      <c r="AJ631" s="0" t="n">
        <v>0</v>
      </c>
    </row>
    <row r="632" customFormat="false" ht="15" hidden="false" customHeight="false" outlineLevel="0" collapsed="false">
      <c r="A632" s="0" t="s">
        <v>666</v>
      </c>
      <c r="B632" s="0" t="n">
        <v>1</v>
      </c>
      <c r="C632" s="0" t="n">
        <v>-0.0875083800324688</v>
      </c>
      <c r="D632" s="0" t="n">
        <v>-0.243260764957577</v>
      </c>
      <c r="E632" s="0" t="n">
        <v>-0.432767784338047</v>
      </c>
      <c r="F632" s="0" t="n">
        <v>-0.0471457832020983</v>
      </c>
      <c r="G632" s="0" t="n">
        <v>0.295590672896512</v>
      </c>
      <c r="H632" s="0" t="n">
        <v>0.38286836510053</v>
      </c>
      <c r="I632" s="0" t="n">
        <v>-0.900539807952634</v>
      </c>
      <c r="J632" s="0" t="n">
        <v>-1.37056831433895</v>
      </c>
      <c r="K632" s="0" t="n">
        <v>0.273833674260339</v>
      </c>
      <c r="L632" s="0" t="n">
        <v>0.67877211531401</v>
      </c>
      <c r="M632" s="0" t="n">
        <v>0.791298582184791</v>
      </c>
      <c r="N632" s="0" t="n">
        <v>0.833582673993449</v>
      </c>
      <c r="O632" s="0" t="n">
        <v>-0.0637858898048758</v>
      </c>
      <c r="P632" s="0" t="n">
        <v>0.589049499798401</v>
      </c>
      <c r="Q632" s="0" t="n">
        <v>-0.504030293924849</v>
      </c>
      <c r="R632" s="0" t="n">
        <v>0.200590298406075</v>
      </c>
      <c r="S632" s="0" t="n">
        <v>1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1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0.5048784091108</v>
      </c>
      <c r="AJ632" s="0" t="n">
        <v>0.333333333333333</v>
      </c>
    </row>
    <row r="633" customFormat="false" ht="15" hidden="false" customHeight="false" outlineLevel="0" collapsed="false">
      <c r="A633" s="0" t="s">
        <v>667</v>
      </c>
      <c r="B633" s="0" t="n">
        <v>1</v>
      </c>
      <c r="C633" s="0" t="n">
        <v>-0.407022759377725</v>
      </c>
      <c r="D633" s="0" t="n">
        <v>-0.503739316583455</v>
      </c>
      <c r="E633" s="0" t="n">
        <v>-0.445390700248182</v>
      </c>
      <c r="F633" s="0" t="n">
        <v>0.069318928036438</v>
      </c>
      <c r="G633" s="0" t="n">
        <v>-0.05421921088893</v>
      </c>
      <c r="H633" s="0" t="n">
        <v>0.0678952975326401</v>
      </c>
      <c r="I633" s="0" t="n">
        <v>-0.730918107469266</v>
      </c>
      <c r="J633" s="0" t="n">
        <v>-0.612311728819592</v>
      </c>
      <c r="K633" s="0" t="n">
        <v>-0.149933664875133</v>
      </c>
      <c r="L633" s="0" t="n">
        <v>1.08017290960797</v>
      </c>
      <c r="M633" s="0" t="n">
        <v>0.0478728029286046</v>
      </c>
      <c r="N633" s="0" t="n">
        <v>-0.100947083208253</v>
      </c>
      <c r="O633" s="0" t="n">
        <v>-0.511523663693935</v>
      </c>
      <c r="P633" s="0" t="n">
        <v>-0.652482853230368</v>
      </c>
      <c r="Q633" s="0" t="n">
        <v>-0.500884269478113</v>
      </c>
      <c r="R633" s="0" t="n">
        <v>-0.355747963062503</v>
      </c>
      <c r="S633" s="0" t="n">
        <v>0</v>
      </c>
      <c r="T633" s="0" t="n">
        <v>0</v>
      </c>
      <c r="U633" s="0" t="n">
        <v>1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1</v>
      </c>
      <c r="AA633" s="0" t="n">
        <v>0</v>
      </c>
      <c r="AB633" s="0" t="n">
        <v>0</v>
      </c>
      <c r="AC633" s="0" t="n">
        <v>0</v>
      </c>
      <c r="AD633" s="0" t="n">
        <v>1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0.0275983004417261</v>
      </c>
      <c r="AJ633" s="0" t="n">
        <v>0</v>
      </c>
    </row>
    <row r="634" customFormat="false" ht="15" hidden="false" customHeight="false" outlineLevel="0" collapsed="false">
      <c r="A634" s="0" t="s">
        <v>668</v>
      </c>
      <c r="B634" s="0" t="n">
        <v>1</v>
      </c>
      <c r="C634" s="0" t="n">
        <v>0.304121815913378</v>
      </c>
      <c r="D634" s="0" t="n">
        <v>-0.495958084173804</v>
      </c>
      <c r="E634" s="0" t="n">
        <v>-0.481931048526832</v>
      </c>
      <c r="F634" s="0" t="n">
        <v>0.819131356252805</v>
      </c>
      <c r="G634" s="0" t="n">
        <v>0.842875804466258</v>
      </c>
      <c r="H634" s="0" t="n">
        <v>0.839562970531604</v>
      </c>
      <c r="I634" s="0" t="n">
        <v>-0.723450252674917</v>
      </c>
      <c r="J634" s="0" t="n">
        <v>-0.636610271576083</v>
      </c>
      <c r="K634" s="0" t="n">
        <v>-0.905438454756735</v>
      </c>
      <c r="L634" s="0" t="n">
        <v>-1.30921303264453</v>
      </c>
      <c r="M634" s="0" t="n">
        <v>0.127109889300456</v>
      </c>
      <c r="N634" s="0" t="n">
        <v>0.682759269906807</v>
      </c>
      <c r="O634" s="0" t="n">
        <v>1.11141192219986</v>
      </c>
      <c r="P634" s="0" t="n">
        <v>-0.328646660879608</v>
      </c>
      <c r="Q634" s="0" t="n">
        <v>-0.016443594470951</v>
      </c>
      <c r="R634" s="0" t="n">
        <v>-1.29932155000703</v>
      </c>
      <c r="S634" s="0" t="n">
        <v>0</v>
      </c>
      <c r="T634" s="0" t="n">
        <v>0</v>
      </c>
      <c r="U634" s="0" t="n">
        <v>0</v>
      </c>
      <c r="V634" s="0" t="n">
        <v>1</v>
      </c>
      <c r="W634" s="0" t="n">
        <v>0</v>
      </c>
      <c r="X634" s="0" t="n">
        <v>0</v>
      </c>
      <c r="Y634" s="0" t="n">
        <v>1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0.542075307153064</v>
      </c>
      <c r="AJ634" s="0" t="n">
        <v>0.333333333333333</v>
      </c>
    </row>
    <row r="635" customFormat="false" ht="15" hidden="false" customHeight="false" outlineLevel="0" collapsed="false">
      <c r="A635" s="0" t="s">
        <v>669</v>
      </c>
      <c r="B635" s="0" t="n">
        <v>1</v>
      </c>
      <c r="C635" s="0" t="n">
        <v>0.265837323118975</v>
      </c>
      <c r="D635" s="0" t="n">
        <v>-0.484875215051258</v>
      </c>
      <c r="E635" s="0" t="n">
        <v>-0.624367569408611</v>
      </c>
      <c r="F635" s="0" t="n">
        <v>0.753030017777587</v>
      </c>
      <c r="G635" s="0" t="n">
        <v>1.09707943803791</v>
      </c>
      <c r="H635" s="0" t="n">
        <v>0.955818599893404</v>
      </c>
      <c r="I635" s="0" t="n">
        <v>-0.297928938415182</v>
      </c>
      <c r="J635" s="0" t="n">
        <v>-1.0794492495849</v>
      </c>
      <c r="K635" s="0" t="n">
        <v>-0.530126376103741</v>
      </c>
      <c r="L635" s="0" t="n">
        <v>0.0597459312772166</v>
      </c>
      <c r="M635" s="0" t="n">
        <v>0.506355194306805</v>
      </c>
      <c r="N635" s="0" t="n">
        <v>1.00289941100625</v>
      </c>
      <c r="O635" s="0" t="n">
        <v>0.162601072154535</v>
      </c>
      <c r="P635" s="0" t="n">
        <v>0.284570464509721</v>
      </c>
      <c r="Q635" s="0" t="n">
        <v>-0.00745639912347924</v>
      </c>
      <c r="R635" s="0" t="n">
        <v>-0.101782190043583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1</v>
      </c>
      <c r="Y635" s="0" t="n">
        <v>0</v>
      </c>
      <c r="Z635" s="0" t="n">
        <v>0</v>
      </c>
      <c r="AA635" s="0" t="n">
        <v>1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  <c r="AH635" s="0" t="n">
        <v>0</v>
      </c>
      <c r="AI635" s="0" t="n">
        <v>0.614383558598056</v>
      </c>
      <c r="AJ635" s="0" t="n">
        <v>0.666666666666667</v>
      </c>
    </row>
    <row r="636" customFormat="false" ht="15" hidden="false" customHeight="false" outlineLevel="0" collapsed="false">
      <c r="A636" s="0" t="s">
        <v>670</v>
      </c>
      <c r="B636" s="0" t="n">
        <v>1</v>
      </c>
      <c r="C636" s="0" t="n">
        <v>0.0943193074174128</v>
      </c>
      <c r="D636" s="0" t="n">
        <v>-1.14030756847531</v>
      </c>
      <c r="E636" s="0" t="n">
        <v>-0.643956348678149</v>
      </c>
      <c r="F636" s="0" t="n">
        <v>2.88685719092593</v>
      </c>
      <c r="G636" s="0" t="n">
        <v>0.921910147158682</v>
      </c>
      <c r="H636" s="0" t="n">
        <v>0.800739580222004</v>
      </c>
      <c r="I636" s="0" t="n">
        <v>-1.71209767645453</v>
      </c>
      <c r="J636" s="0" t="n">
        <v>0.416564736475776</v>
      </c>
      <c r="K636" s="0" t="n">
        <v>-0.380208615978558</v>
      </c>
      <c r="L636" s="0" t="n">
        <v>-0.62223088569431</v>
      </c>
      <c r="M636" s="0" t="n">
        <v>-0.282736815710785</v>
      </c>
      <c r="N636" s="0" t="n">
        <v>-0.159714785618034</v>
      </c>
      <c r="O636" s="0" t="n">
        <v>-0.184679652158873</v>
      </c>
      <c r="P636" s="0" t="n">
        <v>0.43668957442094</v>
      </c>
      <c r="Q636" s="0" t="n">
        <v>-0.110312577373299</v>
      </c>
      <c r="R636" s="0" t="n">
        <v>-0.71996210246495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1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1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0.0159529856065637</v>
      </c>
      <c r="AJ636" s="0" t="n">
        <v>0</v>
      </c>
    </row>
    <row r="637" customFormat="false" ht="15" hidden="false" customHeight="false" outlineLevel="0" collapsed="false">
      <c r="A637" s="0" t="s">
        <v>671</v>
      </c>
      <c r="B637" s="0" t="n">
        <v>1</v>
      </c>
      <c r="C637" s="0" t="n">
        <v>0.00268703811948805</v>
      </c>
      <c r="D637" s="0" t="n">
        <v>-1.13460932265526</v>
      </c>
      <c r="E637" s="0" t="n">
        <v>-0.65962107658159</v>
      </c>
      <c r="F637" s="0" t="n">
        <v>2.69191918977038</v>
      </c>
      <c r="G637" s="0" t="n">
        <v>0.83806722016848</v>
      </c>
      <c r="H637" s="0" t="n">
        <v>0.723571595042287</v>
      </c>
      <c r="I637" s="0" t="n">
        <v>-1.69943667844862</v>
      </c>
      <c r="J637" s="0" t="n">
        <v>-0.178552535405856</v>
      </c>
      <c r="K637" s="0" t="n">
        <v>-0.379476463356855</v>
      </c>
      <c r="L637" s="0" t="n">
        <v>-0.412362031251113</v>
      </c>
      <c r="M637" s="0" t="n">
        <v>-0.155965735630048</v>
      </c>
      <c r="N637" s="0" t="n">
        <v>0.0681641723275871</v>
      </c>
      <c r="O637" s="0" t="n">
        <v>0.137445130436544</v>
      </c>
      <c r="P637" s="0" t="n">
        <v>0.674393971382174</v>
      </c>
      <c r="Q637" s="0" t="n">
        <v>-0.289159011714063</v>
      </c>
      <c r="R637" s="0" t="n">
        <v>0.147770907878172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1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J637" s="0" t="n">
        <v>0</v>
      </c>
    </row>
    <row r="638" customFormat="false" ht="15" hidden="false" customHeight="false" outlineLevel="0" collapsed="false">
      <c r="A638" s="0" t="s">
        <v>672</v>
      </c>
      <c r="B638" s="0" t="n">
        <v>1</v>
      </c>
      <c r="C638" s="0" t="n">
        <v>-0.366807177346159</v>
      </c>
      <c r="D638" s="0" t="n">
        <v>-1.10415200206397</v>
      </c>
      <c r="E638" s="0" t="n">
        <v>-0.811752349395655</v>
      </c>
      <c r="F638" s="0" t="n">
        <v>1.89258686092434</v>
      </c>
      <c r="G638" s="0" t="n">
        <v>0.676693068619931</v>
      </c>
      <c r="H638" s="0" t="n">
        <v>0.509620363000467</v>
      </c>
      <c r="I638" s="0" t="n">
        <v>-1.51270682926898</v>
      </c>
      <c r="J638" s="0" t="n">
        <v>0.0658212889456571</v>
      </c>
      <c r="K638" s="0" t="n">
        <v>-0.339212662974122</v>
      </c>
      <c r="L638" s="0" t="n">
        <v>-0.993233790948715</v>
      </c>
      <c r="M638" s="0" t="n">
        <v>-0.333658740085618</v>
      </c>
      <c r="N638" s="0" t="n">
        <v>-0.417388557722461</v>
      </c>
      <c r="O638" s="0" t="n">
        <v>0.303364749422867</v>
      </c>
      <c r="P638" s="0" t="n">
        <v>-0.57271063105917</v>
      </c>
      <c r="Q638" s="0" t="n">
        <v>-0.533285469899852</v>
      </c>
      <c r="R638" s="0" t="n">
        <v>-0.378655069353274</v>
      </c>
      <c r="S638" s="0" t="n">
        <v>1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1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</row>
    <row r="639" customFormat="false" ht="15" hidden="false" customHeight="false" outlineLevel="0" collapsed="false">
      <c r="A639" s="0" t="s">
        <v>673</v>
      </c>
      <c r="B639" s="0" t="n">
        <v>1</v>
      </c>
      <c r="C639" s="0" t="n">
        <v>-0.627654733753051</v>
      </c>
      <c r="D639" s="0" t="n">
        <v>-1.4082524479225</v>
      </c>
      <c r="E639" s="0" t="n">
        <v>-0.941569295057852</v>
      </c>
      <c r="F639" s="0" t="n">
        <v>3</v>
      </c>
      <c r="G639" s="0" t="n">
        <v>0.597640128254798</v>
      </c>
      <c r="H639" s="0" t="n">
        <v>0.383077800056965</v>
      </c>
      <c r="I639" s="0" t="n">
        <v>-0.886014576950679</v>
      </c>
      <c r="J639" s="0" t="n">
        <v>3</v>
      </c>
      <c r="K639" s="0" t="n">
        <v>-1.21507270480894</v>
      </c>
      <c r="L639" s="0" t="n">
        <v>-2.46197259998138</v>
      </c>
      <c r="M639" s="0" t="n">
        <v>-0.479588021068009</v>
      </c>
      <c r="N639" s="0" t="n">
        <v>-1.5970577169342</v>
      </c>
      <c r="O639" s="0" t="n">
        <v>3</v>
      </c>
      <c r="P639" s="0" t="n">
        <v>-0.378356039600206</v>
      </c>
      <c r="Q639" s="0" t="n">
        <v>-0.300480184815323</v>
      </c>
      <c r="R639" s="0" t="n">
        <v>-0.404810367099082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0</v>
      </c>
      <c r="Z639" s="0" t="n">
        <v>1</v>
      </c>
      <c r="AA639" s="0" t="n">
        <v>0</v>
      </c>
      <c r="AB639" s="0" t="n">
        <v>0</v>
      </c>
      <c r="AC639" s="0" t="n">
        <v>0</v>
      </c>
      <c r="AD639" s="0" t="n">
        <v>1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0</v>
      </c>
    </row>
    <row r="640" customFormat="false" ht="15" hidden="false" customHeight="false" outlineLevel="0" collapsed="false">
      <c r="A640" s="0" t="s">
        <v>674</v>
      </c>
      <c r="B640" s="0" t="n">
        <v>1</v>
      </c>
      <c r="C640" s="0" t="n">
        <v>-0.538863013238859</v>
      </c>
      <c r="D640" s="0" t="n">
        <v>-0.300473724811997</v>
      </c>
      <c r="E640" s="0" t="n">
        <v>-0.898633484302607</v>
      </c>
      <c r="F640" s="0" t="n">
        <v>-0.390190167546534</v>
      </c>
      <c r="G640" s="0" t="n">
        <v>0.628873044636349</v>
      </c>
      <c r="H640" s="0" t="n">
        <v>0.427522263729587</v>
      </c>
      <c r="I640" s="0" t="n">
        <v>2.34872913522846</v>
      </c>
      <c r="J640" s="0" t="n">
        <v>-0.067659484746046</v>
      </c>
      <c r="K640" s="0" t="n">
        <v>-0.149766442883367</v>
      </c>
      <c r="L640" s="0" t="n">
        <v>0.131698260101833</v>
      </c>
      <c r="M640" s="0" t="n">
        <v>-0.107974637549722</v>
      </c>
      <c r="N640" s="0" t="n">
        <v>-0.180160192575284</v>
      </c>
      <c r="O640" s="0" t="n">
        <v>-0.319185332251216</v>
      </c>
      <c r="P640" s="0" t="n">
        <v>-0.335176607133119</v>
      </c>
      <c r="Q640" s="0" t="n">
        <v>-0.300944850024711</v>
      </c>
      <c r="R640" s="0" t="n">
        <v>-0.248813617506255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1</v>
      </c>
      <c r="AI640" s="0" t="n">
        <v>0</v>
      </c>
      <c r="AJ640" s="0" t="n">
        <v>0</v>
      </c>
    </row>
    <row r="641" customFormat="false" ht="15" hidden="false" customHeight="false" outlineLevel="0" collapsed="false">
      <c r="A641" s="0" t="s">
        <v>675</v>
      </c>
      <c r="B641" s="0" t="n">
        <v>1</v>
      </c>
      <c r="C641" s="0" t="n">
        <v>-0.604685153681187</v>
      </c>
      <c r="D641" s="0" t="n">
        <v>-0.129317395453415</v>
      </c>
      <c r="E641" s="0" t="n">
        <v>-0.766469286798582</v>
      </c>
      <c r="F641" s="0" t="n">
        <v>-0.665032656598556</v>
      </c>
      <c r="G641" s="0" t="n">
        <v>0.251340164576079</v>
      </c>
      <c r="H641" s="0" t="n">
        <v>0.215370455296645</v>
      </c>
      <c r="I641" s="0" t="n">
        <v>2.4016791705238</v>
      </c>
      <c r="J641" s="0" t="n">
        <v>-0.871392558357241</v>
      </c>
      <c r="K641" s="0" t="n">
        <v>-0.412407624045749</v>
      </c>
      <c r="L641" s="0" t="n">
        <v>-0.282113317470896</v>
      </c>
      <c r="M641" s="0" t="n">
        <v>-0.181662385576551</v>
      </c>
      <c r="N641" s="0" t="n">
        <v>-0.163207970726308</v>
      </c>
      <c r="O641" s="0" t="n">
        <v>0.260653744531468</v>
      </c>
      <c r="P641" s="0" t="n">
        <v>-0.289331109929552</v>
      </c>
      <c r="Q641" s="0" t="n">
        <v>-0.55854733941381</v>
      </c>
      <c r="R641" s="0" t="n">
        <v>-0.561550753049723</v>
      </c>
      <c r="S641" s="0" t="n">
        <v>0</v>
      </c>
      <c r="T641" s="0" t="n">
        <v>1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0</v>
      </c>
      <c r="Z641" s="0" t="n">
        <v>1</v>
      </c>
      <c r="AA641" s="0" t="n">
        <v>0</v>
      </c>
      <c r="AB641" s="0" t="n">
        <v>0</v>
      </c>
      <c r="AC641" s="0" t="n">
        <v>0</v>
      </c>
      <c r="AD641" s="0" t="n">
        <v>1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0.556544206906741</v>
      </c>
      <c r="AJ641" s="0" t="n">
        <v>0.333333333333333</v>
      </c>
    </row>
    <row r="642" customFormat="false" ht="15" hidden="false" customHeight="false" outlineLevel="0" collapsed="false">
      <c r="A642" s="0" t="s">
        <v>676</v>
      </c>
      <c r="B642" s="0" t="n">
        <v>1</v>
      </c>
      <c r="C642" s="0" t="n">
        <v>-0.407236355819124</v>
      </c>
      <c r="D642" s="0" t="n">
        <v>-0.0995515749904195</v>
      </c>
      <c r="E642" s="0" t="n">
        <v>-0.731150174577572</v>
      </c>
      <c r="F642" s="0" t="n">
        <v>-0.527479019145351</v>
      </c>
      <c r="G642" s="0" t="n">
        <v>0.448399591658894</v>
      </c>
      <c r="H642" s="0" t="n">
        <v>0.379941700197699</v>
      </c>
      <c r="I642" s="0" t="n">
        <v>0.460263843508342</v>
      </c>
      <c r="J642" s="0" t="n">
        <v>0.272992542577341</v>
      </c>
      <c r="K642" s="0" t="n">
        <v>-0.38214936957921</v>
      </c>
      <c r="L642" s="0" t="n">
        <v>-1.14272220063904</v>
      </c>
      <c r="M642" s="0" t="n">
        <v>0.346700944481381</v>
      </c>
      <c r="N642" s="0" t="n">
        <v>-0.547869295590334</v>
      </c>
      <c r="O642" s="0" t="n">
        <v>-0.239818051202268</v>
      </c>
      <c r="P642" s="0" t="n">
        <v>-0.448295049830705</v>
      </c>
      <c r="Q642" s="0" t="n">
        <v>-0.548667041201116</v>
      </c>
      <c r="R642" s="0" t="n">
        <v>-0.567583300778311</v>
      </c>
      <c r="S642" s="0" t="n">
        <v>1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1</v>
      </c>
      <c r="Y642" s="0" t="n">
        <v>0</v>
      </c>
      <c r="Z642" s="0" t="n">
        <v>0</v>
      </c>
      <c r="AA642" s="0" t="n">
        <v>1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0.37631859310551</v>
      </c>
      <c r="AJ642" s="0" t="n">
        <v>0</v>
      </c>
    </row>
    <row r="643" customFormat="false" ht="15" hidden="false" customHeight="false" outlineLevel="0" collapsed="false">
      <c r="A643" s="0" t="s">
        <v>677</v>
      </c>
      <c r="B643" s="0" t="n">
        <v>1</v>
      </c>
      <c r="C643" s="0" t="n">
        <v>-0.47892652541028</v>
      </c>
      <c r="D643" s="0" t="n">
        <v>-0.178777017698405</v>
      </c>
      <c r="E643" s="0" t="n">
        <v>-0.726917719005641</v>
      </c>
      <c r="F643" s="0" t="n">
        <v>-0.494526595499233</v>
      </c>
      <c r="G643" s="0" t="n">
        <v>0.343775228739459</v>
      </c>
      <c r="H643" s="0" t="n">
        <v>0.30155047501104</v>
      </c>
      <c r="I643" s="0" t="n">
        <v>0.176357351469724</v>
      </c>
      <c r="J643" s="0" t="n">
        <v>-0.067659484746046</v>
      </c>
      <c r="K643" s="0" t="n">
        <v>-0.149766442883367</v>
      </c>
      <c r="L643" s="0" t="n">
        <v>0.131698260101833</v>
      </c>
      <c r="M643" s="0" t="n">
        <v>-0.107974637549722</v>
      </c>
      <c r="N643" s="0" t="n">
        <v>-0.180160192575284</v>
      </c>
      <c r="O643" s="0" t="n">
        <v>-0.319185332251216</v>
      </c>
      <c r="P643" s="0" t="n">
        <v>-0.335176607133119</v>
      </c>
      <c r="Q643" s="0" t="n">
        <v>-0.300944850024711</v>
      </c>
      <c r="R643" s="0" t="n">
        <v>-0.248813617506255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1</v>
      </c>
      <c r="AI643" s="0" t="n">
        <v>0.570595857125445</v>
      </c>
      <c r="AJ643" s="0" t="n">
        <v>0.333333333333333</v>
      </c>
    </row>
    <row r="644" customFormat="false" ht="15" hidden="false" customHeight="false" outlineLevel="0" collapsed="false">
      <c r="A644" s="0" t="s">
        <v>678</v>
      </c>
      <c r="B644" s="0" t="n">
        <v>1</v>
      </c>
      <c r="C644" s="0" t="n">
        <v>-0.67468932911553</v>
      </c>
      <c r="D644" s="0" t="n">
        <v>-0.179356922369243</v>
      </c>
      <c r="E644" s="0" t="n">
        <v>-0.883423751788146</v>
      </c>
      <c r="F644" s="0" t="n">
        <v>-0.669994885039841</v>
      </c>
      <c r="G644" s="0" t="n">
        <v>0.394590009264224</v>
      </c>
      <c r="H644" s="0" t="n">
        <v>0.27114212290839</v>
      </c>
      <c r="I644" s="0" t="n">
        <v>-0.346960927571856</v>
      </c>
      <c r="J644" s="0" t="n">
        <v>-0.067659484746046</v>
      </c>
      <c r="K644" s="0" t="n">
        <v>-0.149766442883367</v>
      </c>
      <c r="L644" s="0" t="n">
        <v>0.131698260101833</v>
      </c>
      <c r="M644" s="0" t="n">
        <v>-0.107974637549722</v>
      </c>
      <c r="N644" s="0" t="n">
        <v>-0.180160192575284</v>
      </c>
      <c r="O644" s="0" t="n">
        <v>-0.319185332251216</v>
      </c>
      <c r="P644" s="0" t="n">
        <v>-0.335176607133119</v>
      </c>
      <c r="Q644" s="0" t="n">
        <v>-0.300944850024711</v>
      </c>
      <c r="R644" s="0" t="n">
        <v>-0.248813617506255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1</v>
      </c>
      <c r="AI644" s="0" t="n">
        <v>0.201481166641048</v>
      </c>
      <c r="AJ644" s="0" t="n">
        <v>0</v>
      </c>
    </row>
    <row r="645" customFormat="false" ht="15" hidden="false" customHeight="false" outlineLevel="0" collapsed="false">
      <c r="A645" s="0" t="s">
        <v>679</v>
      </c>
      <c r="B645" s="0" t="n">
        <v>1</v>
      </c>
      <c r="C645" s="0" t="n">
        <v>-0.624420113396138</v>
      </c>
      <c r="D645" s="0" t="n">
        <v>-0.799166544641668</v>
      </c>
      <c r="E645" s="0" t="n">
        <v>-0.819866082320277</v>
      </c>
      <c r="F645" s="0" t="n">
        <v>0.447879920288294</v>
      </c>
      <c r="G645" s="0" t="n">
        <v>0.331608958676924</v>
      </c>
      <c r="H645" s="0" t="n">
        <v>0.253413830000218</v>
      </c>
      <c r="I645" s="0" t="n">
        <v>-0.615417462174141</v>
      </c>
      <c r="J645" s="0" t="n">
        <v>-0.520433444427821</v>
      </c>
      <c r="K645" s="0" t="n">
        <v>-0.313675486144244</v>
      </c>
      <c r="L645" s="0" t="n">
        <v>1.26297452162666</v>
      </c>
      <c r="M645" s="0" t="n">
        <v>-0.210538971514746</v>
      </c>
      <c r="N645" s="0" t="n">
        <v>-0.38430603993234</v>
      </c>
      <c r="O645" s="0" t="n">
        <v>0.0471395308920739</v>
      </c>
      <c r="P645" s="0" t="n">
        <v>-0.193890240368425</v>
      </c>
      <c r="Q645" s="0" t="n">
        <v>-0.173306289183788</v>
      </c>
      <c r="R645" s="0" t="n">
        <v>-0.641297111030947</v>
      </c>
      <c r="S645" s="0" t="n">
        <v>1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1</v>
      </c>
      <c r="Y645" s="0" t="n">
        <v>0</v>
      </c>
      <c r="Z645" s="0" t="n">
        <v>0</v>
      </c>
      <c r="AA645" s="0" t="n">
        <v>1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0</v>
      </c>
      <c r="AJ645" s="0" t="n">
        <v>0</v>
      </c>
    </row>
    <row r="646" customFormat="false" ht="15" hidden="false" customHeight="false" outlineLevel="0" collapsed="false">
      <c r="A646" s="0" t="s">
        <v>680</v>
      </c>
      <c r="B646" s="0" t="n">
        <v>1</v>
      </c>
      <c r="C646" s="0" t="n">
        <v>-0.720366466478759</v>
      </c>
      <c r="D646" s="0" t="n">
        <v>-0.510333080782707</v>
      </c>
      <c r="E646" s="0" t="n">
        <v>-0.578693328248984</v>
      </c>
      <c r="F646" s="0" t="n">
        <v>-0.258138105019228</v>
      </c>
      <c r="G646" s="0" t="n">
        <v>-0.226038667240207</v>
      </c>
      <c r="H646" s="0" t="n">
        <v>-0.10885458846062</v>
      </c>
      <c r="I646" s="0" t="n">
        <v>0.121571849112016</v>
      </c>
      <c r="J646" s="0" t="n">
        <v>-0.0817396764464223</v>
      </c>
      <c r="K646" s="0" t="n">
        <v>-0.263492102282157</v>
      </c>
      <c r="L646" s="0" t="n">
        <v>0.393586716648715</v>
      </c>
      <c r="M646" s="0" t="n">
        <v>-0.248807225638927</v>
      </c>
      <c r="N646" s="0" t="n">
        <v>-0.690884403552599</v>
      </c>
      <c r="O646" s="0" t="n">
        <v>-0.215226373801469</v>
      </c>
      <c r="P646" s="0" t="n">
        <v>-0.500756436437428</v>
      </c>
      <c r="Q646" s="0" t="n">
        <v>-0.437220268431938</v>
      </c>
      <c r="R646" s="0" t="n">
        <v>-0.0325201350145842</v>
      </c>
      <c r="S646" s="0" t="n">
        <v>1</v>
      </c>
      <c r="T646" s="0" t="n">
        <v>0</v>
      </c>
      <c r="U646" s="0" t="n">
        <v>0</v>
      </c>
      <c r="V646" s="0" t="n">
        <v>0</v>
      </c>
      <c r="W646" s="0" t="n">
        <v>1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1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0</v>
      </c>
      <c r="AI646" s="0" t="n">
        <v>0.456592739987706</v>
      </c>
      <c r="AJ646" s="0" t="n">
        <v>0.333333333333333</v>
      </c>
    </row>
    <row r="647" customFormat="false" ht="15" hidden="false" customHeight="false" outlineLevel="0" collapsed="false">
      <c r="A647" s="0" t="s">
        <v>681</v>
      </c>
      <c r="B647" s="0" t="n">
        <v>1</v>
      </c>
      <c r="C647" s="0" t="n">
        <v>-0.668022455515307</v>
      </c>
      <c r="D647" s="0" t="n">
        <v>-0.596225140103638</v>
      </c>
      <c r="E647" s="0" t="n">
        <v>-0.563369751644954</v>
      </c>
      <c r="F647" s="0" t="n">
        <v>-0.0487138250883336</v>
      </c>
      <c r="G647" s="0" t="n">
        <v>-0.185043251357629</v>
      </c>
      <c r="H647" s="0" t="n">
        <v>-0.0717397741055575</v>
      </c>
      <c r="I647" s="0" t="n">
        <v>0.0805850479383674</v>
      </c>
      <c r="J647" s="0" t="n">
        <v>-0.067659484746046</v>
      </c>
      <c r="K647" s="0" t="n">
        <v>-0.149766442883367</v>
      </c>
      <c r="L647" s="0" t="n">
        <v>0.131698260101833</v>
      </c>
      <c r="M647" s="0" t="n">
        <v>-0.107974637549722</v>
      </c>
      <c r="N647" s="0" t="n">
        <v>-0.180160192575284</v>
      </c>
      <c r="O647" s="0" t="n">
        <v>-0.319185332251216</v>
      </c>
      <c r="P647" s="0" t="n">
        <v>-0.335176607133119</v>
      </c>
      <c r="Q647" s="0" t="n">
        <v>-0.300944850024711</v>
      </c>
      <c r="R647" s="0" t="n">
        <v>-0.248813617506255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1</v>
      </c>
      <c r="AI647" s="0" t="n">
        <v>0.738186981999946</v>
      </c>
      <c r="AJ647" s="0" t="n">
        <v>0.666666666666667</v>
      </c>
    </row>
    <row r="648" customFormat="false" ht="15" hidden="false" customHeight="false" outlineLevel="0" collapsed="false">
      <c r="A648" s="0" t="s">
        <v>682</v>
      </c>
      <c r="B648" s="0" t="n">
        <v>1</v>
      </c>
      <c r="C648" s="0" t="n">
        <v>-0.792369301521636</v>
      </c>
      <c r="D648" s="0" t="n">
        <v>-0.650269167163162</v>
      </c>
      <c r="E648" s="0" t="n">
        <v>-0.414353998874808</v>
      </c>
      <c r="F648" s="0" t="n">
        <v>-0.0910957174838574</v>
      </c>
      <c r="G648" s="0" t="n">
        <v>-0.541897931679542</v>
      </c>
      <c r="H648" s="0" t="n">
        <v>-0.362525730883598</v>
      </c>
      <c r="I648" s="0" t="n">
        <v>-1.09037660473574</v>
      </c>
      <c r="J648" s="0" t="n">
        <v>-0.340481893045547</v>
      </c>
      <c r="K648" s="0" t="n">
        <v>-0.314901665782646</v>
      </c>
      <c r="L648" s="0" t="n">
        <v>1.55262524684971</v>
      </c>
      <c r="M648" s="0" t="n">
        <v>0.0741577726923531</v>
      </c>
      <c r="N648" s="0" t="n">
        <v>-0.647527811914613</v>
      </c>
      <c r="O648" s="0" t="n">
        <v>-0.213252162893175</v>
      </c>
      <c r="P648" s="0" t="n">
        <v>-0.277523352878272</v>
      </c>
      <c r="Q648" s="0" t="n">
        <v>-0.442883941817735</v>
      </c>
      <c r="R648" s="0" t="n">
        <v>-0.147373840859661</v>
      </c>
      <c r="S648" s="0" t="n">
        <v>1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1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0.697737336836435</v>
      </c>
      <c r="AJ648" s="0" t="n">
        <v>0</v>
      </c>
    </row>
    <row r="649" customFormat="false" ht="15" hidden="false" customHeight="false" outlineLevel="0" collapsed="false">
      <c r="A649" s="0" t="s">
        <v>683</v>
      </c>
      <c r="B649" s="0" t="n">
        <v>1</v>
      </c>
      <c r="C649" s="0" t="n">
        <v>-0.0946735718896049</v>
      </c>
      <c r="D649" s="0" t="n">
        <v>-0.469062346732565</v>
      </c>
      <c r="E649" s="0" t="n">
        <v>-0.269560713029759</v>
      </c>
      <c r="F649" s="0" t="n">
        <v>0.336909551863014</v>
      </c>
      <c r="G649" s="0" t="n">
        <v>0.0335942185834783</v>
      </c>
      <c r="H649" s="0" t="n">
        <v>0.19714971798786</v>
      </c>
      <c r="I649" s="0" t="n">
        <v>-1.10056986707262</v>
      </c>
      <c r="J649" s="0" t="n">
        <v>0.224162241169264</v>
      </c>
      <c r="K649" s="0" t="n">
        <v>-0.851150291651709</v>
      </c>
      <c r="L649" s="0" t="n">
        <v>1.02333539640496</v>
      </c>
      <c r="M649" s="0" t="n">
        <v>2.21807611973961</v>
      </c>
      <c r="N649" s="0" t="n">
        <v>-0.238208709815715</v>
      </c>
      <c r="O649" s="0" t="n">
        <v>-0.0730759562187735</v>
      </c>
      <c r="P649" s="0" t="n">
        <v>-0.150892675342964</v>
      </c>
      <c r="Q649" s="0" t="n">
        <v>-0.198916260074549</v>
      </c>
      <c r="R649" s="0" t="n">
        <v>-0.225773075091191</v>
      </c>
      <c r="S649" s="0" t="n">
        <v>1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1</v>
      </c>
      <c r="Y649" s="0" t="n">
        <v>0</v>
      </c>
      <c r="Z649" s="0" t="n">
        <v>0</v>
      </c>
      <c r="AA649" s="0" t="n">
        <v>1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1.16437799348127</v>
      </c>
      <c r="AJ649" s="0" t="n">
        <v>0.333333333333333</v>
      </c>
    </row>
    <row r="650" customFormat="false" ht="15" hidden="false" customHeight="false" outlineLevel="0" collapsed="false">
      <c r="A650" s="0" t="s">
        <v>684</v>
      </c>
      <c r="B650" s="0" t="n">
        <v>1</v>
      </c>
      <c r="C650" s="0" t="n">
        <v>-0.502507000524992</v>
      </c>
      <c r="D650" s="0" t="n">
        <v>-0.668516579428114</v>
      </c>
      <c r="E650" s="0" t="n">
        <v>-0.310844686387316</v>
      </c>
      <c r="F650" s="0" t="n">
        <v>0.292544843296405</v>
      </c>
      <c r="G650" s="0" t="n">
        <v>-0.35109530392125</v>
      </c>
      <c r="H650" s="0" t="n">
        <v>-0.177380316928283</v>
      </c>
      <c r="I650" s="0" t="n">
        <v>-0.854064403692702</v>
      </c>
      <c r="J650" s="0" t="n">
        <v>-1.16224272420928</v>
      </c>
      <c r="K650" s="0" t="n">
        <v>0.11709622436139</v>
      </c>
      <c r="L650" s="0" t="n">
        <v>0.0028312594592866</v>
      </c>
      <c r="M650" s="0" t="n">
        <v>-0.236769129036433</v>
      </c>
      <c r="N650" s="0" t="n">
        <v>0.149945800156584</v>
      </c>
      <c r="O650" s="0" t="n">
        <v>-0.428039977658571</v>
      </c>
      <c r="P650" s="0" t="n">
        <v>-0.56746153072508</v>
      </c>
      <c r="Q650" s="0" t="n">
        <v>-0.551389326290335</v>
      </c>
      <c r="R650" s="0" t="n">
        <v>-0.0586879316038187</v>
      </c>
      <c r="S650" s="0" t="n">
        <v>0</v>
      </c>
      <c r="T650" s="0" t="n">
        <v>1</v>
      </c>
      <c r="U650" s="0" t="n">
        <v>0</v>
      </c>
      <c r="V650" s="0" t="n">
        <v>0</v>
      </c>
      <c r="W650" s="0" t="n">
        <v>1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1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0.465366598349792</v>
      </c>
      <c r="AJ650" s="0" t="n">
        <v>0</v>
      </c>
    </row>
    <row r="651" customFormat="false" ht="15" hidden="false" customHeight="false" outlineLevel="0" collapsed="false">
      <c r="A651" s="0" t="s">
        <v>685</v>
      </c>
      <c r="B651" s="0" t="n">
        <v>1</v>
      </c>
      <c r="C651" s="0" t="n">
        <v>-0.709028757743447</v>
      </c>
      <c r="D651" s="0" t="n">
        <v>-0.344593507203417</v>
      </c>
      <c r="E651" s="0" t="n">
        <v>-0.325162315694491</v>
      </c>
      <c r="F651" s="0" t="n">
        <v>-0.49481359671588</v>
      </c>
      <c r="G651" s="0" t="n">
        <v>-0.559354155329464</v>
      </c>
      <c r="H651" s="0" t="n">
        <v>-0.374236811330528</v>
      </c>
      <c r="I651" s="0" t="n">
        <v>0.392366631149413</v>
      </c>
      <c r="J651" s="0" t="n">
        <v>-0.969097728610461</v>
      </c>
      <c r="K651" s="0" t="n">
        <v>1.61980415799101</v>
      </c>
      <c r="L651" s="0" t="n">
        <v>-0.401715388364464</v>
      </c>
      <c r="M651" s="0" t="n">
        <v>0.840250872625022</v>
      </c>
      <c r="N651" s="0" t="n">
        <v>-0.223003080520877</v>
      </c>
      <c r="O651" s="0" t="n">
        <v>-0.626920826107476</v>
      </c>
      <c r="P651" s="0" t="n">
        <v>0.720363019247665</v>
      </c>
      <c r="Q651" s="0" t="n">
        <v>-0.368083681973596</v>
      </c>
      <c r="R651" s="0" t="n">
        <v>0.110922128782271</v>
      </c>
      <c r="S651" s="0" t="n">
        <v>1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1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0.528455859696963</v>
      </c>
      <c r="AJ651" s="0" t="n">
        <v>0.333333333333333</v>
      </c>
    </row>
    <row r="652" customFormat="false" ht="15" hidden="false" customHeight="false" outlineLevel="0" collapsed="false">
      <c r="A652" s="0" t="s">
        <v>686</v>
      </c>
      <c r="B652" s="0" t="n">
        <v>1</v>
      </c>
      <c r="C652" s="0" t="n">
        <v>-0.650394970247861</v>
      </c>
      <c r="D652" s="0" t="n">
        <v>-0.397277595834101</v>
      </c>
      <c r="E652" s="0" t="n">
        <v>-0.33024631702686</v>
      </c>
      <c r="F652" s="0" t="n">
        <v>-0.361428695364581</v>
      </c>
      <c r="G652" s="0" t="n">
        <v>-0.488573047528694</v>
      </c>
      <c r="H652" s="0" t="n">
        <v>-0.308349520548848</v>
      </c>
      <c r="I652" s="0" t="n">
        <v>0.239327425946286</v>
      </c>
      <c r="J652" s="0" t="n">
        <v>0.564640695712117</v>
      </c>
      <c r="K652" s="0" t="n">
        <v>-0.703037390143421</v>
      </c>
      <c r="L652" s="0" t="n">
        <v>0.0223095029579928</v>
      </c>
      <c r="M652" s="0" t="n">
        <v>-0.106343533786988</v>
      </c>
      <c r="N652" s="0" t="n">
        <v>-0.879310917922423</v>
      </c>
      <c r="O652" s="0" t="n">
        <v>-0.127373965403655</v>
      </c>
      <c r="P652" s="0" t="n">
        <v>0.116480931699469</v>
      </c>
      <c r="Q652" s="0" t="n">
        <v>-0.209043735775271</v>
      </c>
      <c r="R652" s="0" t="n">
        <v>-0.726349025870465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0</v>
      </c>
      <c r="Z652" s="0" t="n">
        <v>1</v>
      </c>
      <c r="AA652" s="0" t="n">
        <v>0</v>
      </c>
      <c r="AB652" s="0" t="n">
        <v>0</v>
      </c>
      <c r="AC652" s="0" t="n">
        <v>0</v>
      </c>
      <c r="AD652" s="0" t="n">
        <v>1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1.05517375607301</v>
      </c>
      <c r="AJ652" s="0" t="n">
        <v>0.666666666666667</v>
      </c>
    </row>
    <row r="653" customFormat="false" ht="15" hidden="false" customHeight="false" outlineLevel="0" collapsed="false">
      <c r="A653" s="0" t="s">
        <v>687</v>
      </c>
      <c r="B653" s="0" t="n">
        <v>1</v>
      </c>
      <c r="C653" s="0" t="n">
        <v>-0.245463107051117</v>
      </c>
      <c r="D653" s="0" t="n">
        <v>0.169634321928141</v>
      </c>
      <c r="E653" s="0" t="n">
        <v>-0.432060454654749</v>
      </c>
      <c r="F653" s="0" t="n">
        <v>-0.684931770094269</v>
      </c>
      <c r="G653" s="0" t="n">
        <v>0.112089485767721</v>
      </c>
      <c r="H653" s="0" t="n">
        <v>0.219566647587559</v>
      </c>
      <c r="I653" s="0" t="n">
        <v>0.0854513707408884</v>
      </c>
      <c r="J653" s="0" t="n">
        <v>-0.067659484746046</v>
      </c>
      <c r="K653" s="0" t="n">
        <v>-0.149766442883367</v>
      </c>
      <c r="L653" s="0" t="n">
        <v>0.131698260101833</v>
      </c>
      <c r="M653" s="0" t="n">
        <v>-0.107974637549722</v>
      </c>
      <c r="N653" s="0" t="n">
        <v>-0.180160192575284</v>
      </c>
      <c r="O653" s="0" t="n">
        <v>-0.319185332251216</v>
      </c>
      <c r="P653" s="0" t="n">
        <v>-0.335176607133119</v>
      </c>
      <c r="Q653" s="0" t="n">
        <v>-0.300944850024711</v>
      </c>
      <c r="R653" s="0" t="n">
        <v>-0.248813617506255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1</v>
      </c>
      <c r="AI653" s="0" t="n">
        <v>0.691629498249458</v>
      </c>
      <c r="AJ653" s="0" t="n">
        <v>0</v>
      </c>
    </row>
    <row r="654" customFormat="false" ht="15" hidden="false" customHeight="false" outlineLevel="0" collapsed="false">
      <c r="A654" s="0" t="s">
        <v>688</v>
      </c>
      <c r="B654" s="0" t="n">
        <v>1</v>
      </c>
      <c r="C654" s="0" t="n">
        <v>-0.531408537605021</v>
      </c>
      <c r="D654" s="0" t="n">
        <v>-0.036701850483431</v>
      </c>
      <c r="E654" s="0" t="n">
        <v>-0.439468259294323</v>
      </c>
      <c r="F654" s="0" t="n">
        <v>-0.703684069414036</v>
      </c>
      <c r="G654" s="0" t="n">
        <v>-0.207280184895778</v>
      </c>
      <c r="H654" s="0" t="n">
        <v>-0.0665642410678071</v>
      </c>
      <c r="I654" s="0" t="n">
        <v>0.390476044573823</v>
      </c>
      <c r="J654" s="0" t="n">
        <v>-0.264463738014289</v>
      </c>
      <c r="K654" s="0" t="n">
        <v>0.12687836705798</v>
      </c>
      <c r="L654" s="0" t="n">
        <v>-1.29799703204546</v>
      </c>
      <c r="M654" s="0" t="n">
        <v>0.258061503524081</v>
      </c>
      <c r="N654" s="0" t="n">
        <v>-0.419237891015077</v>
      </c>
      <c r="O654" s="0" t="n">
        <v>-0.0302840914756612</v>
      </c>
      <c r="P654" s="0" t="n">
        <v>2.43408764622332</v>
      </c>
      <c r="Q654" s="0" t="n">
        <v>0.96400414713964</v>
      </c>
      <c r="R654" s="0" t="n">
        <v>-0.0158601383461893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1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0.671631663896988</v>
      </c>
      <c r="AJ654" s="0" t="n">
        <v>0</v>
      </c>
    </row>
    <row r="655" customFormat="false" ht="15" hidden="false" customHeight="false" outlineLevel="0" collapsed="false">
      <c r="A655" s="0" t="s">
        <v>689</v>
      </c>
      <c r="B655" s="0" t="n">
        <v>1</v>
      </c>
      <c r="C655" s="0" t="n">
        <v>-0.330020113699869</v>
      </c>
      <c r="D655" s="0" t="n">
        <v>0.00379247520598373</v>
      </c>
      <c r="E655" s="0" t="n">
        <v>-0.42433552136956</v>
      </c>
      <c r="F655" s="0" t="n">
        <v>-0.580194678853171</v>
      </c>
      <c r="G655" s="0" t="n">
        <v>0.0025989304218026</v>
      </c>
      <c r="H655" s="0" t="n">
        <v>0.124119551933522</v>
      </c>
      <c r="I655" s="0" t="n">
        <v>0.248544952497476</v>
      </c>
      <c r="J655" s="0" t="n">
        <v>0.0475903248107846</v>
      </c>
      <c r="K655" s="0" t="n">
        <v>-0.813888737946992</v>
      </c>
      <c r="L655" s="0" t="n">
        <v>-1.54700167532585</v>
      </c>
      <c r="M655" s="0" t="n">
        <v>-0.151952519620778</v>
      </c>
      <c r="N655" s="0" t="n">
        <v>-0.373826484607518</v>
      </c>
      <c r="O655" s="0" t="n">
        <v>-0.362483623825867</v>
      </c>
      <c r="P655" s="0" t="n">
        <v>-0.3896186513334</v>
      </c>
      <c r="Q655" s="0" t="n">
        <v>-0.27535532739705</v>
      </c>
      <c r="R655" s="0" t="n">
        <v>-0.360922664101783</v>
      </c>
      <c r="S655" s="0" t="n">
        <v>1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1</v>
      </c>
      <c r="AA655" s="0" t="n">
        <v>0</v>
      </c>
      <c r="AB655" s="0" t="n">
        <v>0</v>
      </c>
      <c r="AC655" s="0" t="n">
        <v>0</v>
      </c>
      <c r="AD655" s="0" t="n">
        <v>1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0.381120184258859</v>
      </c>
      <c r="AJ655" s="0" t="n">
        <v>0</v>
      </c>
    </row>
    <row r="656" customFormat="false" ht="15" hidden="false" customHeight="false" outlineLevel="0" collapsed="false">
      <c r="A656" s="0" t="s">
        <v>690</v>
      </c>
      <c r="B656" s="0" t="n">
        <v>1</v>
      </c>
      <c r="C656" s="0" t="n">
        <v>3</v>
      </c>
      <c r="D656" s="0" t="n">
        <v>0.196972866850852</v>
      </c>
      <c r="E656" s="0" t="n">
        <v>-0.236430723397838</v>
      </c>
      <c r="F656" s="0" t="n">
        <v>2.95271848682042</v>
      </c>
      <c r="G656" s="0" t="n">
        <v>3</v>
      </c>
      <c r="H656" s="0" t="n">
        <v>3</v>
      </c>
      <c r="I656" s="0" t="n">
        <v>0.178811236607457</v>
      </c>
      <c r="J656" s="0" t="n">
        <v>3</v>
      </c>
      <c r="K656" s="0" t="n">
        <v>-3</v>
      </c>
      <c r="L656" s="0" t="n">
        <v>-3</v>
      </c>
      <c r="M656" s="0" t="n">
        <v>-1.46531664040462</v>
      </c>
      <c r="N656" s="0" t="n">
        <v>0.21590535425987</v>
      </c>
      <c r="O656" s="0" t="n">
        <v>-0.319185332251216</v>
      </c>
      <c r="P656" s="0" t="n">
        <v>-0.335176607133119</v>
      </c>
      <c r="Q656" s="0" t="n">
        <v>-0.300944850024711</v>
      </c>
      <c r="R656" s="0" t="n">
        <v>-0.248813617506255</v>
      </c>
      <c r="S656" s="0" t="n">
        <v>0</v>
      </c>
      <c r="T656" s="0" t="n">
        <v>1</v>
      </c>
      <c r="U656" s="0" t="n">
        <v>0</v>
      </c>
      <c r="V656" s="0" t="n">
        <v>0</v>
      </c>
      <c r="W656" s="0" t="n">
        <v>0</v>
      </c>
      <c r="X656" s="0" t="n">
        <v>1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1</v>
      </c>
      <c r="AH656" s="0" t="n">
        <v>0</v>
      </c>
      <c r="AI656" s="0" t="n">
        <v>0.0222327852484402</v>
      </c>
      <c r="AJ656" s="0" t="n">
        <v>0</v>
      </c>
    </row>
    <row r="657" customFormat="false" ht="15" hidden="false" customHeight="false" outlineLevel="0" collapsed="false">
      <c r="A657" s="0" t="s">
        <v>691</v>
      </c>
      <c r="B657" s="0" t="n">
        <v>1</v>
      </c>
      <c r="C657" s="0" t="n">
        <v>1.37863180097873</v>
      </c>
      <c r="D657" s="0" t="n">
        <v>0.926312142932945</v>
      </c>
      <c r="E657" s="0" t="n">
        <v>0.449267379357537</v>
      </c>
      <c r="F657" s="0" t="n">
        <v>-0.30728603042139</v>
      </c>
      <c r="G657" s="0" t="n">
        <v>0.4463037224973</v>
      </c>
      <c r="H657" s="0" t="n">
        <v>0.927613303515962</v>
      </c>
      <c r="I657" s="0" t="n">
        <v>0.816059773715381</v>
      </c>
      <c r="J657" s="0" t="n">
        <v>-0.067659484746046</v>
      </c>
      <c r="K657" s="0" t="n">
        <v>-0.149766442883367</v>
      </c>
      <c r="L657" s="0" t="n">
        <v>0.131698260101833</v>
      </c>
      <c r="M657" s="0" t="n">
        <v>-0.107974637549722</v>
      </c>
      <c r="N657" s="0" t="n">
        <v>-0.180160192575284</v>
      </c>
      <c r="O657" s="0" t="n">
        <v>-0.319185332251216</v>
      </c>
      <c r="P657" s="0" t="n">
        <v>-0.335176607133119</v>
      </c>
      <c r="Q657" s="0" t="n">
        <v>-0.300944850024711</v>
      </c>
      <c r="R657" s="0" t="n">
        <v>-0.248813617506255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1</v>
      </c>
      <c r="AI657" s="0" t="n">
        <v>0.0504355448163551</v>
      </c>
      <c r="AJ657" s="0" t="n">
        <v>0.333333333333333</v>
      </c>
    </row>
    <row r="658" customFormat="false" ht="15" hidden="false" customHeight="false" outlineLevel="0" collapsed="false">
      <c r="A658" s="0" t="s">
        <v>692</v>
      </c>
      <c r="B658" s="0" t="n">
        <v>1</v>
      </c>
      <c r="C658" s="0" t="n">
        <v>2.93196263717675</v>
      </c>
      <c r="D658" s="0" t="n">
        <v>1.06037857193788</v>
      </c>
      <c r="E658" s="0" t="n">
        <v>0.646861479239812</v>
      </c>
      <c r="F658" s="0" t="n">
        <v>0.43732931265063</v>
      </c>
      <c r="G658" s="0" t="n">
        <v>1.40729649983319</v>
      </c>
      <c r="H658" s="0" t="n">
        <v>2.31000276787797</v>
      </c>
      <c r="I658" s="0" t="n">
        <v>1.79950639453447</v>
      </c>
      <c r="J658" s="0" t="n">
        <v>-1.12303536423565</v>
      </c>
      <c r="K658" s="0" t="n">
        <v>0.593907607284791</v>
      </c>
      <c r="L658" s="0" t="n">
        <v>-0.566792423039777</v>
      </c>
      <c r="M658" s="0" t="n">
        <v>-2.06575359445195</v>
      </c>
      <c r="N658" s="0" t="n">
        <v>3</v>
      </c>
      <c r="O658" s="0" t="n">
        <v>3</v>
      </c>
      <c r="P658" s="0" t="n">
        <v>1.997721777874</v>
      </c>
      <c r="Q658" s="0" t="n">
        <v>0.317258270269688</v>
      </c>
      <c r="R658" s="0" t="n">
        <v>0.577445157735846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1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0.573122084344019</v>
      </c>
      <c r="AJ658" s="0" t="n">
        <v>0.666666666666667</v>
      </c>
    </row>
    <row r="659" customFormat="false" ht="15" hidden="false" customHeight="false" outlineLevel="0" collapsed="false">
      <c r="A659" s="0" t="s">
        <v>693</v>
      </c>
      <c r="B659" s="0" t="n">
        <v>1</v>
      </c>
      <c r="C659" s="0" t="n">
        <v>-0.329146641965989</v>
      </c>
      <c r="D659" s="0" t="n">
        <v>1.90248024985144</v>
      </c>
      <c r="E659" s="0" t="n">
        <v>1.0741632638149</v>
      </c>
      <c r="F659" s="0" t="n">
        <v>-1.6850368583033</v>
      </c>
      <c r="G659" s="0" t="n">
        <v>-1.34845805526246</v>
      </c>
      <c r="H659" s="0" t="n">
        <v>-1.51247943852812</v>
      </c>
      <c r="I659" s="0" t="n">
        <v>2.07294943358207</v>
      </c>
      <c r="J659" s="0" t="n">
        <v>-0.067659484746046</v>
      </c>
      <c r="K659" s="0" t="n">
        <v>-0.149766442883367</v>
      </c>
      <c r="L659" s="0" t="n">
        <v>0.131698260101833</v>
      </c>
      <c r="M659" s="0" t="n">
        <v>-0.107974637549722</v>
      </c>
      <c r="N659" s="0" t="n">
        <v>-0.180160192575284</v>
      </c>
      <c r="O659" s="0" t="n">
        <v>-0.319185332251216</v>
      </c>
      <c r="P659" s="0" t="n">
        <v>-0.335176607133119</v>
      </c>
      <c r="Q659" s="0" t="n">
        <v>-0.300944850024711</v>
      </c>
      <c r="R659" s="0" t="n">
        <v>-0.248813617506255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1</v>
      </c>
      <c r="AI659" s="0" t="n">
        <v>0</v>
      </c>
      <c r="AJ659" s="0" t="n">
        <v>0</v>
      </c>
    </row>
    <row r="660" customFormat="false" ht="15" hidden="false" customHeight="false" outlineLevel="0" collapsed="false">
      <c r="A660" s="0" t="s">
        <v>694</v>
      </c>
      <c r="B660" s="0" t="n">
        <v>1</v>
      </c>
      <c r="C660" s="0" t="n">
        <v>-0.270109855047612</v>
      </c>
      <c r="D660" s="0" t="n">
        <v>1.91001478013095</v>
      </c>
      <c r="E660" s="0" t="n">
        <v>1.06002931904665</v>
      </c>
      <c r="F660" s="0" t="n">
        <v>-1.66170101638582</v>
      </c>
      <c r="G660" s="0" t="n">
        <v>-1.30085108108524</v>
      </c>
      <c r="H660" s="0" t="n">
        <v>-1.43628807281347</v>
      </c>
      <c r="I660" s="0" t="n">
        <v>-0.0779441968873143</v>
      </c>
      <c r="J660" s="0" t="n">
        <v>-0.067659484746046</v>
      </c>
      <c r="K660" s="0" t="n">
        <v>-0.149766442883367</v>
      </c>
      <c r="L660" s="0" t="n">
        <v>0.131698260101833</v>
      </c>
      <c r="M660" s="0" t="n">
        <v>-0.107974637549722</v>
      </c>
      <c r="N660" s="0" t="n">
        <v>-0.180160192575284</v>
      </c>
      <c r="O660" s="0" t="n">
        <v>-0.319185332251216</v>
      </c>
      <c r="P660" s="0" t="n">
        <v>-0.335176607133119</v>
      </c>
      <c r="Q660" s="0" t="n">
        <v>-0.300944850024711</v>
      </c>
      <c r="R660" s="0" t="n">
        <v>-0.248813617506255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1</v>
      </c>
      <c r="AI660" s="0" t="n">
        <v>0.511327338095313</v>
      </c>
      <c r="AJ660" s="0" t="n">
        <v>0.333333333333333</v>
      </c>
    </row>
    <row r="661" customFormat="false" ht="15" hidden="false" customHeight="false" outlineLevel="0" collapsed="false">
      <c r="A661" s="0" t="s">
        <v>695</v>
      </c>
      <c r="B661" s="0" t="n">
        <v>1</v>
      </c>
      <c r="C661" s="0" t="n">
        <v>-0.03433429659131</v>
      </c>
      <c r="D661" s="0" t="n">
        <v>1.96892708107457</v>
      </c>
      <c r="E661" s="0" t="n">
        <v>1.19392756522327</v>
      </c>
      <c r="F661" s="0" t="n">
        <v>-1.57891523137164</v>
      </c>
      <c r="G661" s="0" t="n">
        <v>-1.21696366142471</v>
      </c>
      <c r="H661" s="0" t="n">
        <v>-1.34000341933556</v>
      </c>
      <c r="I661" s="0" t="n">
        <v>-0.130568261618042</v>
      </c>
      <c r="J661" s="0" t="n">
        <v>-0.535941112846165</v>
      </c>
      <c r="K661" s="0" t="n">
        <v>0.741665000778397</v>
      </c>
      <c r="L661" s="0" t="n">
        <v>1.09891977055453</v>
      </c>
      <c r="M661" s="0" t="n">
        <v>-0.0416327353577566</v>
      </c>
      <c r="N661" s="0" t="n">
        <v>0.249604316480864</v>
      </c>
      <c r="O661" s="0" t="n">
        <v>-0.369724441274536</v>
      </c>
      <c r="P661" s="0" t="n">
        <v>-0.409230506776105</v>
      </c>
      <c r="Q661" s="0" t="n">
        <v>-0.570531874591293</v>
      </c>
      <c r="R661" s="0" t="n">
        <v>-0.52255252346776</v>
      </c>
      <c r="S661" s="0" t="n">
        <v>0</v>
      </c>
      <c r="T661" s="0" t="n">
        <v>1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1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1.09356489531844</v>
      </c>
      <c r="AJ661" s="0" t="n">
        <v>0.666666666666667</v>
      </c>
    </row>
    <row r="662" customFormat="false" ht="15" hidden="false" customHeight="false" outlineLevel="0" collapsed="false">
      <c r="A662" s="0" t="s">
        <v>696</v>
      </c>
      <c r="B662" s="0" t="n">
        <v>1</v>
      </c>
      <c r="C662" s="0" t="n">
        <v>-0.0526441679465559</v>
      </c>
      <c r="D662" s="0" t="n">
        <v>1.64412218300198</v>
      </c>
      <c r="E662" s="0" t="n">
        <v>1.14312543547084</v>
      </c>
      <c r="F662" s="0" t="n">
        <v>-1.47137809065417</v>
      </c>
      <c r="G662" s="0" t="n">
        <v>-1.20086129291916</v>
      </c>
      <c r="H662" s="0" t="n">
        <v>-1.30332903248306</v>
      </c>
      <c r="I662" s="0" t="n">
        <v>-1.16345164897543</v>
      </c>
      <c r="J662" s="0" t="n">
        <v>-0.067659484746046</v>
      </c>
      <c r="K662" s="0" t="n">
        <v>-0.149766442883367</v>
      </c>
      <c r="L662" s="0" t="n">
        <v>0.131698260101833</v>
      </c>
      <c r="M662" s="0" t="n">
        <v>-0.107974637549722</v>
      </c>
      <c r="N662" s="0" t="n">
        <v>-0.180160192575284</v>
      </c>
      <c r="O662" s="0" t="n">
        <v>-0.319185332251216</v>
      </c>
      <c r="P662" s="0" t="n">
        <v>-0.335176607133119</v>
      </c>
      <c r="Q662" s="0" t="n">
        <v>-0.300944850024711</v>
      </c>
      <c r="R662" s="0" t="n">
        <v>-0.248813617506255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0.49191828266749</v>
      </c>
      <c r="AJ662" s="0" t="n">
        <v>0</v>
      </c>
    </row>
    <row r="663" customFormat="false" ht="15" hidden="false" customHeight="false" outlineLevel="0" collapsed="false">
      <c r="A663" s="0" t="s">
        <v>697</v>
      </c>
      <c r="B663" s="0" t="n">
        <v>1</v>
      </c>
      <c r="C663" s="0" t="n">
        <v>0.206729064731207</v>
      </c>
      <c r="D663" s="0" t="n">
        <v>0.239951864970927</v>
      </c>
      <c r="E663" s="0" t="n">
        <v>1.1377391223769</v>
      </c>
      <c r="F663" s="0" t="n">
        <v>-0.416504857584843</v>
      </c>
      <c r="G663" s="0" t="n">
        <v>-1.02545160878066</v>
      </c>
      <c r="H663" s="0" t="n">
        <v>-1.03055893393711</v>
      </c>
      <c r="I663" s="0" t="n">
        <v>-0.80009334214269</v>
      </c>
      <c r="J663" s="0" t="n">
        <v>2.05105128205409</v>
      </c>
      <c r="K663" s="0" t="n">
        <v>-0.729149587349035</v>
      </c>
      <c r="L663" s="0" t="n">
        <v>1.14911855104957</v>
      </c>
      <c r="M663" s="0" t="n">
        <v>0.813124637968263</v>
      </c>
      <c r="N663" s="0" t="n">
        <v>-0.702391366262207</v>
      </c>
      <c r="O663" s="0" t="n">
        <v>1.09678434459314</v>
      </c>
      <c r="P663" s="0" t="n">
        <v>-0.339291732592678</v>
      </c>
      <c r="Q663" s="0" t="n">
        <v>-0.0810397616078548</v>
      </c>
      <c r="R663" s="0" t="n">
        <v>-0.68495194846288</v>
      </c>
      <c r="S663" s="0" t="n">
        <v>0</v>
      </c>
      <c r="T663" s="0" t="n">
        <v>0</v>
      </c>
      <c r="U663" s="0" t="n">
        <v>0</v>
      </c>
      <c r="V663" s="0" t="n">
        <v>1</v>
      </c>
      <c r="W663" s="0" t="n">
        <v>0</v>
      </c>
      <c r="X663" s="0" t="n">
        <v>0</v>
      </c>
      <c r="Y663" s="0" t="n">
        <v>0</v>
      </c>
      <c r="Z663" s="0" t="n">
        <v>1</v>
      </c>
      <c r="AA663" s="0" t="n">
        <v>0</v>
      </c>
      <c r="AB663" s="0" t="n">
        <v>0</v>
      </c>
      <c r="AC663" s="0" t="n">
        <v>0</v>
      </c>
      <c r="AD663" s="0" t="n">
        <v>1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0.678714085865868</v>
      </c>
      <c r="AJ663" s="0" t="n">
        <v>0.333333333333333</v>
      </c>
    </row>
    <row r="664" customFormat="false" ht="15" hidden="false" customHeight="false" outlineLevel="0" collapsed="false">
      <c r="A664" s="0" t="s">
        <v>698</v>
      </c>
      <c r="B664" s="0" t="n">
        <v>1</v>
      </c>
      <c r="C664" s="0" t="n">
        <v>-0.657905452756076</v>
      </c>
      <c r="D664" s="0" t="n">
        <v>-0.693291879782727</v>
      </c>
      <c r="E664" s="0" t="n">
        <v>0.975910493270464</v>
      </c>
      <c r="F664" s="0" t="n">
        <v>0.158176808553789</v>
      </c>
      <c r="G664" s="0" t="n">
        <v>-1.52337628560267</v>
      </c>
      <c r="H664" s="0" t="n">
        <v>-1.74339185915295</v>
      </c>
      <c r="I664" s="0" t="n">
        <v>-1.78600799184483</v>
      </c>
      <c r="J664" s="0" t="n">
        <v>1.83761134056262</v>
      </c>
      <c r="K664" s="0" t="n">
        <v>-1.98229846553147</v>
      </c>
      <c r="L664" s="0" t="n">
        <v>-0.023375242913925</v>
      </c>
      <c r="M664" s="0" t="n">
        <v>-0.531143478382227</v>
      </c>
      <c r="N664" s="0" t="n">
        <v>-1.26047905767818</v>
      </c>
      <c r="O664" s="0" t="n">
        <v>-0.406386855741283</v>
      </c>
      <c r="P664" s="0" t="n">
        <v>-0.221917801889535</v>
      </c>
      <c r="Q664" s="0" t="n">
        <v>-0.270759123566829</v>
      </c>
      <c r="R664" s="0" t="n">
        <v>-0.203142493731929</v>
      </c>
      <c r="S664" s="0" t="n">
        <v>0</v>
      </c>
      <c r="T664" s="0" t="n">
        <v>1</v>
      </c>
      <c r="U664" s="0" t="n">
        <v>0</v>
      </c>
      <c r="V664" s="0" t="n">
        <v>0</v>
      </c>
      <c r="W664" s="0" t="n">
        <v>1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1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1</v>
      </c>
      <c r="AH664" s="0" t="n">
        <v>0</v>
      </c>
      <c r="AI664" s="0" t="n">
        <v>0.217934764111439</v>
      </c>
      <c r="AJ664" s="0" t="n">
        <v>0</v>
      </c>
    </row>
    <row r="665" customFormat="false" ht="15" hidden="false" customHeight="false" outlineLevel="0" collapsed="false">
      <c r="A665" s="0" t="s">
        <v>699</v>
      </c>
      <c r="B665" s="0" t="n">
        <v>1</v>
      </c>
      <c r="C665" s="0" t="n">
        <v>1.01496603372702</v>
      </c>
      <c r="D665" s="0" t="n">
        <v>-0.653779080194204</v>
      </c>
      <c r="E665" s="0" t="n">
        <v>0.810542750648401</v>
      </c>
      <c r="F665" s="0" t="n">
        <v>2.0651798162783</v>
      </c>
      <c r="G665" s="0" t="n">
        <v>-0.217690999938</v>
      </c>
      <c r="H665" s="0" t="n">
        <v>0.158629663954081</v>
      </c>
      <c r="I665" s="0" t="n">
        <v>-1.43995484818343</v>
      </c>
      <c r="J665" s="0" t="n">
        <v>2.92579737841631</v>
      </c>
      <c r="K665" s="0" t="n">
        <v>-0.535154898964439</v>
      </c>
      <c r="L665" s="0" t="n">
        <v>-0.64133521563156</v>
      </c>
      <c r="M665" s="0" t="n">
        <v>3</v>
      </c>
      <c r="N665" s="0" t="n">
        <v>-0.43485448326383</v>
      </c>
      <c r="O665" s="0" t="n">
        <v>0.240230302650092</v>
      </c>
      <c r="P665" s="0" t="n">
        <v>-0.222825607589419</v>
      </c>
      <c r="Q665" s="0" t="n">
        <v>-0.230051227268157</v>
      </c>
      <c r="R665" s="0" t="n">
        <v>-0.917956284794015</v>
      </c>
      <c r="S665" s="0" t="n">
        <v>0</v>
      </c>
      <c r="T665" s="0" t="n">
        <v>1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1</v>
      </c>
      <c r="AA665" s="0" t="n">
        <v>0</v>
      </c>
      <c r="AB665" s="0" t="n">
        <v>0</v>
      </c>
      <c r="AC665" s="0" t="n">
        <v>0</v>
      </c>
      <c r="AD665" s="0" t="n">
        <v>1</v>
      </c>
      <c r="AE665" s="0" t="n">
        <v>0</v>
      </c>
      <c r="AF665" s="0" t="n">
        <v>0</v>
      </c>
      <c r="AG665" s="0" t="n">
        <v>1</v>
      </c>
      <c r="AH665" s="0" t="n">
        <v>0</v>
      </c>
      <c r="AI665" s="0" t="n">
        <v>0.0792682998323289</v>
      </c>
      <c r="AJ665" s="0" t="n">
        <v>0</v>
      </c>
    </row>
    <row r="666" customFormat="false" ht="15" hidden="false" customHeight="false" outlineLevel="0" collapsed="false">
      <c r="A666" s="0" t="s">
        <v>700</v>
      </c>
      <c r="B666" s="0" t="n">
        <v>1</v>
      </c>
      <c r="C666" s="0" t="n">
        <v>1.39148592777672</v>
      </c>
      <c r="D666" s="0" t="n">
        <v>1.29511806479972</v>
      </c>
      <c r="E666" s="0" t="n">
        <v>0.887745743100122</v>
      </c>
      <c r="F666" s="0" t="n">
        <v>-0.582839898054938</v>
      </c>
      <c r="G666" s="0" t="n">
        <v>-0.0177876760520754</v>
      </c>
      <c r="H666" s="0" t="n">
        <v>0.461688562864908</v>
      </c>
      <c r="I666" s="0" t="n">
        <v>1.97009967875399</v>
      </c>
      <c r="J666" s="0" t="n">
        <v>-1.70063838262827</v>
      </c>
      <c r="K666" s="0" t="n">
        <v>-0.94625945404868</v>
      </c>
      <c r="L666" s="0" t="n">
        <v>0.20758644845763</v>
      </c>
      <c r="M666" s="0" t="n">
        <v>-0.556122496769889</v>
      </c>
      <c r="N666" s="0" t="n">
        <v>3</v>
      </c>
      <c r="O666" s="0" t="n">
        <v>-0.480937513239544</v>
      </c>
      <c r="P666" s="0" t="n">
        <v>-0.697029418349175</v>
      </c>
      <c r="Q666" s="0" t="n">
        <v>-0.37342405170497</v>
      </c>
      <c r="R666" s="0" t="n">
        <v>-0.347170143959386</v>
      </c>
      <c r="S666" s="0" t="n">
        <v>0</v>
      </c>
      <c r="T666" s="0" t="n">
        <v>0</v>
      </c>
      <c r="U666" s="0" t="n">
        <v>0</v>
      </c>
      <c r="V666" s="0" t="n">
        <v>1</v>
      </c>
      <c r="W666" s="0" t="n">
        <v>0</v>
      </c>
      <c r="X666" s="0" t="n">
        <v>1</v>
      </c>
      <c r="Y666" s="0" t="n">
        <v>0</v>
      </c>
      <c r="Z666" s="0" t="n">
        <v>0</v>
      </c>
      <c r="AA666" s="0" t="n">
        <v>1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0</v>
      </c>
    </row>
    <row r="667" customFormat="false" ht="15" hidden="false" customHeight="false" outlineLevel="0" collapsed="false">
      <c r="A667" s="0" t="s">
        <v>701</v>
      </c>
      <c r="B667" s="0" t="n">
        <v>1</v>
      </c>
      <c r="C667" s="0" t="n">
        <v>0.327885181204205</v>
      </c>
      <c r="D667" s="0" t="n">
        <v>1.50121937991996</v>
      </c>
      <c r="E667" s="0" t="n">
        <v>1.04790663451094</v>
      </c>
      <c r="F667" s="0" t="n">
        <v>-1.23011157680433</v>
      </c>
      <c r="G667" s="0" t="n">
        <v>-0.886882154699964</v>
      </c>
      <c r="H667" s="0" t="n">
        <v>-0.807729138173488</v>
      </c>
      <c r="I667" s="0" t="n">
        <v>2.13187424506893</v>
      </c>
      <c r="J667" s="0" t="n">
        <v>-0.067659484746046</v>
      </c>
      <c r="K667" s="0" t="n">
        <v>-0.149766442883367</v>
      </c>
      <c r="L667" s="0" t="n">
        <v>0.131698260101833</v>
      </c>
      <c r="M667" s="0" t="n">
        <v>-0.107974637549722</v>
      </c>
      <c r="N667" s="0" t="n">
        <v>-0.180160192575284</v>
      </c>
      <c r="O667" s="0" t="n">
        <v>-0.319185332251216</v>
      </c>
      <c r="P667" s="0" t="n">
        <v>-0.335176607133119</v>
      </c>
      <c r="Q667" s="0" t="n">
        <v>-0.300944850024711</v>
      </c>
      <c r="R667" s="0" t="n">
        <v>-0.248813617506255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1</v>
      </c>
      <c r="AI667" s="0" t="n">
        <v>0</v>
      </c>
      <c r="AJ667" s="0" t="n">
        <v>0</v>
      </c>
    </row>
    <row r="668" customFormat="false" ht="15" hidden="false" customHeight="false" outlineLevel="0" collapsed="false">
      <c r="A668" s="0" t="s">
        <v>702</v>
      </c>
      <c r="B668" s="0" t="n">
        <v>1</v>
      </c>
      <c r="C668" s="0" t="n">
        <v>-0.361026940537089</v>
      </c>
      <c r="D668" s="0" t="n">
        <v>1.50158956139364</v>
      </c>
      <c r="E668" s="0" t="n">
        <v>0.917349820795892</v>
      </c>
      <c r="F668" s="0" t="n">
        <v>-1.56330164867646</v>
      </c>
      <c r="G668" s="0" t="n">
        <v>-1.28404262304547</v>
      </c>
      <c r="H668" s="0" t="n">
        <v>-1.37392365402572</v>
      </c>
      <c r="I668" s="0" t="n">
        <v>2.30620133989802</v>
      </c>
      <c r="J668" s="0" t="n">
        <v>-0.920038921991824</v>
      </c>
      <c r="K668" s="0" t="n">
        <v>1.29381868498343</v>
      </c>
      <c r="L668" s="0" t="n">
        <v>0.211927112850706</v>
      </c>
      <c r="M668" s="0" t="n">
        <v>-0.833602263114223</v>
      </c>
      <c r="N668" s="0" t="n">
        <v>0.146247133571353</v>
      </c>
      <c r="O668" s="0" t="n">
        <v>-0.203649237754363</v>
      </c>
      <c r="P668" s="0" t="n">
        <v>0.567015568369163</v>
      </c>
      <c r="Q668" s="0" t="n">
        <v>0.038225991832533</v>
      </c>
      <c r="R668" s="0" t="n">
        <v>0.28228106679531</v>
      </c>
      <c r="S668" s="0" t="n">
        <v>0</v>
      </c>
      <c r="T668" s="0" t="n">
        <v>1</v>
      </c>
      <c r="U668" s="0" t="n">
        <v>0</v>
      </c>
      <c r="V668" s="0" t="n">
        <v>0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1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0</v>
      </c>
      <c r="AJ668" s="0" t="n">
        <v>0</v>
      </c>
    </row>
    <row r="669" customFormat="false" ht="15" hidden="false" customHeight="false" outlineLevel="0" collapsed="false">
      <c r="A669" s="0" t="s">
        <v>703</v>
      </c>
      <c r="B669" s="0" t="n">
        <v>1</v>
      </c>
      <c r="C669" s="0" t="n">
        <v>-0.249457289593629</v>
      </c>
      <c r="D669" s="0" t="n">
        <v>1.65364815043582</v>
      </c>
      <c r="E669" s="0" t="n">
        <v>0.850719590930291</v>
      </c>
      <c r="F669" s="0" t="n">
        <v>-1.56635873875902</v>
      </c>
      <c r="G669" s="0" t="n">
        <v>-1.16473440314815</v>
      </c>
      <c r="H669" s="0" t="n">
        <v>-1.1863124004124</v>
      </c>
      <c r="I669" s="0" t="n">
        <v>2.37393918533329</v>
      </c>
      <c r="J669" s="0" t="n">
        <v>-1.5375371598684</v>
      </c>
      <c r="K669" s="0" t="n">
        <v>-0.575219986317334</v>
      </c>
      <c r="L669" s="0" t="n">
        <v>0.103996869296762</v>
      </c>
      <c r="M669" s="0" t="n">
        <v>-0.576316271713243</v>
      </c>
      <c r="N669" s="0" t="n">
        <v>0.779335564076727</v>
      </c>
      <c r="O669" s="0" t="n">
        <v>0.381376577190181</v>
      </c>
      <c r="P669" s="0" t="n">
        <v>-0.201554495008487</v>
      </c>
      <c r="Q669" s="0" t="n">
        <v>-0.499499908106609</v>
      </c>
      <c r="R669" s="0" t="n">
        <v>-0.168106736320124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0</v>
      </c>
      <c r="Z669" s="0" t="n">
        <v>1</v>
      </c>
      <c r="AA669" s="0" t="n">
        <v>0</v>
      </c>
      <c r="AB669" s="0" t="n">
        <v>0</v>
      </c>
      <c r="AC669" s="0" t="n">
        <v>0</v>
      </c>
      <c r="AD669" s="0" t="n">
        <v>1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0.563494567978802</v>
      </c>
      <c r="AJ669" s="0" t="n">
        <v>0.333333333333333</v>
      </c>
    </row>
    <row r="670" customFormat="false" ht="15" hidden="false" customHeight="false" outlineLevel="0" collapsed="false">
      <c r="A670" s="0" t="s">
        <v>704</v>
      </c>
      <c r="B670" s="0" t="n">
        <v>1</v>
      </c>
      <c r="C670" s="0" t="n">
        <v>-0.0340963512172612</v>
      </c>
      <c r="D670" s="0" t="n">
        <v>1.65141149404164</v>
      </c>
      <c r="E670" s="0" t="n">
        <v>0.858231581167265</v>
      </c>
      <c r="F670" s="0" t="n">
        <v>-1.46557421055232</v>
      </c>
      <c r="G670" s="0" t="n">
        <v>-1.01454668620605</v>
      </c>
      <c r="H670" s="0" t="n">
        <v>-0.972923837942488</v>
      </c>
      <c r="I670" s="0" t="n">
        <v>2.07800245844323</v>
      </c>
      <c r="J670" s="0" t="n">
        <v>0.349303528695037</v>
      </c>
      <c r="K670" s="0" t="n">
        <v>-0.341565724010912</v>
      </c>
      <c r="L670" s="0" t="n">
        <v>-0.252513177093223</v>
      </c>
      <c r="M670" s="0" t="n">
        <v>-0.218565494953694</v>
      </c>
      <c r="N670" s="0" t="n">
        <v>-0.242934783785732</v>
      </c>
      <c r="O670" s="0" t="n">
        <v>-0.572108552336812</v>
      </c>
      <c r="P670" s="0" t="n">
        <v>-0.518395473664821</v>
      </c>
      <c r="Q670" s="0" t="n">
        <v>-0.461964339921609</v>
      </c>
      <c r="R670" s="0" t="n">
        <v>-0.00591661155933522</v>
      </c>
      <c r="S670" s="0" t="n">
        <v>1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Y670" s="0" t="n">
        <v>1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0.167130106238765</v>
      </c>
      <c r="AJ670" s="0" t="n">
        <v>0</v>
      </c>
    </row>
    <row r="671" customFormat="false" ht="15" hidden="false" customHeight="false" outlineLevel="0" collapsed="false">
      <c r="A671" s="0" t="s">
        <v>705</v>
      </c>
      <c r="B671" s="0" t="n">
        <v>1</v>
      </c>
      <c r="C671" s="0" t="n">
        <v>-0.314624415285313</v>
      </c>
      <c r="D671" s="0" t="n">
        <v>1.67447782752819</v>
      </c>
      <c r="E671" s="0" t="n">
        <v>0.73886811848488</v>
      </c>
      <c r="F671" s="0" t="n">
        <v>-1.60388045174425</v>
      </c>
      <c r="G671" s="0" t="n">
        <v>-1.14168609488111</v>
      </c>
      <c r="H671" s="0" t="n">
        <v>-1.13113995195412</v>
      </c>
      <c r="I671" s="0" t="n">
        <v>0.0417622303371173</v>
      </c>
      <c r="J671" s="0" t="n">
        <v>0.220008586596626</v>
      </c>
      <c r="K671" s="0" t="n">
        <v>0.563739010118743</v>
      </c>
      <c r="L671" s="0" t="n">
        <v>0.705364508836517</v>
      </c>
      <c r="M671" s="0" t="n">
        <v>0.210990748055257</v>
      </c>
      <c r="N671" s="0" t="n">
        <v>-0.43937507575689</v>
      </c>
      <c r="O671" s="0" t="n">
        <v>-0.628721507973012</v>
      </c>
      <c r="P671" s="0" t="n">
        <v>-0.394854741302668</v>
      </c>
      <c r="Q671" s="0" t="n">
        <v>-0.46814497950198</v>
      </c>
      <c r="R671" s="0" t="n">
        <v>-0.323828340940759</v>
      </c>
      <c r="S671" s="0" t="n">
        <v>1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1</v>
      </c>
      <c r="Y671" s="0" t="n">
        <v>0</v>
      </c>
      <c r="Z671" s="0" t="n">
        <v>0</v>
      </c>
      <c r="AA671" s="0" t="n">
        <v>1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</row>
    <row r="672" customFormat="false" ht="15" hidden="false" customHeight="false" outlineLevel="0" collapsed="false">
      <c r="A672" s="0" t="s">
        <v>706</v>
      </c>
      <c r="B672" s="0" t="n">
        <v>1</v>
      </c>
      <c r="C672" s="0" t="n">
        <v>-0.32052256567737</v>
      </c>
      <c r="D672" s="0" t="n">
        <v>1.72838676894322</v>
      </c>
      <c r="E672" s="0" t="n">
        <v>0.729110326493939</v>
      </c>
      <c r="F672" s="0" t="n">
        <v>-1.62505627073047</v>
      </c>
      <c r="G672" s="0" t="n">
        <v>-1.13976028526838</v>
      </c>
      <c r="H672" s="0" t="n">
        <v>-1.12654598765526</v>
      </c>
      <c r="I672" s="0" t="n">
        <v>-0.482987042359226</v>
      </c>
      <c r="J672" s="0" t="n">
        <v>0.0360090014299848</v>
      </c>
      <c r="K672" s="0" t="n">
        <v>0.0591770032573639</v>
      </c>
      <c r="L672" s="0" t="n">
        <v>0.31913827988847</v>
      </c>
      <c r="M672" s="0" t="n">
        <v>-0.520313179673122</v>
      </c>
      <c r="N672" s="0" t="n">
        <v>-0.359237299743552</v>
      </c>
      <c r="O672" s="0" t="n">
        <v>-0.0258761970036287</v>
      </c>
      <c r="P672" s="0" t="n">
        <v>-0.399611629152754</v>
      </c>
      <c r="Q672" s="0" t="n">
        <v>-0.128995514053688</v>
      </c>
      <c r="R672" s="0" t="n">
        <v>0.0934916174879099</v>
      </c>
      <c r="S672" s="0" t="n">
        <v>1</v>
      </c>
      <c r="T672" s="0" t="n">
        <v>0</v>
      </c>
      <c r="U672" s="0" t="n">
        <v>0</v>
      </c>
      <c r="V672" s="0" t="n">
        <v>0</v>
      </c>
      <c r="W672" s="0" t="n">
        <v>1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1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0.209651116087189</v>
      </c>
      <c r="AJ672" s="0" t="n">
        <v>0.333333333333333</v>
      </c>
    </row>
    <row r="673" customFormat="false" ht="15" hidden="false" customHeight="false" outlineLevel="0" collapsed="false">
      <c r="A673" s="0" t="s">
        <v>707</v>
      </c>
      <c r="B673" s="0" t="n">
        <v>1</v>
      </c>
      <c r="C673" s="0" t="n">
        <v>0.387429174431685</v>
      </c>
      <c r="D673" s="0" t="n">
        <v>1.72872872438677</v>
      </c>
      <c r="E673" s="0" t="n">
        <v>0.73038837408769</v>
      </c>
      <c r="F673" s="0" t="n">
        <v>-1.30309704903431</v>
      </c>
      <c r="G673" s="0" t="n">
        <v>-0.611870037487956</v>
      </c>
      <c r="H673" s="0" t="n">
        <v>-0.39948999333757</v>
      </c>
      <c r="I673" s="0" t="n">
        <v>-0.487728435188022</v>
      </c>
      <c r="J673" s="0" t="n">
        <v>-0.103298877726762</v>
      </c>
      <c r="K673" s="0" t="n">
        <v>0.6253717397889</v>
      </c>
      <c r="L673" s="0" t="n">
        <v>-0.555490044056496</v>
      </c>
      <c r="M673" s="0" t="n">
        <v>3</v>
      </c>
      <c r="N673" s="0" t="n">
        <v>0.401455127952293</v>
      </c>
      <c r="O673" s="0" t="n">
        <v>-0.36161387924762</v>
      </c>
      <c r="P673" s="0" t="n">
        <v>0.406051720415656</v>
      </c>
      <c r="Q673" s="0" t="n">
        <v>0.0850224947880034</v>
      </c>
      <c r="R673" s="0" t="n">
        <v>0.18712177080373</v>
      </c>
      <c r="S673" s="0" t="n">
        <v>1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1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0.655831792277847</v>
      </c>
      <c r="AJ673" s="0" t="n">
        <v>0.666666666666667</v>
      </c>
    </row>
    <row r="674" customFormat="false" ht="15" hidden="false" customHeight="false" outlineLevel="0" collapsed="false">
      <c r="A674" s="0" t="s">
        <v>708</v>
      </c>
      <c r="B674" s="0" t="n">
        <v>1</v>
      </c>
      <c r="C674" s="0" t="n">
        <v>-0.245591399591646</v>
      </c>
      <c r="D674" s="0" t="n">
        <v>1.72522494613801</v>
      </c>
      <c r="E674" s="0" t="n">
        <v>0.753549879131448</v>
      </c>
      <c r="F674" s="0" t="n">
        <v>-1.58986808511271</v>
      </c>
      <c r="G674" s="0" t="n">
        <v>-1.0999478613505</v>
      </c>
      <c r="H674" s="0" t="n">
        <v>-1.076151502967</v>
      </c>
      <c r="I674" s="0" t="n">
        <v>-1.47975339450042</v>
      </c>
      <c r="J674" s="0" t="n">
        <v>-0.260137307606582</v>
      </c>
      <c r="K674" s="0" t="n">
        <v>-0.23150288752419</v>
      </c>
      <c r="L674" s="0" t="n">
        <v>0.373537087035143</v>
      </c>
      <c r="M674" s="0" t="n">
        <v>-0.58116048844055</v>
      </c>
      <c r="N674" s="0" t="n">
        <v>-0.133824119521418</v>
      </c>
      <c r="O674" s="0" t="n">
        <v>-0.34897666173668</v>
      </c>
      <c r="P674" s="0" t="n">
        <v>-0.711765976365997</v>
      </c>
      <c r="Q674" s="0" t="n">
        <v>-0.52499600079589</v>
      </c>
      <c r="R674" s="0" t="n">
        <v>-0.552164157216464</v>
      </c>
      <c r="S674" s="0" t="n">
        <v>0</v>
      </c>
      <c r="T674" s="0" t="n">
        <v>1</v>
      </c>
      <c r="U674" s="0" t="n">
        <v>0</v>
      </c>
      <c r="V674" s="0" t="n">
        <v>0</v>
      </c>
      <c r="W674" s="0" t="n">
        <v>0</v>
      </c>
      <c r="X674" s="0" t="n">
        <v>0</v>
      </c>
      <c r="Y674" s="0" t="n">
        <v>0</v>
      </c>
      <c r="Z674" s="0" t="n">
        <v>1</v>
      </c>
      <c r="AA674" s="0" t="n">
        <v>0</v>
      </c>
      <c r="AB674" s="0" t="n">
        <v>0</v>
      </c>
      <c r="AC674" s="0" t="n">
        <v>0</v>
      </c>
      <c r="AD674" s="0" t="n">
        <v>1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0</v>
      </c>
    </row>
    <row r="675" customFormat="false" ht="15" hidden="false" customHeight="false" outlineLevel="0" collapsed="false">
      <c r="A675" s="0" t="s">
        <v>709</v>
      </c>
      <c r="B675" s="0" t="n">
        <v>1</v>
      </c>
      <c r="C675" s="0" t="n">
        <v>0.529681674298551</v>
      </c>
      <c r="D675" s="0" t="n">
        <v>1.64537070823632</v>
      </c>
      <c r="E675" s="0" t="n">
        <v>0.787906102959396</v>
      </c>
      <c r="F675" s="0" t="n">
        <v>-1.20108721481087</v>
      </c>
      <c r="G675" s="0" t="n">
        <v>-0.553220985830413</v>
      </c>
      <c r="H675" s="0" t="n">
        <v>-0.315971153714824</v>
      </c>
      <c r="I675" s="0" t="n">
        <v>-0.8617781394263</v>
      </c>
      <c r="J675" s="0" t="n">
        <v>0.489078776412065</v>
      </c>
      <c r="K675" s="0" t="n">
        <v>-0.612180646526256</v>
      </c>
      <c r="L675" s="0" t="n">
        <v>1.23924735498455</v>
      </c>
      <c r="M675" s="0" t="n">
        <v>0.816130011475145</v>
      </c>
      <c r="N675" s="0" t="n">
        <v>0.190220169640211</v>
      </c>
      <c r="O675" s="0" t="n">
        <v>-0.551220706442547</v>
      </c>
      <c r="P675" s="0" t="n">
        <v>-0.615612785101937</v>
      </c>
      <c r="Q675" s="0" t="n">
        <v>-0.499381944748516</v>
      </c>
      <c r="R675" s="0" t="n">
        <v>-0.723090101297155</v>
      </c>
      <c r="S675" s="0" t="n">
        <v>0</v>
      </c>
      <c r="T675" s="0" t="n">
        <v>1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1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0.517239457345471</v>
      </c>
      <c r="AJ675" s="0" t="n">
        <v>0.333333333333333</v>
      </c>
    </row>
    <row r="676" customFormat="false" ht="15" hidden="false" customHeight="false" outlineLevel="0" collapsed="false">
      <c r="A676" s="0" t="s">
        <v>710</v>
      </c>
      <c r="B676" s="0" t="n">
        <v>1</v>
      </c>
      <c r="C676" s="0" t="n">
        <v>1.29811496268178</v>
      </c>
      <c r="D676" s="0" t="n">
        <v>0.0911911252596998</v>
      </c>
      <c r="E676" s="0" t="n">
        <v>0.737601890438068</v>
      </c>
      <c r="F676" s="0" t="n">
        <v>0.614290628086008</v>
      </c>
      <c r="G676" s="0" t="n">
        <v>0.0609444863262932</v>
      </c>
      <c r="H676" s="0" t="n">
        <v>0.529684781730072</v>
      </c>
      <c r="I676" s="0" t="n">
        <v>-0.697534237546942</v>
      </c>
      <c r="J676" s="0" t="n">
        <v>1.11020252964226</v>
      </c>
      <c r="K676" s="0" t="n">
        <v>-0.96207279119371</v>
      </c>
      <c r="L676" s="0" t="n">
        <v>-0.34032447606313</v>
      </c>
      <c r="M676" s="0" t="n">
        <v>1.56798765470951</v>
      </c>
      <c r="N676" s="0" t="n">
        <v>0.505223273815718</v>
      </c>
      <c r="O676" s="0" t="n">
        <v>2.11040189073308</v>
      </c>
      <c r="P676" s="0" t="n">
        <v>0.60666532470394</v>
      </c>
      <c r="Q676" s="0" t="n">
        <v>-0.475443378805242</v>
      </c>
      <c r="R676" s="0" t="n">
        <v>-0.114790394028102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1</v>
      </c>
      <c r="Y676" s="0" t="n">
        <v>0</v>
      </c>
      <c r="Z676" s="0" t="n">
        <v>0</v>
      </c>
      <c r="AA676" s="0" t="n">
        <v>1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0.98856555381557</v>
      </c>
      <c r="AJ676" s="0" t="n">
        <v>0.666666666666667</v>
      </c>
    </row>
    <row r="677" customFormat="false" ht="15" hidden="false" customHeight="false" outlineLevel="0" collapsed="false">
      <c r="A677" s="0" t="s">
        <v>711</v>
      </c>
      <c r="B677" s="0" t="n">
        <v>1</v>
      </c>
      <c r="C677" s="0" t="n">
        <v>1.93889550037294</v>
      </c>
      <c r="D677" s="0" t="n">
        <v>-0.243611339893019</v>
      </c>
      <c r="E677" s="0" t="n">
        <v>0.707739487879522</v>
      </c>
      <c r="F677" s="0" t="n">
        <v>1.83933990929731</v>
      </c>
      <c r="G677" s="0" t="n">
        <v>0.573299052907943</v>
      </c>
      <c r="H677" s="0" t="n">
        <v>1.22165343272119</v>
      </c>
      <c r="I677" s="0" t="n">
        <v>-0.768885840000653</v>
      </c>
      <c r="J677" s="0" t="n">
        <v>0.484501464378568</v>
      </c>
      <c r="K677" s="0" t="n">
        <v>-1.10348410661349</v>
      </c>
      <c r="L677" s="0" t="n">
        <v>-0.0754861888197405</v>
      </c>
      <c r="M677" s="0" t="n">
        <v>1.36651138429991</v>
      </c>
      <c r="N677" s="0" t="n">
        <v>1.43831466067872</v>
      </c>
      <c r="O677" s="0" t="n">
        <v>1.93855375807585</v>
      </c>
      <c r="P677" s="0" t="n">
        <v>1.59031863849982</v>
      </c>
      <c r="Q677" s="0" t="n">
        <v>1.86378956947514</v>
      </c>
      <c r="R677" s="0" t="n">
        <v>0.0573043114900479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1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1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1.55807460960779</v>
      </c>
      <c r="AJ677" s="0" t="n">
        <v>1</v>
      </c>
    </row>
    <row r="678" customFormat="false" ht="15" hidden="false" customHeight="false" outlineLevel="0" collapsed="false">
      <c r="A678" s="0" t="s">
        <v>712</v>
      </c>
      <c r="B678" s="0" t="n">
        <v>1</v>
      </c>
      <c r="C678" s="0" t="n">
        <v>0.0968032594230693</v>
      </c>
      <c r="D678" s="0" t="n">
        <v>-0.216387811582107</v>
      </c>
      <c r="E678" s="0" t="n">
        <v>0.720249459286272</v>
      </c>
      <c r="F678" s="0" t="n">
        <v>0.0814970704681031</v>
      </c>
      <c r="G678" s="0" t="n">
        <v>-0.821355023612521</v>
      </c>
      <c r="H678" s="0" t="n">
        <v>-0.687452459117582</v>
      </c>
      <c r="I678" s="0" t="n">
        <v>-0.732204690554264</v>
      </c>
      <c r="J678" s="0" t="n">
        <v>-0.0717509273525126</v>
      </c>
      <c r="K678" s="0" t="n">
        <v>1.48405555772189</v>
      </c>
      <c r="L678" s="0" t="n">
        <v>1.08673688710679</v>
      </c>
      <c r="M678" s="0" t="n">
        <v>-1.3627018963643</v>
      </c>
      <c r="N678" s="0" t="n">
        <v>0.0991918753481364</v>
      </c>
      <c r="O678" s="0" t="n">
        <v>1.79505821046649</v>
      </c>
      <c r="P678" s="0" t="n">
        <v>2.23279693746581</v>
      </c>
      <c r="Q678" s="0" t="n">
        <v>2.33016611302901</v>
      </c>
      <c r="R678" s="0" t="n">
        <v>0.594461734593244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1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0.472071884413745</v>
      </c>
      <c r="AJ678" s="0" t="n">
        <v>0</v>
      </c>
    </row>
    <row r="679" customFormat="false" ht="15" hidden="false" customHeight="false" outlineLevel="0" collapsed="false">
      <c r="A679" s="0" t="s">
        <v>713</v>
      </c>
      <c r="B679" s="0" t="n">
        <v>1</v>
      </c>
      <c r="C679" s="0" t="n">
        <v>0.823603168041219</v>
      </c>
      <c r="D679" s="0" t="n">
        <v>-0.644194285168688</v>
      </c>
      <c r="E679" s="0" t="n">
        <v>0.730066716562141</v>
      </c>
      <c r="F679" s="0" t="n">
        <v>1.80684030948804</v>
      </c>
      <c r="G679" s="0" t="n">
        <v>-0.28582966757201</v>
      </c>
      <c r="H679" s="0" t="n">
        <v>0.0496662119368149</v>
      </c>
      <c r="I679" s="0" t="n">
        <v>-1.2659327311462</v>
      </c>
      <c r="J679" s="0" t="n">
        <v>2.40154994990385</v>
      </c>
      <c r="K679" s="0" t="n">
        <v>-1.0289737417348</v>
      </c>
      <c r="L679" s="0" t="n">
        <v>-1.23247746835117</v>
      </c>
      <c r="M679" s="0" t="n">
        <v>0.978040191093034</v>
      </c>
      <c r="N679" s="0" t="n">
        <v>-0.390881447194973</v>
      </c>
      <c r="O679" s="0" t="n">
        <v>3</v>
      </c>
      <c r="P679" s="0" t="n">
        <v>0.153116740149663</v>
      </c>
      <c r="Q679" s="0" t="n">
        <v>0.430345055811905</v>
      </c>
      <c r="R679" s="0" t="n">
        <v>0.119195013462557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1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</row>
    <row r="680" customFormat="false" ht="15" hidden="false" customHeight="false" outlineLevel="0" collapsed="false">
      <c r="A680" s="0" t="s">
        <v>714</v>
      </c>
      <c r="B680" s="0" t="n">
        <v>1</v>
      </c>
      <c r="C680" s="0" t="n">
        <v>1.54814294864058</v>
      </c>
      <c r="D680" s="0" t="n">
        <v>-0.660237212492862</v>
      </c>
      <c r="E680" s="0" t="n">
        <v>0.71959370358385</v>
      </c>
      <c r="F680" s="0" t="n">
        <v>2.72403557180641</v>
      </c>
      <c r="G680" s="0" t="n">
        <v>0.26660507663553</v>
      </c>
      <c r="H680" s="0" t="n">
        <v>0.806631677902341</v>
      </c>
      <c r="I680" s="0" t="n">
        <v>-1.66874924841686</v>
      </c>
      <c r="J680" s="0" t="n">
        <v>0.876986060757742</v>
      </c>
      <c r="K680" s="0" t="n">
        <v>-0.666436282018418</v>
      </c>
      <c r="L680" s="0" t="n">
        <v>0.653969288942885</v>
      </c>
      <c r="M680" s="0" t="n">
        <v>2.5935329355049</v>
      </c>
      <c r="N680" s="0" t="n">
        <v>0.841390970117826</v>
      </c>
      <c r="O680" s="0" t="n">
        <v>1.58364342494373</v>
      </c>
      <c r="P680" s="0" t="n">
        <v>1.01094532983621</v>
      </c>
      <c r="Q680" s="0" t="n">
        <v>1.26788179625436</v>
      </c>
      <c r="R680" s="0" t="n">
        <v>-0.475127079204402</v>
      </c>
      <c r="S680" s="0" t="n">
        <v>1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1</v>
      </c>
      <c r="Y680" s="0" t="n">
        <v>0</v>
      </c>
      <c r="Z680" s="0" t="n">
        <v>0</v>
      </c>
      <c r="AA680" s="0" t="n">
        <v>1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0</v>
      </c>
    </row>
    <row r="681" customFormat="false" ht="15" hidden="false" customHeight="false" outlineLevel="0" collapsed="false">
      <c r="A681" s="0" t="s">
        <v>715</v>
      </c>
      <c r="B681" s="0" t="n">
        <v>1</v>
      </c>
      <c r="C681" s="0" t="n">
        <v>-0.0525706560006618</v>
      </c>
      <c r="D681" s="0" t="n">
        <v>-0.712947129842362</v>
      </c>
      <c r="E681" s="0" t="n">
        <v>0.736180962836498</v>
      </c>
      <c r="F681" s="0" t="n">
        <v>0.950998633555973</v>
      </c>
      <c r="G681" s="0" t="n">
        <v>-0.944579797070542</v>
      </c>
      <c r="H681" s="0" t="n">
        <v>-0.858561232257348</v>
      </c>
      <c r="I681" s="0" t="n">
        <v>-1.6966982409441</v>
      </c>
      <c r="J681" s="0" t="n">
        <v>-0.975671472758336</v>
      </c>
      <c r="K681" s="0" t="n">
        <v>0.733483180928731</v>
      </c>
      <c r="L681" s="0" t="n">
        <v>0.292838355471021</v>
      </c>
      <c r="M681" s="0" t="n">
        <v>-2.23257055490367</v>
      </c>
      <c r="N681" s="0" t="n">
        <v>0.542620902621943</v>
      </c>
      <c r="O681" s="0" t="n">
        <v>-0.612063559683609</v>
      </c>
      <c r="P681" s="0" t="n">
        <v>0.885434661023431</v>
      </c>
      <c r="Q681" s="0" t="n">
        <v>1.23023140525682</v>
      </c>
      <c r="R681" s="0" t="n">
        <v>-0.0808022711967193</v>
      </c>
      <c r="S681" s="0" t="n">
        <v>1</v>
      </c>
      <c r="T681" s="0" t="n">
        <v>0</v>
      </c>
      <c r="U681" s="0" t="n">
        <v>0</v>
      </c>
      <c r="V681" s="0" t="n">
        <v>0</v>
      </c>
      <c r="W681" s="0" t="n">
        <v>1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1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</row>
    <row r="682" customFormat="false" ht="15" hidden="false" customHeight="false" outlineLevel="0" collapsed="false">
      <c r="A682" s="0" t="s">
        <v>716</v>
      </c>
      <c r="B682" s="0" t="n">
        <v>1</v>
      </c>
      <c r="C682" s="0" t="n">
        <v>-0.588966605697438</v>
      </c>
      <c r="D682" s="0" t="n">
        <v>-0.72695951567332</v>
      </c>
      <c r="E682" s="0" t="n">
        <v>0.737050421151355</v>
      </c>
      <c r="F682" s="0" t="n">
        <v>0.318502851877228</v>
      </c>
      <c r="G682" s="0" t="n">
        <v>-1.34498286713596</v>
      </c>
      <c r="H682" s="0" t="n">
        <v>-1.41144023311068</v>
      </c>
      <c r="I682" s="0" t="n">
        <v>-1.64954939831184</v>
      </c>
      <c r="J682" s="0" t="n">
        <v>0.96058081914144</v>
      </c>
      <c r="K682" s="0" t="n">
        <v>0.921525940821521</v>
      </c>
      <c r="L682" s="0" t="n">
        <v>0.45546533650303</v>
      </c>
      <c r="M682" s="0" t="n">
        <v>-1.74193687688265</v>
      </c>
      <c r="N682" s="0" t="n">
        <v>-0.961298027228377</v>
      </c>
      <c r="O682" s="0" t="n">
        <v>-0.281636582351807</v>
      </c>
      <c r="P682" s="0" t="n">
        <v>0.792276461380083</v>
      </c>
      <c r="Q682" s="0" t="n">
        <v>0.37981656501457</v>
      </c>
      <c r="R682" s="0" t="n">
        <v>-0.632835796099503</v>
      </c>
      <c r="S682" s="0" t="n">
        <v>0</v>
      </c>
      <c r="T682" s="0" t="n">
        <v>0</v>
      </c>
      <c r="U682" s="0" t="n">
        <v>0</v>
      </c>
      <c r="V682" s="0" t="n">
        <v>1</v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1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</row>
    <row r="683" customFormat="false" ht="15" hidden="false" customHeight="false" outlineLevel="0" collapsed="false">
      <c r="A683" s="0" t="s">
        <v>717</v>
      </c>
      <c r="B683" s="0" t="n">
        <v>1</v>
      </c>
      <c r="C683" s="0" t="n">
        <v>-0.300195534895433</v>
      </c>
      <c r="D683" s="0" t="n">
        <v>-0.747362845176714</v>
      </c>
      <c r="E683" s="0" t="n">
        <v>0.679155510662805</v>
      </c>
      <c r="F683" s="0" t="n">
        <v>0.733109622451261</v>
      </c>
      <c r="G683" s="0" t="n">
        <v>-1.09139158858775</v>
      </c>
      <c r="H683" s="0" t="n">
        <v>-1.05104176180149</v>
      </c>
      <c r="I683" s="0" t="n">
        <v>-1.05636051985484</v>
      </c>
      <c r="J683" s="0" t="n">
        <v>-0.5822418210726</v>
      </c>
      <c r="K683" s="0" t="n">
        <v>-0.154477506233516</v>
      </c>
      <c r="L683" s="0" t="n">
        <v>1.0095304574815</v>
      </c>
      <c r="M683" s="0" t="n">
        <v>-0.338955861824562</v>
      </c>
      <c r="N683" s="0" t="n">
        <v>-0.00437078903833167</v>
      </c>
      <c r="O683" s="0" t="n">
        <v>-0.649786945702352</v>
      </c>
      <c r="P683" s="0" t="n">
        <v>-0.422948418435906</v>
      </c>
      <c r="Q683" s="0" t="n">
        <v>-0.526892926755746</v>
      </c>
      <c r="R683" s="0" t="n">
        <v>-0.334184516176998</v>
      </c>
      <c r="S683" s="0" t="n">
        <v>1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v>1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0.497433016250143</v>
      </c>
      <c r="AJ683" s="0" t="n">
        <v>0.333333333333333</v>
      </c>
    </row>
    <row r="684" customFormat="false" ht="15" hidden="false" customHeight="false" outlineLevel="0" collapsed="false">
      <c r="A684" s="0" t="s">
        <v>718</v>
      </c>
      <c r="B684" s="0" t="n">
        <v>1</v>
      </c>
      <c r="C684" s="0" t="n">
        <v>-0.557858248835238</v>
      </c>
      <c r="D684" s="0" t="n">
        <v>-0.819813724644547</v>
      </c>
      <c r="E684" s="0" t="n">
        <v>-0.501989502497037</v>
      </c>
      <c r="F684" s="0" t="n">
        <v>0.590281713664093</v>
      </c>
      <c r="G684" s="0" t="n">
        <v>-0.14569105051397</v>
      </c>
      <c r="H684" s="0" t="n">
        <v>-0.0254592428845178</v>
      </c>
      <c r="I684" s="0" t="n">
        <v>-0.320737922992387</v>
      </c>
      <c r="J684" s="0" t="n">
        <v>0.895741285679413</v>
      </c>
      <c r="K684" s="0" t="n">
        <v>0.00274735353611356</v>
      </c>
      <c r="L684" s="0" t="n">
        <v>0.613035311683475</v>
      </c>
      <c r="M684" s="0" t="n">
        <v>-0.681086773758708</v>
      </c>
      <c r="N684" s="0" t="n">
        <v>-0.914448250482118</v>
      </c>
      <c r="O684" s="0" t="n">
        <v>-0.334610387564157</v>
      </c>
      <c r="P684" s="0" t="n">
        <v>0.0251283439872302</v>
      </c>
      <c r="Q684" s="0" t="n">
        <v>-0.0671169143096125</v>
      </c>
      <c r="R684" s="0" t="n">
        <v>-0.661512084213862</v>
      </c>
      <c r="S684" s="0" t="n">
        <v>1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1</v>
      </c>
      <c r="Y684" s="0" t="n">
        <v>0</v>
      </c>
      <c r="Z684" s="0" t="n">
        <v>0</v>
      </c>
      <c r="AA684" s="0" t="n">
        <v>1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J684" s="0" t="n">
        <v>0</v>
      </c>
    </row>
    <row r="685" customFormat="false" ht="15" hidden="false" customHeight="false" outlineLevel="0" collapsed="false">
      <c r="A685" s="0" t="s">
        <v>719</v>
      </c>
      <c r="B685" s="0" t="n">
        <v>1</v>
      </c>
      <c r="C685" s="0" t="n">
        <v>-0.741984545083986</v>
      </c>
      <c r="D685" s="0" t="n">
        <v>-1.02644166703531</v>
      </c>
      <c r="E685" s="0" t="n">
        <v>-0.79118333428054</v>
      </c>
      <c r="F685" s="0" t="n">
        <v>0.956140852436223</v>
      </c>
      <c r="G685" s="0" t="n">
        <v>0.109976204740601</v>
      </c>
      <c r="H685" s="0" t="n">
        <v>0.10110164416151</v>
      </c>
      <c r="I685" s="0" t="n">
        <v>-0.842197197308559</v>
      </c>
      <c r="J685" s="0" t="n">
        <v>0.818653898596855</v>
      </c>
      <c r="K685" s="0" t="n">
        <v>0.637333601803851</v>
      </c>
      <c r="L685" s="0" t="n">
        <v>0.0360645558306729</v>
      </c>
      <c r="M685" s="0" t="n">
        <v>1.77123671266934</v>
      </c>
      <c r="N685" s="0" t="n">
        <v>-1.04287417358042</v>
      </c>
      <c r="O685" s="0" t="n">
        <v>-0.63083112835856</v>
      </c>
      <c r="P685" s="0" t="n">
        <v>0.846150105616155</v>
      </c>
      <c r="Q685" s="0" t="n">
        <v>0.174605719110886</v>
      </c>
      <c r="R685" s="0" t="n">
        <v>-0.23274666579523</v>
      </c>
      <c r="S685" s="0" t="n">
        <v>0</v>
      </c>
      <c r="T685" s="0" t="n">
        <v>0</v>
      </c>
      <c r="U685" s="0" t="n">
        <v>0</v>
      </c>
      <c r="V685" s="0" t="n">
        <v>1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1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</row>
    <row r="686" customFormat="false" ht="15" hidden="false" customHeight="false" outlineLevel="0" collapsed="false">
      <c r="A686" s="0" t="s">
        <v>720</v>
      </c>
      <c r="B686" s="0" t="n">
        <v>1</v>
      </c>
      <c r="C686" s="0" t="n">
        <v>-0.0807602508623325</v>
      </c>
      <c r="D686" s="0" t="n">
        <v>-0.701057205648055</v>
      </c>
      <c r="E686" s="0" t="n">
        <v>-0.914166302516068</v>
      </c>
      <c r="F686" s="0" t="n">
        <v>0.884084310697336</v>
      </c>
      <c r="G686" s="0" t="n">
        <v>1.34902829054901</v>
      </c>
      <c r="H686" s="0" t="n">
        <v>0.915864380529493</v>
      </c>
      <c r="I686" s="0" t="n">
        <v>0.93376156962865</v>
      </c>
      <c r="J686" s="0" t="n">
        <v>1.20332068215924</v>
      </c>
      <c r="K686" s="0" t="n">
        <v>-1.6831611133965</v>
      </c>
      <c r="L686" s="0" t="n">
        <v>-3</v>
      </c>
      <c r="M686" s="0" t="n">
        <v>0.854029159521586</v>
      </c>
      <c r="N686" s="0" t="n">
        <v>-0.634582478866305</v>
      </c>
      <c r="O686" s="0" t="n">
        <v>-0.195819664189945</v>
      </c>
      <c r="P686" s="0" t="n">
        <v>-0.00190597514947383</v>
      </c>
      <c r="Q686" s="0" t="n">
        <v>0.115426601716376</v>
      </c>
      <c r="R686" s="0" t="n">
        <v>-0.436559939502342</v>
      </c>
      <c r="S686" s="0" t="n">
        <v>1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0</v>
      </c>
      <c r="Y686" s="0" t="n">
        <v>0</v>
      </c>
      <c r="Z686" s="0" t="n">
        <v>1</v>
      </c>
      <c r="AA686" s="0" t="n">
        <v>0</v>
      </c>
      <c r="AB686" s="0" t="n">
        <v>0</v>
      </c>
      <c r="AC686" s="0" t="n">
        <v>0</v>
      </c>
      <c r="AD686" s="0" t="n">
        <v>1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0.230852955884887</v>
      </c>
      <c r="AJ686" s="0" t="n">
        <v>0.333333333333333</v>
      </c>
    </row>
    <row r="687" customFormat="false" ht="15" hidden="false" customHeight="false" outlineLevel="0" collapsed="false">
      <c r="A687" s="0" t="s">
        <v>721</v>
      </c>
      <c r="B687" s="0" t="n">
        <v>1</v>
      </c>
      <c r="C687" s="0" t="n">
        <v>-0.393394572101417</v>
      </c>
      <c r="D687" s="0" t="n">
        <v>-0.311095021289862</v>
      </c>
      <c r="E687" s="0" t="n">
        <v>-0.681254754603463</v>
      </c>
      <c r="F687" s="0" t="n">
        <v>-0.234962661447419</v>
      </c>
      <c r="G687" s="0" t="n">
        <v>0.367682738257142</v>
      </c>
      <c r="H687" s="0" t="n">
        <v>0.339660654019958</v>
      </c>
      <c r="I687" s="0" t="n">
        <v>1.08494893913165</v>
      </c>
      <c r="J687" s="0" t="n">
        <v>0.356422749716036</v>
      </c>
      <c r="K687" s="0" t="n">
        <v>-0.261484158506819</v>
      </c>
      <c r="L687" s="0" t="n">
        <v>-0.141667277656014</v>
      </c>
      <c r="M687" s="0" t="n">
        <v>-1.22574057741828</v>
      </c>
      <c r="N687" s="0" t="n">
        <v>-0.570677739532591</v>
      </c>
      <c r="O687" s="0" t="n">
        <v>-0.530869439758584</v>
      </c>
      <c r="P687" s="0" t="n">
        <v>0.342766790175353</v>
      </c>
      <c r="Q687" s="0" t="n">
        <v>0.553816724648128</v>
      </c>
      <c r="R687" s="0" t="n">
        <v>-0.276153911928765</v>
      </c>
      <c r="S687" s="0" t="n">
        <v>0</v>
      </c>
      <c r="T687" s="0" t="n">
        <v>1</v>
      </c>
      <c r="U687" s="0" t="n">
        <v>0</v>
      </c>
      <c r="V687" s="0" t="n">
        <v>0</v>
      </c>
      <c r="W687" s="0" t="n">
        <v>0</v>
      </c>
      <c r="X687" s="0" t="n">
        <v>1</v>
      </c>
      <c r="Y687" s="0" t="n">
        <v>0</v>
      </c>
      <c r="Z687" s="0" t="n">
        <v>0</v>
      </c>
      <c r="AA687" s="0" t="n">
        <v>1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0</v>
      </c>
      <c r="AJ687" s="0" t="n">
        <v>0</v>
      </c>
    </row>
    <row r="688" customFormat="false" ht="15" hidden="false" customHeight="false" outlineLevel="0" collapsed="false">
      <c r="A688" s="0" t="s">
        <v>722</v>
      </c>
      <c r="B688" s="0" t="n">
        <v>1</v>
      </c>
      <c r="C688" s="0" t="n">
        <v>-0.693044053520576</v>
      </c>
      <c r="D688" s="0" t="n">
        <v>-0.349314049308385</v>
      </c>
      <c r="E688" s="0" t="n">
        <v>-0.731306650338734</v>
      </c>
      <c r="F688" s="0" t="n">
        <v>-0.472603928904599</v>
      </c>
      <c r="G688" s="0" t="n">
        <v>0.0649399981314728</v>
      </c>
      <c r="H688" s="0" t="n">
        <v>0.0860285793104845</v>
      </c>
      <c r="I688" s="0" t="n">
        <v>1.23014114921076</v>
      </c>
      <c r="J688" s="0" t="n">
        <v>0.579899530652943</v>
      </c>
      <c r="K688" s="0" t="n">
        <v>0.34964675801777</v>
      </c>
      <c r="L688" s="0" t="n">
        <v>-0.19634666065124</v>
      </c>
      <c r="M688" s="0" t="n">
        <v>-0.369283663609424</v>
      </c>
      <c r="N688" s="0" t="n">
        <v>-0.92184558365258</v>
      </c>
      <c r="O688" s="0" t="n">
        <v>-0.188132377879202</v>
      </c>
      <c r="P688" s="0" t="n">
        <v>0.311446708947278</v>
      </c>
      <c r="Q688" s="0" t="n">
        <v>-0.576489692908499</v>
      </c>
      <c r="R688" s="0" t="n">
        <v>-0.424987311074365</v>
      </c>
      <c r="S688" s="0" t="n">
        <v>1</v>
      </c>
      <c r="T688" s="0" t="n">
        <v>0</v>
      </c>
      <c r="U688" s="0" t="n">
        <v>0</v>
      </c>
      <c r="V688" s="0" t="n">
        <v>0</v>
      </c>
      <c r="W688" s="0" t="n">
        <v>1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1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</row>
    <row r="689" customFormat="false" ht="15" hidden="false" customHeight="false" outlineLevel="0" collapsed="false">
      <c r="A689" s="0" t="s">
        <v>723</v>
      </c>
      <c r="B689" s="0" t="n">
        <v>1</v>
      </c>
      <c r="C689" s="0" t="n">
        <v>-0.456085001130522</v>
      </c>
      <c r="D689" s="0" t="n">
        <v>-0.24164748804297</v>
      </c>
      <c r="E689" s="0" t="n">
        <v>-0.780798845302125</v>
      </c>
      <c r="F689" s="0" t="n">
        <v>-0.392279948676816</v>
      </c>
      <c r="G689" s="0" t="n">
        <v>0.484796776965807</v>
      </c>
      <c r="H689" s="0" t="n">
        <v>0.383932519383661</v>
      </c>
      <c r="I689" s="0" t="n">
        <v>0.297738031505253</v>
      </c>
      <c r="J689" s="0" t="n">
        <v>-0.067659484746046</v>
      </c>
      <c r="K689" s="0" t="n">
        <v>-0.149766442883367</v>
      </c>
      <c r="L689" s="0" t="n">
        <v>0.131698260101833</v>
      </c>
      <c r="M689" s="0" t="n">
        <v>-0.107974637549722</v>
      </c>
      <c r="N689" s="0" t="n">
        <v>-0.180160192575284</v>
      </c>
      <c r="O689" s="0" t="n">
        <v>-0.319185332251216</v>
      </c>
      <c r="P689" s="0" t="n">
        <v>-0.335176607133119</v>
      </c>
      <c r="Q689" s="0" t="n">
        <v>-0.300944850024711</v>
      </c>
      <c r="R689" s="0" t="n">
        <v>-0.248813617506255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1</v>
      </c>
      <c r="AI689" s="0" t="n">
        <v>0</v>
      </c>
      <c r="AJ689" s="0" t="n">
        <v>0</v>
      </c>
    </row>
    <row r="690" customFormat="false" ht="15" hidden="false" customHeight="false" outlineLevel="0" collapsed="false">
      <c r="A690" s="0" t="s">
        <v>724</v>
      </c>
      <c r="B690" s="0" t="n">
        <v>1</v>
      </c>
      <c r="C690" s="0" t="n">
        <v>-0.826430440444</v>
      </c>
      <c r="D690" s="0" t="n">
        <v>-0.159758411861996</v>
      </c>
      <c r="E690" s="0" t="n">
        <v>-0.751721367877307</v>
      </c>
      <c r="F690" s="0" t="n">
        <v>-0.827664882939622</v>
      </c>
      <c r="G690" s="0" t="n">
        <v>-0.0785090316275905</v>
      </c>
      <c r="H690" s="0" t="n">
        <v>-0.0289120453342414</v>
      </c>
      <c r="I690" s="0" t="n">
        <v>0.291835585961211</v>
      </c>
      <c r="J690" s="0" t="n">
        <v>0.230055613571139</v>
      </c>
      <c r="K690" s="0" t="n">
        <v>-0.331883861068434</v>
      </c>
      <c r="L690" s="0" t="n">
        <v>0.651016586070364</v>
      </c>
      <c r="M690" s="0" t="n">
        <v>-1.22291709218837</v>
      </c>
      <c r="N690" s="0" t="n">
        <v>-0.915886620820819</v>
      </c>
      <c r="O690" s="0" t="n">
        <v>-0.662397527997644</v>
      </c>
      <c r="P690" s="0" t="n">
        <v>0.468665881250649</v>
      </c>
      <c r="Q690" s="0" t="n">
        <v>0.833852989845975</v>
      </c>
      <c r="R690" s="0" t="n">
        <v>-0.275809124823148</v>
      </c>
      <c r="S690" s="0" t="n">
        <v>0</v>
      </c>
      <c r="T690" s="0" t="n">
        <v>0</v>
      </c>
      <c r="U690" s="0" t="n">
        <v>0</v>
      </c>
      <c r="V690" s="0" t="n">
        <v>1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1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</row>
    <row r="691" customFormat="false" ht="15" hidden="false" customHeight="false" outlineLevel="0" collapsed="false">
      <c r="A691" s="0" t="s">
        <v>725</v>
      </c>
      <c r="B691" s="0" t="n">
        <v>1</v>
      </c>
      <c r="C691" s="0" t="n">
        <v>-0.823995785367069</v>
      </c>
      <c r="D691" s="0" t="n">
        <v>-0.257560274824292</v>
      </c>
      <c r="E691" s="0" t="n">
        <v>-0.644864931759539</v>
      </c>
      <c r="F691" s="0" t="n">
        <v>-0.715694012066847</v>
      </c>
      <c r="G691" s="0" t="n">
        <v>-0.253630515770659</v>
      </c>
      <c r="H691" s="0" t="n">
        <v>-0.143175200029518</v>
      </c>
      <c r="I691" s="0" t="n">
        <v>0.215701526663415</v>
      </c>
      <c r="J691" s="0" t="n">
        <v>-1.06531314589674</v>
      </c>
      <c r="K691" s="0" t="n">
        <v>-0.208796099348188</v>
      </c>
      <c r="L691" s="0" t="n">
        <v>1.49184739039723</v>
      </c>
      <c r="M691" s="0" t="n">
        <v>-0.231635666054936</v>
      </c>
      <c r="N691" s="0" t="n">
        <v>-0.298825745518112</v>
      </c>
      <c r="O691" s="0" t="n">
        <v>-0.631472905064517</v>
      </c>
      <c r="P691" s="0" t="n">
        <v>-0.621444079022372</v>
      </c>
      <c r="Q691" s="0" t="n">
        <v>-0.403989750698827</v>
      </c>
      <c r="R691" s="0" t="n">
        <v>-1.10618915130895</v>
      </c>
      <c r="S691" s="0" t="n">
        <v>0</v>
      </c>
      <c r="T691" s="0" t="n">
        <v>1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0</v>
      </c>
      <c r="Z691" s="0" t="n">
        <v>1</v>
      </c>
      <c r="AA691" s="0" t="n">
        <v>0</v>
      </c>
      <c r="AB691" s="0" t="n">
        <v>0</v>
      </c>
      <c r="AC691" s="0" t="n">
        <v>0</v>
      </c>
      <c r="AD691" s="0" t="n">
        <v>1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0.59058201290849</v>
      </c>
      <c r="AJ691" s="0" t="n">
        <v>0.333333333333333</v>
      </c>
    </row>
    <row r="692" customFormat="false" ht="15" hidden="false" customHeight="false" outlineLevel="0" collapsed="false">
      <c r="A692" s="0" t="s">
        <v>726</v>
      </c>
      <c r="B692" s="0" t="n">
        <v>1</v>
      </c>
      <c r="C692" s="0" t="n">
        <v>-0.599676971807103</v>
      </c>
      <c r="D692" s="0" t="n">
        <v>-0.525989052472086</v>
      </c>
      <c r="E692" s="0" t="n">
        <v>-0.610536014323496</v>
      </c>
      <c r="F692" s="0" t="n">
        <v>-0.0999779709292464</v>
      </c>
      <c r="G692" s="0" t="n">
        <v>-0.024226980305502</v>
      </c>
      <c r="H692" s="0" t="n">
        <v>0.0501262060128181</v>
      </c>
      <c r="I692" s="0" t="n">
        <v>-0.183081936312568</v>
      </c>
      <c r="J692" s="0" t="n">
        <v>1.02480955474738</v>
      </c>
      <c r="K692" s="0" t="n">
        <v>-0.400423937875474</v>
      </c>
      <c r="L692" s="0" t="n">
        <v>0.116818833176279</v>
      </c>
      <c r="M692" s="0" t="n">
        <v>0.766779962697148</v>
      </c>
      <c r="N692" s="0" t="n">
        <v>-0.990476396956311</v>
      </c>
      <c r="O692" s="0" t="n">
        <v>-0.534535882990521</v>
      </c>
      <c r="P692" s="0" t="n">
        <v>0.0420376634897582</v>
      </c>
      <c r="Q692" s="0" t="n">
        <v>0.0600837316023655</v>
      </c>
      <c r="R692" s="0" t="n">
        <v>-0.335140981959056</v>
      </c>
      <c r="S692" s="0" t="n">
        <v>1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1</v>
      </c>
      <c r="Y692" s="0" t="n">
        <v>0</v>
      </c>
      <c r="Z692" s="0" t="n">
        <v>0</v>
      </c>
      <c r="AA692" s="0" t="n">
        <v>1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0.252328397057596</v>
      </c>
      <c r="AJ692" s="0" t="n">
        <v>0</v>
      </c>
    </row>
    <row r="693" customFormat="false" ht="15" hidden="false" customHeight="false" outlineLevel="0" collapsed="false">
      <c r="A693" s="0" t="s">
        <v>727</v>
      </c>
      <c r="B693" s="0" t="n">
        <v>1</v>
      </c>
      <c r="C693" s="0" t="n">
        <v>-0.904716943308303</v>
      </c>
      <c r="D693" s="0" t="n">
        <v>-0.567558924278802</v>
      </c>
      <c r="E693" s="0" t="n">
        <v>-0.656097504844159</v>
      </c>
      <c r="F693" s="0" t="n">
        <v>-0.367510241698146</v>
      </c>
      <c r="G693" s="0" t="n">
        <v>-0.339931215537627</v>
      </c>
      <c r="H693" s="0" t="n">
        <v>-0.213959386359399</v>
      </c>
      <c r="I693" s="0" t="n">
        <v>-0.845208126390397</v>
      </c>
      <c r="J693" s="0" t="n">
        <v>-0.290038842035831</v>
      </c>
      <c r="K693" s="0" t="n">
        <v>-0.500784609936755</v>
      </c>
      <c r="L693" s="0" t="n">
        <v>0.123994025419302</v>
      </c>
      <c r="M693" s="0" t="n">
        <v>-0.14101114933214</v>
      </c>
      <c r="N693" s="0" t="n">
        <v>-0.784172994091203</v>
      </c>
      <c r="O693" s="0" t="n">
        <v>-0.736257547369839</v>
      </c>
      <c r="P693" s="0" t="n">
        <v>-0.636782920203535</v>
      </c>
      <c r="Q693" s="0" t="n">
        <v>-0.531574286425278</v>
      </c>
      <c r="R693" s="0" t="n">
        <v>-0.812195649066218</v>
      </c>
      <c r="S693" s="0" t="n">
        <v>0</v>
      </c>
      <c r="T693" s="0" t="n">
        <v>1</v>
      </c>
      <c r="U693" s="0" t="n">
        <v>0</v>
      </c>
      <c r="V693" s="0" t="n">
        <v>0</v>
      </c>
      <c r="W693" s="0" t="n">
        <v>0</v>
      </c>
      <c r="X693" s="0" t="n">
        <v>0</v>
      </c>
      <c r="Y693" s="0" t="n">
        <v>0</v>
      </c>
      <c r="Z693" s="0" t="n">
        <v>1</v>
      </c>
      <c r="AA693" s="0" t="n">
        <v>0</v>
      </c>
      <c r="AB693" s="0" t="n">
        <v>0</v>
      </c>
      <c r="AC693" s="0" t="n">
        <v>0</v>
      </c>
      <c r="AD693" s="0" t="n">
        <v>1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0</v>
      </c>
      <c r="AJ693" s="0" t="n">
        <v>0</v>
      </c>
    </row>
    <row r="694" customFormat="false" ht="15" hidden="false" customHeight="false" outlineLevel="0" collapsed="false">
      <c r="A694" s="0" t="s">
        <v>728</v>
      </c>
      <c r="B694" s="0" t="n">
        <v>1</v>
      </c>
      <c r="C694" s="0" t="n">
        <v>-0.945911144372709</v>
      </c>
      <c r="D694" s="0" t="n">
        <v>-0.824529651975367</v>
      </c>
      <c r="E694" s="0" t="n">
        <v>-0.741261961325464</v>
      </c>
      <c r="F694" s="0" t="n">
        <v>0.0810854564713435</v>
      </c>
      <c r="G694" s="0" t="n">
        <v>-0.258192628141052</v>
      </c>
      <c r="H694" s="0" t="n">
        <v>-0.163282277743799</v>
      </c>
      <c r="I694" s="0" t="n">
        <v>-1.28257779597159</v>
      </c>
      <c r="J694" s="0" t="n">
        <v>0.260531100344768</v>
      </c>
      <c r="K694" s="0" t="n">
        <v>0.169954864398763</v>
      </c>
      <c r="L694" s="0" t="n">
        <v>-0.381155236902162</v>
      </c>
      <c r="M694" s="0" t="n">
        <v>-0.578213251659659</v>
      </c>
      <c r="N694" s="0" t="n">
        <v>-1.0367097292717</v>
      </c>
      <c r="O694" s="0" t="n">
        <v>-0.45396504302127</v>
      </c>
      <c r="P694" s="0" t="n">
        <v>-0.470906140936066</v>
      </c>
      <c r="Q694" s="0" t="n">
        <v>-0.560643904536608</v>
      </c>
      <c r="R694" s="0" t="n">
        <v>-0.495387990887485</v>
      </c>
      <c r="S694" s="0" t="n">
        <v>1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1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0</v>
      </c>
      <c r="AJ694" s="0" t="n">
        <v>0</v>
      </c>
    </row>
    <row r="695" customFormat="false" ht="15" hidden="false" customHeight="false" outlineLevel="0" collapsed="false">
      <c r="A695" s="0" t="s">
        <v>729</v>
      </c>
      <c r="B695" s="0" t="n">
        <v>1</v>
      </c>
      <c r="C695" s="0" t="n">
        <v>-0.933466318882174</v>
      </c>
      <c r="D695" s="0" t="n">
        <v>-0.918010616284683</v>
      </c>
      <c r="E695" s="0" t="n">
        <v>-0.747750829642892</v>
      </c>
      <c r="F695" s="0" t="n">
        <v>0.331214233766187</v>
      </c>
      <c r="G695" s="0" t="n">
        <v>-0.23053551769411</v>
      </c>
      <c r="H695" s="0" t="n">
        <v>-0.143386307201115</v>
      </c>
      <c r="I695" s="0" t="n">
        <v>-1.5817619444051</v>
      </c>
      <c r="J695" s="0" t="n">
        <v>0.531643734590354</v>
      </c>
      <c r="K695" s="0" t="n">
        <v>-0.109497424018528</v>
      </c>
      <c r="L695" s="0" t="n">
        <v>-0.00447278045900825</v>
      </c>
      <c r="M695" s="0" t="n">
        <v>-0.196955216298064</v>
      </c>
      <c r="N695" s="0" t="n">
        <v>-1.11582009790025</v>
      </c>
      <c r="O695" s="0" t="n">
        <v>-0.716585286239007</v>
      </c>
      <c r="P695" s="0" t="n">
        <v>-0.482604148388692</v>
      </c>
      <c r="Q695" s="0" t="n">
        <v>-0.54789662233567</v>
      </c>
      <c r="R695" s="0" t="n">
        <v>-0.438358160817916</v>
      </c>
      <c r="S695" s="0" t="n">
        <v>1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1</v>
      </c>
      <c r="Y695" s="0" t="n">
        <v>0</v>
      </c>
      <c r="Z695" s="0" t="n">
        <v>0</v>
      </c>
      <c r="AA695" s="0" t="n">
        <v>1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0</v>
      </c>
    </row>
    <row r="696" customFormat="false" ht="15" hidden="false" customHeight="false" outlineLevel="0" collapsed="false">
      <c r="A696" s="0" t="s">
        <v>730</v>
      </c>
      <c r="B696" s="0" t="n">
        <v>1</v>
      </c>
      <c r="C696" s="0" t="n">
        <v>-1.13008827761532</v>
      </c>
      <c r="D696" s="0" t="n">
        <v>-1.28231321805751</v>
      </c>
      <c r="E696" s="0" t="n">
        <v>-0.883379363603337</v>
      </c>
      <c r="F696" s="0" t="n">
        <v>1.32482686667874</v>
      </c>
      <c r="G696" s="0" t="n">
        <v>-0.272372769332343</v>
      </c>
      <c r="H696" s="0" t="n">
        <v>-0.197492764589882</v>
      </c>
      <c r="I696" s="0" t="n">
        <v>-0.600105770227515</v>
      </c>
      <c r="J696" s="0" t="n">
        <v>-0.367699661046643</v>
      </c>
      <c r="K696" s="0" t="n">
        <v>0.0239591643565249</v>
      </c>
      <c r="L696" s="0" t="n">
        <v>-0.471202465067468</v>
      </c>
      <c r="M696" s="0" t="n">
        <v>-0.339488057857781</v>
      </c>
      <c r="N696" s="0" t="n">
        <v>-0.981640693447148</v>
      </c>
      <c r="O696" s="0" t="n">
        <v>-0.742648265507002</v>
      </c>
      <c r="P696" s="0" t="n">
        <v>-0.656646146461055</v>
      </c>
      <c r="Q696" s="0" t="n">
        <v>-0.419881302795077</v>
      </c>
      <c r="R696" s="0" t="n">
        <v>0.00183209590070545</v>
      </c>
      <c r="S696" s="0" t="n">
        <v>0</v>
      </c>
      <c r="T696" s="0" t="n">
        <v>1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1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0</v>
      </c>
    </row>
    <row r="697" customFormat="false" ht="15" hidden="false" customHeight="false" outlineLevel="0" collapsed="false">
      <c r="A697" s="0" t="s">
        <v>731</v>
      </c>
      <c r="B697" s="0" t="n">
        <v>1</v>
      </c>
      <c r="C697" s="0" t="n">
        <v>-1.21068397675963</v>
      </c>
      <c r="D697" s="0" t="n">
        <v>-1.32418642017298</v>
      </c>
      <c r="E697" s="0" t="n">
        <v>-1.02056587730624</v>
      </c>
      <c r="F697" s="0" t="n">
        <v>1.37023750849577</v>
      </c>
      <c r="G697" s="0" t="n">
        <v>-0.133559088523333</v>
      </c>
      <c r="H697" s="0" t="n">
        <v>-0.130510580245809</v>
      </c>
      <c r="I697" s="0" t="n">
        <v>-0.522161128837063</v>
      </c>
      <c r="J697" s="0" t="n">
        <v>-0.341659977223013</v>
      </c>
      <c r="K697" s="0" t="n">
        <v>0.24422718453389</v>
      </c>
      <c r="L697" s="0" t="n">
        <v>0.623091444119009</v>
      </c>
      <c r="M697" s="0" t="n">
        <v>-0.206339639350518</v>
      </c>
      <c r="N697" s="0" t="n">
        <v>-1.07431283955488</v>
      </c>
      <c r="O697" s="0" t="n">
        <v>-0.703374732925706</v>
      </c>
      <c r="P697" s="0" t="n">
        <v>-0.492507607491572</v>
      </c>
      <c r="Q697" s="0" t="n">
        <v>-0.49946193526811</v>
      </c>
      <c r="R697" s="0" t="n">
        <v>-0.82299099966337</v>
      </c>
      <c r="S697" s="0" t="n">
        <v>1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1</v>
      </c>
      <c r="Y697" s="0" t="n">
        <v>0</v>
      </c>
      <c r="Z697" s="0" t="n">
        <v>0</v>
      </c>
      <c r="AA697" s="0" t="n">
        <v>1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0</v>
      </c>
    </row>
    <row r="698" customFormat="false" ht="15" hidden="false" customHeight="false" outlineLevel="0" collapsed="false">
      <c r="A698" s="0" t="s">
        <v>732</v>
      </c>
      <c r="B698" s="0" t="n">
        <v>1</v>
      </c>
      <c r="C698" s="0" t="n">
        <v>-1.07079717464947</v>
      </c>
      <c r="D698" s="0" t="n">
        <v>-1.25872213861116</v>
      </c>
      <c r="E698" s="0" t="n">
        <v>-1.03472042905279</v>
      </c>
      <c r="F698" s="0" t="n">
        <v>1.32914800154334</v>
      </c>
      <c r="G698" s="0" t="n">
        <v>0.120692735841308</v>
      </c>
      <c r="H698" s="0" t="n">
        <v>0.0288945722008917</v>
      </c>
      <c r="I698" s="0" t="n">
        <v>-0.411398679754997</v>
      </c>
      <c r="J698" s="0" t="n">
        <v>1.39732493347502</v>
      </c>
      <c r="K698" s="0" t="n">
        <v>-1.052101947867</v>
      </c>
      <c r="L698" s="0" t="n">
        <v>-0.0526630895546032</v>
      </c>
      <c r="M698" s="0" t="n">
        <v>0.171167468440007</v>
      </c>
      <c r="N698" s="0" t="n">
        <v>-1.46390571986588</v>
      </c>
      <c r="O698" s="0" t="n">
        <v>-0.565517183055981</v>
      </c>
      <c r="P698" s="0" t="n">
        <v>-0.444667608582813</v>
      </c>
      <c r="Q698" s="0" t="n">
        <v>-0.280269941214906</v>
      </c>
      <c r="R698" s="0" t="n">
        <v>-0.378347852828682</v>
      </c>
      <c r="S698" s="0" t="n">
        <v>0</v>
      </c>
      <c r="T698" s="0" t="n">
        <v>0</v>
      </c>
      <c r="U698" s="0" t="n">
        <v>0</v>
      </c>
      <c r="V698" s="0" t="n">
        <v>1</v>
      </c>
      <c r="W698" s="0" t="n">
        <v>0</v>
      </c>
      <c r="X698" s="0" t="n">
        <v>0</v>
      </c>
      <c r="Y698" s="0" t="n">
        <v>0</v>
      </c>
      <c r="Z698" s="0" t="n">
        <v>1</v>
      </c>
      <c r="AA698" s="0" t="n">
        <v>0</v>
      </c>
      <c r="AB698" s="0" t="n">
        <v>0</v>
      </c>
      <c r="AC698" s="0" t="n">
        <v>0</v>
      </c>
      <c r="AD698" s="0" t="n">
        <v>1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0</v>
      </c>
      <c r="AJ698" s="0" t="n">
        <v>0</v>
      </c>
    </row>
    <row r="699" customFormat="false" ht="15" hidden="false" customHeight="false" outlineLevel="0" collapsed="false">
      <c r="A699" s="0" t="s">
        <v>733</v>
      </c>
      <c r="B699" s="0" t="n">
        <v>1</v>
      </c>
      <c r="C699" s="0" t="n">
        <v>-1.1835631466035</v>
      </c>
      <c r="D699" s="0" t="n">
        <v>-1.22525308175776</v>
      </c>
      <c r="E699" s="0" t="n">
        <v>-1.2087801264495</v>
      </c>
      <c r="F699" s="0" t="n">
        <v>0.952772910250454</v>
      </c>
      <c r="G699" s="0" t="n">
        <v>0.352729229065821</v>
      </c>
      <c r="H699" s="0" t="n">
        <v>0.103068394138117</v>
      </c>
      <c r="I699" s="0" t="n">
        <v>-0.539649453555079</v>
      </c>
      <c r="J699" s="0" t="n">
        <v>-0.0900955971653678</v>
      </c>
      <c r="K699" s="0" t="n">
        <v>0.657532764055986</v>
      </c>
      <c r="L699" s="0" t="n">
        <v>-0.344375704399631</v>
      </c>
      <c r="M699" s="0" t="n">
        <v>0.473560803853128</v>
      </c>
      <c r="N699" s="0" t="n">
        <v>-1.13903950479642</v>
      </c>
      <c r="O699" s="0" t="n">
        <v>-0.500090857749474</v>
      </c>
      <c r="P699" s="0" t="n">
        <v>-0.756940321047951</v>
      </c>
      <c r="Q699" s="0" t="n">
        <v>-0.511892693801685</v>
      </c>
      <c r="R699" s="0" t="n">
        <v>-0.819010202681069</v>
      </c>
      <c r="S699" s="0" t="n">
        <v>0</v>
      </c>
      <c r="T699" s="0" t="n">
        <v>1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1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0</v>
      </c>
    </row>
    <row r="700" customFormat="false" ht="15" hidden="false" customHeight="false" outlineLevel="0" collapsed="false">
      <c r="A700" s="0" t="s">
        <v>734</v>
      </c>
      <c r="B700" s="0" t="n">
        <v>1</v>
      </c>
      <c r="C700" s="0" t="n">
        <v>-0.994880231745167</v>
      </c>
      <c r="D700" s="0" t="n">
        <v>-0.879384379015974</v>
      </c>
      <c r="E700" s="0" t="n">
        <v>-1.3741103328893</v>
      </c>
      <c r="F700" s="0" t="n">
        <v>0.144324488793241</v>
      </c>
      <c r="G700" s="0" t="n">
        <v>1.24796734692938</v>
      </c>
      <c r="H700" s="0" t="n">
        <v>0.477881225384387</v>
      </c>
      <c r="I700" s="0" t="n">
        <v>1.33606332042515</v>
      </c>
      <c r="J700" s="0" t="n">
        <v>-0.926476835176937</v>
      </c>
      <c r="K700" s="0" t="n">
        <v>-0.240441407505832</v>
      </c>
      <c r="L700" s="0" t="n">
        <v>-0.40569557035856</v>
      </c>
      <c r="M700" s="0" t="n">
        <v>0.330017290505205</v>
      </c>
      <c r="N700" s="0" t="n">
        <v>-0.577047665318267</v>
      </c>
      <c r="O700" s="0" t="n">
        <v>-0.225175522651902</v>
      </c>
      <c r="P700" s="0" t="n">
        <v>-0.611551451640427</v>
      </c>
      <c r="Q700" s="0" t="n">
        <v>-0.286626555580719</v>
      </c>
      <c r="R700" s="0" t="n">
        <v>-0.342700244939161</v>
      </c>
      <c r="S700" s="0" t="n">
        <v>0</v>
      </c>
      <c r="T700" s="0" t="n">
        <v>1</v>
      </c>
      <c r="U700" s="0" t="n">
        <v>0</v>
      </c>
      <c r="V700" s="0" t="n">
        <v>0</v>
      </c>
      <c r="W700" s="0" t="n">
        <v>0</v>
      </c>
      <c r="X700" s="0" t="n">
        <v>1</v>
      </c>
      <c r="Y700" s="0" t="n">
        <v>0</v>
      </c>
      <c r="Z700" s="0" t="n">
        <v>0</v>
      </c>
      <c r="AA700" s="0" t="n">
        <v>1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0</v>
      </c>
      <c r="AJ700" s="0" t="n">
        <v>0</v>
      </c>
    </row>
    <row r="701" customFormat="false" ht="15" hidden="false" customHeight="false" outlineLevel="0" collapsed="false">
      <c r="A701" s="0" t="s">
        <v>735</v>
      </c>
      <c r="B701" s="0" t="n">
        <v>1</v>
      </c>
      <c r="C701" s="0" t="n">
        <v>-0.760310575301956</v>
      </c>
      <c r="D701" s="0" t="n">
        <v>-0.819094208436381</v>
      </c>
      <c r="E701" s="0" t="n">
        <v>-1.30936912063047</v>
      </c>
      <c r="F701" s="0" t="n">
        <v>0.317194293710836</v>
      </c>
      <c r="G701" s="0" t="n">
        <v>1.47444311501814</v>
      </c>
      <c r="H701" s="0" t="n">
        <v>0.648497014768412</v>
      </c>
      <c r="I701" s="0" t="n">
        <v>1.17952231054323</v>
      </c>
      <c r="J701" s="0" t="n">
        <v>0.489615696353072</v>
      </c>
      <c r="K701" s="0" t="n">
        <v>-1.34972418384061</v>
      </c>
      <c r="L701" s="0" t="n">
        <v>-2.27056355108239</v>
      </c>
      <c r="M701" s="0" t="n">
        <v>0.71250133064822</v>
      </c>
      <c r="N701" s="0" t="n">
        <v>-0.949380101564855</v>
      </c>
      <c r="O701" s="0" t="n">
        <v>-0.149448387141132</v>
      </c>
      <c r="P701" s="0" t="n">
        <v>0.250633240255168</v>
      </c>
      <c r="Q701" s="0" t="n">
        <v>-0.14193578874632</v>
      </c>
      <c r="R701" s="0" t="n">
        <v>-0.254175411176284</v>
      </c>
      <c r="S701" s="0" t="n">
        <v>0</v>
      </c>
      <c r="T701" s="0" t="n">
        <v>1</v>
      </c>
      <c r="U701" s="0" t="n">
        <v>0</v>
      </c>
      <c r="V701" s="0" t="n">
        <v>0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1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</row>
    <row r="702" customFormat="false" ht="15" hidden="false" customHeight="false" outlineLevel="0" collapsed="false">
      <c r="A702" s="0" t="s">
        <v>736</v>
      </c>
      <c r="B702" s="0" t="n">
        <v>1</v>
      </c>
      <c r="C702" s="0" t="n">
        <v>-0.887938613566445</v>
      </c>
      <c r="D702" s="0" t="n">
        <v>-0.644005876202307</v>
      </c>
      <c r="E702" s="0" t="n">
        <v>-1.16698597860042</v>
      </c>
      <c r="F702" s="0" t="n">
        <v>-0.215969011066696</v>
      </c>
      <c r="G702" s="0" t="n">
        <v>0.764871934559785</v>
      </c>
      <c r="H702" s="0" t="n">
        <v>0.361582692884073</v>
      </c>
      <c r="I702" s="0" t="n">
        <v>0.584340741271644</v>
      </c>
      <c r="J702" s="0" t="n">
        <v>0.710373101028977</v>
      </c>
      <c r="K702" s="0" t="n">
        <v>-0.287820918360187</v>
      </c>
      <c r="L702" s="0" t="n">
        <v>0.0661611232216485</v>
      </c>
      <c r="M702" s="0" t="n">
        <v>-0.44755013789319</v>
      </c>
      <c r="N702" s="0" t="n">
        <v>-1.13246409753379</v>
      </c>
      <c r="O702" s="0" t="n">
        <v>-0.623466819164936</v>
      </c>
      <c r="P702" s="0" t="n">
        <v>-0.357425662909136</v>
      </c>
      <c r="Q702" s="0" t="n">
        <v>-0.17392052644235</v>
      </c>
      <c r="R702" s="0" t="n">
        <v>-0.497627875004221</v>
      </c>
      <c r="S702" s="0" t="n">
        <v>0</v>
      </c>
      <c r="T702" s="0" t="n">
        <v>0</v>
      </c>
      <c r="U702" s="0" t="n">
        <v>1</v>
      </c>
      <c r="V702" s="0" t="n">
        <v>0</v>
      </c>
      <c r="W702" s="0" t="n">
        <v>1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1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0.179929305650706</v>
      </c>
      <c r="AJ702" s="0" t="n">
        <v>0.333333333333333</v>
      </c>
    </row>
    <row r="703" customFormat="false" ht="15" hidden="false" customHeight="false" outlineLevel="0" collapsed="false">
      <c r="A703" s="0" t="s">
        <v>737</v>
      </c>
      <c r="B703" s="0" t="n">
        <v>1</v>
      </c>
      <c r="C703" s="0" t="n">
        <v>-0.842519995966711</v>
      </c>
      <c r="D703" s="0" t="n">
        <v>-0.796574583076005</v>
      </c>
      <c r="E703" s="0" t="n">
        <v>-1.12337311162219</v>
      </c>
      <c r="F703" s="0" t="n">
        <v>0.154138164939317</v>
      </c>
      <c r="G703" s="0" t="n">
        <v>0.719990427793146</v>
      </c>
      <c r="H703" s="0" t="n">
        <v>0.360658197061229</v>
      </c>
      <c r="I703" s="0" t="n">
        <v>0.598498907033728</v>
      </c>
      <c r="J703" s="0" t="n">
        <v>-0.016195249092191</v>
      </c>
      <c r="K703" s="0" t="n">
        <v>-0.113222922029358</v>
      </c>
      <c r="L703" s="0" t="n">
        <v>-0.092176099202903</v>
      </c>
      <c r="M703" s="0" t="n">
        <v>0.968913975437719</v>
      </c>
      <c r="N703" s="0" t="n">
        <v>-0.836365289238352</v>
      </c>
      <c r="O703" s="0" t="n">
        <v>-0.599206635007937</v>
      </c>
      <c r="P703" s="0" t="n">
        <v>-0.729515797984655</v>
      </c>
      <c r="Q703" s="0" t="n">
        <v>-0.507325682803123</v>
      </c>
      <c r="R703" s="0" t="n">
        <v>-0.818827562775691</v>
      </c>
      <c r="S703" s="0" t="n">
        <v>0</v>
      </c>
      <c r="T703" s="0" t="n">
        <v>1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1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0.0999043203956778</v>
      </c>
      <c r="AJ703" s="0" t="n">
        <v>0</v>
      </c>
    </row>
    <row r="704" customFormat="false" ht="15" hidden="false" customHeight="false" outlineLevel="0" collapsed="false">
      <c r="A704" s="0" t="s">
        <v>738</v>
      </c>
      <c r="B704" s="0" t="n">
        <v>1</v>
      </c>
      <c r="C704" s="0" t="n">
        <v>-0.684470606326521</v>
      </c>
      <c r="D704" s="0" t="n">
        <v>-0.683908744019527</v>
      </c>
      <c r="E704" s="0" t="n">
        <v>-0.997285154040581</v>
      </c>
      <c r="F704" s="0" t="n">
        <v>0.105898437570566</v>
      </c>
      <c r="G704" s="0" t="n">
        <v>0.646304627840398</v>
      </c>
      <c r="H704" s="0" t="n">
        <v>0.385500650626006</v>
      </c>
      <c r="I704" s="0" t="n">
        <v>0.74746985767267</v>
      </c>
      <c r="J704" s="0" t="n">
        <v>1.14852259538891</v>
      </c>
      <c r="K704" s="0" t="n">
        <v>-0.34917724720067</v>
      </c>
      <c r="L704" s="0" t="n">
        <v>3</v>
      </c>
      <c r="M704" s="0" t="n">
        <v>0.530930429028954</v>
      </c>
      <c r="N704" s="0" t="n">
        <v>-1.09629935758931</v>
      </c>
      <c r="O704" s="0" t="n">
        <v>0.960919532964004</v>
      </c>
      <c r="P704" s="0" t="n">
        <v>0.794852864415936</v>
      </c>
      <c r="Q704" s="0" t="n">
        <v>0.729447095108974</v>
      </c>
      <c r="R704" s="0" t="n">
        <v>-0.191911765862425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1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0</v>
      </c>
    </row>
    <row r="705" customFormat="false" ht="15" hidden="false" customHeight="false" outlineLevel="0" collapsed="false">
      <c r="A705" s="0" t="s">
        <v>739</v>
      </c>
      <c r="B705" s="0" t="n">
        <v>1</v>
      </c>
      <c r="C705" s="0" t="n">
        <v>-1.38614115341615</v>
      </c>
      <c r="D705" s="0" t="n">
        <v>-0.508010918010136</v>
      </c>
      <c r="E705" s="0" t="n">
        <v>-0.778484692766244</v>
      </c>
      <c r="F705" s="0" t="n">
        <v>-0.982614565469487</v>
      </c>
      <c r="G705" s="0" t="n">
        <v>-0.801962859727115</v>
      </c>
      <c r="H705" s="0" t="n">
        <v>-0.575584990482324</v>
      </c>
      <c r="I705" s="0" t="n">
        <v>0.663620542132585</v>
      </c>
      <c r="J705" s="0" t="n">
        <v>-0.493044273380336</v>
      </c>
      <c r="K705" s="0" t="n">
        <v>0.740469622714472</v>
      </c>
      <c r="L705" s="0" t="n">
        <v>0.774801178235846</v>
      </c>
      <c r="M705" s="0" t="n">
        <v>0.52697048058207</v>
      </c>
      <c r="N705" s="0" t="n">
        <v>-1.19965654049882</v>
      </c>
      <c r="O705" s="0" t="n">
        <v>-0.601083698222714</v>
      </c>
      <c r="P705" s="0" t="n">
        <v>-0.62933896552022</v>
      </c>
      <c r="Q705" s="0" t="n">
        <v>-0.525176799453035</v>
      </c>
      <c r="R705" s="0" t="n">
        <v>0.148214809840305</v>
      </c>
      <c r="S705" s="0" t="n">
        <v>0</v>
      </c>
      <c r="T705" s="0" t="n">
        <v>1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1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0</v>
      </c>
    </row>
    <row r="706" customFormat="false" ht="15" hidden="false" customHeight="false" outlineLevel="0" collapsed="false">
      <c r="A706" s="0" t="s">
        <v>740</v>
      </c>
      <c r="B706" s="0" t="n">
        <v>1</v>
      </c>
      <c r="C706" s="0" t="n">
        <v>-1.20258510173193</v>
      </c>
      <c r="D706" s="0" t="n">
        <v>-0.394278810575913</v>
      </c>
      <c r="E706" s="0" t="n">
        <v>-0.750035300182863</v>
      </c>
      <c r="F706" s="0" t="n">
        <v>-0.924397828602909</v>
      </c>
      <c r="G706" s="0" t="n">
        <v>-0.591796670587513</v>
      </c>
      <c r="H706" s="0" t="n">
        <v>-0.417801850930405</v>
      </c>
      <c r="I706" s="0" t="n">
        <v>0.336118334304692</v>
      </c>
      <c r="J706" s="0" t="n">
        <v>-0.217950208741329</v>
      </c>
      <c r="K706" s="0" t="n">
        <v>-0.410770718503779</v>
      </c>
      <c r="L706" s="0" t="n">
        <v>-0.0112949964790516</v>
      </c>
      <c r="M706" s="0" t="n">
        <v>0.463536623377607</v>
      </c>
      <c r="N706" s="0" t="n">
        <v>-1.11212143131502</v>
      </c>
      <c r="O706" s="0" t="n">
        <v>-0.00715318786970156</v>
      </c>
      <c r="P706" s="0" t="n">
        <v>-0.510266444315382</v>
      </c>
      <c r="Q706" s="0" t="n">
        <v>-0.32142797046901</v>
      </c>
      <c r="R706" s="0" t="n">
        <v>-0.260508705390882</v>
      </c>
      <c r="S706" s="0" t="n">
        <v>0</v>
      </c>
      <c r="T706" s="0" t="n">
        <v>1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1</v>
      </c>
      <c r="AA706" s="0" t="n">
        <v>0</v>
      </c>
      <c r="AB706" s="0" t="n">
        <v>1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J706" s="0" t="n">
        <v>0</v>
      </c>
    </row>
    <row r="707" customFormat="false" ht="15" hidden="false" customHeight="false" outlineLevel="0" collapsed="false">
      <c r="A707" s="0" t="s">
        <v>741</v>
      </c>
      <c r="B707" s="0" t="n">
        <v>1</v>
      </c>
      <c r="C707" s="0" t="n">
        <v>-1.54498768915203</v>
      </c>
      <c r="D707" s="0" t="n">
        <v>-1.00250503123433</v>
      </c>
      <c r="E707" s="0" t="n">
        <v>-0.839685486118653</v>
      </c>
      <c r="F707" s="0" t="n">
        <v>-0.376842033540795</v>
      </c>
      <c r="G707" s="0" t="n">
        <v>-0.940737196828579</v>
      </c>
      <c r="H707" s="0" t="n">
        <v>-0.672153694548704</v>
      </c>
      <c r="I707" s="0" t="n">
        <v>-1.75612305504982</v>
      </c>
      <c r="J707" s="0" t="n">
        <v>-0.582434835667564</v>
      </c>
      <c r="K707" s="0" t="n">
        <v>0.145032561845138</v>
      </c>
      <c r="L707" s="0" t="n">
        <v>-0.0822882636055623</v>
      </c>
      <c r="M707" s="0" t="n">
        <v>-0.571063901033299</v>
      </c>
      <c r="N707" s="0" t="n">
        <v>-1.33630172267541</v>
      </c>
      <c r="O707" s="0" t="n">
        <v>-0.934192950829216</v>
      </c>
      <c r="P707" s="0" t="n">
        <v>-0.743887194852057</v>
      </c>
      <c r="Q707" s="0" t="n">
        <v>-0.532862495222743</v>
      </c>
      <c r="R707" s="0" t="n">
        <v>-0.100789070296168</v>
      </c>
      <c r="S707" s="0" t="n">
        <v>0</v>
      </c>
      <c r="T707" s="0" t="n">
        <v>1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0</v>
      </c>
      <c r="Z707" s="0" t="n">
        <v>1</v>
      </c>
      <c r="AA707" s="0" t="n">
        <v>0</v>
      </c>
      <c r="AB707" s="0" t="n">
        <v>0</v>
      </c>
      <c r="AC707" s="0" t="n">
        <v>1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0</v>
      </c>
    </row>
    <row r="708" customFormat="false" ht="15" hidden="false" customHeight="false" outlineLevel="0" collapsed="false">
      <c r="A708" s="0" t="s">
        <v>742</v>
      </c>
      <c r="B708" s="0" t="n">
        <v>1</v>
      </c>
      <c r="C708" s="0" t="n">
        <v>-1.53470600980972</v>
      </c>
      <c r="D708" s="0" t="n">
        <v>-1.55420468852945</v>
      </c>
      <c r="E708" s="0" t="n">
        <v>-1.01138199477395</v>
      </c>
      <c r="F708" s="0" t="n">
        <v>2.09963321027959</v>
      </c>
      <c r="G708" s="0" t="n">
        <v>-0.665795956318801</v>
      </c>
      <c r="H708" s="0" t="n">
        <v>-0.473951405278225</v>
      </c>
      <c r="I708" s="0" t="n">
        <v>-1.04962623099385</v>
      </c>
      <c r="J708" s="0" t="n">
        <v>0.984506096311734</v>
      </c>
      <c r="K708" s="0" t="n">
        <v>0.221833273761551</v>
      </c>
      <c r="L708" s="0" t="n">
        <v>1.26200592910929</v>
      </c>
      <c r="M708" s="0" t="n">
        <v>0.048948793416765</v>
      </c>
      <c r="N708" s="0" t="n">
        <v>-1.74192215818908</v>
      </c>
      <c r="O708" s="0" t="n">
        <v>-0.670595993845959</v>
      </c>
      <c r="P708" s="0" t="n">
        <v>-0.561910286531565</v>
      </c>
      <c r="Q708" s="0" t="n">
        <v>-0.300500147427212</v>
      </c>
      <c r="R708" s="0" t="n">
        <v>-0.670192647244348</v>
      </c>
      <c r="S708" s="0" t="n">
        <v>1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0</v>
      </c>
      <c r="Y708" s="0" t="n">
        <v>0</v>
      </c>
      <c r="Z708" s="0" t="n">
        <v>1</v>
      </c>
      <c r="AA708" s="0" t="n">
        <v>0</v>
      </c>
      <c r="AB708" s="0" t="n">
        <v>1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0</v>
      </c>
    </row>
    <row r="709" customFormat="false" ht="15" hidden="false" customHeight="false" outlineLevel="0" collapsed="false">
      <c r="A709" s="0" t="s">
        <v>743</v>
      </c>
      <c r="B709" s="0" t="n">
        <v>1</v>
      </c>
      <c r="C709" s="0" t="n">
        <v>-1.51745321958451</v>
      </c>
      <c r="D709" s="0" t="n">
        <v>-0.6781265449733</v>
      </c>
      <c r="E709" s="0" t="n">
        <v>-1.14385768260502</v>
      </c>
      <c r="F709" s="0" t="n">
        <v>-0.913498587883796</v>
      </c>
      <c r="G709" s="0" t="n">
        <v>-0.392041224416487</v>
      </c>
      <c r="H709" s="0" t="n">
        <v>-0.311435033510124</v>
      </c>
      <c r="I709" s="0" t="n">
        <v>0.142450518549689</v>
      </c>
      <c r="J709" s="0" t="n">
        <v>-1.05326194988868</v>
      </c>
      <c r="K709" s="0" t="n">
        <v>-0.76579200869635</v>
      </c>
      <c r="L709" s="0" t="n">
        <v>0.842071678990652</v>
      </c>
      <c r="M709" s="0" t="n">
        <v>-0.0715176788403359</v>
      </c>
      <c r="N709" s="0" t="n">
        <v>-1.1242448384555</v>
      </c>
      <c r="O709" s="0" t="n">
        <v>-0.67533016692696</v>
      </c>
      <c r="P709" s="0" t="n">
        <v>-0.66206609230047</v>
      </c>
      <c r="Q709" s="0" t="n">
        <v>-0.584023155219901</v>
      </c>
      <c r="R709" s="0" t="n">
        <v>-0.731640519349065</v>
      </c>
      <c r="S709" s="0" t="n">
        <v>0</v>
      </c>
      <c r="T709" s="0" t="n">
        <v>1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  <c r="Z709" s="0" t="n">
        <v>1</v>
      </c>
      <c r="AA709" s="0" t="n">
        <v>0</v>
      </c>
      <c r="AB709" s="0" t="n">
        <v>0</v>
      </c>
      <c r="AC709" s="0" t="n">
        <v>1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J709" s="0" t="n">
        <v>0</v>
      </c>
    </row>
    <row r="710" customFormat="false" ht="15" hidden="false" customHeight="false" outlineLevel="0" collapsed="false">
      <c r="A710" s="0" t="s">
        <v>744</v>
      </c>
      <c r="B710" s="0" t="n">
        <v>1</v>
      </c>
      <c r="C710" s="0" t="n">
        <v>-1.32657993597293</v>
      </c>
      <c r="D710" s="0" t="n">
        <v>-0.841641955692783</v>
      </c>
      <c r="E710" s="0" t="n">
        <v>-0.934327834561339</v>
      </c>
      <c r="F710" s="0" t="n">
        <v>-0.39772347506238</v>
      </c>
      <c r="G710" s="0" t="n">
        <v>-0.475082041234334</v>
      </c>
      <c r="H710" s="0" t="n">
        <v>-0.344000033633989</v>
      </c>
      <c r="I710" s="0" t="n">
        <v>0.479662055114612</v>
      </c>
      <c r="J710" s="0" t="n">
        <v>0.169541131605591</v>
      </c>
      <c r="K710" s="0" t="n">
        <v>-0.427376985215186</v>
      </c>
      <c r="L710" s="0" t="n">
        <v>-0.680498512796566</v>
      </c>
      <c r="M710" s="0" t="n">
        <v>0.132010236051331</v>
      </c>
      <c r="N710" s="0" t="n">
        <v>-1.35931564809463</v>
      </c>
      <c r="O710" s="0" t="n">
        <v>-0.677715479075814</v>
      </c>
      <c r="P710" s="0" t="n">
        <v>-0.541862512292217</v>
      </c>
      <c r="Q710" s="0" t="n">
        <v>-0.203334041662997</v>
      </c>
      <c r="R710" s="0" t="n">
        <v>-0.318252227045065</v>
      </c>
      <c r="S710" s="0" t="n">
        <v>0</v>
      </c>
      <c r="T710" s="0" t="n">
        <v>1</v>
      </c>
      <c r="U710" s="0" t="n">
        <v>0</v>
      </c>
      <c r="V710" s="0" t="n">
        <v>0</v>
      </c>
      <c r="W710" s="0" t="n">
        <v>0</v>
      </c>
      <c r="X710" s="0" t="n">
        <v>1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1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0</v>
      </c>
      <c r="AJ710" s="0" t="n">
        <v>0</v>
      </c>
    </row>
    <row r="711" customFormat="false" ht="15" hidden="false" customHeight="false" outlineLevel="0" collapsed="false">
      <c r="A711" s="0" t="s">
        <v>745</v>
      </c>
      <c r="B711" s="0" t="n">
        <v>1</v>
      </c>
      <c r="C711" s="0" t="n">
        <v>-0.666934314686814</v>
      </c>
      <c r="D711" s="0" t="n">
        <v>-0.737004956333537</v>
      </c>
      <c r="E711" s="0" t="n">
        <v>-0.951286939870356</v>
      </c>
      <c r="F711" s="0" t="n">
        <v>0.243643719566187</v>
      </c>
      <c r="G711" s="0" t="n">
        <v>0.561065430269538</v>
      </c>
      <c r="H711" s="0" t="n">
        <v>0.353279803849449</v>
      </c>
      <c r="I711" s="0" t="n">
        <v>0.169028154237815</v>
      </c>
      <c r="J711" s="0" t="n">
        <v>0.102622846947749</v>
      </c>
      <c r="K711" s="0" t="n">
        <v>-0.882416366716905</v>
      </c>
      <c r="L711" s="0" t="n">
        <v>0.296306954283167</v>
      </c>
      <c r="M711" s="0" t="n">
        <v>0.374137478299851</v>
      </c>
      <c r="N711" s="0" t="n">
        <v>-0.717391514080088</v>
      </c>
      <c r="O711" s="0" t="n">
        <v>0.0783758809361094</v>
      </c>
      <c r="P711" s="0" t="n">
        <v>2.31132926730437</v>
      </c>
      <c r="Q711" s="0" t="n">
        <v>2.5745369130528</v>
      </c>
      <c r="R711" s="0" t="n">
        <v>0.693503909826273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1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0.525900871801884</v>
      </c>
      <c r="AJ711" s="0" t="n">
        <v>0.333333333333333</v>
      </c>
    </row>
    <row r="712" customFormat="false" ht="15" hidden="false" customHeight="false" outlineLevel="0" collapsed="false">
      <c r="A712" s="0" t="s">
        <v>746</v>
      </c>
      <c r="B712" s="0" t="n">
        <v>1</v>
      </c>
      <c r="C712" s="0" t="n">
        <v>-1.1416311157021</v>
      </c>
      <c r="D712" s="0" t="n">
        <v>-0.869274998475218</v>
      </c>
      <c r="E712" s="0" t="n">
        <v>-1.15478873494672</v>
      </c>
      <c r="F712" s="0" t="n">
        <v>-0.0846898005909085</v>
      </c>
      <c r="G712" s="0" t="n">
        <v>0.286761922474842</v>
      </c>
      <c r="H712" s="0" t="n">
        <v>0.0872151229540814</v>
      </c>
      <c r="I712" s="0" t="n">
        <v>0.686425039174619</v>
      </c>
      <c r="J712" s="0" t="n">
        <v>-0.474584340513154</v>
      </c>
      <c r="K712" s="0" t="n">
        <v>0.287420766028702</v>
      </c>
      <c r="L712" s="0" t="n">
        <v>-1.06018762698037</v>
      </c>
      <c r="M712" s="0" t="n">
        <v>-0.440548987128902</v>
      </c>
      <c r="N712" s="0" t="n">
        <v>-0.950202027472684</v>
      </c>
      <c r="O712" s="0" t="n">
        <v>-0.921653034798134</v>
      </c>
      <c r="P712" s="0" t="n">
        <v>-0.546071599464227</v>
      </c>
      <c r="Q712" s="0" t="n">
        <v>-0.58644029148669</v>
      </c>
      <c r="R712" s="0" t="n">
        <v>-1.02634139424622</v>
      </c>
      <c r="S712" s="0" t="n">
        <v>0</v>
      </c>
      <c r="T712" s="0" t="n">
        <v>1</v>
      </c>
      <c r="U712" s="0" t="n">
        <v>0</v>
      </c>
      <c r="V712" s="0" t="n">
        <v>0</v>
      </c>
      <c r="W712" s="0" t="n">
        <v>0</v>
      </c>
      <c r="X712" s="0" t="n">
        <v>0</v>
      </c>
      <c r="Y712" s="0" t="n">
        <v>0</v>
      </c>
      <c r="Z712" s="0" t="n">
        <v>1</v>
      </c>
      <c r="AA712" s="0" t="n">
        <v>0</v>
      </c>
      <c r="AB712" s="0" t="n">
        <v>0</v>
      </c>
      <c r="AC712" s="0" t="n">
        <v>1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0.616975609876099</v>
      </c>
      <c r="AJ712" s="0" t="n">
        <v>0.666666666666667</v>
      </c>
    </row>
    <row r="713" customFormat="false" ht="15" hidden="false" customHeight="false" outlineLevel="0" collapsed="false">
      <c r="A713" s="0" t="s">
        <v>747</v>
      </c>
      <c r="B713" s="0" t="n">
        <v>1</v>
      </c>
      <c r="C713" s="0" t="n">
        <v>-1.22027040740926</v>
      </c>
      <c r="D713" s="0" t="n">
        <v>-0.694577550592122</v>
      </c>
      <c r="E713" s="0" t="n">
        <v>-1.03800403436231</v>
      </c>
      <c r="F713" s="0" t="n">
        <v>-0.526914901077758</v>
      </c>
      <c r="G713" s="0" t="n">
        <v>-0.113063338733004</v>
      </c>
      <c r="H713" s="0" t="n">
        <v>-0.121318914724405</v>
      </c>
      <c r="I713" s="0" t="n">
        <v>0.967087883190371</v>
      </c>
      <c r="J713" s="0" t="n">
        <v>-0.584393066744057</v>
      </c>
      <c r="K713" s="0" t="n">
        <v>0.276551663452816</v>
      </c>
      <c r="L713" s="0" t="n">
        <v>-0.682204086965555</v>
      </c>
      <c r="M713" s="0" t="n">
        <v>-0.516455208367896</v>
      </c>
      <c r="N713" s="0" t="n">
        <v>-0.988010619232824</v>
      </c>
      <c r="O713" s="0" t="n">
        <v>-0.817375600627005</v>
      </c>
      <c r="P713" s="0" t="n">
        <v>-0.732063916302116</v>
      </c>
      <c r="Q713" s="0" t="n">
        <v>-0.535762342071865</v>
      </c>
      <c r="R713" s="0" t="n">
        <v>-0.480765818811836</v>
      </c>
      <c r="S713" s="0" t="n">
        <v>0</v>
      </c>
      <c r="T713" s="0" t="n">
        <v>1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1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1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0.607768588647426</v>
      </c>
      <c r="AJ713" s="0" t="n">
        <v>0</v>
      </c>
    </row>
    <row r="714" customFormat="false" ht="15" hidden="false" customHeight="false" outlineLevel="0" collapsed="false">
      <c r="A714" s="0" t="s">
        <v>748</v>
      </c>
      <c r="B714" s="0" t="n">
        <v>1</v>
      </c>
      <c r="C714" s="0" t="n">
        <v>-0.873038078844622</v>
      </c>
      <c r="D714" s="0" t="n">
        <v>-0.797431071128581</v>
      </c>
      <c r="E714" s="0" t="n">
        <v>-1.01119295014749</v>
      </c>
      <c r="F714" s="0" t="n">
        <v>0.115909192484517</v>
      </c>
      <c r="G714" s="0" t="n">
        <v>0.382603688571499</v>
      </c>
      <c r="H714" s="0" t="n">
        <v>0.206670511890425</v>
      </c>
      <c r="I714" s="0" t="n">
        <v>-0.128679784129672</v>
      </c>
      <c r="J714" s="0" t="n">
        <v>-0.212617158248228</v>
      </c>
      <c r="K714" s="0" t="n">
        <v>-0.00508345822987129</v>
      </c>
      <c r="L714" s="0" t="n">
        <v>0.159826000180977</v>
      </c>
      <c r="M714" s="0" t="n">
        <v>0.0603061467283048</v>
      </c>
      <c r="N714" s="0" t="n">
        <v>-0.785405882952947</v>
      </c>
      <c r="O714" s="0" t="n">
        <v>0.263004386391782</v>
      </c>
      <c r="P714" s="0" t="n">
        <v>0.167013941476289</v>
      </c>
      <c r="Q714" s="0" t="n">
        <v>0.0784932256641998</v>
      </c>
      <c r="R714" s="0" t="n">
        <v>0.0210238193415744</v>
      </c>
      <c r="S714" s="0" t="n">
        <v>0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1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0.670357003947841</v>
      </c>
      <c r="AJ714" s="0" t="n">
        <v>0.333333333333333</v>
      </c>
    </row>
    <row r="715" customFormat="false" ht="15" hidden="false" customHeight="false" outlineLevel="0" collapsed="false">
      <c r="A715" s="0" t="s">
        <v>749</v>
      </c>
      <c r="B715" s="0" t="n">
        <v>1</v>
      </c>
      <c r="C715" s="0" t="n">
        <v>-0.882946941545436</v>
      </c>
      <c r="D715" s="0" t="n">
        <v>-0.94139475163768</v>
      </c>
      <c r="E715" s="0" t="n">
        <v>-1.02707234531283</v>
      </c>
      <c r="F715" s="0" t="n">
        <v>0.469966203184459</v>
      </c>
      <c r="G715" s="0" t="n">
        <v>0.404582207833735</v>
      </c>
      <c r="H715" s="0" t="n">
        <v>0.213827057583964</v>
      </c>
      <c r="I715" s="0" t="n">
        <v>-0.738771630313501</v>
      </c>
      <c r="J715" s="0" t="n">
        <v>-0.0179550633659959</v>
      </c>
      <c r="K715" s="0" t="n">
        <v>-0.259990543688869</v>
      </c>
      <c r="L715" s="0" t="n">
        <v>-0.48733597658538</v>
      </c>
      <c r="M715" s="0" t="n">
        <v>1.44456569009744</v>
      </c>
      <c r="N715" s="0" t="n">
        <v>-0.874584843952406</v>
      </c>
      <c r="O715" s="0" t="n">
        <v>-0.529266741161923</v>
      </c>
      <c r="P715" s="0" t="n">
        <v>-0.565937702454263</v>
      </c>
      <c r="Q715" s="0" t="n">
        <v>-0.356641225578541</v>
      </c>
      <c r="R715" s="0" t="n">
        <v>-0.871555745256273</v>
      </c>
      <c r="S715" s="0" t="n">
        <v>0</v>
      </c>
      <c r="T715" s="0" t="n">
        <v>1</v>
      </c>
      <c r="U715" s="0" t="n">
        <v>0</v>
      </c>
      <c r="V715" s="0" t="n">
        <v>0</v>
      </c>
      <c r="W715" s="0" t="n">
        <v>0</v>
      </c>
      <c r="X715" s="0" t="n">
        <v>0</v>
      </c>
      <c r="Y715" s="0" t="n">
        <v>1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1</v>
      </c>
      <c r="AE715" s="0" t="n">
        <v>0</v>
      </c>
      <c r="AF715" s="0" t="n">
        <v>0</v>
      </c>
      <c r="AG715" s="0" t="n">
        <v>1</v>
      </c>
      <c r="AH715" s="0" t="n">
        <v>0</v>
      </c>
      <c r="AI715" s="0" t="n">
        <v>0.374461924043984</v>
      </c>
      <c r="AJ715" s="0" t="n">
        <v>0</v>
      </c>
    </row>
    <row r="716" customFormat="false" ht="15" hidden="false" customHeight="false" outlineLevel="0" collapsed="false">
      <c r="A716" s="0" t="s">
        <v>750</v>
      </c>
      <c r="B716" s="0" t="n">
        <v>1</v>
      </c>
      <c r="C716" s="0" t="n">
        <v>-1.1698449110684</v>
      </c>
      <c r="D716" s="0" t="n">
        <v>-1.20960128014936</v>
      </c>
      <c r="E716" s="0" t="n">
        <v>-1.21750460862189</v>
      </c>
      <c r="F716" s="0" t="n">
        <v>0.912939049721297</v>
      </c>
      <c r="G716" s="0" t="n">
        <v>0.401348455241539</v>
      </c>
      <c r="H716" s="0" t="n">
        <v>0.126717636853378</v>
      </c>
      <c r="I716" s="0" t="n">
        <v>-0.471809256498061</v>
      </c>
      <c r="J716" s="0" t="n">
        <v>0.0118700919468511</v>
      </c>
      <c r="K716" s="0" t="n">
        <v>0.422794584706281</v>
      </c>
      <c r="L716" s="0" t="n">
        <v>1.05769491004964</v>
      </c>
      <c r="M716" s="0" t="n">
        <v>-0.237713005803974</v>
      </c>
      <c r="N716" s="0" t="n">
        <v>-1.16102602283085</v>
      </c>
      <c r="O716" s="0" t="n">
        <v>-0.684502692063386</v>
      </c>
      <c r="P716" s="0" t="n">
        <v>-0.72437329542809</v>
      </c>
      <c r="Q716" s="0" t="n">
        <v>-0.484125474869218</v>
      </c>
      <c r="R716" s="0" t="n">
        <v>-0.85655845024647</v>
      </c>
      <c r="S716" s="0" t="n">
        <v>0</v>
      </c>
      <c r="T716" s="0" t="n">
        <v>1</v>
      </c>
      <c r="U716" s="0" t="n">
        <v>0</v>
      </c>
      <c r="V716" s="0" t="n">
        <v>0</v>
      </c>
      <c r="W716" s="0" t="n">
        <v>0</v>
      </c>
      <c r="X716" s="0" t="n">
        <v>0</v>
      </c>
      <c r="Y716" s="0" t="n">
        <v>0</v>
      </c>
      <c r="Z716" s="0" t="n">
        <v>1</v>
      </c>
      <c r="AA716" s="0" t="n">
        <v>0</v>
      </c>
      <c r="AB716" s="0" t="n">
        <v>0</v>
      </c>
      <c r="AC716" s="0" t="n">
        <v>1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0</v>
      </c>
      <c r="AI716" s="0" t="n">
        <v>0.325656049892253</v>
      </c>
      <c r="AJ716" s="0" t="n">
        <v>0</v>
      </c>
    </row>
    <row r="717" customFormat="false" ht="15" hidden="false" customHeight="false" outlineLevel="0" collapsed="false">
      <c r="A717" s="0" t="s">
        <v>751</v>
      </c>
      <c r="B717" s="0" t="n">
        <v>1</v>
      </c>
      <c r="C717" s="0" t="n">
        <v>-1.27310704671439</v>
      </c>
      <c r="D717" s="0" t="n">
        <v>-0.795864362223702</v>
      </c>
      <c r="E717" s="0" t="n">
        <v>-1.18847235806979</v>
      </c>
      <c r="F717" s="0" t="n">
        <v>-0.414168975648414</v>
      </c>
      <c r="G717" s="0" t="n">
        <v>0.138859813614669</v>
      </c>
      <c r="H717" s="0" t="n">
        <v>-0.0112600092988818</v>
      </c>
      <c r="I717" s="0" t="n">
        <v>0.872082025972076</v>
      </c>
      <c r="J717" s="0" t="n">
        <v>0.0825016673003002</v>
      </c>
      <c r="K717" s="0" t="n">
        <v>-0.246390770529225</v>
      </c>
      <c r="L717" s="0" t="n">
        <v>-0.657234730558507</v>
      </c>
      <c r="M717" s="0" t="n">
        <v>-0.286002889781797</v>
      </c>
      <c r="N717" s="0" t="n">
        <v>-1.2824655757126</v>
      </c>
      <c r="O717" s="0" t="n">
        <v>-0.835635877048184</v>
      </c>
      <c r="P717" s="0" t="n">
        <v>-0.710120862628352</v>
      </c>
      <c r="Q717" s="0" t="n">
        <v>-0.533005014317635</v>
      </c>
      <c r="R717" s="0" t="n">
        <v>-0.441406256949142</v>
      </c>
      <c r="S717" s="0" t="n">
        <v>0</v>
      </c>
      <c r="T717" s="0" t="n">
        <v>1</v>
      </c>
      <c r="U717" s="0" t="n">
        <v>0</v>
      </c>
      <c r="V717" s="0" t="n">
        <v>0</v>
      </c>
      <c r="W717" s="0" t="n">
        <v>0</v>
      </c>
      <c r="X717" s="0" t="n">
        <v>0</v>
      </c>
      <c r="Y717" s="0" t="n">
        <v>0</v>
      </c>
      <c r="Z717" s="0" t="n">
        <v>1</v>
      </c>
      <c r="AA717" s="0" t="n">
        <v>0</v>
      </c>
      <c r="AB717" s="0" t="n">
        <v>1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0.242328174281453</v>
      </c>
      <c r="AJ717" s="0" t="n">
        <v>0</v>
      </c>
    </row>
    <row r="718" customFormat="false" ht="15" hidden="false" customHeight="false" outlineLevel="0" collapsed="false">
      <c r="A718" s="0" t="s">
        <v>752</v>
      </c>
      <c r="B718" s="0" t="n">
        <v>1</v>
      </c>
      <c r="C718" s="0" t="n">
        <v>-1.38049573284475</v>
      </c>
      <c r="D718" s="0" t="n">
        <v>-0.826040336347127</v>
      </c>
      <c r="E718" s="0" t="n">
        <v>-1.25877533944677</v>
      </c>
      <c r="F718" s="0" t="n">
        <v>-0.500594312281914</v>
      </c>
      <c r="G718" s="0" t="n">
        <v>0.120527725976036</v>
      </c>
      <c r="H718" s="0" t="n">
        <v>-0.0449342522094327</v>
      </c>
      <c r="I718" s="0" t="n">
        <v>-1.21626837540046</v>
      </c>
      <c r="J718" s="0" t="n">
        <v>-0.122222958967835</v>
      </c>
      <c r="K718" s="0" t="n">
        <v>0.0712184909785773</v>
      </c>
      <c r="L718" s="0" t="n">
        <v>-0.781456318243228</v>
      </c>
      <c r="M718" s="0" t="n">
        <v>-0.299444036704054</v>
      </c>
      <c r="N718" s="0" t="n">
        <v>-1.32089061190361</v>
      </c>
      <c r="O718" s="0" t="n">
        <v>-0.666224529494709</v>
      </c>
      <c r="P718" s="0" t="n">
        <v>-0.752223523175421</v>
      </c>
      <c r="Q718" s="0" t="n">
        <v>-0.578239238918357</v>
      </c>
      <c r="R718" s="0" t="n">
        <v>-1.05404650568634</v>
      </c>
      <c r="S718" s="0" t="n">
        <v>0</v>
      </c>
      <c r="T718" s="0" t="n">
        <v>1</v>
      </c>
      <c r="U718" s="0" t="n">
        <v>0</v>
      </c>
      <c r="V718" s="0" t="n">
        <v>0</v>
      </c>
      <c r="W718" s="0" t="n">
        <v>0</v>
      </c>
      <c r="X718" s="0" t="n">
        <v>0</v>
      </c>
      <c r="Y718" s="0" t="n">
        <v>0</v>
      </c>
      <c r="Z718" s="0" t="n">
        <v>1</v>
      </c>
      <c r="AA718" s="0" t="n">
        <v>0</v>
      </c>
      <c r="AB718" s="0" t="n">
        <v>0</v>
      </c>
      <c r="AC718" s="0" t="n">
        <v>1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0.113217941325735</v>
      </c>
      <c r="AJ718" s="0" t="n">
        <v>0</v>
      </c>
    </row>
    <row r="719" customFormat="false" ht="15" hidden="false" customHeight="false" outlineLevel="0" collapsed="false">
      <c r="A719" s="0" t="s">
        <v>753</v>
      </c>
      <c r="B719" s="0" t="n">
        <v>1</v>
      </c>
      <c r="C719" s="0" t="n">
        <v>-1.20921381521785</v>
      </c>
      <c r="D719" s="0" t="n">
        <v>-1.14018866135048</v>
      </c>
      <c r="E719" s="0" t="n">
        <v>-1.17529971551051</v>
      </c>
      <c r="F719" s="0" t="n">
        <v>0.573705282532695</v>
      </c>
      <c r="G719" s="0" t="n">
        <v>0.219668762805849</v>
      </c>
      <c r="H719" s="0" t="n">
        <v>0.0400889198177959</v>
      </c>
      <c r="I719" s="0" t="n">
        <v>0.585370214978124</v>
      </c>
      <c r="J719" s="0" t="n">
        <v>-0.569275752805975</v>
      </c>
      <c r="K719" s="0" t="n">
        <v>-0.370741295218307</v>
      </c>
      <c r="L719" s="0" t="n">
        <v>0.243324882417128</v>
      </c>
      <c r="M719" s="0" t="n">
        <v>0.478985452439367</v>
      </c>
      <c r="N719" s="0" t="n">
        <v>-0.982462619354977</v>
      </c>
      <c r="O719" s="0" t="n">
        <v>-0.173679741765448</v>
      </c>
      <c r="P719" s="0" t="n">
        <v>-0.150242624615617</v>
      </c>
      <c r="Q719" s="0" t="n">
        <v>-0.332836040254663</v>
      </c>
      <c r="R719" s="0" t="n">
        <v>-0.496668688504017</v>
      </c>
      <c r="S719" s="0" t="n">
        <v>1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1</v>
      </c>
      <c r="AA719" s="0" t="n">
        <v>0</v>
      </c>
      <c r="AB719" s="0" t="n">
        <v>0</v>
      </c>
      <c r="AC719" s="0" t="n">
        <v>1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0</v>
      </c>
      <c r="AJ719" s="0" t="n">
        <v>0</v>
      </c>
    </row>
    <row r="720" customFormat="false" ht="15" hidden="false" customHeight="false" outlineLevel="0" collapsed="false">
      <c r="A720" s="0" t="s">
        <v>754</v>
      </c>
      <c r="B720" s="0" t="n">
        <v>1</v>
      </c>
      <c r="C720" s="0" t="n">
        <v>-1.46004629743964</v>
      </c>
      <c r="D720" s="0" t="n">
        <v>-0.876990584505181</v>
      </c>
      <c r="E720" s="0" t="n">
        <v>-1.11669261308615</v>
      </c>
      <c r="F720" s="0" t="n">
        <v>-0.513364155519904</v>
      </c>
      <c r="G720" s="0" t="n">
        <v>-0.348623021874177</v>
      </c>
      <c r="H720" s="0" t="n">
        <v>-0.28205059205608</v>
      </c>
      <c r="I720" s="0" t="n">
        <v>0.0726337382003468</v>
      </c>
      <c r="J720" s="0" t="n">
        <v>0.000883767809613321</v>
      </c>
      <c r="K720" s="0" t="n">
        <v>-0.0617496269595279</v>
      </c>
      <c r="L720" s="0" t="n">
        <v>-0.823264392550439</v>
      </c>
      <c r="M720" s="0" t="n">
        <v>-0.19018372029064</v>
      </c>
      <c r="N720" s="0" t="n">
        <v>-1.43575475752273</v>
      </c>
      <c r="O720" s="0" t="n">
        <v>-0.818042650890217</v>
      </c>
      <c r="P720" s="0" t="n">
        <v>-0.688271088106874</v>
      </c>
      <c r="Q720" s="0" t="n">
        <v>-0.538721512012285</v>
      </c>
      <c r="R720" s="0" t="n">
        <v>-0.259947501674175</v>
      </c>
      <c r="S720" s="0" t="n">
        <v>0</v>
      </c>
      <c r="T720" s="0" t="n">
        <v>1</v>
      </c>
      <c r="U720" s="0" t="n">
        <v>0</v>
      </c>
      <c r="V720" s="0" t="n">
        <v>0</v>
      </c>
      <c r="W720" s="0" t="n">
        <v>0</v>
      </c>
      <c r="X720" s="0" t="n">
        <v>0</v>
      </c>
      <c r="Y720" s="0" t="n">
        <v>0</v>
      </c>
      <c r="Z720" s="0" t="n">
        <v>1</v>
      </c>
      <c r="AA720" s="0" t="n">
        <v>0</v>
      </c>
      <c r="AB720" s="0" t="n">
        <v>0</v>
      </c>
      <c r="AC720" s="0" t="n">
        <v>1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0</v>
      </c>
      <c r="AJ720" s="0" t="n">
        <v>0</v>
      </c>
    </row>
    <row r="721" customFormat="false" ht="15" hidden="false" customHeight="false" outlineLevel="0" collapsed="false">
      <c r="A721" s="0" t="s">
        <v>755</v>
      </c>
      <c r="B721" s="0" t="n">
        <v>1</v>
      </c>
      <c r="C721" s="0" t="n">
        <v>-1.77857538640503</v>
      </c>
      <c r="D721" s="0" t="n">
        <v>-1.11904366428342</v>
      </c>
      <c r="E721" s="0" t="n">
        <v>-1.24328328659353</v>
      </c>
      <c r="F721" s="0" t="n">
        <v>-0.488453255540914</v>
      </c>
      <c r="G721" s="0" t="n">
        <v>-0.6612629951186</v>
      </c>
      <c r="H721" s="0" t="n">
        <v>-0.47147056553131</v>
      </c>
      <c r="I721" s="0" t="n">
        <v>0.0660939117268229</v>
      </c>
      <c r="J721" s="0" t="n">
        <v>-0.366065744005515</v>
      </c>
      <c r="K721" s="0" t="n">
        <v>0.312371408987691</v>
      </c>
      <c r="L721" s="0" t="n">
        <v>0.79638467492577</v>
      </c>
      <c r="M721" s="0" t="n">
        <v>-0.224419344711346</v>
      </c>
      <c r="N721" s="0" t="n">
        <v>-1.64781164174264</v>
      </c>
      <c r="O721" s="0" t="n">
        <v>-0.837286479757526</v>
      </c>
      <c r="P721" s="0" t="n">
        <v>-0.73106486235038</v>
      </c>
      <c r="Q721" s="0" t="n">
        <v>-0.417864188014946</v>
      </c>
      <c r="R721" s="0" t="n">
        <v>-0.320716575312008</v>
      </c>
      <c r="S721" s="0" t="n">
        <v>0</v>
      </c>
      <c r="T721" s="0" t="n">
        <v>1</v>
      </c>
      <c r="U721" s="0" t="n">
        <v>0</v>
      </c>
      <c r="V721" s="0" t="n">
        <v>0</v>
      </c>
      <c r="W721" s="0" t="n">
        <v>0</v>
      </c>
      <c r="X721" s="0" t="n">
        <v>0</v>
      </c>
      <c r="Y721" s="0" t="n">
        <v>0</v>
      </c>
      <c r="Z721" s="0" t="n">
        <v>1</v>
      </c>
      <c r="AA721" s="0" t="n">
        <v>0</v>
      </c>
      <c r="AB721" s="0" t="n">
        <v>0</v>
      </c>
      <c r="AC721" s="0" t="n">
        <v>1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0.0316519099143382</v>
      </c>
      <c r="AJ721" s="0" t="n">
        <v>0.333333333333333</v>
      </c>
    </row>
    <row r="722" customFormat="false" ht="15" hidden="false" customHeight="false" outlineLevel="0" collapsed="false">
      <c r="A722" s="0" t="s">
        <v>756</v>
      </c>
      <c r="B722" s="0" t="n">
        <v>1</v>
      </c>
      <c r="C722" s="0" t="n">
        <v>-1.47325843789231</v>
      </c>
      <c r="D722" s="0" t="n">
        <v>-1.18112957900203</v>
      </c>
      <c r="E722" s="0" t="n">
        <v>-1.40141671565079</v>
      </c>
      <c r="F722" s="0" t="n">
        <v>0.236185449981228</v>
      </c>
      <c r="G722" s="0" t="n">
        <v>0.341450037668385</v>
      </c>
      <c r="H722" s="0" t="n">
        <v>0.0154894434043027</v>
      </c>
      <c r="I722" s="0" t="n">
        <v>-0.0763010155088137</v>
      </c>
      <c r="J722" s="0" t="n">
        <v>-0.41273999701478</v>
      </c>
      <c r="K722" s="0" t="n">
        <v>-1.24036881596657</v>
      </c>
      <c r="L722" s="0" t="n">
        <v>-0.861290666608047</v>
      </c>
      <c r="M722" s="0" t="n">
        <v>-0.576316271713243</v>
      </c>
      <c r="N722" s="0" t="n">
        <v>-1.31883579713404</v>
      </c>
      <c r="O722" s="0" t="n">
        <v>-0.482491150482129</v>
      </c>
      <c r="P722" s="0" t="n">
        <v>-0.601987513663633</v>
      </c>
      <c r="Q722" s="0" t="n">
        <v>-0.385421915894227</v>
      </c>
      <c r="R722" s="0" t="n">
        <v>-0.555016863739114</v>
      </c>
      <c r="S722" s="0" t="n">
        <v>0</v>
      </c>
      <c r="T722" s="0" t="n">
        <v>0</v>
      </c>
      <c r="U722" s="0" t="n">
        <v>0</v>
      </c>
      <c r="V722" s="0" t="n">
        <v>1</v>
      </c>
      <c r="W722" s="0" t="n">
        <v>0</v>
      </c>
      <c r="X722" s="0" t="n">
        <v>0</v>
      </c>
      <c r="Y722" s="0" t="n">
        <v>0</v>
      </c>
      <c r="Z722" s="0" t="n">
        <v>1</v>
      </c>
      <c r="AA722" s="0" t="n">
        <v>0</v>
      </c>
      <c r="AB722" s="0" t="n">
        <v>0</v>
      </c>
      <c r="AC722" s="0" t="n">
        <v>1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0</v>
      </c>
    </row>
    <row r="723" customFormat="false" ht="15" hidden="false" customHeight="false" outlineLevel="0" collapsed="false">
      <c r="A723" s="0" t="s">
        <v>757</v>
      </c>
      <c r="B723" s="0" t="n">
        <v>1</v>
      </c>
      <c r="C723" s="0" t="n">
        <v>-0.836171001689006</v>
      </c>
      <c r="D723" s="0" t="n">
        <v>-0.901193236934383</v>
      </c>
      <c r="E723" s="0" t="n">
        <v>-1.0885735799147</v>
      </c>
      <c r="F723" s="0" t="n">
        <v>0.425628632070746</v>
      </c>
      <c r="G723" s="0" t="n">
        <v>0.636220090179886</v>
      </c>
      <c r="H723" s="0" t="n">
        <v>0.329163550367938</v>
      </c>
      <c r="I723" s="0" t="n">
        <v>0.267680389482147</v>
      </c>
      <c r="J723" s="0" t="n">
        <v>0.166167490946952</v>
      </c>
      <c r="K723" s="0" t="n">
        <v>-0.619354793996197</v>
      </c>
      <c r="L723" s="0" t="n">
        <v>-0.29913537133939</v>
      </c>
      <c r="M723" s="0" t="n">
        <v>1.30964283060163</v>
      </c>
      <c r="N723" s="0" t="n">
        <v>-0.901091954479895</v>
      </c>
      <c r="O723" s="0" t="n">
        <v>-0.540840993950019</v>
      </c>
      <c r="P723" s="0" t="n">
        <v>-0.689552850092625</v>
      </c>
      <c r="Q723" s="0" t="n">
        <v>-0.575351242822312</v>
      </c>
      <c r="R723" s="0" t="n">
        <v>-0.968894996938545</v>
      </c>
      <c r="S723" s="0" t="n">
        <v>0</v>
      </c>
      <c r="T723" s="0" t="n">
        <v>1</v>
      </c>
      <c r="U723" s="0" t="n">
        <v>0</v>
      </c>
      <c r="V723" s="0" t="n">
        <v>0</v>
      </c>
      <c r="W723" s="0" t="n">
        <v>0</v>
      </c>
      <c r="X723" s="0" t="n">
        <v>0</v>
      </c>
      <c r="Y723" s="0" t="n">
        <v>0</v>
      </c>
      <c r="Z723" s="0" t="n">
        <v>1</v>
      </c>
      <c r="AA723" s="0" t="n">
        <v>0</v>
      </c>
      <c r="AB723" s="0" t="n">
        <v>1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0</v>
      </c>
    </row>
    <row r="724" customFormat="false" ht="15" hidden="false" customHeight="false" outlineLevel="0" collapsed="false">
      <c r="A724" s="0" t="s">
        <v>758</v>
      </c>
      <c r="B724" s="0" t="n">
        <v>1</v>
      </c>
      <c r="C724" s="0" t="n">
        <v>-0.892521239772168</v>
      </c>
      <c r="D724" s="0" t="n">
        <v>-0.643771531969357</v>
      </c>
      <c r="E724" s="0" t="n">
        <v>-1.09085855911667</v>
      </c>
      <c r="F724" s="0" t="n">
        <v>-0.221810198964013</v>
      </c>
      <c r="G724" s="0" t="n">
        <v>0.54814962171392</v>
      </c>
      <c r="H724" s="0" t="n">
        <v>0.273678454409253</v>
      </c>
      <c r="I724" s="0" t="n">
        <v>1.39865497689794</v>
      </c>
      <c r="J724" s="0" t="n">
        <v>-1.86259009451813</v>
      </c>
      <c r="K724" s="0" t="n">
        <v>-1.10541216341128</v>
      </c>
      <c r="L724" s="0" t="n">
        <v>-0.17723015294277</v>
      </c>
      <c r="M724" s="0" t="n">
        <v>-1.65602024259182</v>
      </c>
      <c r="N724" s="0" t="n">
        <v>0.190631132594125</v>
      </c>
      <c r="O724" s="0" t="n">
        <v>-0.466946417803825</v>
      </c>
      <c r="P724" s="0" t="n">
        <v>-0.621948402916735</v>
      </c>
      <c r="Q724" s="0" t="n">
        <v>-0.369973402196579</v>
      </c>
      <c r="R724" s="0" t="n">
        <v>-0.995688379287677</v>
      </c>
      <c r="S724" s="0" t="n">
        <v>0</v>
      </c>
      <c r="T724" s="0" t="n">
        <v>1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1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1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0</v>
      </c>
      <c r="AJ724" s="0" t="n">
        <v>0</v>
      </c>
    </row>
    <row r="725" customFormat="false" ht="15" hidden="false" customHeight="false" outlineLevel="0" collapsed="false">
      <c r="A725" s="0" t="s">
        <v>759</v>
      </c>
      <c r="B725" s="0" t="n">
        <v>1</v>
      </c>
      <c r="C725" s="0" t="n">
        <v>0.0998428880144146</v>
      </c>
      <c r="D725" s="0" t="n">
        <v>-0.608433688813396</v>
      </c>
      <c r="E725" s="0" t="n">
        <v>-0.994057508531908</v>
      </c>
      <c r="F725" s="0" t="n">
        <v>0.860416237360364</v>
      </c>
      <c r="G725" s="0" t="n">
        <v>1.86776149855286</v>
      </c>
      <c r="H725" s="0" t="n">
        <v>1.18899924098331</v>
      </c>
      <c r="I725" s="0" t="n">
        <v>1.27186994022042</v>
      </c>
      <c r="J725" s="0" t="n">
        <v>-0.302270030164941</v>
      </c>
      <c r="K725" s="0" t="n">
        <v>1.17355390926233</v>
      </c>
      <c r="L725" s="0" t="n">
        <v>0.585538032743377</v>
      </c>
      <c r="M725" s="0" t="n">
        <v>0.503327217612474</v>
      </c>
      <c r="N725" s="0" t="n">
        <v>0.239741205586915</v>
      </c>
      <c r="O725" s="0" t="n">
        <v>1.79625831924287</v>
      </c>
      <c r="P725" s="0" t="n">
        <v>1.86933288697049</v>
      </c>
      <c r="Q725" s="0" t="n">
        <v>1.20461276443877</v>
      </c>
      <c r="R725" s="0" t="n">
        <v>-1.21526482696244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1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0</v>
      </c>
      <c r="AJ725" s="0" t="n">
        <v>0</v>
      </c>
    </row>
    <row r="726" customFormat="false" ht="15" hidden="false" customHeight="false" outlineLevel="0" collapsed="false">
      <c r="A726" s="0" t="s">
        <v>760</v>
      </c>
      <c r="B726" s="0" t="n">
        <v>1</v>
      </c>
      <c r="C726" s="0" t="n">
        <v>0.340341976975721</v>
      </c>
      <c r="D726" s="0" t="n">
        <v>-0.469519899032016</v>
      </c>
      <c r="E726" s="0" t="n">
        <v>-0.896275960701943</v>
      </c>
      <c r="F726" s="0" t="n">
        <v>0.797765655154669</v>
      </c>
      <c r="G726" s="0" t="n">
        <v>1.9207767362456</v>
      </c>
      <c r="H726" s="0" t="n">
        <v>1.3296110493382</v>
      </c>
      <c r="I726" s="0" t="n">
        <v>1.80112197392749</v>
      </c>
      <c r="J726" s="0" t="n">
        <v>-0.903782318148327</v>
      </c>
      <c r="K726" s="0" t="n">
        <v>-0.464382544778727</v>
      </c>
      <c r="L726" s="0" t="n">
        <v>0.695494616806187</v>
      </c>
      <c r="M726" s="0" t="n">
        <v>-0.579920386860916</v>
      </c>
      <c r="N726" s="0" t="n">
        <v>0.936528893949046</v>
      </c>
      <c r="O726" s="0" t="n">
        <v>-0.383108012710107</v>
      </c>
      <c r="P726" s="0" t="n">
        <v>-0.421277814863002</v>
      </c>
      <c r="Q726" s="0" t="n">
        <v>-0.109553823996827</v>
      </c>
      <c r="R726" s="0" t="n">
        <v>-1.10485080449932</v>
      </c>
      <c r="S726" s="0" t="n">
        <v>1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1</v>
      </c>
      <c r="AA726" s="0" t="n">
        <v>0</v>
      </c>
      <c r="AB726" s="0" t="n">
        <v>1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0.49293564315975</v>
      </c>
      <c r="AJ726" s="0" t="n">
        <v>0.333333333333333</v>
      </c>
    </row>
    <row r="727" customFormat="false" ht="15" hidden="false" customHeight="false" outlineLevel="0" collapsed="false">
      <c r="A727" s="0" t="s">
        <v>761</v>
      </c>
      <c r="B727" s="0" t="n">
        <v>1</v>
      </c>
      <c r="C727" s="0" t="n">
        <v>0.0980363604298115</v>
      </c>
      <c r="D727" s="0" t="n">
        <v>-0.482991509809286</v>
      </c>
      <c r="E727" s="0" t="n">
        <v>-0.876701350522814</v>
      </c>
      <c r="F727" s="0" t="n">
        <v>0.569946884729567</v>
      </c>
      <c r="G727" s="0" t="n">
        <v>1.5070128621938</v>
      </c>
      <c r="H727" s="0" t="n">
        <v>1.05889842389834</v>
      </c>
      <c r="I727" s="0" t="n">
        <v>0.8553232878778</v>
      </c>
      <c r="J727" s="0" t="n">
        <v>0.387453716799387</v>
      </c>
      <c r="K727" s="0" t="n">
        <v>-0.294451683787048</v>
      </c>
      <c r="L727" s="0" t="n">
        <v>-0.530106445780732</v>
      </c>
      <c r="M727" s="0" t="n">
        <v>-0.67278727135638</v>
      </c>
      <c r="N727" s="0" t="n">
        <v>-0.142248860076666</v>
      </c>
      <c r="O727" s="0" t="n">
        <v>-0.366524391793657</v>
      </c>
      <c r="P727" s="0" t="n">
        <v>-0.715920373272301</v>
      </c>
      <c r="Q727" s="0" t="n">
        <v>-0.509090941455582</v>
      </c>
      <c r="R727" s="0" t="n">
        <v>-1.51161197107505</v>
      </c>
      <c r="S727" s="0" t="n">
        <v>1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  <c r="Y727" s="0" t="n">
        <v>0</v>
      </c>
      <c r="Z727" s="0" t="n">
        <v>1</v>
      </c>
      <c r="AA727" s="0" t="n">
        <v>0</v>
      </c>
      <c r="AB727" s="0" t="n">
        <v>0</v>
      </c>
      <c r="AC727" s="0" t="n">
        <v>1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0.0243730121671736</v>
      </c>
      <c r="AJ727" s="0" t="n">
        <v>0</v>
      </c>
    </row>
    <row r="728" customFormat="false" ht="15" hidden="false" customHeight="false" outlineLevel="0" collapsed="false">
      <c r="A728" s="0" t="s">
        <v>762</v>
      </c>
      <c r="B728" s="0" t="n">
        <v>1</v>
      </c>
      <c r="C728" s="0" t="n">
        <v>0.338194401958134</v>
      </c>
      <c r="D728" s="0" t="n">
        <v>-0.435807698076658</v>
      </c>
      <c r="E728" s="0" t="n">
        <v>-0.85025561879401</v>
      </c>
      <c r="F728" s="0" t="n">
        <v>0.721401909336813</v>
      </c>
      <c r="G728" s="0" t="n">
        <v>1.77800495122432</v>
      </c>
      <c r="H728" s="0" t="n">
        <v>1.27711215061664</v>
      </c>
      <c r="I728" s="0" t="n">
        <v>0.681736681858851</v>
      </c>
      <c r="J728" s="0" t="n">
        <v>0.628799439922746</v>
      </c>
      <c r="K728" s="0" t="n">
        <v>-0.940876915070249</v>
      </c>
      <c r="L728" s="0" t="n">
        <v>-1.39301516199483</v>
      </c>
      <c r="M728" s="0" t="n">
        <v>-0.239137252726501</v>
      </c>
      <c r="N728" s="0" t="n">
        <v>-0.0481383436302324</v>
      </c>
      <c r="O728" s="0" t="n">
        <v>0.267058266537817</v>
      </c>
      <c r="P728" s="0" t="n">
        <v>-0.193983325164529</v>
      </c>
      <c r="Q728" s="0" t="n">
        <v>-0.00885288380724972</v>
      </c>
      <c r="R728" s="0" t="n">
        <v>-0.456247563660159</v>
      </c>
      <c r="S728" s="0" t="n">
        <v>1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0</v>
      </c>
      <c r="Y728" s="0" t="n">
        <v>1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1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J728" s="0" t="n">
        <v>0</v>
      </c>
    </row>
    <row r="729" customFormat="false" ht="15" hidden="false" customHeight="false" outlineLevel="0" collapsed="false">
      <c r="A729" s="0" t="s">
        <v>763</v>
      </c>
      <c r="B729" s="0" t="n">
        <v>1</v>
      </c>
      <c r="C729" s="0" t="n">
        <v>1.86674764101113</v>
      </c>
      <c r="D729" s="0" t="n">
        <v>-0.423236060957218</v>
      </c>
      <c r="E729" s="0" t="n">
        <v>-0.928998538876547</v>
      </c>
      <c r="F729" s="0" t="n">
        <v>2.26687556544897</v>
      </c>
      <c r="G729" s="0" t="n">
        <v>3</v>
      </c>
      <c r="H729" s="0" t="n">
        <v>2.93597622304906</v>
      </c>
      <c r="I729" s="0" t="n">
        <v>0.745634887836819</v>
      </c>
      <c r="J729" s="0" t="n">
        <v>1.71568823666796</v>
      </c>
      <c r="K729" s="0" t="n">
        <v>-0.626269540882943</v>
      </c>
      <c r="L729" s="0" t="n">
        <v>-0.0338614728509554</v>
      </c>
      <c r="M729" s="0" t="n">
        <v>1.96036336227245</v>
      </c>
      <c r="N729" s="0" t="n">
        <v>0.628306678513128</v>
      </c>
      <c r="O729" s="0" t="n">
        <v>-0.505165056667533</v>
      </c>
      <c r="P729" s="0" t="n">
        <v>-0.772468248294224</v>
      </c>
      <c r="Q729" s="0" t="n">
        <v>-0.580255911378698</v>
      </c>
      <c r="R729" s="0" t="n">
        <v>-0.884740836804754</v>
      </c>
      <c r="S729" s="0" t="n">
        <v>0</v>
      </c>
      <c r="T729" s="0" t="n">
        <v>1</v>
      </c>
      <c r="U729" s="0" t="n">
        <v>0</v>
      </c>
      <c r="V729" s="0" t="n">
        <v>0</v>
      </c>
      <c r="W729" s="0" t="n">
        <v>1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1</v>
      </c>
      <c r="AG729" s="0" t="n">
        <v>1</v>
      </c>
      <c r="AH729" s="0" t="n">
        <v>0</v>
      </c>
      <c r="AI729" s="0" t="n">
        <v>0</v>
      </c>
      <c r="AJ729" s="0" t="n">
        <v>0</v>
      </c>
    </row>
    <row r="730" customFormat="false" ht="15" hidden="false" customHeight="false" outlineLevel="0" collapsed="false">
      <c r="A730" s="0" t="s">
        <v>764</v>
      </c>
      <c r="B730" s="0" t="n">
        <v>1</v>
      </c>
      <c r="C730" s="0" t="n">
        <v>1.17498458623538</v>
      </c>
      <c r="D730" s="0" t="n">
        <v>0.154599721276945</v>
      </c>
      <c r="E730" s="0" t="n">
        <v>-0.501886014182331</v>
      </c>
      <c r="F730" s="0" t="n">
        <v>0.421361587043619</v>
      </c>
      <c r="G730" s="0" t="n">
        <v>1.92199475287156</v>
      </c>
      <c r="H730" s="0" t="n">
        <v>1.7574501317252</v>
      </c>
      <c r="I730" s="0" t="n">
        <v>1.73445303342403</v>
      </c>
      <c r="J730" s="0" t="n">
        <v>-1.60054305891043</v>
      </c>
      <c r="K730" s="0" t="n">
        <v>-1.20809766391419</v>
      </c>
      <c r="L730" s="0" t="n">
        <v>-0.246064065796111</v>
      </c>
      <c r="M730" s="0" t="n">
        <v>-0.0884874140963672</v>
      </c>
      <c r="N730" s="0" t="n">
        <v>2.74723166889658</v>
      </c>
      <c r="O730" s="0" t="n">
        <v>0.765953423500043</v>
      </c>
      <c r="P730" s="0" t="n">
        <v>0.686547692732951</v>
      </c>
      <c r="Q730" s="0" t="n">
        <v>-0.0498495924739861</v>
      </c>
      <c r="R730" s="0" t="n">
        <v>-0.781532282102102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1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0.178435793568133</v>
      </c>
      <c r="AJ730" s="0" t="n">
        <v>0.333333333333333</v>
      </c>
    </row>
    <row r="731" customFormat="false" ht="15" hidden="false" customHeight="false" outlineLevel="0" collapsed="false">
      <c r="A731" s="0" t="s">
        <v>765</v>
      </c>
      <c r="B731" s="0" t="n">
        <v>1</v>
      </c>
      <c r="C731" s="0" t="n">
        <v>2.22444936613976</v>
      </c>
      <c r="D731" s="0" t="n">
        <v>0.413780899397108</v>
      </c>
      <c r="E731" s="0" t="n">
        <v>-0.39064913328558</v>
      </c>
      <c r="F731" s="0" t="n">
        <v>0.804404726093068</v>
      </c>
      <c r="G731" s="0" t="n">
        <v>2.84394884338699</v>
      </c>
      <c r="H731" s="0" t="n">
        <v>2.71575020911148</v>
      </c>
      <c r="I731" s="0" t="n">
        <v>1.8492606484745</v>
      </c>
      <c r="J731" s="0" t="n">
        <v>1.84664930903946</v>
      </c>
      <c r="K731" s="0" t="n">
        <v>-3</v>
      </c>
      <c r="L731" s="0" t="n">
        <v>3</v>
      </c>
      <c r="M731" s="0" t="n">
        <v>-1.37662531923795</v>
      </c>
      <c r="N731" s="0" t="n">
        <v>0.822075711283841</v>
      </c>
      <c r="O731" s="0" t="n">
        <v>3</v>
      </c>
      <c r="P731" s="0" t="n">
        <v>3</v>
      </c>
      <c r="Q731" s="0" t="n">
        <v>3</v>
      </c>
      <c r="R731" s="0" t="n">
        <v>-1.31229662908476</v>
      </c>
      <c r="S731" s="0" t="n">
        <v>1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1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0</v>
      </c>
    </row>
    <row r="732" customFormat="false" ht="15" hidden="false" customHeight="false" outlineLevel="0" collapsed="false">
      <c r="A732" s="0" t="s">
        <v>766</v>
      </c>
      <c r="B732" s="0" t="n">
        <v>1</v>
      </c>
      <c r="C732" s="0" t="n">
        <v>-0.925677033743294</v>
      </c>
      <c r="D732" s="0" t="n">
        <v>1.02798088187911</v>
      </c>
      <c r="E732" s="0" t="n">
        <v>0.299025592842104</v>
      </c>
      <c r="F732" s="0" t="n">
        <v>-1.67260672344412</v>
      </c>
      <c r="G732" s="0" t="n">
        <v>-1.33848433572358</v>
      </c>
      <c r="H732" s="0" t="n">
        <v>-1.27924562268481</v>
      </c>
      <c r="I732" s="0" t="n">
        <v>2.27261718251112</v>
      </c>
      <c r="J732" s="0" t="n">
        <v>0.348810543859822</v>
      </c>
      <c r="K732" s="0" t="n">
        <v>-0.0284750744276851</v>
      </c>
      <c r="L732" s="0" t="n">
        <v>-0.71140245073442</v>
      </c>
      <c r="M732" s="0" t="n">
        <v>-0.610965388818426</v>
      </c>
      <c r="N732" s="0" t="n">
        <v>-1.04862765493522</v>
      </c>
      <c r="O732" s="0" t="n">
        <v>-0.523481727551223</v>
      </c>
      <c r="P732" s="0" t="n">
        <v>-0.50169950028588</v>
      </c>
      <c r="Q732" s="0" t="n">
        <v>-0.318408990409701</v>
      </c>
      <c r="R732" s="0" t="n">
        <v>-0.506841361567151</v>
      </c>
      <c r="S732" s="0" t="n">
        <v>1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1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1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</row>
    <row r="733" customFormat="false" ht="15" hidden="false" customHeight="false" outlineLevel="0" collapsed="false">
      <c r="A733" s="0" t="s">
        <v>767</v>
      </c>
      <c r="B733" s="0" t="n">
        <v>1</v>
      </c>
      <c r="C733" s="0" t="n">
        <v>-1.39754584631843</v>
      </c>
      <c r="D733" s="0" t="n">
        <v>0.877755609594678</v>
      </c>
      <c r="E733" s="0" t="n">
        <v>0.237461816581323</v>
      </c>
      <c r="F733" s="0" t="n">
        <v>-1.88534699050048</v>
      </c>
      <c r="G733" s="0" t="n">
        <v>-1.71027802004961</v>
      </c>
      <c r="H733" s="0" t="n">
        <v>-1.6975044434958</v>
      </c>
      <c r="I733" s="0" t="n">
        <v>-1.29595527023736</v>
      </c>
      <c r="J733" s="0" t="n">
        <v>-0.0449024788152675</v>
      </c>
      <c r="K733" s="0" t="n">
        <v>0.0247690718389699</v>
      </c>
      <c r="L733" s="0" t="n">
        <v>-0.683744200643929</v>
      </c>
      <c r="M733" s="0" t="n">
        <v>-0.419164248158048</v>
      </c>
      <c r="N733" s="0" t="n">
        <v>-1.36178142581811</v>
      </c>
      <c r="O733" s="0" t="n">
        <v>-0.830320225957799</v>
      </c>
      <c r="P733" s="0" t="n">
        <v>-0.676976642070607</v>
      </c>
      <c r="Q733" s="0" t="n">
        <v>-0.50977676143866</v>
      </c>
      <c r="R733" s="0" t="n">
        <v>-0.506806262437798</v>
      </c>
      <c r="S733" s="0" t="n">
        <v>0</v>
      </c>
      <c r="T733" s="0" t="n">
        <v>1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0</v>
      </c>
      <c r="Z733" s="0" t="n">
        <v>1</v>
      </c>
      <c r="AA733" s="0" t="n">
        <v>0</v>
      </c>
      <c r="AB733" s="0" t="n">
        <v>0</v>
      </c>
      <c r="AC733" s="0" t="n">
        <v>1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</row>
    <row r="734" customFormat="false" ht="15" hidden="false" customHeight="false" outlineLevel="0" collapsed="false">
      <c r="A734" s="0" t="s">
        <v>768</v>
      </c>
      <c r="B734" s="0" t="n">
        <v>1</v>
      </c>
      <c r="C734" s="0" t="n">
        <v>-0.777463317433169</v>
      </c>
      <c r="D734" s="0" t="n">
        <v>0.423811916651027</v>
      </c>
      <c r="E734" s="0" t="n">
        <v>0.393547945702629</v>
      </c>
      <c r="F734" s="0" t="n">
        <v>-1.27385222543096</v>
      </c>
      <c r="G734" s="0" t="n">
        <v>-1.27719485445512</v>
      </c>
      <c r="H734" s="0" t="n">
        <v>-1.23003007087981</v>
      </c>
      <c r="I734" s="0" t="n">
        <v>-0.482683588379358</v>
      </c>
      <c r="J734" s="0" t="n">
        <v>-0.067659484746046</v>
      </c>
      <c r="K734" s="0" t="n">
        <v>-0.149766442883367</v>
      </c>
      <c r="L734" s="0" t="n">
        <v>0.131698260101833</v>
      </c>
      <c r="M734" s="0" t="n">
        <v>-0.107974637549722</v>
      </c>
      <c r="N734" s="0" t="n">
        <v>-0.180160192575284</v>
      </c>
      <c r="O734" s="0" t="n">
        <v>-0.319185332251216</v>
      </c>
      <c r="P734" s="0" t="n">
        <v>-0.335176607133119</v>
      </c>
      <c r="Q734" s="0" t="n">
        <v>-0.300944850024711</v>
      </c>
      <c r="R734" s="0" t="n">
        <v>-0.248813617506255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0</v>
      </c>
      <c r="AJ734" s="0" t="n">
        <v>0</v>
      </c>
    </row>
    <row r="735" customFormat="false" ht="15" hidden="false" customHeight="false" outlineLevel="0" collapsed="false">
      <c r="A735" s="0" t="s">
        <v>769</v>
      </c>
      <c r="B735" s="0" t="n">
        <v>1</v>
      </c>
      <c r="C735" s="0" t="n">
        <v>-0.380464495391989</v>
      </c>
      <c r="D735" s="0" t="n">
        <v>-0.187716668300099</v>
      </c>
      <c r="E735" s="0" t="n">
        <v>0.319457005405913</v>
      </c>
      <c r="F735" s="0" t="n">
        <v>-0.394327605972521</v>
      </c>
      <c r="G735" s="0" t="n">
        <v>-0.887003778615575</v>
      </c>
      <c r="H735" s="0" t="n">
        <v>-0.740571436994608</v>
      </c>
      <c r="I735" s="0" t="n">
        <v>-0.187401438993405</v>
      </c>
      <c r="J735" s="0" t="n">
        <v>-0.067659484746046</v>
      </c>
      <c r="K735" s="0" t="n">
        <v>-0.149766442883367</v>
      </c>
      <c r="L735" s="0" t="n">
        <v>0.131698260101833</v>
      </c>
      <c r="M735" s="0" t="n">
        <v>-0.107974637549722</v>
      </c>
      <c r="N735" s="0" t="n">
        <v>-0.180160192575284</v>
      </c>
      <c r="O735" s="0" t="n">
        <v>-0.319185332251216</v>
      </c>
      <c r="P735" s="0" t="n">
        <v>-0.335176607133119</v>
      </c>
      <c r="Q735" s="0" t="n">
        <v>-0.300944850024711</v>
      </c>
      <c r="R735" s="0" t="n">
        <v>-0.248813617506255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1</v>
      </c>
      <c r="AI735" s="0" t="n">
        <v>0.0526962880543821</v>
      </c>
      <c r="AJ735" s="0" t="n">
        <v>0.333333333333333</v>
      </c>
    </row>
    <row r="736" customFormat="false" ht="15" hidden="false" customHeight="false" outlineLevel="0" collapsed="false">
      <c r="A736" s="0" t="s">
        <v>770</v>
      </c>
      <c r="B736" s="0" t="n">
        <v>1</v>
      </c>
      <c r="C736" s="0" t="n">
        <v>-0.855566392551282</v>
      </c>
      <c r="D736" s="0" t="n">
        <v>-0.249365424796138</v>
      </c>
      <c r="E736" s="0" t="n">
        <v>0.303413017265372</v>
      </c>
      <c r="F736" s="0" t="n">
        <v>-0.754805062662376</v>
      </c>
      <c r="G736" s="0" t="n">
        <v>-1.28129305881606</v>
      </c>
      <c r="H736" s="0" t="n">
        <v>-1.21189911569383</v>
      </c>
      <c r="I736" s="0" t="n">
        <v>-0.302681626297821</v>
      </c>
      <c r="J736" s="0" t="n">
        <v>-0.973441939395991</v>
      </c>
      <c r="K736" s="0" t="n">
        <v>2.09518879407673</v>
      </c>
      <c r="L736" s="0" t="n">
        <v>-0.854510673298154</v>
      </c>
      <c r="M736" s="0" t="n">
        <v>-0.203569471892296</v>
      </c>
      <c r="N736" s="0" t="n">
        <v>-0.390265002764101</v>
      </c>
      <c r="O736" s="0" t="n">
        <v>-0.396881737450165</v>
      </c>
      <c r="P736" s="0" t="n">
        <v>-0.0180219689227129</v>
      </c>
      <c r="Q736" s="0" t="n">
        <v>-0.303818138888396</v>
      </c>
      <c r="R736" s="0" t="n">
        <v>-0.552561684242458</v>
      </c>
      <c r="S736" s="0" t="n">
        <v>1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1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J736" s="0" t="n">
        <v>0</v>
      </c>
    </row>
    <row r="737" customFormat="false" ht="15" hidden="false" customHeight="false" outlineLevel="0" collapsed="false">
      <c r="A737" s="0" t="s">
        <v>771</v>
      </c>
      <c r="B737" s="0" t="n">
        <v>1</v>
      </c>
      <c r="C737" s="0" t="n">
        <v>0.897725976335087</v>
      </c>
      <c r="D737" s="0" t="n">
        <v>-0.190667073142586</v>
      </c>
      <c r="E737" s="0" t="n">
        <v>0.10171153444341</v>
      </c>
      <c r="F737" s="0" t="n">
        <v>0.766641735719657</v>
      </c>
      <c r="G737" s="0" t="n">
        <v>0.488186189957705</v>
      </c>
      <c r="H737" s="0" t="n">
        <v>0.812576130951749</v>
      </c>
      <c r="I737" s="0" t="n">
        <v>-0.390605439371546</v>
      </c>
      <c r="J737" s="0" t="n">
        <v>1.3660997957946</v>
      </c>
      <c r="K737" s="0" t="n">
        <v>-0.950503446183226</v>
      </c>
      <c r="L737" s="0" t="n">
        <v>-2.3555666285846</v>
      </c>
      <c r="M737" s="0" t="n">
        <v>0.584386548022527</v>
      </c>
      <c r="N737" s="0" t="n">
        <v>0.0646709872193133</v>
      </c>
      <c r="O737" s="0" t="n">
        <v>0.904258988443516</v>
      </c>
      <c r="P737" s="0" t="n">
        <v>1.30979785224466</v>
      </c>
      <c r="Q737" s="0" t="n">
        <v>1.10411754327059</v>
      </c>
      <c r="R737" s="0" t="n">
        <v>-1.01729003000848</v>
      </c>
      <c r="S737" s="0" t="n">
        <v>0</v>
      </c>
      <c r="T737" s="0" t="n">
        <v>1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1</v>
      </c>
      <c r="AH737" s="0" t="n">
        <v>0</v>
      </c>
      <c r="AI737" s="0" t="n">
        <v>0.0210299733413801</v>
      </c>
      <c r="AJ737" s="0" t="n">
        <v>0.333333333333333</v>
      </c>
    </row>
    <row r="738" customFormat="false" ht="15" hidden="false" customHeight="false" outlineLevel="0" collapsed="false">
      <c r="A738" s="0" t="s">
        <v>772</v>
      </c>
      <c r="B738" s="0" t="n">
        <v>1</v>
      </c>
      <c r="C738" s="0" t="n">
        <v>0.840802968287046</v>
      </c>
      <c r="D738" s="0" t="n">
        <v>0.301339460442607</v>
      </c>
      <c r="E738" s="0" t="n">
        <v>-0.177204572663796</v>
      </c>
      <c r="F738" s="0" t="n">
        <v>-0.022068049906315</v>
      </c>
      <c r="G738" s="0" t="n">
        <v>0.869806095554792</v>
      </c>
      <c r="H738" s="0" t="n">
        <v>1.05879278217744</v>
      </c>
      <c r="I738" s="0" t="n">
        <v>1.13173929226394</v>
      </c>
      <c r="J738" s="0" t="n">
        <v>0.18466050262022</v>
      </c>
      <c r="K738" s="0" t="n">
        <v>-0.639290859024805</v>
      </c>
      <c r="L738" s="0" t="n">
        <v>-1.16271591244278</v>
      </c>
      <c r="M738" s="0" t="n">
        <v>-2.57917536625426</v>
      </c>
      <c r="N738" s="0" t="n">
        <v>0.650498678024513</v>
      </c>
      <c r="O738" s="0" t="n">
        <v>-0.454879270375243</v>
      </c>
      <c r="P738" s="0" t="n">
        <v>-0.576680337141104</v>
      </c>
      <c r="Q738" s="0" t="n">
        <v>-0.397657090362095</v>
      </c>
      <c r="R738" s="0" t="n">
        <v>-0.529320138839923</v>
      </c>
      <c r="S738" s="0" t="n">
        <v>0</v>
      </c>
      <c r="T738" s="0" t="n">
        <v>1</v>
      </c>
      <c r="U738" s="0" t="n">
        <v>0</v>
      </c>
      <c r="V738" s="0" t="n">
        <v>0</v>
      </c>
      <c r="W738" s="0" t="n">
        <v>0</v>
      </c>
      <c r="X738" s="0" t="n">
        <v>0</v>
      </c>
      <c r="Y738" s="0" t="n">
        <v>1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1</v>
      </c>
      <c r="AE738" s="0" t="n">
        <v>0</v>
      </c>
      <c r="AF738" s="0" t="n">
        <v>0</v>
      </c>
      <c r="AG738" s="0" t="n">
        <v>1</v>
      </c>
      <c r="AH738" s="0" t="n">
        <v>0</v>
      </c>
      <c r="AI738" s="0" t="n">
        <v>0</v>
      </c>
      <c r="AJ738" s="0" t="n">
        <v>0</v>
      </c>
    </row>
    <row r="739" customFormat="false" ht="15" hidden="false" customHeight="false" outlineLevel="0" collapsed="false">
      <c r="A739" s="0" t="s">
        <v>773</v>
      </c>
      <c r="B739" s="0" t="n">
        <v>1</v>
      </c>
      <c r="C739" s="0" t="n">
        <v>3</v>
      </c>
      <c r="D739" s="0" t="n">
        <v>0.240933215349667</v>
      </c>
      <c r="E739" s="0" t="n">
        <v>-0.0989354134246184</v>
      </c>
      <c r="F739" s="0" t="n">
        <v>2.00611066126171</v>
      </c>
      <c r="G739" s="0" t="n">
        <v>3</v>
      </c>
      <c r="H739" s="0" t="n">
        <v>3</v>
      </c>
      <c r="I739" s="0" t="n">
        <v>0.891027955179633</v>
      </c>
      <c r="J739" s="0" t="n">
        <v>2.17738467052048</v>
      </c>
      <c r="K739" s="0" t="n">
        <v>-1.0624365455533</v>
      </c>
      <c r="L739" s="0" t="n">
        <v>-2.42029570325482</v>
      </c>
      <c r="M739" s="0" t="n">
        <v>2.29294729785185</v>
      </c>
      <c r="N739" s="0" t="n">
        <v>1.52646621429339</v>
      </c>
      <c r="O739" s="0" t="n">
        <v>0.510053966001751</v>
      </c>
      <c r="P739" s="0" t="n">
        <v>-0.278804852154726</v>
      </c>
      <c r="Q739" s="0" t="n">
        <v>-0.159972921575253</v>
      </c>
      <c r="R739" s="0" t="n">
        <v>-0.467682660384399</v>
      </c>
      <c r="S739" s="0" t="n">
        <v>0</v>
      </c>
      <c r="T739" s="0" t="n">
        <v>1</v>
      </c>
      <c r="U739" s="0" t="n">
        <v>0</v>
      </c>
      <c r="V739" s="0" t="n">
        <v>0</v>
      </c>
      <c r="W739" s="0" t="n">
        <v>1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1</v>
      </c>
      <c r="AH739" s="0" t="n">
        <v>0</v>
      </c>
      <c r="AI739" s="0" t="n">
        <v>0.208934802029883</v>
      </c>
      <c r="AJ739" s="0" t="n">
        <v>0.333333333333333</v>
      </c>
    </row>
    <row r="740" customFormat="false" ht="15" hidden="false" customHeight="false" outlineLevel="0" collapsed="false">
      <c r="A740" s="0" t="s">
        <v>774</v>
      </c>
      <c r="B740" s="0" t="n">
        <v>1</v>
      </c>
      <c r="C740" s="0" t="n">
        <v>1.97115182533981</v>
      </c>
      <c r="D740" s="0" t="n">
        <v>0.258253260037974</v>
      </c>
      <c r="E740" s="0" t="n">
        <v>0.0446396254217377</v>
      </c>
      <c r="F740" s="0" t="n">
        <v>0.861257926315522</v>
      </c>
      <c r="G740" s="0" t="n">
        <v>1.58309908255313</v>
      </c>
      <c r="H740" s="0" t="n">
        <v>1.97945205534373</v>
      </c>
      <c r="I740" s="0" t="n">
        <v>0.856632918833616</v>
      </c>
      <c r="J740" s="0" t="n">
        <v>-0.067659484746046</v>
      </c>
      <c r="K740" s="0" t="n">
        <v>-0.149766442883367</v>
      </c>
      <c r="L740" s="0" t="n">
        <v>0.131698260101833</v>
      </c>
      <c r="M740" s="0" t="n">
        <v>-0.107974637549722</v>
      </c>
      <c r="N740" s="0" t="n">
        <v>-0.180160192575284</v>
      </c>
      <c r="O740" s="0" t="n">
        <v>-0.319185332251216</v>
      </c>
      <c r="P740" s="0" t="n">
        <v>-0.335176607133119</v>
      </c>
      <c r="Q740" s="0" t="n">
        <v>-0.300944850024711</v>
      </c>
      <c r="R740" s="0" t="n">
        <v>-0.248813617506255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1</v>
      </c>
      <c r="AI740" s="0" t="n">
        <v>0</v>
      </c>
      <c r="AJ740" s="0" t="n">
        <v>0</v>
      </c>
    </row>
    <row r="741" customFormat="false" ht="15" hidden="false" customHeight="false" outlineLevel="0" collapsed="false">
      <c r="A741" s="0" t="s">
        <v>775</v>
      </c>
      <c r="B741" s="0" t="n">
        <v>1</v>
      </c>
      <c r="C741" s="0" t="n">
        <v>1.91975489493335</v>
      </c>
      <c r="D741" s="0" t="n">
        <v>0.635284995326531</v>
      </c>
      <c r="E741" s="0" t="n">
        <v>0.235206960533631</v>
      </c>
      <c r="F741" s="0" t="n">
        <v>0.312017687604435</v>
      </c>
      <c r="G741" s="0" t="n">
        <v>1.20685920822537</v>
      </c>
      <c r="H741" s="0" t="n">
        <v>1.71832263846219</v>
      </c>
      <c r="I741" s="0" t="n">
        <v>1.46807468930983</v>
      </c>
      <c r="J741" s="0" t="n">
        <v>1.46053842002716</v>
      </c>
      <c r="K741" s="0" t="n">
        <v>-0.580645509201501</v>
      </c>
      <c r="L741" s="0" t="n">
        <v>-1.64031607514339</v>
      </c>
      <c r="M741" s="0" t="n">
        <v>2.29886235919382</v>
      </c>
      <c r="N741" s="0" t="n">
        <v>0.802144008018985</v>
      </c>
      <c r="O741" s="0" t="n">
        <v>-0.175573721014476</v>
      </c>
      <c r="P741" s="0" t="n">
        <v>-0.410684669307828</v>
      </c>
      <c r="Q741" s="0" t="n">
        <v>-0.21020364073679</v>
      </c>
      <c r="R741" s="0" t="n">
        <v>-1.0819689297852</v>
      </c>
      <c r="S741" s="0" t="n">
        <v>0</v>
      </c>
      <c r="T741" s="0" t="n">
        <v>1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  <c r="Z741" s="0" t="n">
        <v>1</v>
      </c>
      <c r="AA741" s="0" t="n">
        <v>0</v>
      </c>
      <c r="AB741" s="0" t="n">
        <v>0</v>
      </c>
      <c r="AC741" s="0" t="n">
        <v>1</v>
      </c>
      <c r="AD741" s="0" t="n">
        <v>0</v>
      </c>
      <c r="AE741" s="0" t="n">
        <v>0</v>
      </c>
      <c r="AF741" s="0" t="n">
        <v>0</v>
      </c>
      <c r="AG741" s="0" t="n">
        <v>1</v>
      </c>
      <c r="AH741" s="0" t="n">
        <v>0</v>
      </c>
      <c r="AI741" s="0" t="n">
        <v>0</v>
      </c>
      <c r="AJ741" s="0" t="n">
        <v>0</v>
      </c>
    </row>
    <row r="742" customFormat="false" ht="15" hidden="false" customHeight="false" outlineLevel="0" collapsed="false">
      <c r="A742" s="0" t="s">
        <v>776</v>
      </c>
      <c r="B742" s="0" t="n">
        <v>1</v>
      </c>
      <c r="C742" s="0" t="n">
        <v>1.42199310849577</v>
      </c>
      <c r="D742" s="0" t="n">
        <v>0.548510257574759</v>
      </c>
      <c r="E742" s="0" t="n">
        <v>0.233388563869087</v>
      </c>
      <c r="F742" s="0" t="n">
        <v>0.0907303657841409</v>
      </c>
      <c r="G742" s="0" t="n">
        <v>0.771963535341491</v>
      </c>
      <c r="H742" s="0" t="n">
        <v>1.20813374539709</v>
      </c>
      <c r="I742" s="0" t="n">
        <v>0.650688029746248</v>
      </c>
      <c r="J742" s="0" t="n">
        <v>-0.727451213582205</v>
      </c>
      <c r="K742" s="0" t="n">
        <v>-0.0293458980823537</v>
      </c>
      <c r="L742" s="0" t="n">
        <v>-1.22145934142627</v>
      </c>
      <c r="M742" s="0" t="n">
        <v>-0.460927504625997</v>
      </c>
      <c r="N742" s="0" t="n">
        <v>1.98386798200029</v>
      </c>
      <c r="O742" s="0" t="n">
        <v>-0.627032534754328</v>
      </c>
      <c r="P742" s="0" t="n">
        <v>-0.655859922152997</v>
      </c>
      <c r="Q742" s="0" t="n">
        <v>-0.538904849332668</v>
      </c>
      <c r="R742" s="0" t="n">
        <v>-1.17262012192451</v>
      </c>
      <c r="S742" s="0" t="n">
        <v>0</v>
      </c>
      <c r="T742" s="0" t="n">
        <v>1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1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1</v>
      </c>
      <c r="AE742" s="0" t="n">
        <v>0</v>
      </c>
      <c r="AF742" s="0" t="n">
        <v>0</v>
      </c>
      <c r="AG742" s="0" t="n">
        <v>1</v>
      </c>
      <c r="AH742" s="0" t="n">
        <v>0</v>
      </c>
      <c r="AI742" s="0" t="n">
        <v>0</v>
      </c>
      <c r="AJ742" s="0" t="n">
        <v>0</v>
      </c>
    </row>
    <row r="743" customFormat="false" ht="15" hidden="false" customHeight="false" outlineLevel="0" collapsed="false">
      <c r="A743" s="0" t="s">
        <v>777</v>
      </c>
      <c r="B743" s="0" t="n">
        <v>1</v>
      </c>
      <c r="C743" s="0" t="n">
        <v>2.28770077199082</v>
      </c>
      <c r="D743" s="0" t="n">
        <v>0.662785693956489</v>
      </c>
      <c r="E743" s="0" t="n">
        <v>0.438870575009834</v>
      </c>
      <c r="F743" s="0" t="n">
        <v>0.511406513901875</v>
      </c>
      <c r="G743" s="0" t="n">
        <v>1.20405366155652</v>
      </c>
      <c r="H743" s="0" t="n">
        <v>1.87436827475586</v>
      </c>
      <c r="I743" s="0" t="n">
        <v>0.788125403092143</v>
      </c>
      <c r="J743" s="0" t="n">
        <v>-0.067659484746046</v>
      </c>
      <c r="K743" s="0" t="n">
        <v>-0.149766442883367</v>
      </c>
      <c r="L743" s="0" t="n">
        <v>0.131698260101833</v>
      </c>
      <c r="M743" s="0" t="n">
        <v>-0.107974637549722</v>
      </c>
      <c r="N743" s="0" t="n">
        <v>-0.180160192575284</v>
      </c>
      <c r="O743" s="0" t="n">
        <v>-0.319185332251216</v>
      </c>
      <c r="P743" s="0" t="n">
        <v>-0.335176607133119</v>
      </c>
      <c r="Q743" s="0" t="n">
        <v>-0.300944850024711</v>
      </c>
      <c r="R743" s="0" t="n">
        <v>-0.248813617506255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1</v>
      </c>
      <c r="AI743" s="0" t="n">
        <v>0.172910067391301</v>
      </c>
      <c r="AJ743" s="0" t="n">
        <v>0.333333333333333</v>
      </c>
    </row>
    <row r="744" customFormat="false" ht="15" hidden="false" customHeight="false" outlineLevel="0" collapsed="false">
      <c r="A744" s="0" t="s">
        <v>778</v>
      </c>
      <c r="B744" s="0" t="n">
        <v>1</v>
      </c>
      <c r="C744" s="0" t="n">
        <v>1.71407094344995</v>
      </c>
      <c r="D744" s="0" t="n">
        <v>1.04775597893922</v>
      </c>
      <c r="E744" s="0" t="n">
        <v>0.554565599874676</v>
      </c>
      <c r="F744" s="0" t="n">
        <v>-0.222115429406798</v>
      </c>
      <c r="G744" s="0" t="n">
        <v>0.585153209587989</v>
      </c>
      <c r="H744" s="0" t="n">
        <v>1.15770052716938</v>
      </c>
      <c r="I744" s="0" t="n">
        <v>1.25786756127993</v>
      </c>
      <c r="J744" s="0" t="n">
        <v>-0.067659484746046</v>
      </c>
      <c r="K744" s="0" t="n">
        <v>-0.149766442883367</v>
      </c>
      <c r="L744" s="0" t="n">
        <v>0.131698260101833</v>
      </c>
      <c r="M744" s="0" t="n">
        <v>-0.107974637549722</v>
      </c>
      <c r="N744" s="0" t="n">
        <v>-0.180160192575284</v>
      </c>
      <c r="O744" s="0" t="n">
        <v>-0.319185332251216</v>
      </c>
      <c r="P744" s="0" t="n">
        <v>-0.335176607133119</v>
      </c>
      <c r="Q744" s="0" t="n">
        <v>-0.300944850024711</v>
      </c>
      <c r="R744" s="0" t="n">
        <v>-0.248813617506255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1</v>
      </c>
      <c r="AI744" s="0" t="n">
        <v>0.696591096832611</v>
      </c>
      <c r="AJ744" s="0" t="n">
        <v>0.666666666666667</v>
      </c>
    </row>
    <row r="745" customFormat="false" ht="15" hidden="false" customHeight="false" outlineLevel="0" collapsed="false">
      <c r="A745" s="0" t="s">
        <v>779</v>
      </c>
      <c r="B745" s="0" t="n">
        <v>1</v>
      </c>
      <c r="C745" s="0" t="n">
        <v>0.897520799354397</v>
      </c>
      <c r="D745" s="0" t="n">
        <v>1.2108187307469</v>
      </c>
      <c r="E745" s="0" t="n">
        <v>0.639770552785487</v>
      </c>
      <c r="F745" s="0" t="n">
        <v>-0.783240976777004</v>
      </c>
      <c r="G745" s="0" t="n">
        <v>-0.144701627391914</v>
      </c>
      <c r="H745" s="0" t="n">
        <v>0.224396277393948</v>
      </c>
      <c r="I745" s="0" t="n">
        <v>0.828506751035761</v>
      </c>
      <c r="J745" s="0" t="n">
        <v>1.18323991601112</v>
      </c>
      <c r="K745" s="0" t="n">
        <v>-1.17362582917396</v>
      </c>
      <c r="L745" s="0" t="n">
        <v>-3</v>
      </c>
      <c r="M745" s="0" t="n">
        <v>-0.860127951022792</v>
      </c>
      <c r="N745" s="0" t="n">
        <v>0.148918392771797</v>
      </c>
      <c r="O745" s="0" t="n">
        <v>-0.358355713587722</v>
      </c>
      <c r="P745" s="0" t="n">
        <v>-0.608082220940266</v>
      </c>
      <c r="Q745" s="0" t="n">
        <v>-0.561407502583133</v>
      </c>
      <c r="R745" s="0" t="n">
        <v>-0.722921381563484</v>
      </c>
      <c r="S745" s="0" t="n">
        <v>0</v>
      </c>
      <c r="T745" s="0" t="n">
        <v>1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0</v>
      </c>
      <c r="Z745" s="0" t="n">
        <v>1</v>
      </c>
      <c r="AA745" s="0" t="n">
        <v>0</v>
      </c>
      <c r="AB745" s="0" t="n">
        <v>0</v>
      </c>
      <c r="AC745" s="0" t="n">
        <v>1</v>
      </c>
      <c r="AD745" s="0" t="n">
        <v>0</v>
      </c>
      <c r="AE745" s="0" t="n">
        <v>0</v>
      </c>
      <c r="AF745" s="0" t="n">
        <v>0</v>
      </c>
      <c r="AG745" s="0" t="n">
        <v>1</v>
      </c>
      <c r="AH745" s="0" t="n">
        <v>0</v>
      </c>
      <c r="AI745" s="0" t="n">
        <v>0.127354484560516</v>
      </c>
      <c r="AJ745" s="0" t="n">
        <v>0</v>
      </c>
    </row>
    <row r="746" customFormat="false" ht="15" hidden="false" customHeight="false" outlineLevel="0" collapsed="false">
      <c r="A746" s="0" t="s">
        <v>780</v>
      </c>
      <c r="B746" s="0" t="n">
        <v>1</v>
      </c>
      <c r="C746" s="0" t="n">
        <v>3</v>
      </c>
      <c r="D746" s="0" t="n">
        <v>1.71547723695617</v>
      </c>
      <c r="E746" s="0" t="n">
        <v>1.05433923974426</v>
      </c>
      <c r="F746" s="0" t="n">
        <v>0.139574138661606</v>
      </c>
      <c r="G746" s="0" t="n">
        <v>1.28981977503133</v>
      </c>
      <c r="H746" s="0" t="n">
        <v>2.48564958300242</v>
      </c>
      <c r="I746" s="0" t="n">
        <v>1.23192766980507</v>
      </c>
      <c r="J746" s="0" t="n">
        <v>0.97935791925765</v>
      </c>
      <c r="K746" s="0" t="n">
        <v>-0.176488508451469</v>
      </c>
      <c r="L746" s="0" t="n">
        <v>-1.94985829796105</v>
      </c>
      <c r="M746" s="0" t="n">
        <v>0.23909542769198</v>
      </c>
      <c r="N746" s="0" t="n">
        <v>2.4061324171475</v>
      </c>
      <c r="O746" s="0" t="n">
        <v>-0.193962667884692</v>
      </c>
      <c r="P746" s="0" t="n">
        <v>-0.62951297147431</v>
      </c>
      <c r="Q746" s="0" t="n">
        <v>-0.436219929541495</v>
      </c>
      <c r="R746" s="0" t="n">
        <v>-0.610035859744814</v>
      </c>
      <c r="S746" s="0" t="n">
        <v>0</v>
      </c>
      <c r="T746" s="0" t="n">
        <v>0</v>
      </c>
      <c r="U746" s="0" t="n">
        <v>0</v>
      </c>
      <c r="V746" s="0" t="n">
        <v>1</v>
      </c>
      <c r="W746" s="0" t="n">
        <v>1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0.266780376803242</v>
      </c>
      <c r="AJ746" s="0" t="n">
        <v>0.333333333333333</v>
      </c>
    </row>
    <row r="747" customFormat="false" ht="15" hidden="false" customHeight="false" outlineLevel="0" collapsed="false">
      <c r="A747" s="0" t="s">
        <v>781</v>
      </c>
      <c r="B747" s="0" t="n">
        <v>1</v>
      </c>
      <c r="C747" s="0" t="n">
        <v>2.86637175434714</v>
      </c>
      <c r="D747" s="0" t="n">
        <v>1.98028461361566</v>
      </c>
      <c r="E747" s="0" t="n">
        <v>1.2368672955442</v>
      </c>
      <c r="F747" s="0" t="n">
        <v>-0.343768640354737</v>
      </c>
      <c r="G747" s="0" t="n">
        <v>0.637337181107992</v>
      </c>
      <c r="H747" s="0" t="n">
        <v>1.59777844917785</v>
      </c>
      <c r="I747" s="0" t="n">
        <v>1.481351262253</v>
      </c>
      <c r="J747" s="0" t="n">
        <v>-0.067659484746046</v>
      </c>
      <c r="K747" s="0" t="n">
        <v>-0.149766442883367</v>
      </c>
      <c r="L747" s="0" t="n">
        <v>0.131698260101833</v>
      </c>
      <c r="M747" s="0" t="n">
        <v>-0.107974637549722</v>
      </c>
      <c r="N747" s="0" t="n">
        <v>-0.180160192575284</v>
      </c>
      <c r="O747" s="0" t="n">
        <v>-0.319185332251216</v>
      </c>
      <c r="P747" s="0" t="n">
        <v>-0.335176607133119</v>
      </c>
      <c r="Q747" s="0" t="n">
        <v>-0.300944850024711</v>
      </c>
      <c r="R747" s="0" t="n">
        <v>-0.248813617506255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1</v>
      </c>
      <c r="AI747" s="0" t="n">
        <v>0</v>
      </c>
      <c r="AJ747" s="0" t="n">
        <v>0</v>
      </c>
    </row>
    <row r="748" customFormat="false" ht="15" hidden="false" customHeight="false" outlineLevel="0" collapsed="false">
      <c r="A748" s="0" t="s">
        <v>782</v>
      </c>
      <c r="B748" s="0" t="n">
        <v>1</v>
      </c>
      <c r="C748" s="0" t="n">
        <v>2.54750325550403</v>
      </c>
      <c r="D748" s="0" t="n">
        <v>2.39213704156848</v>
      </c>
      <c r="E748" s="0" t="n">
        <v>1.71401921808263</v>
      </c>
      <c r="F748" s="0" t="n">
        <v>-0.702862990143158</v>
      </c>
      <c r="G748" s="0" t="n">
        <v>0.0171473064104555</v>
      </c>
      <c r="H748" s="0" t="n">
        <v>0.748264193624314</v>
      </c>
      <c r="I748" s="0" t="n">
        <v>1.7375229427822</v>
      </c>
      <c r="J748" s="0" t="n">
        <v>0.906531187011258</v>
      </c>
      <c r="K748" s="0" t="n">
        <v>0.217353998674208</v>
      </c>
      <c r="L748" s="0" t="n">
        <v>-0.989454240600339</v>
      </c>
      <c r="M748" s="0" t="n">
        <v>-0.760926736611767</v>
      </c>
      <c r="N748" s="0" t="n">
        <v>1.65016606342167</v>
      </c>
      <c r="O748" s="0" t="n">
        <v>1.83887340389768</v>
      </c>
      <c r="P748" s="0" t="n">
        <v>0.848733135697086</v>
      </c>
      <c r="Q748" s="0" t="n">
        <v>0.718081045263966</v>
      </c>
      <c r="R748" s="0" t="n">
        <v>-0.663799099680383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1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1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0</v>
      </c>
    </row>
    <row r="749" customFormat="false" ht="15" hidden="false" customHeight="false" outlineLevel="0" collapsed="false">
      <c r="A749" s="0" t="s">
        <v>783</v>
      </c>
      <c r="B749" s="0" t="n">
        <v>1</v>
      </c>
      <c r="C749" s="0" t="n">
        <v>3</v>
      </c>
      <c r="D749" s="0" t="n">
        <v>2.59474539146696</v>
      </c>
      <c r="E749" s="0" t="n">
        <v>2.0664813050183</v>
      </c>
      <c r="F749" s="0" t="n">
        <v>-0.611467026714323</v>
      </c>
      <c r="G749" s="0" t="n">
        <v>0.0333676174776101</v>
      </c>
      <c r="H749" s="0" t="n">
        <v>0.880409506216079</v>
      </c>
      <c r="I749" s="0" t="n">
        <v>0.510635599709676</v>
      </c>
      <c r="J749" s="0" t="n">
        <v>-1.36373988537939</v>
      </c>
      <c r="K749" s="0" t="n">
        <v>1.5612360560095</v>
      </c>
      <c r="L749" s="0" t="n">
        <v>0.141715348182543</v>
      </c>
      <c r="M749" s="0" t="n">
        <v>-0.0794701538815582</v>
      </c>
      <c r="N749" s="0" t="n">
        <v>3</v>
      </c>
      <c r="O749" s="0" t="n">
        <v>-0.183691954656739</v>
      </c>
      <c r="P749" s="0" t="n">
        <v>-0.451540264047584</v>
      </c>
      <c r="Q749" s="0" t="n">
        <v>-0.349254170830882</v>
      </c>
      <c r="R749" s="0" t="n">
        <v>-0.541685395452805</v>
      </c>
      <c r="S749" s="0" t="n">
        <v>1</v>
      </c>
      <c r="T749" s="0" t="n">
        <v>0</v>
      </c>
      <c r="U749" s="0" t="n">
        <v>0</v>
      </c>
      <c r="V749" s="0" t="n">
        <v>0</v>
      </c>
      <c r="W749" s="0" t="n">
        <v>1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0</v>
      </c>
      <c r="AJ749" s="0" t="n">
        <v>0</v>
      </c>
    </row>
    <row r="750" customFormat="false" ht="15" hidden="false" customHeight="false" outlineLevel="0" collapsed="false">
      <c r="A750" s="0" t="s">
        <v>784</v>
      </c>
      <c r="B750" s="0" t="n">
        <v>1</v>
      </c>
      <c r="C750" s="0" t="n">
        <v>3</v>
      </c>
      <c r="D750" s="0" t="n">
        <v>2.6973137922243</v>
      </c>
      <c r="E750" s="0" t="n">
        <v>2.12957475978344</v>
      </c>
      <c r="F750" s="0" t="n">
        <v>-0.496329966687232</v>
      </c>
      <c r="G750" s="0" t="n">
        <v>0.225724870107987</v>
      </c>
      <c r="H750" s="0" t="n">
        <v>1.27648497490041</v>
      </c>
      <c r="I750" s="0" t="n">
        <v>0.338909923554992</v>
      </c>
      <c r="J750" s="0" t="n">
        <v>-0.067659484746046</v>
      </c>
      <c r="K750" s="0" t="n">
        <v>-0.149766442883367</v>
      </c>
      <c r="L750" s="0" t="n">
        <v>0.131698260101833</v>
      </c>
      <c r="M750" s="0" t="n">
        <v>-0.107974637549722</v>
      </c>
      <c r="N750" s="0" t="n">
        <v>-0.180160192575284</v>
      </c>
      <c r="O750" s="0" t="n">
        <v>-0.319185332251216</v>
      </c>
      <c r="P750" s="0" t="n">
        <v>-0.335176607133119</v>
      </c>
      <c r="Q750" s="0" t="n">
        <v>-0.300944850024711</v>
      </c>
      <c r="R750" s="0" t="n">
        <v>-0.248813617506255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1</v>
      </c>
      <c r="AI750" s="0" t="n">
        <v>0</v>
      </c>
      <c r="AJ750" s="0" t="n">
        <v>0</v>
      </c>
    </row>
    <row r="751" customFormat="false" ht="15" hidden="false" customHeight="false" outlineLevel="0" collapsed="false">
      <c r="A751" s="0" t="s">
        <v>785</v>
      </c>
      <c r="B751" s="0" t="n">
        <v>1</v>
      </c>
      <c r="C751" s="0" t="n">
        <v>0.228151224106491</v>
      </c>
      <c r="D751" s="0" t="n">
        <v>2.29975889308295</v>
      </c>
      <c r="E751" s="0" t="n">
        <v>2.63685146429496</v>
      </c>
      <c r="F751" s="0" t="n">
        <v>-1.57560541800192</v>
      </c>
      <c r="G751" s="0" t="n">
        <v>-1.66477069211683</v>
      </c>
      <c r="H751" s="0" t="n">
        <v>-2.64668465781064</v>
      </c>
      <c r="I751" s="0" t="n">
        <v>-0.0420825701116736</v>
      </c>
      <c r="J751" s="0" t="n">
        <v>-0.764429266712389</v>
      </c>
      <c r="K751" s="0" t="n">
        <v>3</v>
      </c>
      <c r="L751" s="0" t="n">
        <v>-2.02192693541514</v>
      </c>
      <c r="M751" s="0" t="n">
        <v>-1.64763745567456</v>
      </c>
      <c r="N751" s="0" t="n">
        <v>0.697142973293816</v>
      </c>
      <c r="O751" s="0" t="n">
        <v>-0.433452508436009</v>
      </c>
      <c r="P751" s="0" t="n">
        <v>-0.21169471319997</v>
      </c>
      <c r="Q751" s="0" t="n">
        <v>-0.183146333949388</v>
      </c>
      <c r="R751" s="0" t="n">
        <v>-0.0494972968736621</v>
      </c>
      <c r="S751" s="0" t="n">
        <v>0</v>
      </c>
      <c r="T751" s="0" t="n">
        <v>1</v>
      </c>
      <c r="U751" s="0" t="n">
        <v>0</v>
      </c>
      <c r="V751" s="0" t="n">
        <v>0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0</v>
      </c>
      <c r="AJ751" s="0" t="n">
        <v>0</v>
      </c>
    </row>
    <row r="752" customFormat="false" ht="15" hidden="false" customHeight="false" outlineLevel="0" collapsed="false">
      <c r="A752" s="0" t="s">
        <v>786</v>
      </c>
      <c r="B752" s="0" t="n">
        <v>1</v>
      </c>
      <c r="C752" s="0" t="n">
        <v>0.0827113181539625</v>
      </c>
      <c r="D752" s="0" t="n">
        <v>1.33341755150471</v>
      </c>
      <c r="E752" s="0" t="n">
        <v>2.37139227271935</v>
      </c>
      <c r="F752" s="0" t="n">
        <v>-1.27214647603322</v>
      </c>
      <c r="G752" s="0" t="n">
        <v>-1.65047053571885</v>
      </c>
      <c r="H752" s="0" t="n">
        <v>-2.50625333806943</v>
      </c>
      <c r="I752" s="0" t="n">
        <v>-0.784058560110409</v>
      </c>
      <c r="J752" s="0" t="n">
        <v>0.00225695426937576</v>
      </c>
      <c r="K752" s="0" t="n">
        <v>0.0895610664222763</v>
      </c>
      <c r="L752" s="0" t="n">
        <v>-0.0243421677450142</v>
      </c>
      <c r="M752" s="0" t="n">
        <v>-0.621641465253708</v>
      </c>
      <c r="N752" s="0" t="n">
        <v>0.043917358046628</v>
      </c>
      <c r="O752" s="0" t="n">
        <v>0.775435274004265</v>
      </c>
      <c r="P752" s="0" t="n">
        <v>-0.360099668392942</v>
      </c>
      <c r="Q752" s="0" t="n">
        <v>-0.351746912517304</v>
      </c>
      <c r="R752" s="0" t="n">
        <v>-1.40665201870132</v>
      </c>
      <c r="S752" s="0" t="n">
        <v>1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1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1</v>
      </c>
      <c r="AE752" s="0" t="n">
        <v>0</v>
      </c>
      <c r="AF752" s="0" t="n">
        <v>0</v>
      </c>
      <c r="AG752" s="0" t="n">
        <v>0</v>
      </c>
      <c r="AH752" s="0" t="n">
        <v>0</v>
      </c>
      <c r="AI752" s="0" t="n">
        <v>0</v>
      </c>
      <c r="AJ752" s="0" t="n">
        <v>0</v>
      </c>
    </row>
    <row r="753" customFormat="false" ht="15" hidden="false" customHeight="false" outlineLevel="0" collapsed="false">
      <c r="A753" s="0" t="s">
        <v>787</v>
      </c>
      <c r="B753" s="0" t="n">
        <v>1</v>
      </c>
      <c r="C753" s="0" t="n">
        <v>0.425602814336694</v>
      </c>
      <c r="D753" s="0" t="n">
        <v>1.25870329846802</v>
      </c>
      <c r="E753" s="0" t="n">
        <v>2.35341708909456</v>
      </c>
      <c r="F753" s="0" t="n">
        <v>-1.05801629362395</v>
      </c>
      <c r="G753" s="0" t="n">
        <v>-1.47297539102938</v>
      </c>
      <c r="H753" s="0" t="n">
        <v>-2.13378985661706</v>
      </c>
      <c r="I753" s="0" t="n">
        <v>-0.977393062282744</v>
      </c>
      <c r="J753" s="0" t="n">
        <v>0.895178001307339</v>
      </c>
      <c r="K753" s="0" t="n">
        <v>0.769864417553489</v>
      </c>
      <c r="L753" s="0" t="n">
        <v>-0.234582529706851</v>
      </c>
      <c r="M753" s="0" t="n">
        <v>-0.543366136873724</v>
      </c>
      <c r="N753" s="0" t="n">
        <v>-0.099508712869552</v>
      </c>
      <c r="O753" s="0" t="n">
        <v>0.472686186275456</v>
      </c>
      <c r="P753" s="0" t="n">
        <v>-0.199198111801769</v>
      </c>
      <c r="Q753" s="0" t="n">
        <v>-0.122359697976606</v>
      </c>
      <c r="R753" s="0" t="n">
        <v>0.118991079872388</v>
      </c>
      <c r="S753" s="0" t="n">
        <v>1</v>
      </c>
      <c r="T753" s="0" t="n">
        <v>0</v>
      </c>
      <c r="U753" s="0" t="n">
        <v>0</v>
      </c>
      <c r="V753" s="0" t="n">
        <v>0</v>
      </c>
      <c r="W753" s="0" t="n">
        <v>1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0</v>
      </c>
      <c r="AJ753" s="0" t="n">
        <v>0</v>
      </c>
    </row>
    <row r="754" customFormat="false" ht="15" hidden="false" customHeight="false" outlineLevel="0" collapsed="false">
      <c r="A754" s="0" t="s">
        <v>788</v>
      </c>
      <c r="B754" s="0" t="n">
        <v>1</v>
      </c>
      <c r="C754" s="0" t="n">
        <v>0.82712609729101</v>
      </c>
      <c r="D754" s="0" t="n">
        <v>1.24600021149047</v>
      </c>
      <c r="E754" s="0" t="n">
        <v>2.33554130784561</v>
      </c>
      <c r="F754" s="0" t="n">
        <v>-0.842191482509658</v>
      </c>
      <c r="G754" s="0" t="n">
        <v>-1.26477811590281</v>
      </c>
      <c r="H754" s="0" t="n">
        <v>-1.70110535313569</v>
      </c>
      <c r="I754" s="0" t="n">
        <v>-1.04299392391634</v>
      </c>
      <c r="J754" s="0" t="n">
        <v>-0.067659484746046</v>
      </c>
      <c r="K754" s="0" t="n">
        <v>-0.149766442883367</v>
      </c>
      <c r="L754" s="0" t="n">
        <v>0.131698260101833</v>
      </c>
      <c r="M754" s="0" t="n">
        <v>-0.107974637549722</v>
      </c>
      <c r="N754" s="0" t="n">
        <v>-0.180160192575284</v>
      </c>
      <c r="O754" s="0" t="n">
        <v>-0.319185332251216</v>
      </c>
      <c r="P754" s="0" t="n">
        <v>-0.335176607133119</v>
      </c>
      <c r="Q754" s="0" t="n">
        <v>-0.300944850024711</v>
      </c>
      <c r="R754" s="0" t="n">
        <v>-0.248813617506255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1</v>
      </c>
      <c r="AI754" s="0" t="n">
        <v>0.532413365140043</v>
      </c>
      <c r="AJ754" s="0" t="n">
        <v>0.333333333333333</v>
      </c>
    </row>
    <row r="755" customFormat="false" ht="15" hidden="false" customHeight="false" outlineLevel="0" collapsed="false">
      <c r="A755" s="0" t="s">
        <v>789</v>
      </c>
      <c r="B755" s="0" t="n">
        <v>1</v>
      </c>
      <c r="C755" s="0" t="n">
        <v>0.37789571489647</v>
      </c>
      <c r="D755" s="0" t="n">
        <v>1.22569469793573</v>
      </c>
      <c r="E755" s="0" t="n">
        <v>2.35647529715785</v>
      </c>
      <c r="F755" s="0" t="n">
        <v>-1.06458470900698</v>
      </c>
      <c r="G755" s="0" t="n">
        <v>-1.49794997973274</v>
      </c>
      <c r="H755" s="0" t="n">
        <v>-2.18622034108325</v>
      </c>
      <c r="I755" s="0" t="n">
        <v>-1.3804620600825</v>
      </c>
      <c r="J755" s="0" t="n">
        <v>1.42359152907245</v>
      </c>
      <c r="K755" s="0" t="n">
        <v>-0.338797371375279</v>
      </c>
      <c r="L755" s="0" t="n">
        <v>-0.789429093062001</v>
      </c>
      <c r="M755" s="0" t="n">
        <v>-1.18566061376121</v>
      </c>
      <c r="N755" s="0" t="n">
        <v>-0.359442781220509</v>
      </c>
      <c r="O755" s="0" t="n">
        <v>-0.0861715810469217</v>
      </c>
      <c r="P755" s="0" t="n">
        <v>-0.452727341919585</v>
      </c>
      <c r="Q755" s="0" t="n">
        <v>-0.607273761480211</v>
      </c>
      <c r="R755" s="0" t="n">
        <v>-0.471304293783502</v>
      </c>
      <c r="S755" s="0" t="n">
        <v>1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0</v>
      </c>
      <c r="Z755" s="0" t="n">
        <v>1</v>
      </c>
      <c r="AA755" s="0" t="n">
        <v>0</v>
      </c>
      <c r="AB755" s="0" t="n">
        <v>1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0.272696182495347</v>
      </c>
      <c r="AJ755" s="0" t="n">
        <v>0</v>
      </c>
    </row>
    <row r="756" customFormat="false" ht="15" hidden="false" customHeight="false" outlineLevel="0" collapsed="false">
      <c r="A756" s="0" t="s">
        <v>790</v>
      </c>
      <c r="B756" s="0" t="n">
        <v>1</v>
      </c>
      <c r="C756" s="0" t="n">
        <v>0.415579124938382</v>
      </c>
      <c r="D756" s="0" t="n">
        <v>1.42169342583947</v>
      </c>
      <c r="E756" s="0" t="n">
        <v>1.88146946200175</v>
      </c>
      <c r="F756" s="0" t="n">
        <v>-1.14876172167064</v>
      </c>
      <c r="G756" s="0" t="n">
        <v>-1.28683476739465</v>
      </c>
      <c r="H756" s="0" t="n">
        <v>-1.6283788822741</v>
      </c>
      <c r="I756" s="0" t="n">
        <v>-1.2448062368066</v>
      </c>
      <c r="J756" s="0" t="n">
        <v>0.70026337822025</v>
      </c>
      <c r="K756" s="0" t="n">
        <v>-0.240949103260534</v>
      </c>
      <c r="L756" s="0" t="n">
        <v>-1.82533716384697</v>
      </c>
      <c r="M756" s="0" t="n">
        <v>0.112798425085687</v>
      </c>
      <c r="N756" s="0" t="n">
        <v>-0.0162887147018543</v>
      </c>
      <c r="O756" s="0" t="n">
        <v>-0.693904838007043</v>
      </c>
      <c r="P756" s="0" t="n">
        <v>-0.666931695101453</v>
      </c>
      <c r="Q756" s="0" t="n">
        <v>-0.539371624384867</v>
      </c>
      <c r="R756" s="0" t="n">
        <v>-0.405665514619894</v>
      </c>
      <c r="S756" s="0" t="n">
        <v>0</v>
      </c>
      <c r="T756" s="0" t="n">
        <v>1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0</v>
      </c>
      <c r="Z756" s="0" t="n">
        <v>1</v>
      </c>
      <c r="AA756" s="0" t="n">
        <v>0</v>
      </c>
      <c r="AB756" s="0" t="n">
        <v>0</v>
      </c>
      <c r="AC756" s="0" t="n">
        <v>1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0.0498699025746707</v>
      </c>
      <c r="AJ756" s="0" t="n">
        <v>0</v>
      </c>
    </row>
    <row r="757" customFormat="false" ht="15" hidden="false" customHeight="false" outlineLevel="0" collapsed="false">
      <c r="A757" s="0" t="s">
        <v>791</v>
      </c>
      <c r="B757" s="0" t="n">
        <v>1</v>
      </c>
      <c r="C757" s="0" t="n">
        <v>0.841983374540887</v>
      </c>
      <c r="D757" s="0" t="n">
        <v>0.248002672903434</v>
      </c>
      <c r="E757" s="0" t="n">
        <v>1.59682950819198</v>
      </c>
      <c r="F757" s="0" t="n">
        <v>0.0439745426392563</v>
      </c>
      <c r="G757" s="0" t="n">
        <v>-0.898454021439966</v>
      </c>
      <c r="H757" s="0" t="n">
        <v>-0.878584008637915</v>
      </c>
      <c r="I757" s="0" t="n">
        <v>-0.93518559865033</v>
      </c>
      <c r="J757" s="0" t="n">
        <v>-0.067659484746046</v>
      </c>
      <c r="K757" s="0" t="n">
        <v>-0.149766442883367</v>
      </c>
      <c r="L757" s="0" t="n">
        <v>0.131698260101833</v>
      </c>
      <c r="M757" s="0" t="n">
        <v>-0.107974637549722</v>
      </c>
      <c r="N757" s="0" t="n">
        <v>-0.180160192575284</v>
      </c>
      <c r="O757" s="0" t="n">
        <v>-0.319185332251216</v>
      </c>
      <c r="P757" s="0" t="n">
        <v>-0.335176607133119</v>
      </c>
      <c r="Q757" s="0" t="n">
        <v>-0.300944850024711</v>
      </c>
      <c r="R757" s="0" t="n">
        <v>-0.248813617506255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0</v>
      </c>
      <c r="AJ757" s="0" t="n">
        <v>0</v>
      </c>
    </row>
    <row r="758" customFormat="false" ht="15" hidden="false" customHeight="false" outlineLevel="0" collapsed="false">
      <c r="A758" s="0" t="s">
        <v>792</v>
      </c>
      <c r="B758" s="0" t="n">
        <v>1</v>
      </c>
      <c r="C758" s="0" t="n">
        <v>0.458972839191884</v>
      </c>
      <c r="D758" s="0" t="n">
        <v>0.199358801169959</v>
      </c>
      <c r="E758" s="0" t="n">
        <v>1.48769984160973</v>
      </c>
      <c r="F758" s="0" t="n">
        <v>-0.182633649444402</v>
      </c>
      <c r="G758" s="0" t="n">
        <v>-1.06690943187711</v>
      </c>
      <c r="H758" s="0" t="n">
        <v>-1.15343335012891</v>
      </c>
      <c r="I758" s="0" t="n">
        <v>-0.595780338260771</v>
      </c>
      <c r="J758" s="0" t="n">
        <v>-0.067659484746046</v>
      </c>
      <c r="K758" s="0" t="n">
        <v>-0.149766442883367</v>
      </c>
      <c r="L758" s="0" t="n">
        <v>0.131698260101833</v>
      </c>
      <c r="M758" s="0" t="n">
        <v>-0.107974637549722</v>
      </c>
      <c r="N758" s="0" t="n">
        <v>-0.180160192575284</v>
      </c>
      <c r="O758" s="0" t="n">
        <v>-0.319185332251216</v>
      </c>
      <c r="P758" s="0" t="n">
        <v>-0.335176607133119</v>
      </c>
      <c r="Q758" s="0" t="n">
        <v>-0.300944850024711</v>
      </c>
      <c r="R758" s="0" t="n">
        <v>-0.248813617506255</v>
      </c>
      <c r="S758" s="0" t="n">
        <v>0</v>
      </c>
      <c r="T758" s="0" t="n">
        <v>0</v>
      </c>
      <c r="U758" s="0" t="n">
        <v>0</v>
      </c>
      <c r="V758" s="0" t="n">
        <v>0</v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1</v>
      </c>
      <c r="AI758" s="0" t="n">
        <v>0</v>
      </c>
      <c r="AJ758" s="0" t="n">
        <v>0</v>
      </c>
    </row>
    <row r="759" customFormat="false" ht="15" hidden="false" customHeight="false" outlineLevel="0" collapsed="false">
      <c r="A759" s="0" t="s">
        <v>793</v>
      </c>
      <c r="B759" s="0" t="n">
        <v>1</v>
      </c>
      <c r="C759" s="0" t="n">
        <v>0.326362107084092</v>
      </c>
      <c r="D759" s="0" t="n">
        <v>-0.168883211728694</v>
      </c>
      <c r="E759" s="0" t="n">
        <v>1.13914050879038</v>
      </c>
      <c r="F759" s="0" t="n">
        <v>0.214107420522359</v>
      </c>
      <c r="G759" s="0" t="n">
        <v>-0.946823166927972</v>
      </c>
      <c r="H759" s="0" t="n">
        <v>-0.908992937751382</v>
      </c>
      <c r="I759" s="0" t="n">
        <v>-0.634241717519521</v>
      </c>
      <c r="J759" s="0" t="n">
        <v>0.631469393671607</v>
      </c>
      <c r="K759" s="0" t="n">
        <v>-0.998105018565533</v>
      </c>
      <c r="L759" s="0" t="n">
        <v>-1.96657474997263</v>
      </c>
      <c r="M759" s="0" t="n">
        <v>-0.439322536207368</v>
      </c>
      <c r="N759" s="0" t="n">
        <v>-0.0596453063398401</v>
      </c>
      <c r="O759" s="0" t="n">
        <v>-0.760314572138911</v>
      </c>
      <c r="P759" s="0" t="n">
        <v>-0.628647639915351</v>
      </c>
      <c r="Q759" s="0" t="n">
        <v>-0.29397146387339</v>
      </c>
      <c r="R759" s="0" t="n">
        <v>-0.69062963042061</v>
      </c>
      <c r="S759" s="0" t="n">
        <v>0</v>
      </c>
      <c r="T759" s="0" t="n">
        <v>0</v>
      </c>
      <c r="U759" s="0" t="n">
        <v>0</v>
      </c>
      <c r="V759" s="0" t="n">
        <v>1</v>
      </c>
      <c r="W759" s="0" t="n">
        <v>0</v>
      </c>
      <c r="X759" s="0" t="n">
        <v>0</v>
      </c>
      <c r="Y759" s="0" t="n">
        <v>0</v>
      </c>
      <c r="Z759" s="0" t="n">
        <v>1</v>
      </c>
      <c r="AA759" s="0" t="n">
        <v>0</v>
      </c>
      <c r="AB759" s="0" t="n">
        <v>0</v>
      </c>
      <c r="AC759" s="0" t="n">
        <v>1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0</v>
      </c>
    </row>
    <row r="760" customFormat="false" ht="15" hidden="false" customHeight="false" outlineLevel="0" collapsed="false">
      <c r="A760" s="0" t="s">
        <v>794</v>
      </c>
      <c r="B760" s="0" t="n">
        <v>1</v>
      </c>
      <c r="C760" s="0" t="n">
        <v>0.571766781505613</v>
      </c>
      <c r="D760" s="0" t="n">
        <v>-0.115209820845335</v>
      </c>
      <c r="E760" s="0" t="n">
        <v>0.854822608108879</v>
      </c>
      <c r="F760" s="0" t="n">
        <v>0.344245056542407</v>
      </c>
      <c r="G760" s="0" t="n">
        <v>-0.576285036443875</v>
      </c>
      <c r="H760" s="0" t="n">
        <v>-0.345790947679772</v>
      </c>
      <c r="I760" s="0" t="n">
        <v>-0.580907154522853</v>
      </c>
      <c r="J760" s="0" t="n">
        <v>-0.067659484746046</v>
      </c>
      <c r="K760" s="0" t="n">
        <v>-0.149766442883367</v>
      </c>
      <c r="L760" s="0" t="n">
        <v>0.131698260101833</v>
      </c>
      <c r="M760" s="0" t="n">
        <v>-0.107974637549722</v>
      </c>
      <c r="N760" s="0" t="n">
        <v>-0.180160192575284</v>
      </c>
      <c r="O760" s="0" t="n">
        <v>-0.319185332251216</v>
      </c>
      <c r="P760" s="0" t="n">
        <v>-0.335176607133119</v>
      </c>
      <c r="Q760" s="0" t="n">
        <v>-0.300944850024711</v>
      </c>
      <c r="R760" s="0" t="n">
        <v>-0.248813617506255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0.00129065275590013</v>
      </c>
      <c r="AJ760" s="0" t="n">
        <v>0.333333333333333</v>
      </c>
    </row>
    <row r="761" customFormat="false" ht="15" hidden="false" customHeight="false" outlineLevel="0" collapsed="false">
      <c r="A761" s="0" t="s">
        <v>795</v>
      </c>
      <c r="B761" s="0" t="n">
        <v>1</v>
      </c>
      <c r="C761" s="0" t="n">
        <v>-0.515493734248711</v>
      </c>
      <c r="D761" s="0" t="n">
        <v>-0.161564492758288</v>
      </c>
      <c r="E761" s="0" t="n">
        <v>0.754483752106543</v>
      </c>
      <c r="F761" s="0" t="n">
        <v>-0.548416882111791</v>
      </c>
      <c r="G761" s="0" t="n">
        <v>-1.30066835073804</v>
      </c>
      <c r="H761" s="0" t="n">
        <v>-1.35489016182526</v>
      </c>
      <c r="I761" s="0" t="n">
        <v>-0.856179295084346</v>
      </c>
      <c r="J761" s="0" t="n">
        <v>-2.31670875133572</v>
      </c>
      <c r="K761" s="0" t="n">
        <v>3</v>
      </c>
      <c r="L761" s="0" t="n">
        <v>-0.916529203550702</v>
      </c>
      <c r="M761" s="0" t="n">
        <v>-1.45502820902357</v>
      </c>
      <c r="N761" s="0" t="n">
        <v>1.25112103517064</v>
      </c>
      <c r="O761" s="0" t="n">
        <v>-0.48491197230525</v>
      </c>
      <c r="P761" s="0" t="n">
        <v>-0.106240843469646</v>
      </c>
      <c r="Q761" s="0" t="n">
        <v>-0.412853929459226</v>
      </c>
      <c r="R761" s="0" t="n">
        <v>0.182920545283345</v>
      </c>
      <c r="S761" s="0" t="n">
        <v>0</v>
      </c>
      <c r="T761" s="0" t="n">
        <v>1</v>
      </c>
      <c r="U761" s="0" t="n">
        <v>0</v>
      </c>
      <c r="V761" s="0" t="n">
        <v>0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1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0.587698794825071</v>
      </c>
      <c r="AJ761" s="0" t="n">
        <v>0.666666666666667</v>
      </c>
    </row>
    <row r="762" customFormat="false" ht="15" hidden="false" customHeight="false" outlineLevel="0" collapsed="false">
      <c r="A762" s="0" t="s">
        <v>796</v>
      </c>
      <c r="B762" s="0" t="n">
        <v>1</v>
      </c>
      <c r="C762" s="0" t="n">
        <v>-0.124480289757449</v>
      </c>
      <c r="D762" s="0" t="n">
        <v>-0.0846966826620558</v>
      </c>
      <c r="E762" s="0" t="n">
        <v>0.807219554790499</v>
      </c>
      <c r="F762" s="0" t="n">
        <v>-0.302203710879336</v>
      </c>
      <c r="G762" s="0" t="n">
        <v>-1.04624736387101</v>
      </c>
      <c r="H762" s="0" t="n">
        <v>-1.01018127124908</v>
      </c>
      <c r="I762" s="0" t="n">
        <v>-0.649364115870859</v>
      </c>
      <c r="J762" s="0" t="n">
        <v>-0.295175420365986</v>
      </c>
      <c r="K762" s="0" t="n">
        <v>-0.146663169860064</v>
      </c>
      <c r="L762" s="0" t="n">
        <v>-1.30687896226557</v>
      </c>
      <c r="M762" s="0" t="n">
        <v>-0.1956069090066</v>
      </c>
      <c r="N762" s="0" t="n">
        <v>0.00816358105606173</v>
      </c>
      <c r="O762" s="0" t="n">
        <v>-0.193783799921538</v>
      </c>
      <c r="P762" s="0" t="n">
        <v>-0.747146753660204</v>
      </c>
      <c r="Q762" s="0" t="n">
        <v>-0.585502603352891</v>
      </c>
      <c r="R762" s="0" t="n">
        <v>0.00207432380387847</v>
      </c>
      <c r="S762" s="0" t="n">
        <v>0</v>
      </c>
      <c r="T762" s="0" t="n">
        <v>1</v>
      </c>
      <c r="U762" s="0" t="n">
        <v>0</v>
      </c>
      <c r="V762" s="0" t="n">
        <v>0</v>
      </c>
      <c r="W762" s="0" t="n">
        <v>0</v>
      </c>
      <c r="X762" s="0" t="n">
        <v>0</v>
      </c>
      <c r="Y762" s="0" t="n">
        <v>1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1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0.0802832726099587</v>
      </c>
      <c r="AJ762" s="0" t="n">
        <v>0</v>
      </c>
    </row>
    <row r="763" customFormat="false" ht="15" hidden="false" customHeight="false" outlineLevel="0" collapsed="false">
      <c r="A763" s="0" t="s">
        <v>797</v>
      </c>
      <c r="B763" s="0" t="n">
        <v>1</v>
      </c>
      <c r="C763" s="0" t="n">
        <v>-0.60988461653302</v>
      </c>
      <c r="D763" s="0" t="n">
        <v>0.0302823283997559</v>
      </c>
      <c r="E763" s="0" t="n">
        <v>0.00707197954156413</v>
      </c>
      <c r="F763" s="0" t="n">
        <v>-0.836417885853479</v>
      </c>
      <c r="G763" s="0" t="n">
        <v>-0.8159276454674</v>
      </c>
      <c r="H763" s="0" t="n">
        <v>-0.63527361074104</v>
      </c>
      <c r="I763" s="0" t="n">
        <v>0.604737379210457</v>
      </c>
      <c r="J763" s="0" t="n">
        <v>-2.36083262896991</v>
      </c>
      <c r="K763" s="0" t="n">
        <v>3</v>
      </c>
      <c r="L763" s="0" t="n">
        <v>-0.807032872545914</v>
      </c>
      <c r="M763" s="0" t="n">
        <v>-0.168203197910835</v>
      </c>
      <c r="N763" s="0" t="n">
        <v>1.15372281509289</v>
      </c>
      <c r="O763" s="0" t="n">
        <v>0.265146107447334</v>
      </c>
      <c r="P763" s="0" t="n">
        <v>-0.200121085408674</v>
      </c>
      <c r="Q763" s="0" t="n">
        <v>0.17287595447315</v>
      </c>
      <c r="R763" s="0" t="n">
        <v>-0.596583352437034</v>
      </c>
      <c r="S763" s="0" t="n">
        <v>1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1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0</v>
      </c>
      <c r="AJ763" s="0" t="n">
        <v>0</v>
      </c>
    </row>
    <row r="764" customFormat="false" ht="15" hidden="false" customHeight="false" outlineLevel="0" collapsed="false">
      <c r="A764" s="0" t="s">
        <v>798</v>
      </c>
      <c r="B764" s="0" t="n">
        <v>1</v>
      </c>
      <c r="C764" s="0" t="n">
        <v>0.444274388234471</v>
      </c>
      <c r="D764" s="0" t="n">
        <v>0.286172349749857</v>
      </c>
      <c r="E764" s="0" t="n">
        <v>0.160719059963138</v>
      </c>
      <c r="F764" s="0" t="n">
        <v>-0.291943272557764</v>
      </c>
      <c r="G764" s="0" t="n">
        <v>-0.0028872199923699</v>
      </c>
      <c r="H764" s="0" t="n">
        <v>0.281512507416204</v>
      </c>
      <c r="I764" s="0" t="n">
        <v>1.05147829752661</v>
      </c>
      <c r="J764" s="0" t="n">
        <v>0.0153326139732347</v>
      </c>
      <c r="K764" s="0" t="n">
        <v>-0.203056419311657</v>
      </c>
      <c r="L764" s="0" t="n">
        <v>0.617009825229822</v>
      </c>
      <c r="M764" s="0" t="n">
        <v>0.334991355282427</v>
      </c>
      <c r="N764" s="0" t="n">
        <v>0.38275631354918</v>
      </c>
      <c r="O764" s="0" t="n">
        <v>0.708096950486638</v>
      </c>
      <c r="P764" s="0" t="n">
        <v>-0.445623908566899</v>
      </c>
      <c r="Q764" s="0" t="n">
        <v>-0.505009325026003</v>
      </c>
      <c r="R764" s="0" t="n">
        <v>-0.0791300363591719</v>
      </c>
      <c r="S764" s="0" t="n">
        <v>1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0</v>
      </c>
      <c r="Z764" s="0" t="n">
        <v>1</v>
      </c>
      <c r="AA764" s="0" t="n">
        <v>0</v>
      </c>
      <c r="AB764" s="0" t="n">
        <v>1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0</v>
      </c>
    </row>
    <row r="765" customFormat="false" ht="15" hidden="false" customHeight="false" outlineLevel="0" collapsed="false">
      <c r="A765" s="0" t="s">
        <v>799</v>
      </c>
      <c r="B765" s="0" t="n">
        <v>1</v>
      </c>
      <c r="C765" s="0" t="n">
        <v>0.145840041437268</v>
      </c>
      <c r="D765" s="0" t="n">
        <v>0.354918273265912</v>
      </c>
      <c r="E765" s="0" t="n">
        <v>-0.0161806614609602</v>
      </c>
      <c r="F765" s="0" t="n">
        <v>-0.575701292638275</v>
      </c>
      <c r="G765" s="0" t="n">
        <v>-0.0636066326968057</v>
      </c>
      <c r="H765" s="0" t="n">
        <v>0.167744834806002</v>
      </c>
      <c r="I765" s="0" t="n">
        <v>0.963793774431757</v>
      </c>
      <c r="J765" s="0" t="n">
        <v>-0.366265503026482</v>
      </c>
      <c r="K765" s="0" t="n">
        <v>-0.526011580929099</v>
      </c>
      <c r="L765" s="0" t="n">
        <v>0.343245220719821</v>
      </c>
      <c r="M765" s="0" t="n">
        <v>-1.39992253159674</v>
      </c>
      <c r="N765" s="0" t="n">
        <v>0.327276314770715</v>
      </c>
      <c r="O765" s="0" t="n">
        <v>0.056911773018225</v>
      </c>
      <c r="P765" s="0" t="n">
        <v>-0.663457122810235</v>
      </c>
      <c r="Q765" s="0" t="n">
        <v>-0.590226943573512</v>
      </c>
      <c r="R765" s="0" t="n">
        <v>-0.013458247478492</v>
      </c>
      <c r="S765" s="0" t="n">
        <v>0</v>
      </c>
      <c r="T765" s="0" t="n">
        <v>0</v>
      </c>
      <c r="U765" s="0" t="n">
        <v>1</v>
      </c>
      <c r="V765" s="0" t="n">
        <v>0</v>
      </c>
      <c r="W765" s="0" t="n">
        <v>0</v>
      </c>
      <c r="X765" s="0" t="n">
        <v>0</v>
      </c>
      <c r="Y765" s="0" t="n">
        <v>1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1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0.521087769123502</v>
      </c>
      <c r="AJ765" s="0" t="n">
        <v>0.333333333333333</v>
      </c>
    </row>
    <row r="766" customFormat="false" ht="15" hidden="false" customHeight="false" outlineLevel="0" collapsed="false">
      <c r="A766" s="0" t="s">
        <v>800</v>
      </c>
      <c r="B766" s="0" t="n">
        <v>1</v>
      </c>
      <c r="C766" s="0" t="n">
        <v>0.612649060420404</v>
      </c>
      <c r="D766" s="0" t="n">
        <v>0.331350284064728</v>
      </c>
      <c r="E766" s="0" t="n">
        <v>-0.0148127118898524</v>
      </c>
      <c r="F766" s="0" t="n">
        <v>-0.220227571732819</v>
      </c>
      <c r="G766" s="0" t="n">
        <v>0.385246464201147</v>
      </c>
      <c r="H766" s="0" t="n">
        <v>0.646576860842885</v>
      </c>
      <c r="I766" s="0" t="n">
        <v>0.984050964697154</v>
      </c>
      <c r="J766" s="0" t="n">
        <v>-0.0353678908695691</v>
      </c>
      <c r="K766" s="0" t="n">
        <v>0.69348004683196</v>
      </c>
      <c r="L766" s="0" t="n">
        <v>-1.22368765698351</v>
      </c>
      <c r="M766" s="0" t="n">
        <v>0.292519513237521</v>
      </c>
      <c r="N766" s="0" t="n">
        <v>0.576730827796851</v>
      </c>
      <c r="O766" s="0" t="n">
        <v>0.00137429448368964</v>
      </c>
      <c r="P766" s="0" t="n">
        <v>-0.522903535320786</v>
      </c>
      <c r="Q766" s="0" t="n">
        <v>-0.591601218769235</v>
      </c>
      <c r="R766" s="0" t="n">
        <v>-0.0577997203009858</v>
      </c>
      <c r="S766" s="0" t="n">
        <v>1</v>
      </c>
      <c r="T766" s="0" t="n">
        <v>0</v>
      </c>
      <c r="U766" s="0" t="n">
        <v>0</v>
      </c>
      <c r="V766" s="0" t="n">
        <v>0</v>
      </c>
      <c r="W766" s="0" t="n">
        <v>1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0.50645552476885</v>
      </c>
      <c r="AJ766" s="0" t="n">
        <v>0</v>
      </c>
    </row>
    <row r="767" customFormat="false" ht="15" hidden="false" customHeight="false" outlineLevel="0" collapsed="false">
      <c r="A767" s="0" t="s">
        <v>801</v>
      </c>
      <c r="B767" s="0" t="n">
        <v>1</v>
      </c>
      <c r="C767" s="0" t="n">
        <v>-0.302561573318104</v>
      </c>
      <c r="D767" s="0" t="n">
        <v>0.276710862808722</v>
      </c>
      <c r="E767" s="0" t="n">
        <v>-0.0693989985767293</v>
      </c>
      <c r="F767" s="0" t="n">
        <v>-0.826360701290138</v>
      </c>
      <c r="G767" s="0" t="n">
        <v>-0.437288550497992</v>
      </c>
      <c r="H767" s="0" t="n">
        <v>-0.235486777739048</v>
      </c>
      <c r="I767" s="0" t="n">
        <v>0.649689581185594</v>
      </c>
      <c r="J767" s="0" t="n">
        <v>-2.17044964953696</v>
      </c>
      <c r="K767" s="0" t="n">
        <v>3</v>
      </c>
      <c r="L767" s="0" t="n">
        <v>0.6671574047977</v>
      </c>
      <c r="M767" s="0" t="n">
        <v>-0.173730173457867</v>
      </c>
      <c r="N767" s="0" t="n">
        <v>1.40050606891858</v>
      </c>
      <c r="O767" s="0" t="n">
        <v>-0.0488234395564444</v>
      </c>
      <c r="P767" s="0" t="n">
        <v>0.356189553952587</v>
      </c>
      <c r="Q767" s="0" t="n">
        <v>-0.414808048702353</v>
      </c>
      <c r="R767" s="0" t="n">
        <v>-1.03232063656684</v>
      </c>
      <c r="S767" s="0" t="n">
        <v>1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1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0.309541666960455</v>
      </c>
      <c r="AJ767" s="0" t="n">
        <v>0</v>
      </c>
    </row>
    <row r="768" customFormat="false" ht="15" hidden="false" customHeight="false" outlineLevel="0" collapsed="false">
      <c r="A768" s="0" t="s">
        <v>802</v>
      </c>
      <c r="B768" s="0" t="n">
        <v>1</v>
      </c>
      <c r="C768" s="0" t="n">
        <v>-0.129194991599564</v>
      </c>
      <c r="D768" s="0" t="n">
        <v>-0.0528288785423093</v>
      </c>
      <c r="E768" s="0" t="n">
        <v>-0.162493089420909</v>
      </c>
      <c r="F768" s="0" t="n">
        <v>-0.346468952214945</v>
      </c>
      <c r="G768" s="0" t="n">
        <v>-0.149485227571485</v>
      </c>
      <c r="H768" s="0" t="n">
        <v>0.0446295382569354</v>
      </c>
      <c r="I768" s="0" t="n">
        <v>-0.568417938855586</v>
      </c>
      <c r="J768" s="0" t="n">
        <v>-0.067659484746046</v>
      </c>
      <c r="K768" s="0" t="n">
        <v>-0.149766442883367</v>
      </c>
      <c r="L768" s="0" t="n">
        <v>0.131698260101833</v>
      </c>
      <c r="M768" s="0" t="n">
        <v>-0.107974637549722</v>
      </c>
      <c r="N768" s="0" t="n">
        <v>-0.180160192575284</v>
      </c>
      <c r="O768" s="0" t="n">
        <v>-0.319185332251216</v>
      </c>
      <c r="P768" s="0" t="n">
        <v>-0.335176607133119</v>
      </c>
      <c r="Q768" s="0" t="n">
        <v>-0.300944850024711</v>
      </c>
      <c r="R768" s="0" t="n">
        <v>-0.248813617506255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1</v>
      </c>
      <c r="AI768" s="0" t="n">
        <v>0.059131875460298</v>
      </c>
      <c r="AJ768" s="0" t="n">
        <v>0</v>
      </c>
    </row>
    <row r="769" customFormat="false" ht="15" hidden="false" customHeight="false" outlineLevel="0" collapsed="false">
      <c r="A769" s="0" t="s">
        <v>803</v>
      </c>
      <c r="B769" s="0" t="n">
        <v>1</v>
      </c>
      <c r="C769" s="0" t="n">
        <v>-0.453886444785432</v>
      </c>
      <c r="D769" s="0" t="n">
        <v>-0.702508876258858</v>
      </c>
      <c r="E769" s="0" t="n">
        <v>-0.202108814071271</v>
      </c>
      <c r="F769" s="0" t="n">
        <v>0.42903601683166</v>
      </c>
      <c r="G769" s="0" t="n">
        <v>-0.435251950235615</v>
      </c>
      <c r="H769" s="0" t="n">
        <v>-0.246173891068157</v>
      </c>
      <c r="I769" s="0" t="n">
        <v>-0.230107061026074</v>
      </c>
      <c r="J769" s="0" t="n">
        <v>0.0940613928519831</v>
      </c>
      <c r="K769" s="0" t="n">
        <v>-0.087861186826556</v>
      </c>
      <c r="L769" s="0" t="n">
        <v>-0.180101472747431</v>
      </c>
      <c r="M769" s="0" t="n">
        <v>-0.235014776740359</v>
      </c>
      <c r="N769" s="0" t="n">
        <v>-0.512731963030639</v>
      </c>
      <c r="O769" s="0" t="n">
        <v>-0.597379457751751</v>
      </c>
      <c r="P769" s="0" t="n">
        <v>-0.748716748822026</v>
      </c>
      <c r="Q769" s="0" t="n">
        <v>-0.60510131609008</v>
      </c>
      <c r="R769" s="0" t="n">
        <v>-0.844013924242015</v>
      </c>
      <c r="S769" s="0" t="n">
        <v>0</v>
      </c>
      <c r="T769" s="0" t="n">
        <v>1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1</v>
      </c>
      <c r="AA769" s="0" t="n">
        <v>0</v>
      </c>
      <c r="AB769" s="0" t="n">
        <v>1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0</v>
      </c>
    </row>
    <row r="770" customFormat="false" ht="15" hidden="false" customHeight="false" outlineLevel="0" collapsed="false">
      <c r="A770" s="0" t="s">
        <v>804</v>
      </c>
      <c r="B770" s="0" t="n">
        <v>1</v>
      </c>
      <c r="C770" s="0" t="n">
        <v>0.206653400858329</v>
      </c>
      <c r="D770" s="0" t="n">
        <v>-0.633328134089428</v>
      </c>
      <c r="E770" s="0" t="n">
        <v>-0.223078025222659</v>
      </c>
      <c r="F770" s="0" t="n">
        <v>1.0487293382669</v>
      </c>
      <c r="G770" s="0" t="n">
        <v>0.284544104857697</v>
      </c>
      <c r="H770" s="0" t="n">
        <v>0.456408144210266</v>
      </c>
      <c r="I770" s="0" t="n">
        <v>0.393538473897156</v>
      </c>
      <c r="J770" s="0" t="n">
        <v>-0.067659484746046</v>
      </c>
      <c r="K770" s="0" t="n">
        <v>-0.149766442883367</v>
      </c>
      <c r="L770" s="0" t="n">
        <v>0.131698260101833</v>
      </c>
      <c r="M770" s="0" t="n">
        <v>-0.107974637549722</v>
      </c>
      <c r="N770" s="0" t="n">
        <v>-0.180160192575284</v>
      </c>
      <c r="O770" s="0" t="n">
        <v>-0.319185332251216</v>
      </c>
      <c r="P770" s="0" t="n">
        <v>-0.335176607133119</v>
      </c>
      <c r="Q770" s="0" t="n">
        <v>-0.300944850024711</v>
      </c>
      <c r="R770" s="0" t="n">
        <v>-0.248813617506255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1</v>
      </c>
      <c r="AI770" s="0" t="n">
        <v>0</v>
      </c>
      <c r="AJ770" s="0" t="n">
        <v>0</v>
      </c>
    </row>
    <row r="771" customFormat="false" ht="15" hidden="false" customHeight="false" outlineLevel="0" collapsed="false">
      <c r="A771" s="0" t="s">
        <v>805</v>
      </c>
      <c r="B771" s="0" t="n">
        <v>1</v>
      </c>
      <c r="C771" s="0" t="n">
        <v>-0.863005539319785</v>
      </c>
      <c r="D771" s="0" t="n">
        <v>-0.34749021859236</v>
      </c>
      <c r="E771" s="0" t="n">
        <v>-0.131244044122878</v>
      </c>
      <c r="F771" s="0" t="n">
        <v>-0.6425171211496</v>
      </c>
      <c r="G771" s="0" t="n">
        <v>-0.931898353476912</v>
      </c>
      <c r="H771" s="0" t="n">
        <v>-0.74457834996349</v>
      </c>
      <c r="I771" s="0" t="n">
        <v>0.71110738355736</v>
      </c>
      <c r="J771" s="0" t="n">
        <v>-1.42333405377677</v>
      </c>
      <c r="K771" s="0" t="n">
        <v>3</v>
      </c>
      <c r="L771" s="0" t="n">
        <v>-1.20806722550163</v>
      </c>
      <c r="M771" s="0" t="n">
        <v>-0.886873417803257</v>
      </c>
      <c r="N771" s="0" t="n">
        <v>-0.11245404591786</v>
      </c>
      <c r="O771" s="0" t="n">
        <v>-0.679797296915265</v>
      </c>
      <c r="P771" s="0" t="n">
        <v>-0.363324573805575</v>
      </c>
      <c r="Q771" s="0" t="n">
        <v>-0.562112711512126</v>
      </c>
      <c r="R771" s="0" t="n">
        <v>-0.0701893179176599</v>
      </c>
      <c r="S771" s="0" t="n">
        <v>0</v>
      </c>
      <c r="T771" s="0" t="n">
        <v>1</v>
      </c>
      <c r="U771" s="0" t="n">
        <v>0</v>
      </c>
      <c r="V771" s="0" t="n">
        <v>0</v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1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0.0467662856318687</v>
      </c>
      <c r="AJ771" s="0" t="n">
        <v>0.333333333333333</v>
      </c>
    </row>
    <row r="772" customFormat="false" ht="15" hidden="false" customHeight="false" outlineLevel="0" collapsed="false">
      <c r="A772" s="0" t="s">
        <v>806</v>
      </c>
      <c r="B772" s="0" t="n">
        <v>1</v>
      </c>
      <c r="C772" s="0" t="n">
        <v>-0.0954399888520221</v>
      </c>
      <c r="D772" s="0" t="n">
        <v>-0.286281575694618</v>
      </c>
      <c r="E772" s="0" t="n">
        <v>-0.354902409588304</v>
      </c>
      <c r="F772" s="0" t="n">
        <v>0.0125181632167514</v>
      </c>
      <c r="G772" s="0" t="n">
        <v>0.160735237846635</v>
      </c>
      <c r="H772" s="0" t="n">
        <v>0.289618998305699</v>
      </c>
      <c r="I772" s="0" t="n">
        <v>-0.0832846021647677</v>
      </c>
      <c r="J772" s="0" t="n">
        <v>-1.04175110371114</v>
      </c>
      <c r="K772" s="0" t="n">
        <v>-0.69239668625012</v>
      </c>
      <c r="L772" s="0" t="n">
        <v>0.651814524258802</v>
      </c>
      <c r="M772" s="0" t="n">
        <v>-1.04822085249642</v>
      </c>
      <c r="N772" s="0" t="n">
        <v>0.544264754437602</v>
      </c>
      <c r="O772" s="0" t="n">
        <v>-0.645535398870768</v>
      </c>
      <c r="P772" s="0" t="n">
        <v>-0.678008501853308</v>
      </c>
      <c r="Q772" s="0" t="n">
        <v>-0.445644857989618</v>
      </c>
      <c r="R772" s="0" t="n">
        <v>0.0466019022308077</v>
      </c>
      <c r="S772" s="0" t="n">
        <v>0</v>
      </c>
      <c r="T772" s="0" t="n">
        <v>1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1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1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0.303627468057991</v>
      </c>
      <c r="AJ772" s="0" t="n">
        <v>0.666666666666667</v>
      </c>
    </row>
    <row r="773" customFormat="false" ht="15" hidden="false" customHeight="false" outlineLevel="0" collapsed="false">
      <c r="A773" s="0" t="s">
        <v>807</v>
      </c>
      <c r="B773" s="0" t="n">
        <v>1</v>
      </c>
      <c r="C773" s="0" t="n">
        <v>-0.721111722687391</v>
      </c>
      <c r="D773" s="0" t="n">
        <v>-0.166904082976505</v>
      </c>
      <c r="E773" s="0" t="n">
        <v>-0.274245338758167</v>
      </c>
      <c r="F773" s="0" t="n">
        <v>-0.725832718465547</v>
      </c>
      <c r="G773" s="0" t="n">
        <v>-0.632822002147757</v>
      </c>
      <c r="H773" s="0" t="n">
        <v>-0.442309649885467</v>
      </c>
      <c r="I773" s="0" t="n">
        <v>-0.434425487765595</v>
      </c>
      <c r="J773" s="0" t="n">
        <v>-2.60038379321047</v>
      </c>
      <c r="K773" s="0" t="n">
        <v>3</v>
      </c>
      <c r="L773" s="0" t="n">
        <v>0.910930576214124</v>
      </c>
      <c r="M773" s="0" t="n">
        <v>0.130141438756186</v>
      </c>
      <c r="N773" s="0" t="n">
        <v>1.28934058988469</v>
      </c>
      <c r="O773" s="0" t="n">
        <v>-0.70256951001529</v>
      </c>
      <c r="P773" s="0" t="n">
        <v>0.710482386929559</v>
      </c>
      <c r="Q773" s="0" t="n">
        <v>0.869607210161116</v>
      </c>
      <c r="R773" s="0" t="n">
        <v>0.444437820450807</v>
      </c>
      <c r="S773" s="0" t="n">
        <v>1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1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0.147217603207076</v>
      </c>
      <c r="AJ773" s="0" t="n">
        <v>0</v>
      </c>
    </row>
    <row r="774" customFormat="false" ht="15" hidden="false" customHeight="false" outlineLevel="0" collapsed="false">
      <c r="A774" s="0" t="s">
        <v>808</v>
      </c>
      <c r="B774" s="0" t="n">
        <v>1</v>
      </c>
      <c r="C774" s="0" t="n">
        <v>-0.254302147913573</v>
      </c>
      <c r="D774" s="0" t="n">
        <v>-0.509920890097398</v>
      </c>
      <c r="E774" s="0" t="n">
        <v>-0.672214840238091</v>
      </c>
      <c r="F774" s="0" t="n">
        <v>0.246259397919587</v>
      </c>
      <c r="G774" s="0" t="n">
        <v>0.531186443257771</v>
      </c>
      <c r="H774" s="0" t="n">
        <v>0.472902467671088</v>
      </c>
      <c r="I774" s="0" t="n">
        <v>0.191846589457359</v>
      </c>
      <c r="J774" s="0" t="n">
        <v>0.30878099911955</v>
      </c>
      <c r="K774" s="0" t="n">
        <v>-0.209658079765681</v>
      </c>
      <c r="L774" s="0" t="n">
        <v>-1.02207369397964</v>
      </c>
      <c r="M774" s="0" t="n">
        <v>0.396258813949412</v>
      </c>
      <c r="N774" s="0" t="n">
        <v>-0.423963964985095</v>
      </c>
      <c r="O774" s="0" t="n">
        <v>0.000902391603837663</v>
      </c>
      <c r="P774" s="0" t="n">
        <v>-0.255849826064405</v>
      </c>
      <c r="Q774" s="0" t="n">
        <v>-0.284196394166348</v>
      </c>
      <c r="R774" s="0" t="n">
        <v>-0.528486047530655</v>
      </c>
      <c r="S774" s="0" t="n">
        <v>1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  <c r="Y774" s="0" t="n">
        <v>0</v>
      </c>
      <c r="Z774" s="0" t="n">
        <v>1</v>
      </c>
      <c r="AA774" s="0" t="n">
        <v>0</v>
      </c>
      <c r="AB774" s="0" t="n">
        <v>0</v>
      </c>
      <c r="AC774" s="0" t="n">
        <v>1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0</v>
      </c>
    </row>
    <row r="775" customFormat="false" ht="15" hidden="false" customHeight="false" outlineLevel="0" collapsed="false">
      <c r="A775" s="0" t="s">
        <v>809</v>
      </c>
      <c r="B775" s="0" t="n">
        <v>1</v>
      </c>
      <c r="C775" s="0" t="n">
        <v>-0.317059806904807</v>
      </c>
      <c r="D775" s="0" t="n">
        <v>0.0939157088211241</v>
      </c>
      <c r="E775" s="0" t="n">
        <v>-0.253962751275865</v>
      </c>
      <c r="F775" s="0" t="n">
        <v>-0.665093137011358</v>
      </c>
      <c r="G775" s="0" t="n">
        <v>-0.225662470353375</v>
      </c>
      <c r="H775" s="0" t="n">
        <v>-0.0487211832599022</v>
      </c>
      <c r="I775" s="0" t="n">
        <v>0.754008004129496</v>
      </c>
      <c r="J775" s="0" t="n">
        <v>-0.067659484746046</v>
      </c>
      <c r="K775" s="0" t="n">
        <v>-0.149766442883367</v>
      </c>
      <c r="L775" s="0" t="n">
        <v>0.131698260101833</v>
      </c>
      <c r="M775" s="0" t="n">
        <v>-0.107974637549722</v>
      </c>
      <c r="N775" s="0" t="n">
        <v>-0.180160192575284</v>
      </c>
      <c r="O775" s="0" t="n">
        <v>-0.319185332251216</v>
      </c>
      <c r="P775" s="0" t="n">
        <v>-0.335176607133119</v>
      </c>
      <c r="Q775" s="0" t="n">
        <v>-0.300944850024711</v>
      </c>
      <c r="R775" s="0" t="n">
        <v>-0.248813617506255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1</v>
      </c>
      <c r="AI775" s="0" t="n">
        <v>0</v>
      </c>
      <c r="AJ775" s="0" t="n">
        <v>0</v>
      </c>
    </row>
    <row r="776" customFormat="false" ht="15" hidden="false" customHeight="false" outlineLevel="0" collapsed="false">
      <c r="A776" s="0" t="s">
        <v>810</v>
      </c>
      <c r="B776" s="0" t="n">
        <v>1</v>
      </c>
      <c r="C776" s="0" t="n">
        <v>-0.853942545265964</v>
      </c>
      <c r="D776" s="0" t="n">
        <v>0.0417165180678132</v>
      </c>
      <c r="E776" s="0" t="n">
        <v>-0.238713493281627</v>
      </c>
      <c r="F776" s="0" t="n">
        <v>-1.04472282419583</v>
      </c>
      <c r="G776" s="0" t="n">
        <v>-0.813824107707157</v>
      </c>
      <c r="H776" s="0" t="n">
        <v>-0.617814722045558</v>
      </c>
      <c r="I776" s="0" t="n">
        <v>0.324938900327958</v>
      </c>
      <c r="J776" s="0" t="n">
        <v>0.280844308466847</v>
      </c>
      <c r="K776" s="0" t="n">
        <v>0.202194584067234</v>
      </c>
      <c r="L776" s="0" t="n">
        <v>0.0704381217413713</v>
      </c>
      <c r="M776" s="0" t="n">
        <v>-0.0163649762580304</v>
      </c>
      <c r="N776" s="0" t="n">
        <v>-0.959654175412719</v>
      </c>
      <c r="O776" s="0" t="n">
        <v>-0.638132798748239</v>
      </c>
      <c r="P776" s="0" t="n">
        <v>-0.671592024992307</v>
      </c>
      <c r="Q776" s="0" t="n">
        <v>-0.606390525372538</v>
      </c>
      <c r="R776" s="0" t="n">
        <v>-0.786524166145831</v>
      </c>
      <c r="S776" s="0" t="n">
        <v>1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0</v>
      </c>
      <c r="Z776" s="0" t="n">
        <v>1</v>
      </c>
      <c r="AA776" s="0" t="n">
        <v>0</v>
      </c>
      <c r="AB776" s="0" t="n">
        <v>0</v>
      </c>
      <c r="AC776" s="0" t="n">
        <v>1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0</v>
      </c>
      <c r="AJ776" s="0" t="n">
        <v>0</v>
      </c>
    </row>
    <row r="777" customFormat="false" ht="15" hidden="false" customHeight="false" outlineLevel="0" collapsed="false">
      <c r="A777" s="0" t="s">
        <v>811</v>
      </c>
      <c r="B777" s="0" t="n">
        <v>1</v>
      </c>
      <c r="C777" s="0" t="n">
        <v>-0.881308123152912</v>
      </c>
      <c r="D777" s="0" t="n">
        <v>0.0283074555722408</v>
      </c>
      <c r="E777" s="0" t="n">
        <v>-0.231908265314721</v>
      </c>
      <c r="F777" s="0" t="n">
        <v>-1.05528461728382</v>
      </c>
      <c r="G777" s="0" t="n">
        <v>-0.849892206428794</v>
      </c>
      <c r="H777" s="0" t="n">
        <v>-0.653409224622332</v>
      </c>
      <c r="I777" s="0" t="n">
        <v>-0.147289176385482</v>
      </c>
      <c r="J777" s="0" t="n">
        <v>0.316513953286954</v>
      </c>
      <c r="K777" s="0" t="n">
        <v>-1.11803312641138</v>
      </c>
      <c r="L777" s="0" t="n">
        <v>-2.46809220666277</v>
      </c>
      <c r="M777" s="0" t="n">
        <v>-1.74574823815207</v>
      </c>
      <c r="N777" s="0" t="n">
        <v>-0.997257285695901</v>
      </c>
      <c r="O777" s="0" t="n">
        <v>-0.370701646826319</v>
      </c>
      <c r="P777" s="0" t="n">
        <v>-0.226490017417122</v>
      </c>
      <c r="Q777" s="0" t="n">
        <v>-0.0692391919317176</v>
      </c>
      <c r="R777" s="0" t="n">
        <v>-1.10824116603934</v>
      </c>
      <c r="S777" s="0" t="n">
        <v>1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  <c r="Y777" s="0" t="n">
        <v>1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1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</row>
    <row r="778" customFormat="false" ht="15" hidden="false" customHeight="false" outlineLevel="0" collapsed="false">
      <c r="A778" s="0" t="s">
        <v>812</v>
      </c>
      <c r="B778" s="0" t="n">
        <v>1</v>
      </c>
      <c r="C778" s="0" t="n">
        <v>-0.873969384329403</v>
      </c>
      <c r="D778" s="0" t="n">
        <v>-0.534711611765767</v>
      </c>
      <c r="E778" s="0" t="n">
        <v>-0.270618554059236</v>
      </c>
      <c r="F778" s="0" t="n">
        <v>-0.386388437713761</v>
      </c>
      <c r="G778" s="0" t="n">
        <v>-0.801013980366415</v>
      </c>
      <c r="H778" s="0" t="n">
        <v>-0.603556961509229</v>
      </c>
      <c r="I778" s="0" t="n">
        <v>0.0283634002664013</v>
      </c>
      <c r="J778" s="0" t="n">
        <v>-1.21433359479823</v>
      </c>
      <c r="K778" s="0" t="n">
        <v>2.01425180593186</v>
      </c>
      <c r="L778" s="0" t="n">
        <v>0.450276666692246</v>
      </c>
      <c r="M778" s="0" t="n">
        <v>0.850480347825389</v>
      </c>
      <c r="N778" s="0" t="n">
        <v>-0.266154190681905</v>
      </c>
      <c r="O778" s="0" t="n">
        <v>-0.686507417664415</v>
      </c>
      <c r="P778" s="0" t="n">
        <v>-0.518169733832976</v>
      </c>
      <c r="Q778" s="0" t="n">
        <v>-0.34770057660672</v>
      </c>
      <c r="R778" s="0" t="n">
        <v>0.222077916455726</v>
      </c>
      <c r="S778" s="0" t="n">
        <v>0</v>
      </c>
      <c r="T778" s="0" t="n">
        <v>1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1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</row>
    <row r="779" customFormat="false" ht="15" hidden="false" customHeight="false" outlineLevel="0" collapsed="false">
      <c r="A779" s="0" t="s">
        <v>813</v>
      </c>
      <c r="B779" s="0" t="n">
        <v>1</v>
      </c>
      <c r="C779" s="0" t="n">
        <v>-0.588261113041047</v>
      </c>
      <c r="D779" s="0" t="n">
        <v>-0.683786662255882</v>
      </c>
      <c r="E779" s="0" t="n">
        <v>-0.432135329786592</v>
      </c>
      <c r="F779" s="0" t="n">
        <v>0.222442589222843</v>
      </c>
      <c r="G779" s="0" t="n">
        <v>-0.283470608325435</v>
      </c>
      <c r="H779" s="0" t="n">
        <v>-0.133076275574628</v>
      </c>
      <c r="I779" s="0" t="n">
        <v>0.0978139526339154</v>
      </c>
      <c r="J779" s="0" t="n">
        <v>-0.757138884857951</v>
      </c>
      <c r="K779" s="0" t="n">
        <v>-0.717939225229161</v>
      </c>
      <c r="L779" s="0" t="n">
        <v>0.111910340477865</v>
      </c>
      <c r="M779" s="0" t="n">
        <v>-0.345014239657718</v>
      </c>
      <c r="N779" s="0" t="n">
        <v>-0.213345451103884</v>
      </c>
      <c r="O779" s="0" t="n">
        <v>0.58518663631242</v>
      </c>
      <c r="P779" s="0" t="n">
        <v>-0.202055450923691</v>
      </c>
      <c r="Q779" s="0" t="n">
        <v>-0.432104654738971</v>
      </c>
      <c r="R779" s="0" t="n">
        <v>-0.537654005814116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0</v>
      </c>
      <c r="Z779" s="0" t="n">
        <v>1</v>
      </c>
      <c r="AA779" s="0" t="n">
        <v>0</v>
      </c>
      <c r="AB779" s="0" t="n">
        <v>1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0</v>
      </c>
      <c r="AH779" s="0" t="n">
        <v>0</v>
      </c>
      <c r="AI779" s="0" t="n">
        <v>0.583946322738411</v>
      </c>
      <c r="AJ779" s="0" t="n">
        <v>0.333333333333333</v>
      </c>
    </row>
    <row r="780" customFormat="false" ht="15" hidden="false" customHeight="false" outlineLevel="0" collapsed="false">
      <c r="A780" s="0" t="s">
        <v>814</v>
      </c>
      <c r="B780" s="0" t="n">
        <v>1</v>
      </c>
      <c r="C780" s="0" t="n">
        <v>-0.972378899263184</v>
      </c>
      <c r="D780" s="0" t="n">
        <v>-0.688974308976344</v>
      </c>
      <c r="E780" s="0" t="n">
        <v>-0.444278971080396</v>
      </c>
      <c r="F780" s="0" t="n">
        <v>-0.234221705979362</v>
      </c>
      <c r="G780" s="0" t="n">
        <v>-0.71222093527153</v>
      </c>
      <c r="H780" s="0" t="n">
        <v>-0.515047265713444</v>
      </c>
      <c r="I780" s="0" t="n">
        <v>-0.711182504270235</v>
      </c>
      <c r="J780" s="0" t="n">
        <v>-0.428247231254618</v>
      </c>
      <c r="K780" s="0" t="n">
        <v>0.42492166109048</v>
      </c>
      <c r="L780" s="0" t="n">
        <v>1.13914718746922</v>
      </c>
      <c r="M780" s="0" t="n">
        <v>-0.330247621530434</v>
      </c>
      <c r="N780" s="0" t="n">
        <v>-0.793419660554281</v>
      </c>
      <c r="O780" s="0" t="n">
        <v>-0.82425272332604</v>
      </c>
      <c r="P780" s="0" t="n">
        <v>-0.686513773538876</v>
      </c>
      <c r="Q780" s="0" t="n">
        <v>-0.397471289728123</v>
      </c>
      <c r="R780" s="0" t="n">
        <v>-0.564393567141365</v>
      </c>
      <c r="S780" s="0" t="n">
        <v>0</v>
      </c>
      <c r="T780" s="0" t="n">
        <v>1</v>
      </c>
      <c r="U780" s="0" t="n">
        <v>0</v>
      </c>
      <c r="V780" s="0" t="n">
        <v>0</v>
      </c>
      <c r="W780" s="0" t="n">
        <v>0</v>
      </c>
      <c r="X780" s="0" t="n">
        <v>0</v>
      </c>
      <c r="Y780" s="0" t="n">
        <v>0</v>
      </c>
      <c r="Z780" s="0" t="n">
        <v>1</v>
      </c>
      <c r="AA780" s="0" t="n">
        <v>0</v>
      </c>
      <c r="AB780" s="0" t="n">
        <v>0</v>
      </c>
      <c r="AC780" s="0" t="n">
        <v>1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0</v>
      </c>
      <c r="AI780" s="0" t="n">
        <v>0.192268044643909</v>
      </c>
      <c r="AJ780" s="0" t="n">
        <v>0</v>
      </c>
    </row>
    <row r="781" customFormat="false" ht="15" hidden="false" customHeight="false" outlineLevel="0" collapsed="false">
      <c r="A781" s="0" t="s">
        <v>815</v>
      </c>
      <c r="B781" s="0" t="n">
        <v>1</v>
      </c>
      <c r="C781" s="0" t="n">
        <v>-0.0729817090363408</v>
      </c>
      <c r="D781" s="0" t="n">
        <v>0.0258617356627099</v>
      </c>
      <c r="E781" s="0" t="n">
        <v>-0.116130528677083</v>
      </c>
      <c r="F781" s="0" t="n">
        <v>-0.394908986562728</v>
      </c>
      <c r="G781" s="0" t="n">
        <v>-0.152259902176525</v>
      </c>
      <c r="H781" s="0" t="n">
        <v>0.0518075469845874</v>
      </c>
      <c r="I781" s="0" t="n">
        <v>1.29313609573506</v>
      </c>
      <c r="J781" s="0" t="n">
        <v>-0.17416085347211</v>
      </c>
      <c r="K781" s="0" t="n">
        <v>-0.549083120026522</v>
      </c>
      <c r="L781" s="0" t="n">
        <v>-2.01127779175442</v>
      </c>
      <c r="M781" s="0" t="n">
        <v>-2.00012249627007</v>
      </c>
      <c r="N781" s="0" t="n">
        <v>-0.00930234448530672</v>
      </c>
      <c r="O781" s="0" t="n">
        <v>0.188209251145126</v>
      </c>
      <c r="P781" s="0" t="n">
        <v>0.0565589557238305</v>
      </c>
      <c r="Q781" s="0" t="n">
        <v>0.282957910131653</v>
      </c>
      <c r="R781" s="0" t="n">
        <v>-0.471239141747769</v>
      </c>
      <c r="S781" s="0" t="n">
        <v>0</v>
      </c>
      <c r="T781" s="0" t="n">
        <v>0</v>
      </c>
      <c r="U781" s="0" t="n">
        <v>0</v>
      </c>
      <c r="V781" s="0" t="n">
        <v>1</v>
      </c>
      <c r="W781" s="0" t="n">
        <v>1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0</v>
      </c>
      <c r="AI781" s="0" t="n">
        <v>0</v>
      </c>
      <c r="AJ781" s="0" t="n">
        <v>0</v>
      </c>
    </row>
    <row r="782" customFormat="false" ht="15" hidden="false" customHeight="false" outlineLevel="0" collapsed="false">
      <c r="A782" s="0" t="s">
        <v>816</v>
      </c>
      <c r="B782" s="0" t="n">
        <v>1</v>
      </c>
      <c r="C782" s="0" t="n">
        <v>-0.792034271610696</v>
      </c>
      <c r="D782" s="0" t="n">
        <v>-0.0261173045655159</v>
      </c>
      <c r="E782" s="0" t="n">
        <v>-0.452125386968124</v>
      </c>
      <c r="F782" s="0" t="n">
        <v>-0.932354804533969</v>
      </c>
      <c r="G782" s="0" t="n">
        <v>-0.492546680569629</v>
      </c>
      <c r="H782" s="0" t="n">
        <v>-0.320905981904856</v>
      </c>
      <c r="I782" s="0" t="n">
        <v>1.72977189156057</v>
      </c>
      <c r="J782" s="0" t="n">
        <v>-1.83943749439042</v>
      </c>
      <c r="K782" s="0" t="n">
        <v>1.72460417190577</v>
      </c>
      <c r="L782" s="0" t="n">
        <v>-1.20866879018491</v>
      </c>
      <c r="M782" s="0" t="n">
        <v>1.64282825049869</v>
      </c>
      <c r="N782" s="0" t="n">
        <v>0.313714537291535</v>
      </c>
      <c r="O782" s="0" t="n">
        <v>-0.026714003905438</v>
      </c>
      <c r="P782" s="0" t="n">
        <v>-0.0549427172879141</v>
      </c>
      <c r="Q782" s="0" t="n">
        <v>-0.00526173439696939</v>
      </c>
      <c r="R782" s="0" t="n">
        <v>0.769904556353748</v>
      </c>
      <c r="S782" s="0" t="n">
        <v>0</v>
      </c>
      <c r="T782" s="0" t="n">
        <v>1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1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</row>
    <row r="783" customFormat="false" ht="15" hidden="false" customHeight="false" outlineLevel="0" collapsed="false">
      <c r="A783" s="0" t="s">
        <v>817</v>
      </c>
      <c r="B783" s="0" t="n">
        <v>1</v>
      </c>
      <c r="C783" s="0" t="n">
        <v>-0.512448621604634</v>
      </c>
      <c r="D783" s="0" t="n">
        <v>0.0770693230418145</v>
      </c>
      <c r="E783" s="0" t="n">
        <v>-0.423332017257486</v>
      </c>
      <c r="F783" s="0" t="n">
        <v>-0.803243796769385</v>
      </c>
      <c r="G783" s="0" t="n">
        <v>-0.208643942448564</v>
      </c>
      <c r="H783" s="0" t="n">
        <v>-0.0646883049286337</v>
      </c>
      <c r="I783" s="0" t="n">
        <v>-0.189901600469471</v>
      </c>
      <c r="J783" s="0" t="n">
        <v>-0.067659484746046</v>
      </c>
      <c r="K783" s="0" t="n">
        <v>-0.149766442883367</v>
      </c>
      <c r="L783" s="0" t="n">
        <v>0.131698260101833</v>
      </c>
      <c r="M783" s="0" t="n">
        <v>-0.107974637549722</v>
      </c>
      <c r="N783" s="0" t="n">
        <v>-0.180160192575284</v>
      </c>
      <c r="O783" s="0" t="n">
        <v>-0.319185332251216</v>
      </c>
      <c r="P783" s="0" t="n">
        <v>-0.335176607133119</v>
      </c>
      <c r="Q783" s="0" t="n">
        <v>-0.300944850024711</v>
      </c>
      <c r="R783" s="0" t="n">
        <v>-0.248813617506255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1</v>
      </c>
      <c r="AI783" s="0" t="n">
        <v>0</v>
      </c>
      <c r="AJ783" s="0" t="n">
        <v>0</v>
      </c>
    </row>
    <row r="784" customFormat="false" ht="15" hidden="false" customHeight="false" outlineLevel="0" collapsed="false">
      <c r="A784" s="0" t="s">
        <v>818</v>
      </c>
      <c r="B784" s="0" t="n">
        <v>1</v>
      </c>
      <c r="C784" s="0" t="n">
        <v>-0.663181255025141</v>
      </c>
      <c r="D784" s="0" t="n">
        <v>0.084284725218878</v>
      </c>
      <c r="E784" s="0" t="n">
        <v>-0.421992551374901</v>
      </c>
      <c r="F784" s="0" t="n">
        <v>-0.929674535126925</v>
      </c>
      <c r="G784" s="0" t="n">
        <v>-0.383725227032563</v>
      </c>
      <c r="H784" s="0" t="n">
        <v>-0.221249564008846</v>
      </c>
      <c r="I784" s="0" t="n">
        <v>-0.804658634903928</v>
      </c>
      <c r="J784" s="0" t="n">
        <v>1.38560954463396</v>
      </c>
      <c r="K784" s="0" t="n">
        <v>-0.785817688346312</v>
      </c>
      <c r="L784" s="0" t="n">
        <v>-1.21994234894272</v>
      </c>
      <c r="M784" s="0" t="n">
        <v>-0.456637667162516</v>
      </c>
      <c r="N784" s="0" t="n">
        <v>-1.14705328239776</v>
      </c>
      <c r="O784" s="0" t="n">
        <v>1.10290853826027</v>
      </c>
      <c r="P784" s="0" t="n">
        <v>-0.348942072793932</v>
      </c>
      <c r="Q784" s="0" t="n">
        <v>-0.386139087036233</v>
      </c>
      <c r="R784" s="0" t="n">
        <v>0.116139931410285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  <c r="Z784" s="0" t="n">
        <v>1</v>
      </c>
      <c r="AA784" s="0" t="n">
        <v>0</v>
      </c>
      <c r="AB784" s="0" t="n">
        <v>1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</row>
    <row r="785" customFormat="false" ht="15" hidden="false" customHeight="false" outlineLevel="0" collapsed="false">
      <c r="A785" s="0" t="s">
        <v>819</v>
      </c>
      <c r="B785" s="0" t="n">
        <v>1</v>
      </c>
      <c r="C785" s="0" t="n">
        <v>-0.803992237050378</v>
      </c>
      <c r="D785" s="0" t="n">
        <v>-0.59443602745183</v>
      </c>
      <c r="E785" s="0" t="n">
        <v>-0.467147287682818</v>
      </c>
      <c r="F785" s="0" t="n">
        <v>-0.20753142682224</v>
      </c>
      <c r="G785" s="0" t="n">
        <v>-0.486614596828837</v>
      </c>
      <c r="H785" s="0" t="n">
        <v>-0.316794911444717</v>
      </c>
      <c r="I785" s="0" t="n">
        <v>-0.126937169391031</v>
      </c>
      <c r="J785" s="0" t="n">
        <v>-0.067659484746046</v>
      </c>
      <c r="K785" s="0" t="n">
        <v>-0.149766442883367</v>
      </c>
      <c r="L785" s="0" t="n">
        <v>0.131698260101833</v>
      </c>
      <c r="M785" s="0" t="n">
        <v>-0.107974637549722</v>
      </c>
      <c r="N785" s="0" t="n">
        <v>-0.180160192575284</v>
      </c>
      <c r="O785" s="0" t="n">
        <v>-0.319185332251216</v>
      </c>
      <c r="P785" s="0" t="n">
        <v>-0.335176607133119</v>
      </c>
      <c r="Q785" s="0" t="n">
        <v>-0.300944850024711</v>
      </c>
      <c r="R785" s="0" t="n">
        <v>-0.248813617506255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1</v>
      </c>
      <c r="AI785" s="0" t="n">
        <v>0</v>
      </c>
      <c r="AJ785" s="0" t="n">
        <v>0</v>
      </c>
    </row>
    <row r="786" customFormat="false" ht="15" hidden="false" customHeight="false" outlineLevel="0" collapsed="false">
      <c r="A786" s="0" t="s">
        <v>820</v>
      </c>
      <c r="B786" s="0" t="n">
        <v>1</v>
      </c>
      <c r="C786" s="0" t="n">
        <v>-0.865606892495826</v>
      </c>
      <c r="D786" s="0" t="n">
        <v>-1.02168246699274</v>
      </c>
      <c r="E786" s="0" t="n">
        <v>-0.941058623616405</v>
      </c>
      <c r="F786" s="0" t="n">
        <v>0.743611389150378</v>
      </c>
      <c r="G786" s="0" t="n">
        <v>0.235582482672647</v>
      </c>
      <c r="H786" s="0" t="n">
        <v>0.137676986858614</v>
      </c>
      <c r="I786" s="0" t="n">
        <v>-0.586073633637189</v>
      </c>
      <c r="J786" s="0" t="n">
        <v>1.09969492451585</v>
      </c>
      <c r="K786" s="0" t="n">
        <v>-0.608503699570339</v>
      </c>
      <c r="L786" s="0" t="n">
        <v>-0.805003122298217</v>
      </c>
      <c r="M786" s="0" t="n">
        <v>-0.229368235089834</v>
      </c>
      <c r="N786" s="0" t="n">
        <v>-1.22739653988805</v>
      </c>
      <c r="O786" s="0" t="n">
        <v>0.473469368371614</v>
      </c>
      <c r="P786" s="0" t="n">
        <v>1.28469470924363</v>
      </c>
      <c r="Q786" s="0" t="n">
        <v>0.154244383496964</v>
      </c>
      <c r="R786" s="0" t="n">
        <v>-0.0166902772622725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1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1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</row>
    <row r="787" customFormat="false" ht="15" hidden="false" customHeight="false" outlineLevel="0" collapsed="false">
      <c r="A787" s="0" t="s">
        <v>821</v>
      </c>
      <c r="B787" s="0" t="n">
        <v>1</v>
      </c>
      <c r="C787" s="0" t="n">
        <v>-0.540437046501079</v>
      </c>
      <c r="D787" s="0" t="n">
        <v>-1.00476715793492</v>
      </c>
      <c r="E787" s="0" t="n">
        <v>-1.02682964880757</v>
      </c>
      <c r="F787" s="0" t="n">
        <v>1.19581569631607</v>
      </c>
      <c r="G787" s="0" t="n">
        <v>0.952390845626939</v>
      </c>
      <c r="H787" s="0" t="n">
        <v>0.56599013840464</v>
      </c>
      <c r="I787" s="0" t="n">
        <v>-0.0599211402293951</v>
      </c>
      <c r="J787" s="0" t="n">
        <v>0.412793348793331</v>
      </c>
      <c r="K787" s="0" t="n">
        <v>0.0454536901160895</v>
      </c>
      <c r="L787" s="0" t="n">
        <v>-0.0280514339100785</v>
      </c>
      <c r="M787" s="0" t="n">
        <v>-0.162994704703404</v>
      </c>
      <c r="N787" s="0" t="n">
        <v>-0.725610773158379</v>
      </c>
      <c r="O787" s="0" t="n">
        <v>-0.657556753337845</v>
      </c>
      <c r="P787" s="0" t="n">
        <v>-0.247097280260915</v>
      </c>
      <c r="Q787" s="0" t="n">
        <v>-0.178472903568406</v>
      </c>
      <c r="R787" s="0" t="n">
        <v>-0.310099027456924</v>
      </c>
      <c r="S787" s="0" t="n">
        <v>1</v>
      </c>
      <c r="T787" s="0" t="n">
        <v>0</v>
      </c>
      <c r="U787" s="0" t="n">
        <v>0</v>
      </c>
      <c r="V787" s="0" t="n">
        <v>0</v>
      </c>
      <c r="W787" s="0" t="n">
        <v>1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</row>
    <row r="788" customFormat="false" ht="15" hidden="false" customHeight="false" outlineLevel="0" collapsed="false">
      <c r="A788" s="0" t="s">
        <v>822</v>
      </c>
      <c r="B788" s="0" t="n">
        <v>1</v>
      </c>
      <c r="C788" s="0" t="n">
        <v>-0.832455330286031</v>
      </c>
      <c r="D788" s="0" t="n">
        <v>-1.11734593157359</v>
      </c>
      <c r="E788" s="0" t="n">
        <v>-1.02660352399376</v>
      </c>
      <c r="F788" s="0" t="n">
        <v>1.14799060779056</v>
      </c>
      <c r="G788" s="0" t="n">
        <v>0.484288385261605</v>
      </c>
      <c r="H788" s="0" t="n">
        <v>0.265268495258622</v>
      </c>
      <c r="I788" s="0" t="n">
        <v>-0.767344266375605</v>
      </c>
      <c r="J788" s="0" t="n">
        <v>0.353506846240381</v>
      </c>
      <c r="K788" s="0" t="n">
        <v>0.933003563766249</v>
      </c>
      <c r="L788" s="0" t="n">
        <v>-0.45867137359574</v>
      </c>
      <c r="M788" s="0" t="n">
        <v>-0.15684437583193</v>
      </c>
      <c r="N788" s="0" t="n">
        <v>-0.966024101198395</v>
      </c>
      <c r="O788" s="0" t="n">
        <v>1.07989003661268</v>
      </c>
      <c r="P788" s="0" t="n">
        <v>1.34725808994231</v>
      </c>
      <c r="Q788" s="0" t="n">
        <v>0.512717514891321</v>
      </c>
      <c r="R788" s="0" t="n">
        <v>0.755214100142962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1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0</v>
      </c>
    </row>
    <row r="789" customFormat="false" ht="15" hidden="false" customHeight="false" outlineLevel="0" collapsed="false">
      <c r="A789" s="0" t="s">
        <v>823</v>
      </c>
      <c r="B789" s="0" t="n">
        <v>1</v>
      </c>
      <c r="C789" s="0" t="n">
        <v>-1.08406962726374</v>
      </c>
      <c r="D789" s="0" t="n">
        <v>-0.979015112343569</v>
      </c>
      <c r="E789" s="0" t="n">
        <v>-1.11071689595276</v>
      </c>
      <c r="F789" s="0" t="n">
        <v>0.274224930614874</v>
      </c>
      <c r="G789" s="0" t="n">
        <v>0.276067086893188</v>
      </c>
      <c r="H789" s="0" t="n">
        <v>0.0982835852589132</v>
      </c>
      <c r="I789" s="0" t="n">
        <v>-0.409577864087287</v>
      </c>
      <c r="J789" s="0" t="n">
        <v>0.298067581274814</v>
      </c>
      <c r="K789" s="0" t="n">
        <v>-0.412078035822679</v>
      </c>
      <c r="L789" s="0" t="n">
        <v>0.103805515381587</v>
      </c>
      <c r="M789" s="0" t="n">
        <v>-0.616248643510355</v>
      </c>
      <c r="N789" s="0" t="n">
        <v>-1.17561520769482</v>
      </c>
      <c r="O789" s="0" t="n">
        <v>-0.665015933328472</v>
      </c>
      <c r="P789" s="0" t="n">
        <v>-0.694584902800697</v>
      </c>
      <c r="Q789" s="0" t="n">
        <v>-0.397852231940802</v>
      </c>
      <c r="R789" s="0" t="n">
        <v>-0.645326722160344</v>
      </c>
      <c r="S789" s="0" t="n">
        <v>0</v>
      </c>
      <c r="T789" s="0" t="n">
        <v>1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1</v>
      </c>
      <c r="AA789" s="0" t="n">
        <v>0</v>
      </c>
      <c r="AB789" s="0" t="n">
        <v>1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</row>
    <row r="790" customFormat="false" ht="15" hidden="false" customHeight="false" outlineLevel="0" collapsed="false">
      <c r="A790" s="0" t="s">
        <v>824</v>
      </c>
      <c r="B790" s="0" t="n">
        <v>1</v>
      </c>
      <c r="C790" s="0" t="n">
        <v>-1.19624367337055</v>
      </c>
      <c r="D790" s="0" t="n">
        <v>-1.09479113793535</v>
      </c>
      <c r="E790" s="0" t="n">
        <v>-1.09650281046868</v>
      </c>
      <c r="F790" s="0" t="n">
        <v>0.442125062901947</v>
      </c>
      <c r="G790" s="0" t="n">
        <v>0.0534851379864586</v>
      </c>
      <c r="H790" s="0" t="n">
        <v>-0.0326713617804438</v>
      </c>
      <c r="I790" s="0" t="n">
        <v>-0.81257326266716</v>
      </c>
      <c r="J790" s="0" t="n">
        <v>-0.377530740586167</v>
      </c>
      <c r="K790" s="0" t="n">
        <v>-0.293085059521261</v>
      </c>
      <c r="L790" s="0" t="n">
        <v>-0.47908600852457</v>
      </c>
      <c r="M790" s="0" t="n">
        <v>-0.459938441302156</v>
      </c>
      <c r="N790" s="0" t="n">
        <v>-1.04575091425782</v>
      </c>
      <c r="O790" s="0" t="n">
        <v>-0.657275695946169</v>
      </c>
      <c r="P790" s="0" t="n">
        <v>-0.603002909590558</v>
      </c>
      <c r="Q790" s="0" t="n">
        <v>-0.260375242255559</v>
      </c>
      <c r="R790" s="0" t="n">
        <v>-0.0740227779603545</v>
      </c>
      <c r="S790" s="0" t="n">
        <v>1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1</v>
      </c>
      <c r="AA790" s="0" t="n">
        <v>0</v>
      </c>
      <c r="AB790" s="0" t="n">
        <v>0</v>
      </c>
      <c r="AC790" s="0" t="n">
        <v>1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0</v>
      </c>
      <c r="AJ790" s="0" t="n">
        <v>0</v>
      </c>
    </row>
    <row r="791" customFormat="false" ht="15" hidden="false" customHeight="false" outlineLevel="0" collapsed="false">
      <c r="A791" s="0" t="s">
        <v>825</v>
      </c>
      <c r="B791" s="0" t="n">
        <v>1</v>
      </c>
      <c r="C791" s="0" t="n">
        <v>-1.21491765284235</v>
      </c>
      <c r="D791" s="0" t="n">
        <v>-1.2920940839982</v>
      </c>
      <c r="E791" s="0" t="n">
        <v>-1.15060972171745</v>
      </c>
      <c r="F791" s="0" t="n">
        <v>1.19670232662069</v>
      </c>
      <c r="G791" s="0" t="n">
        <v>0.148592743476524</v>
      </c>
      <c r="H791" s="0" t="n">
        <v>0.00723970223056828</v>
      </c>
      <c r="I791" s="0" t="n">
        <v>-1.08853198289437</v>
      </c>
      <c r="J791" s="0" t="n">
        <v>-0.586917567338095</v>
      </c>
      <c r="K791" s="0" t="n">
        <v>-0.404613091712328</v>
      </c>
      <c r="L791" s="0" t="n">
        <v>-1.10218597373674</v>
      </c>
      <c r="M791" s="0" t="n">
        <v>0.0207294003609114</v>
      </c>
      <c r="N791" s="0" t="n">
        <v>-0.981229730493233</v>
      </c>
      <c r="O791" s="0" t="n">
        <v>-0.738476532788454</v>
      </c>
      <c r="P791" s="0" t="n">
        <v>-0.691850955214918</v>
      </c>
      <c r="Q791" s="0" t="n">
        <v>-0.380830051625947</v>
      </c>
      <c r="R791" s="0" t="n">
        <v>-0.213769625084105</v>
      </c>
      <c r="S791" s="0" t="n">
        <v>0</v>
      </c>
      <c r="T791" s="0" t="n">
        <v>1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0</v>
      </c>
      <c r="Z791" s="0" t="n">
        <v>1</v>
      </c>
      <c r="AA791" s="0" t="n">
        <v>0</v>
      </c>
      <c r="AB791" s="0" t="n">
        <v>1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J791" s="0" t="n">
        <v>0</v>
      </c>
    </row>
    <row r="792" customFormat="false" ht="15" hidden="false" customHeight="false" outlineLevel="0" collapsed="false">
      <c r="A792" s="0" t="s">
        <v>826</v>
      </c>
      <c r="B792" s="0" t="n">
        <v>1</v>
      </c>
      <c r="C792" s="0" t="n">
        <v>-1.45359864274911</v>
      </c>
      <c r="D792" s="0" t="n">
        <v>-1.06467934642539</v>
      </c>
      <c r="E792" s="0" t="n">
        <v>-1.3613820965928</v>
      </c>
      <c r="F792" s="0" t="n">
        <v>-0.077317867626125</v>
      </c>
      <c r="G792" s="0" t="n">
        <v>0.26110039283778</v>
      </c>
      <c r="H792" s="0" t="n">
        <v>-0.00802963637225052</v>
      </c>
      <c r="I792" s="0" t="n">
        <v>0.461675826944776</v>
      </c>
      <c r="J792" s="0" t="n">
        <v>-0.607105479156462</v>
      </c>
      <c r="K792" s="0" t="n">
        <v>-0.185533618407964</v>
      </c>
      <c r="L792" s="0" t="n">
        <v>-0.0828484439089061</v>
      </c>
      <c r="M792" s="0" t="n">
        <v>0.502786109256808</v>
      </c>
      <c r="N792" s="0" t="n">
        <v>-1.22945135465763</v>
      </c>
      <c r="O792" s="0" t="n">
        <v>-0.0194913155039371</v>
      </c>
      <c r="P792" s="0" t="n">
        <v>-0.587352186843355</v>
      </c>
      <c r="Q792" s="0" t="n">
        <v>-0.363682935022236</v>
      </c>
      <c r="R792" s="0" t="n">
        <v>0.0400694199335955</v>
      </c>
      <c r="S792" s="0" t="n">
        <v>0</v>
      </c>
      <c r="T792" s="0" t="n">
        <v>1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0</v>
      </c>
      <c r="Z792" s="0" t="n">
        <v>1</v>
      </c>
      <c r="AA792" s="0" t="n">
        <v>0</v>
      </c>
      <c r="AB792" s="0" t="n">
        <v>0</v>
      </c>
      <c r="AC792" s="0" t="n">
        <v>1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</row>
    <row r="793" customFormat="false" ht="15" hidden="false" customHeight="false" outlineLevel="0" collapsed="false">
      <c r="A793" s="0" t="s">
        <v>827</v>
      </c>
      <c r="B793" s="0" t="n">
        <v>1</v>
      </c>
      <c r="C793" s="0" t="n">
        <v>-0.685307611118491</v>
      </c>
      <c r="D793" s="0" t="n">
        <v>-1.31653987454402</v>
      </c>
      <c r="E793" s="0" t="n">
        <v>-1.36586372674828</v>
      </c>
      <c r="F793" s="0" t="n">
        <v>2.46396923040535</v>
      </c>
      <c r="G793" s="0" t="n">
        <v>1.85280938338432</v>
      </c>
      <c r="H793" s="0" t="n">
        <v>0.78740689206407</v>
      </c>
      <c r="I793" s="0" t="n">
        <v>-0.460607041759526</v>
      </c>
      <c r="J793" s="0" t="n">
        <v>-0.067659484746046</v>
      </c>
      <c r="K793" s="0" t="n">
        <v>-0.149766442883367</v>
      </c>
      <c r="L793" s="0" t="n">
        <v>0.131698260101833</v>
      </c>
      <c r="M793" s="0" t="n">
        <v>-0.107974637549722</v>
      </c>
      <c r="N793" s="0" t="n">
        <v>-0.180160192575284</v>
      </c>
      <c r="O793" s="0" t="n">
        <v>-0.319185332251216</v>
      </c>
      <c r="P793" s="0" t="n">
        <v>-0.335176607133119</v>
      </c>
      <c r="Q793" s="0" t="n">
        <v>-0.300944850024711</v>
      </c>
      <c r="R793" s="0" t="n">
        <v>-0.248813617506255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1</v>
      </c>
      <c r="AI793" s="0" t="n">
        <v>0.223703371581384</v>
      </c>
      <c r="AJ793" s="0" t="n">
        <v>0.333333333333333</v>
      </c>
    </row>
    <row r="794" customFormat="false" ht="15" hidden="false" customHeight="false" outlineLevel="0" collapsed="false">
      <c r="A794" s="0" t="s">
        <v>828</v>
      </c>
      <c r="B794" s="0" t="n">
        <v>1</v>
      </c>
      <c r="C794" s="0" t="n">
        <v>-0.56940777837831</v>
      </c>
      <c r="D794" s="0" t="n">
        <v>-0.153352215684078</v>
      </c>
      <c r="E794" s="0" t="n">
        <v>-0.850825405814839</v>
      </c>
      <c r="F794" s="0" t="n">
        <v>-0.606187515542112</v>
      </c>
      <c r="G794" s="0" t="n">
        <v>0.475904423705496</v>
      </c>
      <c r="H794" s="0" t="n">
        <v>0.343850284730757</v>
      </c>
      <c r="I794" s="0" t="n">
        <v>1.68597635691234</v>
      </c>
      <c r="J794" s="0" t="n">
        <v>-1.15330233447715</v>
      </c>
      <c r="K794" s="0" t="n">
        <v>0.980306401856557</v>
      </c>
      <c r="L794" s="0" t="n">
        <v>-0.654563805188615</v>
      </c>
      <c r="M794" s="0" t="n">
        <v>1.94855620073958</v>
      </c>
      <c r="N794" s="0" t="n">
        <v>0.0628216539266977</v>
      </c>
      <c r="O794" s="0" t="n">
        <v>-0.778882601115546</v>
      </c>
      <c r="P794" s="0" t="n">
        <v>-0.627497311155726</v>
      </c>
      <c r="Q794" s="0" t="n">
        <v>-0.606039940941424</v>
      </c>
      <c r="R794" s="0" t="n">
        <v>-0.264008508076293</v>
      </c>
      <c r="S794" s="0" t="n">
        <v>0</v>
      </c>
      <c r="T794" s="0" t="n">
        <v>1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1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0.716362857433439</v>
      </c>
      <c r="AJ794" s="0" t="n">
        <v>0.666666666666667</v>
      </c>
    </row>
    <row r="795" customFormat="false" ht="15" hidden="false" customHeight="false" outlineLevel="0" collapsed="false">
      <c r="A795" s="0" t="s">
        <v>829</v>
      </c>
      <c r="B795" s="0" t="n">
        <v>1</v>
      </c>
      <c r="C795" s="0" t="n">
        <v>-0.444723986352038</v>
      </c>
      <c r="D795" s="0" t="n">
        <v>-0.300190827865643</v>
      </c>
      <c r="E795" s="0" t="n">
        <v>-0.853588223128214</v>
      </c>
      <c r="F795" s="0" t="n">
        <v>-0.300258802800735</v>
      </c>
      <c r="G795" s="0" t="n">
        <v>0.661371176850248</v>
      </c>
      <c r="H795" s="0" t="n">
        <v>0.475163760423717</v>
      </c>
      <c r="I795" s="0" t="n">
        <v>1.2054082727158</v>
      </c>
      <c r="J795" s="0" t="n">
        <v>0.0429783742531218</v>
      </c>
      <c r="K795" s="0" t="n">
        <v>-0.830265480376379</v>
      </c>
      <c r="L795" s="0" t="n">
        <v>-0.783384014210545</v>
      </c>
      <c r="M795" s="0" t="n">
        <v>-0.193951843021782</v>
      </c>
      <c r="N795" s="0" t="n">
        <v>-0.48088233410226</v>
      </c>
      <c r="O795" s="0" t="n">
        <v>-0.106968299573128</v>
      </c>
      <c r="P795" s="0" t="n">
        <v>-0.174703641956956</v>
      </c>
      <c r="Q795" s="0" t="n">
        <v>0.239341460519894</v>
      </c>
      <c r="R795" s="0" t="n">
        <v>-0.687548035228124</v>
      </c>
      <c r="S795" s="0" t="n">
        <v>0</v>
      </c>
      <c r="T795" s="0" t="n">
        <v>0</v>
      </c>
      <c r="U795" s="0" t="n">
        <v>0</v>
      </c>
      <c r="V795" s="0" t="n">
        <v>1</v>
      </c>
      <c r="W795" s="0" t="n">
        <v>0</v>
      </c>
      <c r="X795" s="0" t="n">
        <v>0</v>
      </c>
      <c r="Y795" s="0" t="n">
        <v>0</v>
      </c>
      <c r="Z795" s="0" t="n">
        <v>1</v>
      </c>
      <c r="AA795" s="0" t="n">
        <v>0</v>
      </c>
      <c r="AB795" s="0" t="n">
        <v>0</v>
      </c>
      <c r="AC795" s="0" t="n">
        <v>1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  <c r="AI795" s="0" t="n">
        <v>0.67052633658459</v>
      </c>
      <c r="AJ795" s="0" t="n">
        <v>0</v>
      </c>
    </row>
    <row r="796" customFormat="false" ht="15" hidden="false" customHeight="false" outlineLevel="0" collapsed="false">
      <c r="A796" s="0" t="s">
        <v>830</v>
      </c>
      <c r="B796" s="0" t="n">
        <v>1</v>
      </c>
      <c r="C796" s="0" t="n">
        <v>-0.26013152548401</v>
      </c>
      <c r="D796" s="0" t="n">
        <v>-0.325138203688141</v>
      </c>
      <c r="E796" s="0" t="n">
        <v>-0.821699002845787</v>
      </c>
      <c r="F796" s="0" t="n">
        <v>-0.0843807192224646</v>
      </c>
      <c r="G796" s="0" t="n">
        <v>0.849961215798557</v>
      </c>
      <c r="H796" s="0" t="n">
        <v>0.630254419436526</v>
      </c>
      <c r="I796" s="0" t="n">
        <v>0.710006608038651</v>
      </c>
      <c r="J796" s="0" t="n">
        <v>-0.067659484746046</v>
      </c>
      <c r="K796" s="0" t="n">
        <v>-0.149766442883367</v>
      </c>
      <c r="L796" s="0" t="n">
        <v>0.131698260101833</v>
      </c>
      <c r="M796" s="0" t="n">
        <v>-0.107974637549722</v>
      </c>
      <c r="N796" s="0" t="n">
        <v>-0.180160192575284</v>
      </c>
      <c r="O796" s="0" t="n">
        <v>-0.319185332251216</v>
      </c>
      <c r="P796" s="0" t="n">
        <v>-0.335176607133119</v>
      </c>
      <c r="Q796" s="0" t="n">
        <v>-0.300944850024711</v>
      </c>
      <c r="R796" s="0" t="n">
        <v>-0.248813617506255</v>
      </c>
      <c r="S796" s="0" t="n">
        <v>0</v>
      </c>
      <c r="T796" s="0" t="n">
        <v>0</v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1.06988312540901</v>
      </c>
      <c r="AJ796" s="0" t="n">
        <v>0.333333333333333</v>
      </c>
    </row>
    <row r="797" customFormat="false" ht="15" hidden="false" customHeight="false" outlineLevel="0" collapsed="false">
      <c r="A797" s="0" t="s">
        <v>831</v>
      </c>
      <c r="B797" s="0" t="n">
        <v>1</v>
      </c>
      <c r="C797" s="0" t="n">
        <v>-0.549618066378723</v>
      </c>
      <c r="D797" s="0" t="n">
        <v>-0.273245796868943</v>
      </c>
      <c r="E797" s="0" t="n">
        <v>-0.773977445280884</v>
      </c>
      <c r="F797" s="0" t="n">
        <v>-0.437570976954665</v>
      </c>
      <c r="G797" s="0" t="n">
        <v>0.341859125800648</v>
      </c>
      <c r="H797" s="0" t="n">
        <v>0.280236780547658</v>
      </c>
      <c r="I797" s="0" t="n">
        <v>0.71306469314528</v>
      </c>
      <c r="J797" s="0" t="n">
        <v>-1.64239877978664</v>
      </c>
      <c r="K797" s="0" t="n">
        <v>1.42015794932728</v>
      </c>
      <c r="L797" s="0" t="n">
        <v>0.423274004074761</v>
      </c>
      <c r="M797" s="0" t="n">
        <v>-0.912335426670423</v>
      </c>
      <c r="N797" s="0" t="n">
        <v>0.474401052272127</v>
      </c>
      <c r="O797" s="0" t="n">
        <v>-0.693789457498018</v>
      </c>
      <c r="P797" s="0" t="n">
        <v>-0.265389812142916</v>
      </c>
      <c r="Q797" s="0" t="n">
        <v>-0.559296130905145</v>
      </c>
      <c r="R797" s="0" t="n">
        <v>-0.256291336453802</v>
      </c>
      <c r="S797" s="0" t="n">
        <v>0</v>
      </c>
      <c r="T797" s="0" t="n">
        <v>1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1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1.61315383666835</v>
      </c>
      <c r="AJ797" s="0" t="n">
        <v>0.666666666666667</v>
      </c>
    </row>
    <row r="798" customFormat="false" ht="15" hidden="false" customHeight="false" outlineLevel="0" collapsed="false">
      <c r="A798" s="0" t="s">
        <v>832</v>
      </c>
      <c r="B798" s="0" t="n">
        <v>1</v>
      </c>
      <c r="C798" s="0" t="n">
        <v>-0.698880900660649</v>
      </c>
      <c r="D798" s="0" t="n">
        <v>-0.130749391163359</v>
      </c>
      <c r="E798" s="0" t="n">
        <v>-0.665996919009375</v>
      </c>
      <c r="F798" s="0" t="n">
        <v>-0.746129094257507</v>
      </c>
      <c r="G798" s="0" t="n">
        <v>-0.057720626769538</v>
      </c>
      <c r="H798" s="0" t="n">
        <v>0.0086549242814728</v>
      </c>
      <c r="I798" s="0" t="n">
        <v>0.440884315728419</v>
      </c>
      <c r="J798" s="0" t="n">
        <v>-1.20809529342585</v>
      </c>
      <c r="K798" s="0" t="n">
        <v>-0.586117673310042</v>
      </c>
      <c r="L798" s="0" t="n">
        <v>-0.640776943265573</v>
      </c>
      <c r="M798" s="0" t="n">
        <v>-0.152641658445363</v>
      </c>
      <c r="N798" s="0" t="n">
        <v>-0.0563576027085232</v>
      </c>
      <c r="O798" s="0" t="n">
        <v>0.752951077891662</v>
      </c>
      <c r="P798" s="0" t="n">
        <v>-0.278291903187988</v>
      </c>
      <c r="Q798" s="0" t="n">
        <v>-0.217454080684061</v>
      </c>
      <c r="R798" s="0" t="n">
        <v>-0.641893042468081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0</v>
      </c>
      <c r="Z798" s="0" t="n">
        <v>1</v>
      </c>
      <c r="AA798" s="0" t="n">
        <v>0</v>
      </c>
      <c r="AB798" s="0" t="n">
        <v>0</v>
      </c>
      <c r="AC798" s="0" t="n">
        <v>1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1.0965732842612</v>
      </c>
      <c r="AJ798" s="0" t="n">
        <v>0</v>
      </c>
    </row>
    <row r="799" customFormat="false" ht="15" hidden="false" customHeight="false" outlineLevel="0" collapsed="false">
      <c r="A799" s="0" t="s">
        <v>833</v>
      </c>
      <c r="B799" s="0" t="n">
        <v>1</v>
      </c>
      <c r="C799" s="0" t="n">
        <v>-0.0866738060498976</v>
      </c>
      <c r="D799" s="0" t="n">
        <v>0.288422577947932</v>
      </c>
      <c r="E799" s="0" t="n">
        <v>-0.260002109939303</v>
      </c>
      <c r="F799" s="0" t="n">
        <v>-0.67981980597336</v>
      </c>
      <c r="G799" s="0" t="n">
        <v>0.0283927282019733</v>
      </c>
      <c r="H799" s="0" t="n">
        <v>0.194935893100494</v>
      </c>
      <c r="I799" s="0" t="n">
        <v>1.37288665916008</v>
      </c>
      <c r="J799" s="0" t="n">
        <v>-0.19316738831071</v>
      </c>
      <c r="K799" s="0" t="n">
        <v>-0.34973515328017</v>
      </c>
      <c r="L799" s="0" t="n">
        <v>1.13752497480297</v>
      </c>
      <c r="M799" s="0" t="n">
        <v>-1.90566509128088</v>
      </c>
      <c r="N799" s="0" t="n">
        <v>-0.0121790851627086</v>
      </c>
      <c r="O799" s="0" t="n">
        <v>-0.329571645522428</v>
      </c>
      <c r="P799" s="0" t="n">
        <v>-0.497397642261684</v>
      </c>
      <c r="Q799" s="0" t="n">
        <v>-0.307362063760536</v>
      </c>
      <c r="R799" s="0" t="n">
        <v>-0.287686368951404</v>
      </c>
      <c r="S799" s="0" t="n">
        <v>0</v>
      </c>
      <c r="T799" s="0" t="n">
        <v>0</v>
      </c>
      <c r="U799" s="0" t="n">
        <v>0</v>
      </c>
      <c r="V799" s="0" t="n">
        <v>1</v>
      </c>
      <c r="W799" s="0" t="n">
        <v>1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1.5458481464025</v>
      </c>
      <c r="AJ799" s="0" t="n">
        <v>0.333333333333333</v>
      </c>
    </row>
    <row r="800" customFormat="false" ht="15" hidden="false" customHeight="false" outlineLevel="0" collapsed="false">
      <c r="A800" s="0" t="s">
        <v>834</v>
      </c>
      <c r="B800" s="0" t="n">
        <v>1</v>
      </c>
      <c r="C800" s="0" t="n">
        <v>-0.280208123475274</v>
      </c>
      <c r="D800" s="0" t="n">
        <v>0.293534848759321</v>
      </c>
      <c r="E800" s="0" t="n">
        <v>-0.203125573179521</v>
      </c>
      <c r="F800" s="0" t="n">
        <v>-0.824754734502995</v>
      </c>
      <c r="G800" s="0" t="n">
        <v>-0.253010365755675</v>
      </c>
      <c r="H800" s="0" t="n">
        <v>-0.0663551240107901</v>
      </c>
      <c r="I800" s="0" t="n">
        <v>1.51234424700105</v>
      </c>
      <c r="J800" s="0" t="n">
        <v>-0.694305199157422</v>
      </c>
      <c r="K800" s="0" t="n">
        <v>-0.0566492713292363</v>
      </c>
      <c r="L800" s="0" t="n">
        <v>0.142346870618651</v>
      </c>
      <c r="M800" s="0" t="n">
        <v>0.625528949205348</v>
      </c>
      <c r="N800" s="0" t="n">
        <v>0.0872739496846143</v>
      </c>
      <c r="O800" s="0" t="n">
        <v>-0.319185332251216</v>
      </c>
      <c r="P800" s="0" t="n">
        <v>-0.335176607133119</v>
      </c>
      <c r="Q800" s="0" t="n">
        <v>-0.300944850024711</v>
      </c>
      <c r="R800" s="0" t="n">
        <v>-0.248813617506255</v>
      </c>
      <c r="S800" s="0" t="n">
        <v>1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1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0.959735969860218</v>
      </c>
      <c r="AJ80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835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 customFormat="false" ht="15" hidden="false" customHeight="false" outlineLevel="0" collapsed="false">
      <c r="A2" s="0" t="s">
        <v>836</v>
      </c>
      <c r="B2" s="0" t="n">
        <v>-0.825285004665143</v>
      </c>
      <c r="C2" s="0" t="n">
        <v>0.0500522705953589</v>
      </c>
      <c r="D2" s="0" t="n">
        <v>0.0434753063131449</v>
      </c>
      <c r="E2" s="0" t="n">
        <v>0.111999042926662</v>
      </c>
      <c r="F2" s="0" t="n">
        <v>0.100167067524705</v>
      </c>
      <c r="G2" s="0" t="n">
        <v>0.0911667719580935</v>
      </c>
      <c r="H2" s="0" t="n">
        <v>-0.0164475864534826</v>
      </c>
      <c r="I2" s="0" t="n">
        <v>0.0678264285621835</v>
      </c>
      <c r="J2" s="0" t="n">
        <v>0.0424477834356993</v>
      </c>
      <c r="K2" s="0" t="n">
        <v>-0.0238918958714794</v>
      </c>
      <c r="L2" s="0" t="n">
        <v>0.0141369404301317</v>
      </c>
      <c r="M2" s="0" t="n">
        <v>0.0128584942592582</v>
      </c>
      <c r="N2" s="0" t="n">
        <v>-0.0294997041343996</v>
      </c>
      <c r="O2" s="0" t="n">
        <v>-0.155600952260874</v>
      </c>
      <c r="P2" s="0" t="n">
        <v>-0.0840966316138972</v>
      </c>
      <c r="Q2" s="0" t="n">
        <v>-0.115111181363832</v>
      </c>
      <c r="R2" s="0" t="n">
        <v>-0.113887308861231</v>
      </c>
      <c r="S2" s="0" t="n">
        <v>-0.112556405649504</v>
      </c>
      <c r="T2" s="0" t="n">
        <v>0.0224585368100874</v>
      </c>
      <c r="U2" s="0" t="n">
        <v>-0.00756268542208474</v>
      </c>
      <c r="V2" s="0" t="n">
        <v>0.184586014517365</v>
      </c>
      <c r="W2" s="0" t="n">
        <v>0.0027184808258467</v>
      </c>
      <c r="X2" s="0" t="n">
        <v>-0.159837401684702</v>
      </c>
      <c r="Y2" s="0" t="n">
        <v>-0.0082355464600143</v>
      </c>
      <c r="Z2" s="0" t="n">
        <v>-0.240947981409244</v>
      </c>
      <c r="AA2" s="0" t="n">
        <v>-0.0675287631155335</v>
      </c>
      <c r="AB2" s="0" t="n">
        <v>-0.0114478365758029</v>
      </c>
      <c r="AC2" s="0" t="n">
        <v>0.174945558505482</v>
      </c>
      <c r="AD2" s="0" t="n">
        <v>-0.112775105985366</v>
      </c>
      <c r="AE2" s="0" t="n">
        <v>0.00756082309140757</v>
      </c>
      <c r="AF2" s="0" t="n">
        <v>0.0231467832395935</v>
      </c>
      <c r="AG2" s="0" t="n">
        <v>0.0465481590022921</v>
      </c>
      <c r="AH2" s="0" t="n">
        <v>0.167331995532161</v>
      </c>
      <c r="AI2" s="0" t="n">
        <v>-0.130496301715741</v>
      </c>
      <c r="AJ2" s="0" t="n">
        <v>0.00715640125086691</v>
      </c>
    </row>
    <row r="3" customFormat="false" ht="15" hidden="false" customHeight="false" outlineLevel="0" collapsed="false">
      <c r="A3" s="0" t="s">
        <v>837</v>
      </c>
      <c r="B3" s="0" t="n">
        <v>8.92583754657652</v>
      </c>
      <c r="C3" s="0" t="n">
        <v>0.841234620207291</v>
      </c>
      <c r="D3" s="0" t="n">
        <v>1.12601589741558</v>
      </c>
      <c r="E3" s="0" t="n">
        <v>0.738111057151391</v>
      </c>
      <c r="F3" s="0" t="n">
        <v>0.969008853885229</v>
      </c>
      <c r="G3" s="0" t="n">
        <v>1.28206127146579</v>
      </c>
      <c r="H3" s="0" t="n">
        <v>0.112149900290919</v>
      </c>
      <c r="I3" s="0" t="n">
        <v>0.331495452999413</v>
      </c>
      <c r="J3" s="0" t="n">
        <v>0.00537625728284401</v>
      </c>
      <c r="K3" s="0" t="n">
        <v>-0.150839149776842</v>
      </c>
      <c r="L3" s="0" t="n">
        <v>1.11297726861969</v>
      </c>
      <c r="M3" s="0" t="n">
        <v>0.509882884066251</v>
      </c>
      <c r="N3" s="0" t="n">
        <v>-1.02230482251507</v>
      </c>
      <c r="O3" s="0" t="n">
        <v>-0.51833687392791</v>
      </c>
      <c r="P3" s="0" t="n">
        <v>-0.524899030346392</v>
      </c>
      <c r="Q3" s="0" t="n">
        <v>-0.775388538241659</v>
      </c>
      <c r="R3" s="0" t="n">
        <v>-0.539403613294289</v>
      </c>
      <c r="S3" s="0" t="n">
        <v>-0.312246460560454</v>
      </c>
      <c r="T3" s="0" t="n">
        <v>-1.00222989338637</v>
      </c>
      <c r="U3" s="0" t="n">
        <v>0.320003878346371</v>
      </c>
      <c r="V3" s="0" t="n">
        <v>2.39295911039243</v>
      </c>
      <c r="W3" s="0" t="n">
        <v>-0.374329439354712</v>
      </c>
      <c r="X3" s="0" t="n">
        <v>-1.78255462036584</v>
      </c>
      <c r="Y3" s="0" t="n">
        <v>-1.09062234355602</v>
      </c>
      <c r="Z3" s="0" t="n">
        <v>-1.89185567559996</v>
      </c>
      <c r="AA3" s="0" t="n">
        <v>-1.13858391884956</v>
      </c>
      <c r="AB3" s="0" t="n">
        <v>0.140074093650707</v>
      </c>
      <c r="AC3" s="0" t="n">
        <v>2.05116368158436</v>
      </c>
      <c r="AD3" s="0" t="n">
        <v>0.180680364439772</v>
      </c>
      <c r="AE3" s="0" t="n">
        <v>-0.121580805122431</v>
      </c>
      <c r="AF3" s="0" t="n">
        <v>-0.0204367610471065</v>
      </c>
      <c r="AG3" s="0" t="n">
        <v>-2.16937469489986</v>
      </c>
      <c r="AH3" s="0" t="n">
        <v>1.50390257139211</v>
      </c>
      <c r="AI3" s="0" t="n">
        <v>-1.51779962493086</v>
      </c>
      <c r="AJ3" s="0" t="n">
        <v>0.839747035296031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838</v>
      </c>
      <c r="C1" s="0" t="s">
        <v>839</v>
      </c>
      <c r="D1" s="0" t="s">
        <v>840</v>
      </c>
      <c r="E1" s="0" t="s">
        <v>841</v>
      </c>
      <c r="F1" s="0" t="s">
        <v>842</v>
      </c>
      <c r="G1" s="0" t="s">
        <v>843</v>
      </c>
    </row>
    <row r="2" customFormat="false" ht="15" hidden="false" customHeight="false" outlineLevel="0" collapsed="false">
      <c r="A2" s="0" t="s">
        <v>36</v>
      </c>
      <c r="B2" s="0" t="n">
        <v>210</v>
      </c>
      <c r="C2" s="0" t="n">
        <v>87</v>
      </c>
      <c r="D2" s="0" t="n">
        <v>541</v>
      </c>
      <c r="E2" s="0" t="s">
        <v>844</v>
      </c>
      <c r="F2" s="0" t="s">
        <v>845</v>
      </c>
      <c r="G2" s="0" t="s">
        <v>846</v>
      </c>
    </row>
    <row r="3" customFormat="false" ht="15" hidden="false" customHeight="false" outlineLevel="0" collapsed="false">
      <c r="A3" s="0" t="s">
        <v>37</v>
      </c>
      <c r="B3" s="0" t="n">
        <v>683</v>
      </c>
      <c r="C3" s="0" t="n">
        <v>396</v>
      </c>
      <c r="D3" s="0" t="n">
        <v>563</v>
      </c>
      <c r="E3" s="0" t="s">
        <v>847</v>
      </c>
      <c r="F3" s="0" t="s">
        <v>848</v>
      </c>
      <c r="G3" s="0" t="s">
        <v>849</v>
      </c>
    </row>
    <row r="4" customFormat="false" ht="15" hidden="false" customHeight="false" outlineLevel="0" collapsed="false">
      <c r="A4" s="0" t="s">
        <v>38</v>
      </c>
      <c r="B4" s="0" t="n">
        <v>304</v>
      </c>
      <c r="C4" s="0" t="n">
        <v>403</v>
      </c>
      <c r="D4" s="0" t="n">
        <v>617</v>
      </c>
      <c r="E4" s="0" t="s">
        <v>850</v>
      </c>
      <c r="F4" s="0" t="s">
        <v>851</v>
      </c>
      <c r="G4" s="0" t="s">
        <v>852</v>
      </c>
    </row>
    <row r="5" customFormat="false" ht="15" hidden="false" customHeight="false" outlineLevel="0" collapsed="false">
      <c r="A5" s="0" t="s">
        <v>39</v>
      </c>
      <c r="B5" s="0" t="n">
        <v>336</v>
      </c>
      <c r="C5" s="0" t="n">
        <v>125</v>
      </c>
      <c r="D5" s="0" t="n">
        <v>546</v>
      </c>
      <c r="E5" s="0" t="s">
        <v>853</v>
      </c>
      <c r="F5" s="0" t="s">
        <v>854</v>
      </c>
      <c r="G5" s="0" t="s">
        <v>855</v>
      </c>
    </row>
    <row r="6" customFormat="false" ht="15" hidden="false" customHeight="false" outlineLevel="0" collapsed="false">
      <c r="A6" s="0" t="s">
        <v>40</v>
      </c>
      <c r="B6" s="0" t="n">
        <v>150</v>
      </c>
      <c r="C6" s="0" t="n">
        <v>322</v>
      </c>
      <c r="D6" s="0" t="n">
        <v>539</v>
      </c>
      <c r="E6" s="0" t="s">
        <v>856</v>
      </c>
      <c r="F6" s="0" t="s">
        <v>857</v>
      </c>
      <c r="G6" s="0" t="s">
        <v>858</v>
      </c>
    </row>
    <row r="7" customFormat="false" ht="15" hidden="false" customHeight="false" outlineLevel="0" collapsed="false">
      <c r="A7" s="0" t="s">
        <v>41</v>
      </c>
      <c r="B7" s="0" t="n">
        <v>377</v>
      </c>
      <c r="C7" s="0" t="n">
        <v>327</v>
      </c>
      <c r="D7" s="0" t="n">
        <v>452</v>
      </c>
      <c r="E7" s="0" t="s">
        <v>859</v>
      </c>
      <c r="F7" s="0" t="s">
        <v>860</v>
      </c>
      <c r="G7" s="0" t="s">
        <v>861</v>
      </c>
    </row>
    <row r="8" customFormat="false" ht="15" hidden="false" customHeight="false" outlineLevel="0" collapsed="false">
      <c r="A8" s="0" t="s">
        <v>42</v>
      </c>
      <c r="B8" s="0" t="n">
        <v>167</v>
      </c>
      <c r="C8" s="0" t="n">
        <v>144</v>
      </c>
      <c r="D8" s="0" t="n">
        <v>540</v>
      </c>
      <c r="E8" s="0" t="s">
        <v>862</v>
      </c>
      <c r="F8" s="0" t="s">
        <v>863</v>
      </c>
      <c r="G8" s="0" t="s">
        <v>864</v>
      </c>
    </row>
    <row r="9" customFormat="false" ht="15" hidden="false" customHeight="false" outlineLevel="0" collapsed="false">
      <c r="A9" s="0" t="s">
        <v>43</v>
      </c>
      <c r="B9" s="0" t="n">
        <v>54</v>
      </c>
      <c r="C9" s="0" t="n">
        <v>306</v>
      </c>
      <c r="D9" s="0" t="n">
        <v>557</v>
      </c>
      <c r="E9" s="0" t="s">
        <v>865</v>
      </c>
      <c r="F9" s="0" t="s">
        <v>866</v>
      </c>
      <c r="G9" s="0" t="s">
        <v>867</v>
      </c>
    </row>
    <row r="10" customFormat="false" ht="15" hidden="false" customHeight="false" outlineLevel="0" collapsed="false">
      <c r="A10" s="0" t="s">
        <v>44</v>
      </c>
      <c r="B10" s="0" t="n">
        <v>193</v>
      </c>
      <c r="C10" s="0" t="n">
        <v>366</v>
      </c>
      <c r="D10" s="0" t="n">
        <v>666</v>
      </c>
      <c r="E10" s="0" t="s">
        <v>868</v>
      </c>
      <c r="F10" s="0" t="s">
        <v>869</v>
      </c>
      <c r="G10" s="0" t="s">
        <v>870</v>
      </c>
    </row>
    <row r="11" customFormat="false" ht="15" hidden="false" customHeight="false" outlineLevel="0" collapsed="false">
      <c r="A11" s="0" t="s">
        <v>45</v>
      </c>
      <c r="B11" s="0" t="n">
        <v>505</v>
      </c>
      <c r="C11" s="0" t="n">
        <v>151</v>
      </c>
      <c r="D11" s="0" t="n">
        <v>579</v>
      </c>
      <c r="E11" s="0" t="s">
        <v>871</v>
      </c>
      <c r="F11" s="0" t="s">
        <v>872</v>
      </c>
      <c r="G11" s="0" t="s">
        <v>873</v>
      </c>
    </row>
    <row r="12" customFormat="false" ht="15" hidden="false" customHeight="false" outlineLevel="0" collapsed="false">
      <c r="A12" s="0" t="s">
        <v>46</v>
      </c>
      <c r="B12" s="0" t="n">
        <v>100</v>
      </c>
      <c r="C12" s="0" t="n">
        <v>45</v>
      </c>
      <c r="D12" s="0" t="n">
        <v>414</v>
      </c>
      <c r="E12" s="0" t="s">
        <v>874</v>
      </c>
      <c r="F12" s="0" t="s">
        <v>875</v>
      </c>
      <c r="G12" s="0" t="s">
        <v>876</v>
      </c>
    </row>
    <row r="13" customFormat="false" ht="15" hidden="false" customHeight="false" outlineLevel="0" collapsed="false">
      <c r="A13" s="0" t="s">
        <v>47</v>
      </c>
      <c r="B13" s="0" t="n">
        <v>383</v>
      </c>
      <c r="C13" s="0" t="n">
        <v>505</v>
      </c>
      <c r="D13" s="0" t="n">
        <v>690</v>
      </c>
      <c r="E13" s="0" t="s">
        <v>877</v>
      </c>
      <c r="F13" s="0" t="s">
        <v>878</v>
      </c>
      <c r="G13" s="0" t="s">
        <v>879</v>
      </c>
    </row>
    <row r="14" customFormat="false" ht="15" hidden="false" customHeight="false" outlineLevel="0" collapsed="false">
      <c r="A14" s="0" t="s">
        <v>48</v>
      </c>
      <c r="B14" s="0" t="n">
        <v>295</v>
      </c>
      <c r="C14" s="0" t="n">
        <v>575</v>
      </c>
      <c r="D14" s="0" t="n">
        <v>671</v>
      </c>
      <c r="E14" s="0" t="s">
        <v>880</v>
      </c>
      <c r="F14" s="0" t="s">
        <v>881</v>
      </c>
      <c r="G14" s="0" t="s">
        <v>882</v>
      </c>
    </row>
    <row r="15" customFormat="false" ht="15" hidden="false" customHeight="false" outlineLevel="0" collapsed="false">
      <c r="A15" s="0" t="s">
        <v>49</v>
      </c>
    </row>
    <row r="16" customFormat="false" ht="15" hidden="false" customHeight="false" outlineLevel="0" collapsed="false">
      <c r="A16" s="0" t="s">
        <v>50</v>
      </c>
      <c r="B16" s="0" t="n">
        <v>253</v>
      </c>
      <c r="C16" s="0" t="n">
        <v>123</v>
      </c>
      <c r="D16" s="0" t="n">
        <v>510</v>
      </c>
      <c r="E16" s="0" t="s">
        <v>883</v>
      </c>
      <c r="F16" s="0" t="s">
        <v>884</v>
      </c>
      <c r="G16" s="0" t="s">
        <v>885</v>
      </c>
    </row>
    <row r="17" customFormat="false" ht="15" hidden="false" customHeight="false" outlineLevel="0" collapsed="false">
      <c r="A17" s="0" t="s">
        <v>51</v>
      </c>
      <c r="B17" s="0" t="n">
        <v>531</v>
      </c>
      <c r="C17" s="0" t="n">
        <v>235</v>
      </c>
      <c r="D17" s="0" t="n">
        <v>554</v>
      </c>
      <c r="E17" s="0" t="s">
        <v>886</v>
      </c>
      <c r="F17" s="0" t="s">
        <v>887</v>
      </c>
      <c r="G17" s="0" t="s">
        <v>888</v>
      </c>
    </row>
    <row r="18" customFormat="false" ht="15" hidden="false" customHeight="false" outlineLevel="0" collapsed="false">
      <c r="A18" s="0" t="s">
        <v>52</v>
      </c>
      <c r="B18" s="0" t="n">
        <v>675</v>
      </c>
      <c r="C18" s="0" t="n">
        <v>627</v>
      </c>
      <c r="D18" s="0" t="n">
        <v>713</v>
      </c>
      <c r="E18" s="0" t="s">
        <v>889</v>
      </c>
      <c r="F18" s="0" t="s">
        <v>890</v>
      </c>
      <c r="G18" s="0" t="s">
        <v>891</v>
      </c>
    </row>
    <row r="19" customFormat="false" ht="15" hidden="false" customHeight="false" outlineLevel="0" collapsed="false">
      <c r="A19" s="0" t="s">
        <v>53</v>
      </c>
      <c r="B19" s="0" t="n">
        <v>610</v>
      </c>
      <c r="C19" s="0" t="n">
        <v>481</v>
      </c>
      <c r="D19" s="0" t="n">
        <v>663</v>
      </c>
      <c r="E19" s="0" t="s">
        <v>892</v>
      </c>
      <c r="F19" s="0" t="s">
        <v>893</v>
      </c>
      <c r="G19" s="0" t="s">
        <v>894</v>
      </c>
    </row>
    <row r="20" customFormat="false" ht="15" hidden="false" customHeight="false" outlineLevel="0" collapsed="false">
      <c r="A20" s="0" t="s">
        <v>54</v>
      </c>
      <c r="B20" s="0" t="n">
        <v>710</v>
      </c>
      <c r="C20" s="0" t="n">
        <v>590</v>
      </c>
      <c r="D20" s="0" t="n">
        <v>556</v>
      </c>
      <c r="E20" s="0" t="s">
        <v>895</v>
      </c>
      <c r="F20" s="0" t="s">
        <v>896</v>
      </c>
      <c r="G20" s="0" t="s">
        <v>897</v>
      </c>
    </row>
    <row r="21" customFormat="false" ht="15" hidden="false" customHeight="false" outlineLevel="0" collapsed="false">
      <c r="A21" s="0" t="s">
        <v>55</v>
      </c>
      <c r="B21" s="0" t="n">
        <v>405</v>
      </c>
      <c r="C21" s="0" t="n">
        <v>119</v>
      </c>
      <c r="D21" s="0" t="n">
        <v>660</v>
      </c>
      <c r="E21" s="0" t="s">
        <v>898</v>
      </c>
      <c r="F21" s="0" t="s">
        <v>899</v>
      </c>
      <c r="G21" s="0" t="s">
        <v>900</v>
      </c>
    </row>
    <row r="22" customFormat="false" ht="15" hidden="false" customHeight="false" outlineLevel="0" collapsed="false">
      <c r="A22" s="0" t="s">
        <v>56</v>
      </c>
      <c r="B22" s="0" t="n">
        <v>669</v>
      </c>
      <c r="C22" s="0" t="n">
        <v>350</v>
      </c>
      <c r="D22" s="0" t="n">
        <v>700</v>
      </c>
      <c r="E22" s="0" t="s">
        <v>901</v>
      </c>
      <c r="F22" s="0" t="s">
        <v>902</v>
      </c>
      <c r="G22" s="0" t="s">
        <v>903</v>
      </c>
    </row>
    <row r="23" customFormat="false" ht="15" hidden="false" customHeight="false" outlineLevel="0" collapsed="false">
      <c r="A23" s="0" t="s">
        <v>57</v>
      </c>
      <c r="B23" s="0" t="n">
        <v>624</v>
      </c>
      <c r="C23" s="0" t="n">
        <v>649</v>
      </c>
      <c r="D23" s="0" t="n">
        <v>621</v>
      </c>
      <c r="E23" s="0" t="s">
        <v>904</v>
      </c>
      <c r="F23" s="0" t="s">
        <v>905</v>
      </c>
      <c r="G23" s="0" t="s">
        <v>906</v>
      </c>
    </row>
    <row r="24" customFormat="false" ht="15" hidden="false" customHeight="false" outlineLevel="0" collapsed="false">
      <c r="A24" s="0" t="s">
        <v>58</v>
      </c>
      <c r="B24" s="0" t="n">
        <v>553</v>
      </c>
      <c r="C24" s="0" t="n">
        <v>603</v>
      </c>
      <c r="D24" s="0" t="n">
        <v>699</v>
      </c>
      <c r="E24" s="0" t="s">
        <v>907</v>
      </c>
      <c r="F24" s="0" t="s">
        <v>908</v>
      </c>
      <c r="G24" s="0" t="s">
        <v>909</v>
      </c>
    </row>
    <row r="25" customFormat="false" ht="15" hidden="false" customHeight="false" outlineLevel="0" collapsed="false">
      <c r="A25" s="0" t="s">
        <v>59</v>
      </c>
      <c r="B25" s="0" t="n">
        <v>635</v>
      </c>
      <c r="C25" s="0" t="n">
        <v>534</v>
      </c>
      <c r="D25" s="0" t="n">
        <v>684</v>
      </c>
      <c r="E25" s="0" t="s">
        <v>910</v>
      </c>
      <c r="F25" s="0" t="s">
        <v>911</v>
      </c>
      <c r="G25" s="0" t="s">
        <v>912</v>
      </c>
    </row>
    <row r="26" customFormat="false" ht="15" hidden="false" customHeight="false" outlineLevel="0" collapsed="false">
      <c r="A26" s="0" t="s">
        <v>60</v>
      </c>
      <c r="B26" s="0" t="n">
        <v>457</v>
      </c>
      <c r="C26" s="0" t="n">
        <v>619</v>
      </c>
      <c r="D26" s="0" t="n">
        <v>633</v>
      </c>
      <c r="E26" s="0" t="s">
        <v>913</v>
      </c>
      <c r="F26" s="0" t="s">
        <v>914</v>
      </c>
      <c r="G26" s="0" t="s">
        <v>915</v>
      </c>
    </row>
    <row r="27" customFormat="false" ht="15" hidden="false" customHeight="false" outlineLevel="0" collapsed="false">
      <c r="A27" s="0" t="s">
        <v>61</v>
      </c>
    </row>
    <row r="28" customFormat="false" ht="15" hidden="false" customHeight="false" outlineLevel="0" collapsed="false">
      <c r="A28" s="0" t="s">
        <v>62</v>
      </c>
      <c r="B28" s="0" t="n">
        <v>370</v>
      </c>
      <c r="C28" s="0" t="n">
        <v>482</v>
      </c>
      <c r="D28" s="0" t="n">
        <v>619</v>
      </c>
      <c r="E28" s="0" t="s">
        <v>916</v>
      </c>
      <c r="F28" s="0" t="s">
        <v>917</v>
      </c>
      <c r="G28" s="0" t="s">
        <v>918</v>
      </c>
    </row>
    <row r="29" customFormat="false" ht="15" hidden="false" customHeight="false" outlineLevel="0" collapsed="false">
      <c r="A29" s="0" t="s">
        <v>63</v>
      </c>
      <c r="B29" s="0" t="n">
        <v>156</v>
      </c>
      <c r="C29" s="0" t="n">
        <v>85</v>
      </c>
      <c r="D29" s="0" t="n">
        <v>680</v>
      </c>
      <c r="E29" s="0" t="s">
        <v>919</v>
      </c>
      <c r="F29" s="0" t="s">
        <v>920</v>
      </c>
      <c r="G29" s="0" t="s">
        <v>921</v>
      </c>
    </row>
    <row r="30" customFormat="false" ht="15" hidden="false" customHeight="false" outlineLevel="0" collapsed="false">
      <c r="A30" s="0" t="s">
        <v>64</v>
      </c>
      <c r="B30" s="0" t="n">
        <v>240</v>
      </c>
      <c r="C30" s="0" t="n">
        <v>241</v>
      </c>
      <c r="D30" s="0" t="n">
        <v>530</v>
      </c>
      <c r="E30" s="0" t="s">
        <v>922</v>
      </c>
      <c r="F30" s="0" t="s">
        <v>923</v>
      </c>
      <c r="G30" s="0" t="s">
        <v>924</v>
      </c>
    </row>
    <row r="31" customFormat="false" ht="15" hidden="false" customHeight="false" outlineLevel="0" collapsed="false">
      <c r="A31" s="0" t="s">
        <v>65</v>
      </c>
      <c r="B31" s="0" t="n">
        <v>329</v>
      </c>
      <c r="C31" s="0" t="n">
        <v>252</v>
      </c>
      <c r="D31" s="0" t="n">
        <v>673</v>
      </c>
      <c r="E31" s="0" t="s">
        <v>925</v>
      </c>
      <c r="F31" s="0" t="s">
        <v>926</v>
      </c>
      <c r="G31" s="0" t="s">
        <v>927</v>
      </c>
    </row>
    <row r="32" customFormat="false" ht="15" hidden="false" customHeight="false" outlineLevel="0" collapsed="false">
      <c r="A32" s="0" t="s">
        <v>66</v>
      </c>
      <c r="B32" s="0" t="n">
        <v>468</v>
      </c>
      <c r="C32" s="0" t="n">
        <v>475</v>
      </c>
      <c r="D32" s="0" t="n">
        <v>650</v>
      </c>
      <c r="E32" s="0" t="s">
        <v>928</v>
      </c>
      <c r="F32" s="0" t="s">
        <v>929</v>
      </c>
      <c r="G32" s="0" t="s">
        <v>930</v>
      </c>
    </row>
    <row r="33" customFormat="false" ht="15" hidden="false" customHeight="false" outlineLevel="0" collapsed="false">
      <c r="A33" s="0" t="s">
        <v>67</v>
      </c>
      <c r="B33" s="0" t="n">
        <v>612</v>
      </c>
      <c r="C33" s="0" t="n">
        <v>422</v>
      </c>
      <c r="D33" s="0" t="n">
        <v>711</v>
      </c>
      <c r="E33" s="0" t="s">
        <v>931</v>
      </c>
      <c r="F33" s="0" t="s">
        <v>932</v>
      </c>
      <c r="G33" s="0" t="s">
        <v>933</v>
      </c>
    </row>
    <row r="34" customFormat="false" ht="15" hidden="false" customHeight="false" outlineLevel="0" collapsed="false">
      <c r="A34" s="0" t="s">
        <v>68</v>
      </c>
      <c r="B34" s="0" t="n">
        <v>605</v>
      </c>
      <c r="C34" s="0" t="n">
        <v>460</v>
      </c>
      <c r="D34" s="0" t="n">
        <v>698</v>
      </c>
      <c r="E34" s="0" t="s">
        <v>934</v>
      </c>
      <c r="F34" s="0" t="s">
        <v>935</v>
      </c>
      <c r="G34" s="0" t="s">
        <v>936</v>
      </c>
    </row>
    <row r="35" customFormat="false" ht="15" hidden="false" customHeight="false" outlineLevel="0" collapsed="false">
      <c r="A35" s="0" t="s">
        <v>69</v>
      </c>
      <c r="B35" s="0" t="n">
        <v>338</v>
      </c>
      <c r="C35" s="0" t="n">
        <v>132</v>
      </c>
      <c r="D35" s="0" t="n">
        <v>640</v>
      </c>
      <c r="E35" s="0" t="s">
        <v>937</v>
      </c>
      <c r="F35" s="0" t="s">
        <v>938</v>
      </c>
      <c r="G35" s="0" t="s">
        <v>939</v>
      </c>
    </row>
    <row r="36" customFormat="false" ht="15" hidden="false" customHeight="false" outlineLevel="0" collapsed="false">
      <c r="A36" s="0" t="s">
        <v>70</v>
      </c>
      <c r="B36" s="0" t="n">
        <v>552</v>
      </c>
      <c r="C36" s="0" t="n">
        <v>635</v>
      </c>
      <c r="D36" s="0" t="n">
        <v>654</v>
      </c>
      <c r="E36" s="0" t="s">
        <v>940</v>
      </c>
      <c r="F36" s="0" t="s">
        <v>941</v>
      </c>
      <c r="G36" s="0" t="s">
        <v>942</v>
      </c>
    </row>
    <row r="37" customFormat="false" ht="15" hidden="false" customHeight="false" outlineLevel="0" collapsed="false">
      <c r="A37" s="0" t="s">
        <v>71</v>
      </c>
      <c r="B37" s="0" t="n">
        <v>650</v>
      </c>
      <c r="C37" s="0" t="n">
        <v>699</v>
      </c>
      <c r="D37" s="0" t="n">
        <v>667</v>
      </c>
      <c r="E37" s="0" t="s">
        <v>943</v>
      </c>
      <c r="F37" s="0" t="s">
        <v>944</v>
      </c>
      <c r="G37" s="0" t="s">
        <v>945</v>
      </c>
    </row>
    <row r="38" customFormat="false" ht="15" hidden="false" customHeight="false" outlineLevel="0" collapsed="false">
      <c r="A38" s="0" t="s">
        <v>72</v>
      </c>
      <c r="B38" s="0" t="n">
        <v>562</v>
      </c>
      <c r="C38" s="0" t="n">
        <v>377</v>
      </c>
      <c r="D38" s="0" t="n">
        <v>629</v>
      </c>
      <c r="E38" s="0" t="s">
        <v>946</v>
      </c>
      <c r="F38" s="0" t="s">
        <v>947</v>
      </c>
      <c r="G38" s="0" t="s">
        <v>948</v>
      </c>
    </row>
    <row r="39" customFormat="false" ht="15" hidden="false" customHeight="false" outlineLevel="0" collapsed="false">
      <c r="A39" s="0" t="s">
        <v>73</v>
      </c>
      <c r="B39" s="0" t="n">
        <v>571</v>
      </c>
      <c r="C39" s="0" t="n">
        <v>560</v>
      </c>
      <c r="D39" s="0" t="n">
        <v>636</v>
      </c>
      <c r="E39" s="0" t="s">
        <v>949</v>
      </c>
      <c r="F39" s="0" t="s">
        <v>950</v>
      </c>
      <c r="G39" s="0" t="s">
        <v>951</v>
      </c>
    </row>
    <row r="40" customFormat="false" ht="15" hidden="false" customHeight="false" outlineLevel="0" collapsed="false">
      <c r="A40" s="0" t="s">
        <v>74</v>
      </c>
    </row>
    <row r="41" customFormat="false" ht="15" hidden="false" customHeight="false" outlineLevel="0" collapsed="false">
      <c r="A41" s="0" t="s">
        <v>75</v>
      </c>
      <c r="B41" s="0" t="n">
        <v>489</v>
      </c>
      <c r="C41" s="0" t="n">
        <v>518</v>
      </c>
      <c r="D41" s="0" t="n">
        <v>674</v>
      </c>
      <c r="E41" s="0" t="s">
        <v>952</v>
      </c>
      <c r="F41" s="0" t="s">
        <v>953</v>
      </c>
      <c r="G41" s="0" t="s">
        <v>954</v>
      </c>
    </row>
    <row r="42" customFormat="false" ht="15" hidden="false" customHeight="false" outlineLevel="0" collapsed="false">
      <c r="A42" s="0" t="s">
        <v>76</v>
      </c>
      <c r="B42" s="0" t="n">
        <v>701</v>
      </c>
      <c r="C42" s="0" t="n">
        <v>632</v>
      </c>
      <c r="D42" s="0" t="n">
        <v>705</v>
      </c>
      <c r="E42" s="0" t="s">
        <v>955</v>
      </c>
      <c r="F42" s="0" t="s">
        <v>956</v>
      </c>
      <c r="G42" s="0" t="s">
        <v>957</v>
      </c>
    </row>
    <row r="43" customFormat="false" ht="15" hidden="false" customHeight="false" outlineLevel="0" collapsed="false">
      <c r="A43" s="0" t="s">
        <v>77</v>
      </c>
      <c r="B43" s="0" t="n">
        <v>662</v>
      </c>
      <c r="C43" s="0" t="n">
        <v>365</v>
      </c>
      <c r="D43" s="0" t="n">
        <v>451</v>
      </c>
      <c r="E43" s="0" t="s">
        <v>958</v>
      </c>
      <c r="F43" s="0" t="s">
        <v>959</v>
      </c>
      <c r="G43" s="0" t="s">
        <v>960</v>
      </c>
    </row>
    <row r="44" customFormat="false" ht="15" hidden="false" customHeight="false" outlineLevel="0" collapsed="false">
      <c r="A44" s="0" t="s">
        <v>78</v>
      </c>
      <c r="B44" s="0" t="n">
        <v>420</v>
      </c>
      <c r="C44" s="0" t="n">
        <v>313</v>
      </c>
      <c r="D44" s="0" t="n">
        <v>516</v>
      </c>
      <c r="E44" s="0" t="s">
        <v>961</v>
      </c>
      <c r="F44" s="0" t="s">
        <v>962</v>
      </c>
      <c r="G44" s="0" t="s">
        <v>963</v>
      </c>
    </row>
    <row r="45" customFormat="false" ht="15" hidden="false" customHeight="false" outlineLevel="0" collapsed="false">
      <c r="A45" s="0" t="s">
        <v>79</v>
      </c>
      <c r="B45" s="0" t="n">
        <v>70</v>
      </c>
      <c r="C45" s="0" t="n">
        <v>357</v>
      </c>
      <c r="D45" s="0" t="n">
        <v>609</v>
      </c>
      <c r="E45" s="0" t="s">
        <v>964</v>
      </c>
      <c r="F45" s="0" t="s">
        <v>965</v>
      </c>
      <c r="G45" s="0" t="s">
        <v>966</v>
      </c>
    </row>
    <row r="46" customFormat="false" ht="15" hidden="false" customHeight="false" outlineLevel="0" collapsed="false">
      <c r="A46" s="0" t="s">
        <v>80</v>
      </c>
      <c r="B46" s="0" t="n">
        <v>451</v>
      </c>
      <c r="C46" s="0" t="n">
        <v>273</v>
      </c>
      <c r="D46" s="0" t="n">
        <v>611</v>
      </c>
      <c r="E46" s="0" t="s">
        <v>967</v>
      </c>
      <c r="F46" s="0" t="s">
        <v>968</v>
      </c>
      <c r="G46" s="0" t="s">
        <v>969</v>
      </c>
    </row>
    <row r="47" customFormat="false" ht="15" hidden="false" customHeight="false" outlineLevel="0" collapsed="false">
      <c r="A47" s="0" t="s">
        <v>81</v>
      </c>
      <c r="B47" s="0" t="n">
        <v>703</v>
      </c>
      <c r="C47" s="0" t="n">
        <v>628</v>
      </c>
      <c r="D47" s="0" t="n">
        <v>658</v>
      </c>
      <c r="E47" s="0" t="s">
        <v>970</v>
      </c>
      <c r="F47" s="0" t="s">
        <v>971</v>
      </c>
      <c r="G47" s="0" t="s">
        <v>972</v>
      </c>
    </row>
    <row r="48" customFormat="false" ht="15" hidden="false" customHeight="false" outlineLevel="0" collapsed="false">
      <c r="A48" s="0" t="s">
        <v>82</v>
      </c>
      <c r="B48" s="0" t="n">
        <v>685</v>
      </c>
      <c r="C48" s="0" t="n">
        <v>687</v>
      </c>
      <c r="D48" s="0" t="n">
        <v>613</v>
      </c>
      <c r="E48" s="0" t="s">
        <v>973</v>
      </c>
      <c r="F48" s="0" t="s">
        <v>974</v>
      </c>
      <c r="G48" s="0" t="s">
        <v>975</v>
      </c>
    </row>
    <row r="49" customFormat="false" ht="15" hidden="false" customHeight="false" outlineLevel="0" collapsed="false">
      <c r="A49" s="0" t="s">
        <v>83</v>
      </c>
      <c r="B49" s="0" t="n">
        <v>582</v>
      </c>
      <c r="C49" s="0" t="n">
        <v>512</v>
      </c>
      <c r="D49" s="0" t="n">
        <v>471</v>
      </c>
      <c r="E49" s="0" t="s">
        <v>976</v>
      </c>
      <c r="F49" s="0" t="s">
        <v>977</v>
      </c>
      <c r="G49" s="0" t="s">
        <v>978</v>
      </c>
    </row>
    <row r="50" customFormat="false" ht="15" hidden="false" customHeight="false" outlineLevel="0" collapsed="false">
      <c r="A50" s="0" t="s">
        <v>84</v>
      </c>
      <c r="B50" s="0" t="n">
        <v>697</v>
      </c>
      <c r="C50" s="0" t="n">
        <v>574</v>
      </c>
      <c r="D50" s="0" t="n">
        <v>648</v>
      </c>
      <c r="E50" s="0" t="s">
        <v>979</v>
      </c>
      <c r="F50" s="0" t="s">
        <v>980</v>
      </c>
      <c r="G50" s="0" t="s">
        <v>981</v>
      </c>
    </row>
    <row r="51" customFormat="false" ht="15" hidden="false" customHeight="false" outlineLevel="0" collapsed="false">
      <c r="A51" s="0" t="s">
        <v>85</v>
      </c>
      <c r="B51" s="0" t="n">
        <v>661</v>
      </c>
      <c r="C51" s="0" t="n">
        <v>665</v>
      </c>
      <c r="D51" s="0" t="n">
        <v>592</v>
      </c>
      <c r="E51" s="0" t="s">
        <v>982</v>
      </c>
      <c r="F51" s="0" t="s">
        <v>983</v>
      </c>
      <c r="G51" s="0" t="s">
        <v>984</v>
      </c>
    </row>
    <row r="52" customFormat="false" ht="15" hidden="false" customHeight="false" outlineLevel="0" collapsed="false">
      <c r="A52" s="0" t="s">
        <v>86</v>
      </c>
      <c r="B52" s="0" t="n">
        <v>606</v>
      </c>
      <c r="C52" s="0" t="n">
        <v>680</v>
      </c>
      <c r="D52" s="0" t="n">
        <v>534</v>
      </c>
      <c r="E52" s="0" t="s">
        <v>985</v>
      </c>
      <c r="F52" s="0" t="s">
        <v>986</v>
      </c>
      <c r="G52" s="0" t="s">
        <v>987</v>
      </c>
    </row>
    <row r="53" customFormat="false" ht="15" hidden="false" customHeight="false" outlineLevel="0" collapsed="false">
      <c r="A53" s="0" t="s">
        <v>87</v>
      </c>
      <c r="B53" s="0" t="n">
        <v>682</v>
      </c>
      <c r="C53" s="0" t="n">
        <v>609</v>
      </c>
      <c r="D53" s="0" t="n">
        <v>647</v>
      </c>
      <c r="E53" s="0" t="s">
        <v>988</v>
      </c>
      <c r="F53" s="0" t="s">
        <v>989</v>
      </c>
      <c r="G53" s="0" t="s">
        <v>990</v>
      </c>
    </row>
    <row r="54" customFormat="false" ht="15" hidden="false" customHeight="false" outlineLevel="0" collapsed="false">
      <c r="A54" s="0" t="s">
        <v>88</v>
      </c>
      <c r="B54" s="0" t="n">
        <v>657</v>
      </c>
      <c r="C54" s="0" t="n">
        <v>624</v>
      </c>
      <c r="D54" s="0" t="n">
        <v>669</v>
      </c>
      <c r="E54" s="0" t="s">
        <v>991</v>
      </c>
      <c r="F54" s="0" t="s">
        <v>992</v>
      </c>
      <c r="G54" s="0" t="s">
        <v>993</v>
      </c>
    </row>
    <row r="55" customFormat="false" ht="15" hidden="false" customHeight="false" outlineLevel="0" collapsed="false">
      <c r="A55" s="0" t="s">
        <v>89</v>
      </c>
      <c r="B55" s="0" t="n">
        <v>641</v>
      </c>
      <c r="C55" s="0" t="n">
        <v>501</v>
      </c>
      <c r="D55" s="0" t="n">
        <v>486</v>
      </c>
      <c r="E55" s="0" t="s">
        <v>994</v>
      </c>
      <c r="F55" s="0" t="s">
        <v>995</v>
      </c>
      <c r="G55" s="0" t="s">
        <v>996</v>
      </c>
    </row>
    <row r="56" customFormat="false" ht="15" hidden="false" customHeight="false" outlineLevel="0" collapsed="false">
      <c r="A56" s="0" t="s">
        <v>90</v>
      </c>
      <c r="B56" s="0" t="n">
        <v>432</v>
      </c>
      <c r="C56" s="0" t="n">
        <v>638</v>
      </c>
      <c r="D56" s="0" t="n">
        <v>681</v>
      </c>
      <c r="E56" s="0" t="s">
        <v>997</v>
      </c>
      <c r="F56" s="0" t="s">
        <v>998</v>
      </c>
      <c r="G56" s="0" t="s">
        <v>999</v>
      </c>
    </row>
    <row r="57" customFormat="false" ht="15" hidden="false" customHeight="false" outlineLevel="0" collapsed="false">
      <c r="A57" s="0" t="s">
        <v>91</v>
      </c>
      <c r="B57" s="0" t="n">
        <v>713</v>
      </c>
      <c r="C57" s="0" t="n">
        <v>661</v>
      </c>
      <c r="D57" s="0" t="n">
        <v>391</v>
      </c>
      <c r="E57" s="0" t="s">
        <v>1000</v>
      </c>
      <c r="F57" s="0" t="s">
        <v>1001</v>
      </c>
      <c r="G57" s="0" t="s">
        <v>1002</v>
      </c>
    </row>
    <row r="58" customFormat="false" ht="15" hidden="false" customHeight="false" outlineLevel="0" collapsed="false">
      <c r="A58" s="0" t="s">
        <v>92</v>
      </c>
      <c r="B58" s="0" t="n">
        <v>547</v>
      </c>
      <c r="C58" s="0" t="n">
        <v>217</v>
      </c>
      <c r="D58" s="0" t="n">
        <v>656</v>
      </c>
      <c r="E58" s="0" t="s">
        <v>1003</v>
      </c>
      <c r="F58" s="0" t="s">
        <v>1004</v>
      </c>
      <c r="G58" s="0" t="s">
        <v>1005</v>
      </c>
    </row>
    <row r="59" customFormat="false" ht="15" hidden="false" customHeight="false" outlineLevel="0" collapsed="false">
      <c r="A59" s="0" t="s">
        <v>93</v>
      </c>
      <c r="B59" s="0" t="n">
        <v>695</v>
      </c>
      <c r="C59" s="0" t="n">
        <v>610</v>
      </c>
      <c r="D59" s="0" t="n">
        <v>709</v>
      </c>
      <c r="E59" s="0" t="s">
        <v>1006</v>
      </c>
      <c r="F59" s="0" t="s">
        <v>1007</v>
      </c>
      <c r="G59" s="0" t="s">
        <v>1008</v>
      </c>
    </row>
    <row r="60" customFormat="false" ht="15" hidden="false" customHeight="false" outlineLevel="0" collapsed="false">
      <c r="A60" s="0" t="s">
        <v>94</v>
      </c>
      <c r="B60" s="0" t="n">
        <v>690</v>
      </c>
      <c r="C60" s="0" t="n">
        <v>589</v>
      </c>
      <c r="D60" s="0" t="n">
        <v>689</v>
      </c>
      <c r="E60" s="0" t="s">
        <v>1009</v>
      </c>
      <c r="F60" s="0" t="s">
        <v>1010</v>
      </c>
      <c r="G60" s="0" t="s">
        <v>1011</v>
      </c>
    </row>
    <row r="61" customFormat="false" ht="15" hidden="false" customHeight="false" outlineLevel="0" collapsed="false">
      <c r="A61" s="0" t="s">
        <v>95</v>
      </c>
      <c r="B61" s="0" t="n">
        <v>663</v>
      </c>
      <c r="C61" s="0" t="n">
        <v>494</v>
      </c>
      <c r="D61" s="0" t="n">
        <v>686</v>
      </c>
      <c r="E61" s="0" t="s">
        <v>1012</v>
      </c>
      <c r="F61" s="0" t="s">
        <v>1013</v>
      </c>
      <c r="G61" s="0" t="s">
        <v>1014</v>
      </c>
    </row>
    <row r="62" customFormat="false" ht="15" hidden="false" customHeight="false" outlineLevel="0" collapsed="false">
      <c r="A62" s="0" t="s">
        <v>96</v>
      </c>
      <c r="B62" s="0" t="n">
        <v>29</v>
      </c>
      <c r="C62" s="0" t="n">
        <v>370</v>
      </c>
      <c r="D62" s="0" t="n">
        <v>473</v>
      </c>
      <c r="E62" s="0" t="s">
        <v>1015</v>
      </c>
      <c r="F62" s="0" t="s">
        <v>1016</v>
      </c>
      <c r="G62" s="0" t="s">
        <v>1017</v>
      </c>
    </row>
    <row r="63" customFormat="false" ht="15" hidden="false" customHeight="false" outlineLevel="0" collapsed="false">
      <c r="A63" s="0" t="s">
        <v>97</v>
      </c>
      <c r="B63" s="0" t="n">
        <v>621</v>
      </c>
      <c r="C63" s="0" t="n">
        <v>702</v>
      </c>
      <c r="D63" s="0" t="n">
        <v>649</v>
      </c>
      <c r="E63" s="0" t="s">
        <v>1018</v>
      </c>
      <c r="F63" s="0" t="s">
        <v>1019</v>
      </c>
      <c r="G63" s="0" t="s">
        <v>1020</v>
      </c>
    </row>
    <row r="64" customFormat="false" ht="15" hidden="false" customHeight="false" outlineLevel="0" collapsed="false">
      <c r="A64" s="0" t="s">
        <v>98</v>
      </c>
      <c r="B64" s="0" t="n">
        <v>691</v>
      </c>
      <c r="C64" s="0" t="n">
        <v>388</v>
      </c>
      <c r="D64" s="0" t="n">
        <v>643</v>
      </c>
      <c r="E64" s="0" t="s">
        <v>1021</v>
      </c>
      <c r="F64" s="0" t="s">
        <v>1022</v>
      </c>
      <c r="G64" s="0" t="s">
        <v>1023</v>
      </c>
    </row>
    <row r="65" customFormat="false" ht="15" hidden="false" customHeight="false" outlineLevel="0" collapsed="false">
      <c r="A65" s="0" t="s">
        <v>99</v>
      </c>
      <c r="B65" s="0" t="n">
        <v>674</v>
      </c>
      <c r="C65" s="0" t="n">
        <v>613</v>
      </c>
      <c r="D65" s="0" t="n">
        <v>710</v>
      </c>
      <c r="E65" s="0" t="s">
        <v>1024</v>
      </c>
      <c r="F65" s="0" t="s">
        <v>1025</v>
      </c>
      <c r="G65" s="0" t="s">
        <v>1026</v>
      </c>
    </row>
    <row r="66" customFormat="false" ht="15" hidden="false" customHeight="false" outlineLevel="0" collapsed="false">
      <c r="A66" s="0" t="s">
        <v>100</v>
      </c>
      <c r="B66" s="0" t="n">
        <v>653</v>
      </c>
      <c r="C66" s="0" t="n">
        <v>675</v>
      </c>
      <c r="D66" s="0" t="n">
        <v>704</v>
      </c>
      <c r="E66" s="0" t="s">
        <v>1027</v>
      </c>
      <c r="F66" s="0" t="s">
        <v>1028</v>
      </c>
      <c r="G66" s="0" t="s">
        <v>1029</v>
      </c>
    </row>
    <row r="67" customFormat="false" ht="15" hidden="false" customHeight="false" outlineLevel="0" collapsed="false">
      <c r="A67" s="0" t="s">
        <v>101</v>
      </c>
      <c r="B67" s="0" t="n">
        <v>668</v>
      </c>
      <c r="C67" s="0" t="n">
        <v>471</v>
      </c>
      <c r="D67" s="0" t="n">
        <v>608</v>
      </c>
      <c r="E67" s="0" t="s">
        <v>1030</v>
      </c>
      <c r="F67" s="0" t="s">
        <v>1031</v>
      </c>
      <c r="G67" s="0" t="s">
        <v>1032</v>
      </c>
    </row>
    <row r="68" customFormat="false" ht="15" hidden="false" customHeight="false" outlineLevel="0" collapsed="false">
      <c r="A68" s="0" t="s">
        <v>102</v>
      </c>
      <c r="B68" s="0" t="n">
        <v>463</v>
      </c>
      <c r="C68" s="0" t="n">
        <v>311</v>
      </c>
      <c r="D68" s="0" t="n">
        <v>626</v>
      </c>
      <c r="E68" s="0" t="s">
        <v>1033</v>
      </c>
      <c r="F68" s="0" t="s">
        <v>1034</v>
      </c>
      <c r="G68" s="0" t="s">
        <v>1035</v>
      </c>
    </row>
    <row r="69" customFormat="false" ht="15" hidden="false" customHeight="false" outlineLevel="0" collapsed="false">
      <c r="A69" s="0" t="s">
        <v>103</v>
      </c>
      <c r="B69" s="0" t="n">
        <v>681</v>
      </c>
      <c r="C69" s="0" t="n">
        <v>529</v>
      </c>
      <c r="D69" s="0" t="n">
        <v>652</v>
      </c>
      <c r="E69" s="0" t="s">
        <v>1036</v>
      </c>
      <c r="F69" s="0" t="s">
        <v>1037</v>
      </c>
      <c r="G69" s="0" t="s">
        <v>1038</v>
      </c>
    </row>
    <row r="70" customFormat="false" ht="15" hidden="false" customHeight="false" outlineLevel="0" collapsed="false">
      <c r="A70" s="0" t="s">
        <v>104</v>
      </c>
      <c r="B70" s="0" t="n">
        <v>384</v>
      </c>
      <c r="C70" s="0" t="n">
        <v>294</v>
      </c>
      <c r="D70" s="0" t="n">
        <v>623</v>
      </c>
      <c r="E70" s="0" t="s">
        <v>1039</v>
      </c>
      <c r="F70" s="0" t="s">
        <v>1040</v>
      </c>
      <c r="G70" s="0" t="s">
        <v>1041</v>
      </c>
    </row>
    <row r="71" customFormat="false" ht="15" hidden="false" customHeight="false" outlineLevel="0" collapsed="false">
      <c r="A71" s="0" t="s">
        <v>105</v>
      </c>
      <c r="B71" s="0" t="n">
        <v>591</v>
      </c>
      <c r="C71" s="0" t="n">
        <v>226</v>
      </c>
      <c r="D71" s="0" t="n">
        <v>645</v>
      </c>
      <c r="E71" s="0" t="s">
        <v>1042</v>
      </c>
      <c r="F71" s="0" t="s">
        <v>1043</v>
      </c>
      <c r="G71" s="0" t="s">
        <v>1044</v>
      </c>
    </row>
    <row r="72" customFormat="false" ht="15" hidden="false" customHeight="false" outlineLevel="0" collapsed="false">
      <c r="A72" s="0" t="s">
        <v>106</v>
      </c>
      <c r="B72" s="0" t="n">
        <v>570</v>
      </c>
      <c r="C72" s="0" t="n">
        <v>658</v>
      </c>
      <c r="D72" s="0" t="n">
        <v>692</v>
      </c>
      <c r="E72" s="0" t="s">
        <v>1045</v>
      </c>
      <c r="F72" s="0" t="s">
        <v>1046</v>
      </c>
      <c r="G72" s="0" t="s">
        <v>1047</v>
      </c>
    </row>
    <row r="73" customFormat="false" ht="15" hidden="false" customHeight="false" outlineLevel="0" collapsed="false">
      <c r="A73" s="0" t="s">
        <v>107</v>
      </c>
      <c r="B73" s="0" t="n">
        <v>614</v>
      </c>
      <c r="C73" s="0" t="n">
        <v>701</v>
      </c>
      <c r="D73" s="0" t="n">
        <v>694</v>
      </c>
      <c r="E73" s="0" t="s">
        <v>1048</v>
      </c>
      <c r="F73" s="0" t="s">
        <v>1049</v>
      </c>
      <c r="G73" s="0" t="s">
        <v>1050</v>
      </c>
    </row>
    <row r="74" customFormat="false" ht="15" hidden="false" customHeight="false" outlineLevel="0" collapsed="false">
      <c r="A74" s="0" t="s">
        <v>108</v>
      </c>
      <c r="B74" s="0" t="n">
        <v>255</v>
      </c>
      <c r="C74" s="0" t="n">
        <v>91</v>
      </c>
      <c r="D74" s="0" t="n">
        <v>573</v>
      </c>
      <c r="E74" s="0" t="s">
        <v>1051</v>
      </c>
      <c r="F74" s="0" t="s">
        <v>1052</v>
      </c>
      <c r="G74" s="0" t="s">
        <v>1053</v>
      </c>
    </row>
    <row r="75" customFormat="false" ht="15" hidden="false" customHeight="false" outlineLevel="0" collapsed="false">
      <c r="A75" s="0" t="s">
        <v>109</v>
      </c>
      <c r="B75" s="0" t="n">
        <v>214</v>
      </c>
      <c r="C75" s="0" t="n">
        <v>158</v>
      </c>
      <c r="D75" s="0" t="n">
        <v>574</v>
      </c>
      <c r="E75" s="0" t="s">
        <v>1054</v>
      </c>
      <c r="F75" s="0" t="s">
        <v>1055</v>
      </c>
      <c r="G75" s="0" t="s">
        <v>1056</v>
      </c>
    </row>
    <row r="76" customFormat="false" ht="15" hidden="false" customHeight="false" outlineLevel="0" collapsed="false">
      <c r="A76" s="0" t="s">
        <v>110</v>
      </c>
      <c r="B76" s="0" t="n">
        <v>613</v>
      </c>
      <c r="C76" s="0" t="n">
        <v>696</v>
      </c>
      <c r="D76" s="0" t="n">
        <v>657</v>
      </c>
      <c r="E76" s="0" t="s">
        <v>1057</v>
      </c>
      <c r="F76" s="0" t="s">
        <v>1058</v>
      </c>
      <c r="G76" s="0" t="s">
        <v>1059</v>
      </c>
    </row>
    <row r="77" customFormat="false" ht="15" hidden="false" customHeight="false" outlineLevel="0" collapsed="false">
      <c r="A77" s="0" t="s">
        <v>111</v>
      </c>
      <c r="B77" s="0" t="n">
        <v>544</v>
      </c>
      <c r="C77" s="0" t="n">
        <v>278</v>
      </c>
      <c r="D77" s="0" t="n">
        <v>614</v>
      </c>
      <c r="E77" s="0" t="s">
        <v>1060</v>
      </c>
      <c r="F77" s="0" t="s">
        <v>1061</v>
      </c>
      <c r="G77" s="0" t="s">
        <v>1062</v>
      </c>
    </row>
    <row r="78" customFormat="false" ht="15" hidden="false" customHeight="false" outlineLevel="0" collapsed="false">
      <c r="A78" s="0" t="s">
        <v>112</v>
      </c>
      <c r="B78" s="0" t="n">
        <v>97</v>
      </c>
      <c r="C78" s="0" t="n">
        <v>78</v>
      </c>
      <c r="D78" s="0" t="n">
        <v>586</v>
      </c>
      <c r="E78" s="0" t="s">
        <v>1063</v>
      </c>
      <c r="F78" s="0" t="s">
        <v>1064</v>
      </c>
      <c r="G78" s="0" t="s">
        <v>1065</v>
      </c>
    </row>
    <row r="79" customFormat="false" ht="15" hidden="false" customHeight="false" outlineLevel="0" collapsed="false">
      <c r="A79" s="0" t="s">
        <v>113</v>
      </c>
      <c r="B79" s="0" t="n">
        <v>322</v>
      </c>
      <c r="C79" s="0" t="n">
        <v>525</v>
      </c>
      <c r="D79" s="0" t="n">
        <v>691</v>
      </c>
      <c r="E79" s="0" t="s">
        <v>1066</v>
      </c>
      <c r="F79" s="0" t="s">
        <v>1067</v>
      </c>
      <c r="G79" s="0" t="s">
        <v>1068</v>
      </c>
    </row>
    <row r="80" customFormat="false" ht="15" hidden="false" customHeight="false" outlineLevel="0" collapsed="false">
      <c r="A80" s="0" t="s">
        <v>114</v>
      </c>
      <c r="B80" s="0" t="n">
        <v>456</v>
      </c>
      <c r="C80" s="0" t="n">
        <v>215</v>
      </c>
      <c r="D80" s="0" t="n">
        <v>616</v>
      </c>
      <c r="E80" s="0" t="s">
        <v>1069</v>
      </c>
      <c r="F80" s="0" t="s">
        <v>1070</v>
      </c>
      <c r="G80" s="0" t="s">
        <v>1071</v>
      </c>
    </row>
    <row r="81" customFormat="false" ht="15" hidden="false" customHeight="false" outlineLevel="0" collapsed="false">
      <c r="A81" s="0" t="s">
        <v>115</v>
      </c>
    </row>
    <row r="82" customFormat="false" ht="15" hidden="false" customHeight="false" outlineLevel="0" collapsed="false">
      <c r="A82" s="0" t="s">
        <v>116</v>
      </c>
      <c r="B82" s="0" t="n">
        <v>519</v>
      </c>
      <c r="C82" s="0" t="n">
        <v>705</v>
      </c>
      <c r="D82" s="0" t="n">
        <v>685</v>
      </c>
      <c r="E82" s="0" t="s">
        <v>1072</v>
      </c>
      <c r="F82" s="0" t="s">
        <v>1073</v>
      </c>
      <c r="G82" s="0" t="s">
        <v>1074</v>
      </c>
    </row>
    <row r="83" customFormat="false" ht="15" hidden="false" customHeight="false" outlineLevel="0" collapsed="false">
      <c r="A83" s="0" t="s">
        <v>117</v>
      </c>
      <c r="B83" s="0" t="n">
        <v>184</v>
      </c>
      <c r="C83" s="0" t="n">
        <v>244</v>
      </c>
      <c r="D83" s="0" t="n">
        <v>475</v>
      </c>
      <c r="E83" s="0" t="s">
        <v>1075</v>
      </c>
      <c r="F83" s="0" t="s">
        <v>1076</v>
      </c>
      <c r="G83" s="0" t="s">
        <v>1077</v>
      </c>
    </row>
    <row r="84" customFormat="false" ht="15" hidden="false" customHeight="false" outlineLevel="0" collapsed="false">
      <c r="A84" s="0" t="s">
        <v>118</v>
      </c>
      <c r="B84" s="0" t="n">
        <v>61</v>
      </c>
      <c r="C84" s="0" t="n">
        <v>303</v>
      </c>
      <c r="D84" s="0" t="n">
        <v>628</v>
      </c>
      <c r="E84" s="0" t="s">
        <v>1078</v>
      </c>
      <c r="F84" s="0" t="s">
        <v>1079</v>
      </c>
      <c r="G84" s="0" t="s">
        <v>1080</v>
      </c>
    </row>
    <row r="85" customFormat="false" ht="15" hidden="false" customHeight="false" outlineLevel="0" collapsed="false">
      <c r="A85" s="0" t="s">
        <v>119</v>
      </c>
      <c r="B85" s="0" t="n">
        <v>310</v>
      </c>
      <c r="C85" s="0" t="n">
        <v>416</v>
      </c>
      <c r="D85" s="0" t="n">
        <v>615</v>
      </c>
      <c r="E85" s="0" t="s">
        <v>1081</v>
      </c>
      <c r="F85" s="0" t="s">
        <v>1082</v>
      </c>
      <c r="G85" s="0" t="s">
        <v>1083</v>
      </c>
    </row>
    <row r="86" customFormat="false" ht="15" hidden="false" customHeight="false" outlineLevel="0" collapsed="false">
      <c r="A86" s="0" t="s">
        <v>120</v>
      </c>
    </row>
    <row r="87" customFormat="false" ht="15" hidden="false" customHeight="false" outlineLevel="0" collapsed="false">
      <c r="A87" s="0" t="s">
        <v>121</v>
      </c>
      <c r="B87" s="0" t="n">
        <v>578</v>
      </c>
      <c r="C87" s="0" t="n">
        <v>605</v>
      </c>
      <c r="D87" s="0" t="n">
        <v>638</v>
      </c>
      <c r="E87" s="0" t="s">
        <v>1084</v>
      </c>
      <c r="F87" s="0" t="s">
        <v>1085</v>
      </c>
      <c r="G87" s="0" t="s">
        <v>1086</v>
      </c>
    </row>
    <row r="88" customFormat="false" ht="15" hidden="false" customHeight="false" outlineLevel="0" collapsed="false">
      <c r="A88" s="0" t="s">
        <v>122</v>
      </c>
      <c r="B88" s="0" t="n">
        <v>175</v>
      </c>
      <c r="C88" s="0" t="n">
        <v>64</v>
      </c>
      <c r="D88" s="0" t="n">
        <v>60</v>
      </c>
      <c r="E88" s="0" t="s">
        <v>1087</v>
      </c>
      <c r="F88" s="0" t="s">
        <v>1088</v>
      </c>
      <c r="G88" s="0" t="s">
        <v>1089</v>
      </c>
    </row>
    <row r="89" customFormat="false" ht="15" hidden="false" customHeight="false" outlineLevel="0" collapsed="false">
      <c r="A89" s="0" t="s">
        <v>123</v>
      </c>
      <c r="B89" s="0" t="n">
        <v>157</v>
      </c>
      <c r="C89" s="0" t="n">
        <v>148</v>
      </c>
      <c r="D89" s="0" t="n">
        <v>604</v>
      </c>
      <c r="E89" s="0" t="s">
        <v>1090</v>
      </c>
      <c r="F89" s="0" t="s">
        <v>1091</v>
      </c>
      <c r="G89" s="0" t="s">
        <v>1092</v>
      </c>
    </row>
    <row r="90" customFormat="false" ht="15" hidden="false" customHeight="false" outlineLevel="0" collapsed="false">
      <c r="A90" s="0" t="s">
        <v>124</v>
      </c>
      <c r="B90" s="0" t="n">
        <v>142</v>
      </c>
      <c r="C90" s="0" t="n">
        <v>289</v>
      </c>
      <c r="D90" s="0" t="n">
        <v>456</v>
      </c>
      <c r="E90" s="0" t="s">
        <v>1093</v>
      </c>
      <c r="F90" s="0" t="s">
        <v>1094</v>
      </c>
      <c r="G90" s="0" t="s">
        <v>1095</v>
      </c>
    </row>
    <row r="91" customFormat="false" ht="15" hidden="false" customHeight="false" outlineLevel="0" collapsed="false">
      <c r="A91" s="0" t="s">
        <v>125</v>
      </c>
      <c r="B91" s="0" t="n">
        <v>226</v>
      </c>
      <c r="C91" s="0" t="n">
        <v>465</v>
      </c>
      <c r="D91" s="0" t="n">
        <v>607</v>
      </c>
      <c r="E91" s="0" t="s">
        <v>1096</v>
      </c>
      <c r="F91" s="0" t="s">
        <v>1097</v>
      </c>
      <c r="G91" s="0" t="s">
        <v>1098</v>
      </c>
    </row>
    <row r="92" customFormat="false" ht="15" hidden="false" customHeight="false" outlineLevel="0" collapsed="false">
      <c r="A92" s="0" t="s">
        <v>126</v>
      </c>
      <c r="B92" s="0" t="n">
        <v>151</v>
      </c>
      <c r="C92" s="0" t="n">
        <v>55</v>
      </c>
      <c r="D92" s="0" t="n">
        <v>316</v>
      </c>
      <c r="E92" s="0" t="s">
        <v>1099</v>
      </c>
      <c r="F92" s="0" t="s">
        <v>1100</v>
      </c>
      <c r="G92" s="0" t="s">
        <v>1101</v>
      </c>
    </row>
    <row r="93" customFormat="false" ht="15" hidden="false" customHeight="false" outlineLevel="0" collapsed="false">
      <c r="A93" s="0" t="s">
        <v>127</v>
      </c>
      <c r="B93" s="0" t="n">
        <v>608</v>
      </c>
      <c r="C93" s="0" t="n">
        <v>540</v>
      </c>
      <c r="D93" s="0" t="n">
        <v>578</v>
      </c>
      <c r="E93" s="0" t="s">
        <v>1102</v>
      </c>
      <c r="F93" s="0" t="s">
        <v>1103</v>
      </c>
      <c r="G93" s="0" t="s">
        <v>1104</v>
      </c>
    </row>
    <row r="94" customFormat="false" ht="15" hidden="false" customHeight="false" outlineLevel="0" collapsed="false">
      <c r="A94" s="0" t="s">
        <v>128</v>
      </c>
      <c r="B94" s="0" t="n">
        <v>96</v>
      </c>
      <c r="C94" s="0" t="n">
        <v>46</v>
      </c>
      <c r="D94" s="0" t="n">
        <v>493</v>
      </c>
      <c r="E94" s="0" t="s">
        <v>1105</v>
      </c>
      <c r="F94" s="0" t="s">
        <v>1106</v>
      </c>
      <c r="G94" s="0" t="s">
        <v>1107</v>
      </c>
    </row>
    <row r="95" customFormat="false" ht="15" hidden="false" customHeight="false" outlineLevel="0" collapsed="false">
      <c r="A95" s="0" t="s">
        <v>129</v>
      </c>
      <c r="B95" s="0" t="n">
        <v>245</v>
      </c>
      <c r="C95" s="0" t="n">
        <v>277</v>
      </c>
      <c r="D95" s="0" t="n">
        <v>512</v>
      </c>
      <c r="E95" s="0" t="s">
        <v>1108</v>
      </c>
      <c r="F95" s="0" t="s">
        <v>1109</v>
      </c>
      <c r="G95" s="0" t="s">
        <v>1110</v>
      </c>
    </row>
    <row r="96" customFormat="false" ht="15" hidden="false" customHeight="false" outlineLevel="0" collapsed="false">
      <c r="A96" s="0" t="s">
        <v>130</v>
      </c>
      <c r="B96" s="0" t="n">
        <v>417</v>
      </c>
      <c r="C96" s="0" t="n">
        <v>553</v>
      </c>
      <c r="D96" s="0" t="n">
        <v>675</v>
      </c>
      <c r="E96" s="0" t="s">
        <v>1111</v>
      </c>
      <c r="F96" s="0" t="s">
        <v>1112</v>
      </c>
      <c r="G96" s="0" t="s">
        <v>1113</v>
      </c>
    </row>
    <row r="97" customFormat="false" ht="15" hidden="false" customHeight="false" outlineLevel="0" collapsed="false">
      <c r="A97" s="0" t="s">
        <v>131</v>
      </c>
      <c r="B97" s="0" t="n">
        <v>527</v>
      </c>
      <c r="C97" s="0" t="n">
        <v>486</v>
      </c>
      <c r="D97" s="0" t="n">
        <v>506</v>
      </c>
      <c r="E97" s="0" t="s">
        <v>1114</v>
      </c>
      <c r="F97" s="0" t="s">
        <v>1115</v>
      </c>
      <c r="G97" s="0" t="s">
        <v>1116</v>
      </c>
    </row>
    <row r="98" customFormat="false" ht="15" hidden="false" customHeight="false" outlineLevel="0" collapsed="false">
      <c r="A98" s="0" t="s">
        <v>132</v>
      </c>
      <c r="B98" s="0" t="n">
        <v>387</v>
      </c>
      <c r="C98" s="0" t="n">
        <v>181</v>
      </c>
      <c r="D98" s="0" t="n">
        <v>449</v>
      </c>
      <c r="E98" s="0" t="s">
        <v>1117</v>
      </c>
      <c r="F98" s="0" t="s">
        <v>1118</v>
      </c>
      <c r="G98" s="0" t="s">
        <v>1119</v>
      </c>
    </row>
    <row r="99" customFormat="false" ht="15" hidden="false" customHeight="false" outlineLevel="0" collapsed="false">
      <c r="A99" s="0" t="s">
        <v>133</v>
      </c>
      <c r="B99" s="0" t="n">
        <v>308</v>
      </c>
      <c r="C99" s="0" t="n">
        <v>134</v>
      </c>
      <c r="D99" s="0" t="n">
        <v>527</v>
      </c>
      <c r="E99" s="0" t="s">
        <v>1120</v>
      </c>
      <c r="F99" s="0" t="s">
        <v>1121</v>
      </c>
      <c r="G99" s="0" t="s">
        <v>1122</v>
      </c>
    </row>
    <row r="100" customFormat="false" ht="15" hidden="false" customHeight="false" outlineLevel="0" collapsed="false">
      <c r="A100" s="0" t="s">
        <v>134</v>
      </c>
      <c r="B100" s="0" t="n">
        <v>365</v>
      </c>
      <c r="C100" s="0" t="n">
        <v>544</v>
      </c>
      <c r="D100" s="0" t="n">
        <v>668</v>
      </c>
      <c r="E100" s="0" t="s">
        <v>1123</v>
      </c>
      <c r="F100" s="0" t="s">
        <v>1124</v>
      </c>
      <c r="G100" s="0" t="s">
        <v>1125</v>
      </c>
    </row>
    <row r="101" customFormat="false" ht="15" hidden="false" customHeight="false" outlineLevel="0" collapsed="false">
      <c r="A101" s="0" t="s">
        <v>135</v>
      </c>
      <c r="B101" s="0" t="n">
        <v>267</v>
      </c>
      <c r="C101" s="0" t="n">
        <v>15</v>
      </c>
      <c r="D101" s="0" t="n">
        <v>469</v>
      </c>
      <c r="E101" s="0" t="s">
        <v>1126</v>
      </c>
      <c r="F101" s="0" t="s">
        <v>1127</v>
      </c>
      <c r="G101" s="0" t="s">
        <v>1128</v>
      </c>
    </row>
    <row r="102" customFormat="false" ht="15" hidden="false" customHeight="false" outlineLevel="0" collapsed="false">
      <c r="A102" s="0" t="s">
        <v>136</v>
      </c>
      <c r="B102" s="0" t="n">
        <v>223</v>
      </c>
      <c r="C102" s="0" t="n">
        <v>31</v>
      </c>
      <c r="D102" s="0" t="n">
        <v>427</v>
      </c>
      <c r="E102" s="0" t="s">
        <v>1129</v>
      </c>
      <c r="F102" s="0" t="s">
        <v>1130</v>
      </c>
      <c r="G102" s="0" t="s">
        <v>1131</v>
      </c>
    </row>
    <row r="103" customFormat="false" ht="15" hidden="false" customHeight="false" outlineLevel="0" collapsed="false">
      <c r="A103" s="0" t="s">
        <v>137</v>
      </c>
      <c r="B103" s="0" t="n">
        <v>80</v>
      </c>
      <c r="C103" s="0" t="n">
        <v>157</v>
      </c>
      <c r="D103" s="0" t="n">
        <v>575</v>
      </c>
      <c r="E103" s="0" t="s">
        <v>1132</v>
      </c>
      <c r="F103" s="0" t="s">
        <v>1133</v>
      </c>
      <c r="G103" s="0" t="s">
        <v>1134</v>
      </c>
    </row>
    <row r="104" customFormat="false" ht="15" hidden="false" customHeight="false" outlineLevel="0" collapsed="false">
      <c r="A104" s="0" t="s">
        <v>138</v>
      </c>
      <c r="B104" s="0" t="n">
        <v>57</v>
      </c>
      <c r="C104" s="0" t="n">
        <v>40</v>
      </c>
      <c r="D104" s="0" t="n">
        <v>176</v>
      </c>
      <c r="E104" s="0" t="s">
        <v>1135</v>
      </c>
      <c r="F104" s="0" t="s">
        <v>1136</v>
      </c>
      <c r="G104" s="0" t="s">
        <v>1137</v>
      </c>
    </row>
    <row r="105" customFormat="false" ht="15" hidden="false" customHeight="false" outlineLevel="0" collapsed="false">
      <c r="A105" s="0" t="s">
        <v>139</v>
      </c>
      <c r="B105" s="0" t="n">
        <v>105</v>
      </c>
      <c r="C105" s="0" t="n">
        <v>162</v>
      </c>
      <c r="D105" s="0" t="n">
        <v>635</v>
      </c>
      <c r="E105" s="0" t="s">
        <v>1138</v>
      </c>
      <c r="F105" s="0" t="s">
        <v>1139</v>
      </c>
      <c r="G105" s="0" t="s">
        <v>1140</v>
      </c>
    </row>
    <row r="106" customFormat="false" ht="15" hidden="false" customHeight="false" outlineLevel="0" collapsed="false">
      <c r="A106" s="0" t="s">
        <v>140</v>
      </c>
      <c r="B106" s="0" t="n">
        <v>298</v>
      </c>
      <c r="C106" s="0" t="n">
        <v>502</v>
      </c>
      <c r="D106" s="0" t="n">
        <v>425</v>
      </c>
      <c r="E106" s="0" t="s">
        <v>1141</v>
      </c>
      <c r="F106" s="0" t="s">
        <v>1142</v>
      </c>
      <c r="G106" s="0" t="s">
        <v>1143</v>
      </c>
    </row>
    <row r="107" customFormat="false" ht="15" hidden="false" customHeight="false" outlineLevel="0" collapsed="false">
      <c r="A107" s="0" t="s">
        <v>141</v>
      </c>
      <c r="B107" s="0" t="n">
        <v>371</v>
      </c>
      <c r="C107" s="0" t="n">
        <v>504</v>
      </c>
      <c r="D107" s="0" t="n">
        <v>423</v>
      </c>
      <c r="E107" s="0" t="s">
        <v>1144</v>
      </c>
      <c r="F107" s="0" t="s">
        <v>1145</v>
      </c>
      <c r="G107" s="0" t="s">
        <v>1146</v>
      </c>
    </row>
    <row r="108" customFormat="false" ht="15" hidden="false" customHeight="false" outlineLevel="0" collapsed="false">
      <c r="A108" s="0" t="s">
        <v>142</v>
      </c>
      <c r="B108" s="0" t="n">
        <v>7</v>
      </c>
      <c r="C108" s="0" t="n">
        <v>453</v>
      </c>
      <c r="D108" s="0" t="n">
        <v>550</v>
      </c>
      <c r="E108" s="0" t="s">
        <v>1147</v>
      </c>
      <c r="F108" s="0" t="s">
        <v>1148</v>
      </c>
      <c r="G108" s="0" t="s">
        <v>1149</v>
      </c>
    </row>
    <row r="109" customFormat="false" ht="15" hidden="false" customHeight="false" outlineLevel="0" collapsed="false">
      <c r="A109" s="0" t="s">
        <v>143</v>
      </c>
      <c r="B109" s="0" t="n">
        <v>43</v>
      </c>
      <c r="C109" s="0" t="n">
        <v>406</v>
      </c>
      <c r="D109" s="0" t="n">
        <v>566</v>
      </c>
      <c r="E109" s="0" t="s">
        <v>1150</v>
      </c>
      <c r="F109" s="0" t="s">
        <v>1151</v>
      </c>
      <c r="G109" s="0" t="s">
        <v>1152</v>
      </c>
    </row>
    <row r="110" customFormat="false" ht="15" hidden="false" customHeight="false" outlineLevel="0" collapsed="false">
      <c r="A110" s="0" t="s">
        <v>144</v>
      </c>
    </row>
    <row r="111" customFormat="false" ht="15" hidden="false" customHeight="false" outlineLevel="0" collapsed="false">
      <c r="A111" s="0" t="s">
        <v>145</v>
      </c>
      <c r="B111" s="0" t="n">
        <v>4</v>
      </c>
      <c r="C111" s="0" t="n">
        <v>16</v>
      </c>
      <c r="D111" s="0" t="n">
        <v>170</v>
      </c>
      <c r="E111" s="0" t="s">
        <v>1153</v>
      </c>
      <c r="F111" s="0" t="s">
        <v>1154</v>
      </c>
      <c r="G111" s="0" t="s">
        <v>1155</v>
      </c>
    </row>
    <row r="112" customFormat="false" ht="15" hidden="false" customHeight="false" outlineLevel="0" collapsed="false">
      <c r="A112" s="0" t="s">
        <v>146</v>
      </c>
      <c r="B112" s="0" t="n">
        <v>659</v>
      </c>
      <c r="C112" s="0" t="n">
        <v>693</v>
      </c>
      <c r="D112" s="0" t="n">
        <v>695</v>
      </c>
      <c r="E112" s="0" t="s">
        <v>1156</v>
      </c>
      <c r="F112" s="0" t="s">
        <v>1157</v>
      </c>
      <c r="G112" s="0" t="s">
        <v>1158</v>
      </c>
    </row>
    <row r="113" customFormat="false" ht="15" hidden="false" customHeight="false" outlineLevel="0" collapsed="false">
      <c r="A113" s="0" t="s">
        <v>147</v>
      </c>
    </row>
    <row r="114" customFormat="false" ht="15" hidden="false" customHeight="false" outlineLevel="0" collapsed="false">
      <c r="A114" s="0" t="s">
        <v>148</v>
      </c>
      <c r="B114" s="0" t="n">
        <v>260</v>
      </c>
      <c r="C114" s="0" t="n">
        <v>492</v>
      </c>
      <c r="D114" s="0" t="n">
        <v>439</v>
      </c>
      <c r="E114" s="0" t="s">
        <v>1159</v>
      </c>
      <c r="F114" s="0" t="s">
        <v>1160</v>
      </c>
      <c r="G114" s="0" t="s">
        <v>1161</v>
      </c>
    </row>
    <row r="115" customFormat="false" ht="15" hidden="false" customHeight="false" outlineLevel="0" collapsed="false">
      <c r="A115" s="0" t="s">
        <v>149</v>
      </c>
    </row>
    <row r="116" customFormat="false" ht="15" hidden="false" customHeight="false" outlineLevel="0" collapsed="false">
      <c r="A116" s="0" t="s">
        <v>150</v>
      </c>
      <c r="B116" s="0" t="n">
        <v>300</v>
      </c>
      <c r="C116" s="0" t="n">
        <v>190</v>
      </c>
      <c r="D116" s="0" t="n">
        <v>187</v>
      </c>
      <c r="E116" s="0" t="s">
        <v>1162</v>
      </c>
      <c r="F116" s="0" t="s">
        <v>1163</v>
      </c>
      <c r="G116" s="0" t="s">
        <v>1164</v>
      </c>
    </row>
    <row r="117" customFormat="false" ht="15" hidden="false" customHeight="false" outlineLevel="0" collapsed="false">
      <c r="A117" s="0" t="s">
        <v>151</v>
      </c>
      <c r="B117" s="0" t="n">
        <v>418</v>
      </c>
      <c r="C117" s="0" t="n">
        <v>592</v>
      </c>
      <c r="D117" s="0" t="n">
        <v>531</v>
      </c>
      <c r="E117" s="0" t="s">
        <v>1165</v>
      </c>
      <c r="F117" s="0" t="s">
        <v>1166</v>
      </c>
      <c r="G117" s="0" t="s">
        <v>1167</v>
      </c>
    </row>
    <row r="118" customFormat="false" ht="15" hidden="false" customHeight="false" outlineLevel="0" collapsed="false">
      <c r="A118" s="0" t="s">
        <v>152</v>
      </c>
      <c r="B118" s="0" t="n">
        <v>238</v>
      </c>
      <c r="C118" s="0" t="n">
        <v>86</v>
      </c>
      <c r="D118" s="0" t="n">
        <v>278</v>
      </c>
      <c r="E118" s="0" t="s">
        <v>1168</v>
      </c>
      <c r="F118" s="0" t="s">
        <v>1169</v>
      </c>
      <c r="G118" s="0" t="s">
        <v>1170</v>
      </c>
    </row>
    <row r="119" customFormat="false" ht="15" hidden="false" customHeight="false" outlineLevel="0" collapsed="false">
      <c r="A119" s="0" t="s">
        <v>153</v>
      </c>
      <c r="B119" s="0" t="n">
        <v>222</v>
      </c>
      <c r="C119" s="0" t="n">
        <v>425</v>
      </c>
      <c r="D119" s="0" t="n">
        <v>358</v>
      </c>
      <c r="E119" s="0" t="s">
        <v>1171</v>
      </c>
      <c r="F119" s="0" t="s">
        <v>1172</v>
      </c>
      <c r="G119" s="0" t="s">
        <v>1173</v>
      </c>
    </row>
    <row r="120" customFormat="false" ht="15" hidden="false" customHeight="false" outlineLevel="0" collapsed="false">
      <c r="A120" s="0" t="s">
        <v>154</v>
      </c>
    </row>
    <row r="121" customFormat="false" ht="15" hidden="false" customHeight="false" outlineLevel="0" collapsed="false">
      <c r="A121" s="0" t="s">
        <v>155</v>
      </c>
      <c r="B121" s="0" t="n">
        <v>498</v>
      </c>
      <c r="C121" s="0" t="n">
        <v>587</v>
      </c>
      <c r="D121" s="0" t="n">
        <v>622</v>
      </c>
      <c r="E121" s="0" t="s">
        <v>1174</v>
      </c>
      <c r="F121" s="0" t="s">
        <v>1175</v>
      </c>
      <c r="G121" s="0" t="s">
        <v>1176</v>
      </c>
    </row>
    <row r="122" customFormat="false" ht="15" hidden="false" customHeight="false" outlineLevel="0" collapsed="false">
      <c r="A122" s="0" t="s">
        <v>156</v>
      </c>
      <c r="B122" s="0" t="n">
        <v>218</v>
      </c>
      <c r="C122" s="0" t="n">
        <v>476</v>
      </c>
      <c r="D122" s="0" t="n">
        <v>498</v>
      </c>
      <c r="E122" s="0" t="s">
        <v>1177</v>
      </c>
      <c r="F122" s="0" t="s">
        <v>1178</v>
      </c>
      <c r="G122" s="0" t="s">
        <v>1179</v>
      </c>
    </row>
    <row r="123" customFormat="false" ht="15" hidden="false" customHeight="false" outlineLevel="0" collapsed="false">
      <c r="A123" s="0" t="s">
        <v>157</v>
      </c>
      <c r="B123" s="0" t="n">
        <v>124</v>
      </c>
      <c r="C123" s="0" t="n">
        <v>43</v>
      </c>
      <c r="D123" s="0" t="n">
        <v>349</v>
      </c>
      <c r="E123" s="0" t="s">
        <v>1180</v>
      </c>
      <c r="F123" s="0" t="s">
        <v>1181</v>
      </c>
      <c r="G123" s="0" t="s">
        <v>1182</v>
      </c>
    </row>
    <row r="124" customFormat="false" ht="15" hidden="false" customHeight="false" outlineLevel="0" collapsed="false">
      <c r="A124" s="0" t="s">
        <v>158</v>
      </c>
      <c r="B124" s="0" t="n">
        <v>373</v>
      </c>
      <c r="C124" s="0" t="n">
        <v>355</v>
      </c>
      <c r="D124" s="0" t="n">
        <v>576</v>
      </c>
      <c r="E124" s="0" t="s">
        <v>1183</v>
      </c>
      <c r="F124" s="0" t="s">
        <v>1184</v>
      </c>
      <c r="G124" s="0" t="s">
        <v>1185</v>
      </c>
    </row>
    <row r="125" customFormat="false" ht="15" hidden="false" customHeight="false" outlineLevel="0" collapsed="false">
      <c r="A125" s="0" t="s">
        <v>159</v>
      </c>
    </row>
    <row r="126" customFormat="false" ht="15" hidden="false" customHeight="false" outlineLevel="0" collapsed="false">
      <c r="A126" s="0" t="s">
        <v>160</v>
      </c>
      <c r="B126" s="0" t="n">
        <v>586</v>
      </c>
      <c r="C126" s="0" t="n">
        <v>423</v>
      </c>
      <c r="D126" s="0" t="n">
        <v>533</v>
      </c>
      <c r="E126" s="0" t="s">
        <v>1186</v>
      </c>
      <c r="F126" s="0" t="s">
        <v>1187</v>
      </c>
      <c r="G126" s="0" t="s">
        <v>1188</v>
      </c>
    </row>
    <row r="127" customFormat="false" ht="15" hidden="false" customHeight="false" outlineLevel="0" collapsed="false">
      <c r="A127" s="0" t="s">
        <v>161</v>
      </c>
    </row>
    <row r="128" customFormat="false" ht="15" hidden="false" customHeight="false" outlineLevel="0" collapsed="false">
      <c r="A128" s="0" t="s">
        <v>162</v>
      </c>
    </row>
    <row r="129" customFormat="false" ht="15" hidden="false" customHeight="false" outlineLevel="0" collapsed="false">
      <c r="A129" s="0" t="s">
        <v>163</v>
      </c>
      <c r="B129" s="0" t="n">
        <v>715</v>
      </c>
      <c r="C129" s="0" t="n">
        <v>588</v>
      </c>
      <c r="D129" s="0" t="n">
        <v>447</v>
      </c>
      <c r="E129" s="0" t="s">
        <v>1189</v>
      </c>
      <c r="F129" s="0" t="s">
        <v>1190</v>
      </c>
      <c r="G129" s="0" t="s">
        <v>1191</v>
      </c>
    </row>
    <row r="130" customFormat="false" ht="15" hidden="false" customHeight="false" outlineLevel="0" collapsed="false">
      <c r="A130" s="0" t="s">
        <v>164</v>
      </c>
      <c r="B130" s="0" t="n">
        <v>321</v>
      </c>
      <c r="C130" s="0" t="n">
        <v>25</v>
      </c>
      <c r="D130" s="0" t="n">
        <v>472</v>
      </c>
      <c r="E130" s="0" t="s">
        <v>1192</v>
      </c>
      <c r="F130" s="0" t="s">
        <v>1193</v>
      </c>
      <c r="G130" s="0" t="s">
        <v>1194</v>
      </c>
    </row>
    <row r="131" customFormat="false" ht="15" hidden="false" customHeight="false" outlineLevel="0" collapsed="false">
      <c r="A131" s="0" t="s">
        <v>165</v>
      </c>
      <c r="B131" s="0" t="n">
        <v>364</v>
      </c>
      <c r="C131" s="0" t="n">
        <v>197</v>
      </c>
      <c r="D131" s="0" t="n">
        <v>154</v>
      </c>
      <c r="E131" s="0" t="s">
        <v>1195</v>
      </c>
      <c r="F131" s="0" t="s">
        <v>1196</v>
      </c>
      <c r="G131" s="0" t="s">
        <v>1197</v>
      </c>
    </row>
    <row r="132" customFormat="false" ht="15" hidden="false" customHeight="false" outlineLevel="0" collapsed="false">
      <c r="A132" s="0" t="s">
        <v>166</v>
      </c>
      <c r="B132" s="0" t="n">
        <v>642</v>
      </c>
      <c r="C132" s="0" t="n">
        <v>647</v>
      </c>
      <c r="D132" s="0" t="n">
        <v>644</v>
      </c>
      <c r="E132" s="0" t="s">
        <v>1198</v>
      </c>
      <c r="F132" s="0" t="s">
        <v>1199</v>
      </c>
      <c r="G132" s="0" t="s">
        <v>1200</v>
      </c>
    </row>
    <row r="133" customFormat="false" ht="15" hidden="false" customHeight="false" outlineLevel="0" collapsed="false">
      <c r="A133" s="0" t="s">
        <v>167</v>
      </c>
      <c r="B133" s="0" t="n">
        <v>343</v>
      </c>
      <c r="C133" s="0" t="n">
        <v>479</v>
      </c>
      <c r="D133" s="0" t="n">
        <v>496</v>
      </c>
      <c r="E133" s="0" t="s">
        <v>1201</v>
      </c>
      <c r="F133" s="0" t="s">
        <v>1202</v>
      </c>
      <c r="G133" s="0" t="s">
        <v>1203</v>
      </c>
    </row>
    <row r="134" customFormat="false" ht="15" hidden="false" customHeight="false" outlineLevel="0" collapsed="false">
      <c r="A134" s="0" t="s">
        <v>168</v>
      </c>
      <c r="B134" s="0" t="n">
        <v>508</v>
      </c>
      <c r="C134" s="0" t="n">
        <v>68</v>
      </c>
      <c r="D134" s="0" t="n">
        <v>400</v>
      </c>
      <c r="E134" s="0" t="s">
        <v>1204</v>
      </c>
      <c r="F134" s="0" t="s">
        <v>1205</v>
      </c>
      <c r="G134" s="0" t="s">
        <v>1206</v>
      </c>
    </row>
    <row r="135" customFormat="false" ht="15" hidden="false" customHeight="false" outlineLevel="0" collapsed="false">
      <c r="A135" s="0" t="s">
        <v>169</v>
      </c>
      <c r="B135" s="0" t="n">
        <v>524</v>
      </c>
      <c r="C135" s="0" t="n">
        <v>301</v>
      </c>
      <c r="D135" s="0" t="n">
        <v>583</v>
      </c>
      <c r="E135" s="0" t="s">
        <v>1207</v>
      </c>
      <c r="F135" s="0" t="s">
        <v>1208</v>
      </c>
      <c r="G135" s="0" t="s">
        <v>1209</v>
      </c>
    </row>
    <row r="136" customFormat="false" ht="15" hidden="false" customHeight="false" outlineLevel="0" collapsed="false">
      <c r="A136" s="0" t="s">
        <v>170</v>
      </c>
      <c r="B136" s="0" t="n">
        <v>379</v>
      </c>
      <c r="C136" s="0" t="n">
        <v>129</v>
      </c>
      <c r="D136" s="0" t="n">
        <v>555</v>
      </c>
      <c r="E136" s="0" t="s">
        <v>1210</v>
      </c>
      <c r="F136" s="0" t="s">
        <v>1211</v>
      </c>
      <c r="G136" s="0" t="s">
        <v>1212</v>
      </c>
    </row>
    <row r="137" customFormat="false" ht="15" hidden="false" customHeight="false" outlineLevel="0" collapsed="false">
      <c r="A137" s="0" t="s">
        <v>171</v>
      </c>
    </row>
    <row r="138" customFormat="false" ht="15" hidden="false" customHeight="false" outlineLevel="0" collapsed="false">
      <c r="A138" s="0" t="s">
        <v>172</v>
      </c>
      <c r="B138" s="0" t="n">
        <v>147</v>
      </c>
      <c r="C138" s="0" t="n">
        <v>210</v>
      </c>
      <c r="D138" s="0" t="n">
        <v>283</v>
      </c>
      <c r="E138" s="0" t="s">
        <v>1213</v>
      </c>
      <c r="F138" s="0" t="s">
        <v>1214</v>
      </c>
      <c r="G138" s="0" t="s">
        <v>1215</v>
      </c>
    </row>
    <row r="139" customFormat="false" ht="15" hidden="false" customHeight="false" outlineLevel="0" collapsed="false">
      <c r="A139" s="0" t="s">
        <v>173</v>
      </c>
      <c r="B139" s="0" t="n">
        <v>572</v>
      </c>
      <c r="C139" s="0" t="n">
        <v>645</v>
      </c>
      <c r="D139" s="0" t="n">
        <v>562</v>
      </c>
      <c r="E139" s="0" t="s">
        <v>1216</v>
      </c>
      <c r="F139" s="0" t="s">
        <v>1217</v>
      </c>
      <c r="G139" s="0" t="s">
        <v>1218</v>
      </c>
    </row>
    <row r="140" customFormat="false" ht="15" hidden="false" customHeight="false" outlineLevel="0" collapsed="false">
      <c r="A140" s="0" t="s">
        <v>174</v>
      </c>
      <c r="B140" s="0" t="n">
        <v>88</v>
      </c>
      <c r="C140" s="0" t="n">
        <v>84</v>
      </c>
      <c r="D140" s="0" t="n">
        <v>634</v>
      </c>
      <c r="E140" s="0" t="s">
        <v>1219</v>
      </c>
      <c r="F140" s="0" t="s">
        <v>1220</v>
      </c>
      <c r="G140" s="0" t="s">
        <v>1221</v>
      </c>
    </row>
    <row r="141" customFormat="false" ht="15" hidden="false" customHeight="false" outlineLevel="0" collapsed="false">
      <c r="A141" s="0" t="s">
        <v>175</v>
      </c>
      <c r="B141" s="0" t="n">
        <v>199</v>
      </c>
      <c r="C141" s="0" t="n">
        <v>257</v>
      </c>
      <c r="D141" s="0" t="n">
        <v>383</v>
      </c>
      <c r="E141" s="0" t="s">
        <v>1222</v>
      </c>
      <c r="F141" s="0" t="s">
        <v>1223</v>
      </c>
      <c r="G141" s="0" t="s">
        <v>1224</v>
      </c>
    </row>
    <row r="142" customFormat="false" ht="15" hidden="false" customHeight="false" outlineLevel="0" collapsed="false">
      <c r="A142" s="0" t="s">
        <v>176</v>
      </c>
      <c r="B142" s="0" t="n">
        <v>480</v>
      </c>
      <c r="C142" s="0" t="n">
        <v>444</v>
      </c>
      <c r="D142" s="0" t="n">
        <v>393</v>
      </c>
      <c r="E142" s="0" t="s">
        <v>1225</v>
      </c>
      <c r="F142" s="0" t="s">
        <v>1226</v>
      </c>
      <c r="G142" s="0" t="s">
        <v>1227</v>
      </c>
    </row>
    <row r="143" customFormat="false" ht="15" hidden="false" customHeight="false" outlineLevel="0" collapsed="false">
      <c r="A143" s="0" t="s">
        <v>177</v>
      </c>
      <c r="B143" s="0" t="n">
        <v>236</v>
      </c>
      <c r="C143" s="0" t="n">
        <v>467</v>
      </c>
      <c r="D143" s="0" t="n">
        <v>197</v>
      </c>
      <c r="E143" s="0" t="s">
        <v>1228</v>
      </c>
      <c r="F143" s="0" t="s">
        <v>1229</v>
      </c>
      <c r="G143" s="0" t="s">
        <v>1230</v>
      </c>
    </row>
    <row r="144" customFormat="false" ht="15" hidden="false" customHeight="false" outlineLevel="0" collapsed="false">
      <c r="A144" s="0" t="s">
        <v>178</v>
      </c>
      <c r="B144" s="0" t="n">
        <v>469</v>
      </c>
      <c r="C144" s="0" t="n">
        <v>358</v>
      </c>
      <c r="D144" s="0" t="n">
        <v>403</v>
      </c>
      <c r="E144" s="0" t="s">
        <v>1231</v>
      </c>
      <c r="F144" s="0" t="s">
        <v>1232</v>
      </c>
      <c r="G144" s="0" t="s">
        <v>1233</v>
      </c>
    </row>
    <row r="145" customFormat="false" ht="15" hidden="false" customHeight="false" outlineLevel="0" collapsed="false">
      <c r="A145" s="0" t="s">
        <v>179</v>
      </c>
      <c r="B145" s="0" t="n">
        <v>211</v>
      </c>
      <c r="C145" s="0" t="n">
        <v>92</v>
      </c>
      <c r="D145" s="0" t="n">
        <v>311</v>
      </c>
      <c r="E145" s="0" t="s">
        <v>1234</v>
      </c>
      <c r="F145" s="0" t="s">
        <v>1235</v>
      </c>
      <c r="G145" s="0" t="s">
        <v>1236</v>
      </c>
    </row>
    <row r="146" customFormat="false" ht="15" hidden="false" customHeight="false" outlineLevel="0" collapsed="false">
      <c r="A146" s="0" t="s">
        <v>180</v>
      </c>
      <c r="B146" s="0" t="n">
        <v>594</v>
      </c>
      <c r="C146" s="0" t="n">
        <v>593</v>
      </c>
      <c r="D146" s="0" t="n">
        <v>254</v>
      </c>
      <c r="E146" s="0" t="s">
        <v>1237</v>
      </c>
      <c r="F146" s="0" t="s">
        <v>1238</v>
      </c>
      <c r="G146" s="0" t="s">
        <v>1239</v>
      </c>
    </row>
    <row r="147" customFormat="false" ht="15" hidden="false" customHeight="false" outlineLevel="0" collapsed="false">
      <c r="A147" s="0" t="s">
        <v>181</v>
      </c>
      <c r="B147" s="0" t="n">
        <v>615</v>
      </c>
      <c r="C147" s="0" t="n">
        <v>541</v>
      </c>
      <c r="D147" s="0" t="n">
        <v>696</v>
      </c>
      <c r="E147" s="0" t="s">
        <v>1240</v>
      </c>
      <c r="F147" s="0" t="s">
        <v>1241</v>
      </c>
      <c r="G147" s="0" t="s">
        <v>1242</v>
      </c>
    </row>
    <row r="148" customFormat="false" ht="15" hidden="false" customHeight="false" outlineLevel="0" collapsed="false">
      <c r="A148" s="0" t="s">
        <v>182</v>
      </c>
      <c r="B148" s="0" t="n">
        <v>584</v>
      </c>
      <c r="C148" s="0" t="n">
        <v>282</v>
      </c>
      <c r="D148" s="0" t="n">
        <v>62</v>
      </c>
      <c r="E148" s="0" t="s">
        <v>1243</v>
      </c>
      <c r="F148" s="0" t="s">
        <v>1244</v>
      </c>
      <c r="G148" s="0" t="s">
        <v>1245</v>
      </c>
    </row>
    <row r="149" customFormat="false" ht="15" hidden="false" customHeight="false" outlineLevel="0" collapsed="false">
      <c r="A149" s="0" t="s">
        <v>183</v>
      </c>
      <c r="B149" s="0" t="n">
        <v>399</v>
      </c>
      <c r="C149" s="0" t="n">
        <v>440</v>
      </c>
      <c r="D149" s="0" t="n">
        <v>437</v>
      </c>
      <c r="E149" s="0" t="s">
        <v>1246</v>
      </c>
      <c r="F149" s="0" t="s">
        <v>1247</v>
      </c>
      <c r="G149" s="0" t="s">
        <v>1248</v>
      </c>
    </row>
    <row r="150" customFormat="false" ht="15" hidden="false" customHeight="false" outlineLevel="0" collapsed="false">
      <c r="A150" s="0" t="s">
        <v>184</v>
      </c>
      <c r="B150" s="0" t="n">
        <v>275</v>
      </c>
      <c r="C150" s="0" t="n">
        <v>341</v>
      </c>
      <c r="D150" s="0" t="n">
        <v>577</v>
      </c>
      <c r="E150" s="0" t="s">
        <v>1249</v>
      </c>
      <c r="F150" s="0" t="s">
        <v>1250</v>
      </c>
      <c r="G150" s="0" t="s">
        <v>1251</v>
      </c>
    </row>
    <row r="151" customFormat="false" ht="15" hidden="false" customHeight="false" outlineLevel="0" collapsed="false">
      <c r="A151" s="0" t="s">
        <v>185</v>
      </c>
      <c r="B151" s="0" t="n">
        <v>360</v>
      </c>
      <c r="C151" s="0" t="n">
        <v>493</v>
      </c>
      <c r="D151" s="0" t="n">
        <v>366</v>
      </c>
      <c r="E151" s="0" t="s">
        <v>1252</v>
      </c>
      <c r="F151" s="0" t="s">
        <v>1253</v>
      </c>
      <c r="G151" s="0" t="s">
        <v>1254</v>
      </c>
    </row>
    <row r="152" customFormat="false" ht="15" hidden="false" customHeight="false" outlineLevel="0" collapsed="false">
      <c r="A152" s="0" t="s">
        <v>186</v>
      </c>
      <c r="B152" s="0" t="n">
        <v>389</v>
      </c>
      <c r="C152" s="0" t="n">
        <v>359</v>
      </c>
      <c r="D152" s="0" t="n">
        <v>79</v>
      </c>
      <c r="E152" s="0" t="s">
        <v>1255</v>
      </c>
      <c r="F152" s="0" t="s">
        <v>1256</v>
      </c>
      <c r="G152" s="0" t="s">
        <v>1257</v>
      </c>
    </row>
    <row r="153" customFormat="false" ht="15" hidden="false" customHeight="false" outlineLevel="0" collapsed="false">
      <c r="A153" s="0" t="s">
        <v>187</v>
      </c>
      <c r="B153" s="0" t="n">
        <v>381</v>
      </c>
      <c r="C153" s="0" t="n">
        <v>149</v>
      </c>
      <c r="D153" s="0" t="n">
        <v>385</v>
      </c>
      <c r="E153" s="0" t="s">
        <v>1258</v>
      </c>
      <c r="F153" s="0" t="s">
        <v>1259</v>
      </c>
      <c r="G153" s="0" t="s">
        <v>1260</v>
      </c>
    </row>
    <row r="154" customFormat="false" ht="15" hidden="false" customHeight="false" outlineLevel="0" collapsed="false">
      <c r="A154" s="0" t="s">
        <v>188</v>
      </c>
      <c r="B154" s="0" t="n">
        <v>289</v>
      </c>
      <c r="C154" s="0" t="n">
        <v>276</v>
      </c>
      <c r="D154" s="0" t="n">
        <v>620</v>
      </c>
      <c r="E154" s="0" t="s">
        <v>1261</v>
      </c>
      <c r="F154" s="0" t="s">
        <v>1262</v>
      </c>
      <c r="G154" s="0" t="s">
        <v>1263</v>
      </c>
    </row>
    <row r="155" customFormat="false" ht="15" hidden="false" customHeight="false" outlineLevel="0" collapsed="false">
      <c r="A155" s="0" t="s">
        <v>189</v>
      </c>
      <c r="B155" s="0" t="n">
        <v>623</v>
      </c>
      <c r="C155" s="0" t="n">
        <v>703</v>
      </c>
      <c r="D155" s="0" t="n">
        <v>670</v>
      </c>
      <c r="E155" s="0" t="s">
        <v>1264</v>
      </c>
      <c r="F155" s="0" t="s">
        <v>1265</v>
      </c>
      <c r="G155" s="0" t="s">
        <v>1266</v>
      </c>
    </row>
    <row r="156" customFormat="false" ht="15" hidden="false" customHeight="false" outlineLevel="0" collapsed="false">
      <c r="A156" s="0" t="s">
        <v>190</v>
      </c>
      <c r="B156" s="0" t="n">
        <v>153</v>
      </c>
      <c r="C156" s="0" t="n">
        <v>290</v>
      </c>
      <c r="D156" s="0" t="n">
        <v>509</v>
      </c>
      <c r="E156" s="0" t="s">
        <v>1267</v>
      </c>
      <c r="F156" s="0" t="s">
        <v>1268</v>
      </c>
      <c r="G156" s="0" t="s">
        <v>1269</v>
      </c>
    </row>
    <row r="157" customFormat="false" ht="15" hidden="false" customHeight="false" outlineLevel="0" collapsed="false">
      <c r="A157" s="0" t="s">
        <v>191</v>
      </c>
      <c r="B157" s="0" t="n">
        <v>374</v>
      </c>
      <c r="C157" s="0" t="n">
        <v>513</v>
      </c>
      <c r="D157" s="0" t="n">
        <v>600</v>
      </c>
      <c r="E157" s="0" t="s">
        <v>1270</v>
      </c>
      <c r="F157" s="0" t="s">
        <v>1271</v>
      </c>
      <c r="G157" s="0" t="s">
        <v>1272</v>
      </c>
    </row>
    <row r="158" customFormat="false" ht="15" hidden="false" customHeight="false" outlineLevel="0" collapsed="false">
      <c r="A158" s="0" t="s">
        <v>192</v>
      </c>
      <c r="B158" s="0" t="n">
        <v>543</v>
      </c>
      <c r="C158" s="0" t="n">
        <v>315</v>
      </c>
      <c r="D158" s="0" t="n">
        <v>662</v>
      </c>
      <c r="E158" s="0" t="s">
        <v>1273</v>
      </c>
      <c r="F158" s="0" t="s">
        <v>1274</v>
      </c>
      <c r="G158" s="0" t="s">
        <v>1275</v>
      </c>
    </row>
    <row r="159" customFormat="false" ht="15" hidden="false" customHeight="false" outlineLevel="0" collapsed="false">
      <c r="A159" s="0" t="s">
        <v>193</v>
      </c>
      <c r="B159" s="0" t="n">
        <v>542</v>
      </c>
      <c r="C159" s="0" t="n">
        <v>171</v>
      </c>
      <c r="D159" s="0" t="n">
        <v>169</v>
      </c>
      <c r="E159" s="0" t="s">
        <v>1276</v>
      </c>
      <c r="F159" s="0" t="s">
        <v>1277</v>
      </c>
      <c r="G159" s="0" t="s">
        <v>1278</v>
      </c>
    </row>
    <row r="160" customFormat="false" ht="15" hidden="false" customHeight="false" outlineLevel="0" collapsed="false">
      <c r="A160" s="0" t="s">
        <v>194</v>
      </c>
      <c r="B160" s="0" t="n">
        <v>323</v>
      </c>
      <c r="C160" s="0" t="n">
        <v>299</v>
      </c>
      <c r="D160" s="0" t="n">
        <v>606</v>
      </c>
      <c r="E160" s="0" t="s">
        <v>1279</v>
      </c>
      <c r="F160" s="0" t="s">
        <v>1280</v>
      </c>
      <c r="G160" s="0" t="s">
        <v>1281</v>
      </c>
    </row>
    <row r="161" customFormat="false" ht="15" hidden="false" customHeight="false" outlineLevel="0" collapsed="false">
      <c r="A161" s="0" t="s">
        <v>195</v>
      </c>
      <c r="B161" s="0" t="n">
        <v>592</v>
      </c>
      <c r="C161" s="0" t="n">
        <v>711</v>
      </c>
      <c r="D161" s="0" t="n">
        <v>712</v>
      </c>
      <c r="E161" s="0" t="s">
        <v>1282</v>
      </c>
      <c r="F161" s="0" t="s">
        <v>1283</v>
      </c>
      <c r="G161" s="0" t="s">
        <v>1284</v>
      </c>
    </row>
    <row r="162" customFormat="false" ht="15" hidden="false" customHeight="false" outlineLevel="0" collapsed="false">
      <c r="A162" s="0" t="s">
        <v>196</v>
      </c>
      <c r="B162" s="0" t="n">
        <v>577</v>
      </c>
      <c r="C162" s="0" t="n">
        <v>519</v>
      </c>
      <c r="D162" s="0" t="n">
        <v>511</v>
      </c>
      <c r="E162" s="0" t="s">
        <v>1285</v>
      </c>
      <c r="F162" s="0" t="s">
        <v>1286</v>
      </c>
      <c r="G162" s="0" t="s">
        <v>1287</v>
      </c>
    </row>
    <row r="163" customFormat="false" ht="15" hidden="false" customHeight="false" outlineLevel="0" collapsed="false">
      <c r="A163" s="0" t="s">
        <v>197</v>
      </c>
      <c r="B163" s="0" t="n">
        <v>596</v>
      </c>
      <c r="C163" s="0" t="n">
        <v>352</v>
      </c>
      <c r="D163" s="0" t="n">
        <v>547</v>
      </c>
      <c r="E163" s="0" t="s">
        <v>1288</v>
      </c>
      <c r="F163" s="0" t="s">
        <v>1289</v>
      </c>
      <c r="G163" s="0" t="s">
        <v>1290</v>
      </c>
    </row>
    <row r="164" customFormat="false" ht="15" hidden="false" customHeight="false" outlineLevel="0" collapsed="false">
      <c r="A164" s="0" t="s">
        <v>198</v>
      </c>
      <c r="B164" s="0" t="n">
        <v>593</v>
      </c>
      <c r="C164" s="0" t="n">
        <v>455</v>
      </c>
      <c r="D164" s="0" t="n">
        <v>432</v>
      </c>
      <c r="E164" s="0" t="s">
        <v>1291</v>
      </c>
      <c r="F164" s="0" t="s">
        <v>1292</v>
      </c>
      <c r="G164" s="0" t="s">
        <v>1293</v>
      </c>
    </row>
    <row r="165" customFormat="false" ht="15" hidden="false" customHeight="false" outlineLevel="0" collapsed="false">
      <c r="A165" s="0" t="s">
        <v>199</v>
      </c>
      <c r="B165" s="0" t="n">
        <v>707</v>
      </c>
      <c r="C165" s="0" t="n">
        <v>659</v>
      </c>
      <c r="D165" s="0" t="n">
        <v>706</v>
      </c>
      <c r="E165" s="0" t="s">
        <v>1294</v>
      </c>
      <c r="F165" s="0" t="s">
        <v>1295</v>
      </c>
      <c r="G165" s="0" t="s">
        <v>1296</v>
      </c>
    </row>
    <row r="166" customFormat="false" ht="15" hidden="false" customHeight="false" outlineLevel="0" collapsed="false">
      <c r="A166" s="0" t="s">
        <v>200</v>
      </c>
      <c r="B166" s="0" t="n">
        <v>652</v>
      </c>
      <c r="C166" s="0" t="n">
        <v>663</v>
      </c>
      <c r="D166" s="0" t="n">
        <v>708</v>
      </c>
      <c r="E166" s="0" t="s">
        <v>1297</v>
      </c>
      <c r="F166" s="0" t="s">
        <v>1298</v>
      </c>
      <c r="G166" s="0" t="s">
        <v>1299</v>
      </c>
    </row>
    <row r="167" customFormat="false" ht="15" hidden="false" customHeight="false" outlineLevel="0" collapsed="false">
      <c r="A167" s="0" t="s">
        <v>201</v>
      </c>
      <c r="B167" s="0" t="n">
        <v>655</v>
      </c>
      <c r="C167" s="0" t="n">
        <v>570</v>
      </c>
      <c r="D167" s="0" t="n">
        <v>665</v>
      </c>
      <c r="E167" s="0" t="s">
        <v>1300</v>
      </c>
      <c r="F167" s="0" t="s">
        <v>1301</v>
      </c>
      <c r="G167" s="0" t="s">
        <v>1302</v>
      </c>
    </row>
    <row r="168" customFormat="false" ht="15" hidden="false" customHeight="false" outlineLevel="0" collapsed="false">
      <c r="A168" s="0" t="s">
        <v>202</v>
      </c>
      <c r="B168" s="0" t="n">
        <v>644</v>
      </c>
      <c r="C168" s="0" t="n">
        <v>189</v>
      </c>
      <c r="D168" s="0" t="n">
        <v>570</v>
      </c>
      <c r="E168" s="0" t="s">
        <v>1303</v>
      </c>
      <c r="F168" s="0" t="s">
        <v>1304</v>
      </c>
      <c r="G168" s="0" t="s">
        <v>1305</v>
      </c>
    </row>
    <row r="169" customFormat="false" ht="15" hidden="false" customHeight="false" outlineLevel="0" collapsed="false">
      <c r="A169" s="0" t="s">
        <v>203</v>
      </c>
      <c r="B169" s="0" t="n">
        <v>587</v>
      </c>
      <c r="C169" s="0" t="n">
        <v>325</v>
      </c>
      <c r="D169" s="0" t="n">
        <v>287</v>
      </c>
      <c r="E169" s="0" t="s">
        <v>1306</v>
      </c>
      <c r="F169" s="0" t="s">
        <v>1307</v>
      </c>
      <c r="G169" s="0" t="s">
        <v>1308</v>
      </c>
    </row>
    <row r="170" customFormat="false" ht="15" hidden="false" customHeight="false" outlineLevel="0" collapsed="false">
      <c r="A170" s="0" t="s">
        <v>204</v>
      </c>
      <c r="B170" s="0" t="n">
        <v>425</v>
      </c>
      <c r="C170" s="0" t="n">
        <v>232</v>
      </c>
      <c r="D170" s="0" t="n">
        <v>522</v>
      </c>
      <c r="E170" s="0" t="s">
        <v>1309</v>
      </c>
      <c r="F170" s="0" t="s">
        <v>1310</v>
      </c>
      <c r="G170" s="0" t="s">
        <v>1311</v>
      </c>
    </row>
    <row r="171" customFormat="false" ht="15" hidden="false" customHeight="false" outlineLevel="0" collapsed="false">
      <c r="A171" s="0" t="s">
        <v>205</v>
      </c>
      <c r="B171" s="0" t="n">
        <v>93</v>
      </c>
      <c r="C171" s="0" t="n">
        <v>380</v>
      </c>
      <c r="D171" s="0" t="n">
        <v>535</v>
      </c>
      <c r="E171" s="0" t="s">
        <v>1312</v>
      </c>
      <c r="F171" s="0" t="s">
        <v>1313</v>
      </c>
      <c r="G171" s="0" t="s">
        <v>1314</v>
      </c>
    </row>
    <row r="172" customFormat="false" ht="15" hidden="false" customHeight="false" outlineLevel="0" collapsed="false">
      <c r="A172" s="0" t="s">
        <v>206</v>
      </c>
      <c r="B172" s="0" t="n">
        <v>643</v>
      </c>
      <c r="C172" s="0" t="n">
        <v>539</v>
      </c>
      <c r="D172" s="0" t="n">
        <v>693</v>
      </c>
      <c r="E172" s="0" t="s">
        <v>1315</v>
      </c>
      <c r="F172" s="0" t="s">
        <v>1316</v>
      </c>
      <c r="G172" s="0" t="s">
        <v>1317</v>
      </c>
    </row>
    <row r="173" customFormat="false" ht="15" hidden="false" customHeight="false" outlineLevel="0" collapsed="false">
      <c r="A173" s="0" t="s">
        <v>207</v>
      </c>
      <c r="B173" s="0" t="n">
        <v>563</v>
      </c>
      <c r="C173" s="0" t="n">
        <v>412</v>
      </c>
      <c r="D173" s="0" t="n">
        <v>491</v>
      </c>
      <c r="E173" s="0" t="s">
        <v>1318</v>
      </c>
      <c r="F173" s="0" t="s">
        <v>1319</v>
      </c>
      <c r="G173" s="0" t="s">
        <v>1320</v>
      </c>
    </row>
    <row r="174" customFormat="false" ht="15" hidden="false" customHeight="false" outlineLevel="0" collapsed="false">
      <c r="A174" s="0" t="s">
        <v>208</v>
      </c>
      <c r="B174" s="0" t="n">
        <v>385</v>
      </c>
      <c r="C174" s="0" t="n">
        <v>155</v>
      </c>
      <c r="D174" s="0" t="n">
        <v>492</v>
      </c>
      <c r="E174" s="0" t="s">
        <v>1321</v>
      </c>
      <c r="F174" s="0" t="s">
        <v>1322</v>
      </c>
      <c r="G174" s="0" t="s">
        <v>1323</v>
      </c>
    </row>
    <row r="175" customFormat="false" ht="15" hidden="false" customHeight="false" outlineLevel="0" collapsed="false">
      <c r="A175" s="0" t="s">
        <v>209</v>
      </c>
      <c r="B175" s="0" t="n">
        <v>212</v>
      </c>
      <c r="C175" s="0" t="n">
        <v>275</v>
      </c>
      <c r="D175" s="0" t="n">
        <v>515</v>
      </c>
      <c r="E175" s="0" t="s">
        <v>1324</v>
      </c>
      <c r="F175" s="0" t="s">
        <v>1325</v>
      </c>
      <c r="G175" s="0" t="s">
        <v>1326</v>
      </c>
    </row>
    <row r="176" customFormat="false" ht="15" hidden="false" customHeight="false" outlineLevel="0" collapsed="false">
      <c r="A176" s="0" t="s">
        <v>210</v>
      </c>
      <c r="B176" s="0" t="n">
        <v>376</v>
      </c>
      <c r="C176" s="0" t="n">
        <v>233</v>
      </c>
      <c r="D176" s="0" t="n">
        <v>273</v>
      </c>
      <c r="E176" s="0" t="s">
        <v>1327</v>
      </c>
      <c r="F176" s="0" t="s">
        <v>1328</v>
      </c>
      <c r="G176" s="0" t="s">
        <v>1329</v>
      </c>
    </row>
    <row r="177" customFormat="false" ht="15" hidden="false" customHeight="false" outlineLevel="0" collapsed="false">
      <c r="A177" s="0" t="s">
        <v>211</v>
      </c>
      <c r="B177" s="0" t="n">
        <v>286</v>
      </c>
      <c r="C177" s="0" t="n">
        <v>96</v>
      </c>
      <c r="D177" s="0" t="n">
        <v>175</v>
      </c>
      <c r="E177" s="0" t="s">
        <v>1330</v>
      </c>
      <c r="F177" s="0" t="s">
        <v>1331</v>
      </c>
      <c r="G177" s="0" t="s">
        <v>1332</v>
      </c>
    </row>
    <row r="178" customFormat="false" ht="15" hidden="false" customHeight="false" outlineLevel="0" collapsed="false">
      <c r="A178" s="0" t="s">
        <v>212</v>
      </c>
      <c r="B178" s="0" t="n">
        <v>316</v>
      </c>
      <c r="C178" s="0" t="n">
        <v>351</v>
      </c>
      <c r="D178" s="0" t="n">
        <v>602</v>
      </c>
      <c r="E178" s="0" t="s">
        <v>1333</v>
      </c>
      <c r="F178" s="0" t="s">
        <v>1334</v>
      </c>
      <c r="G178" s="0" t="s">
        <v>1335</v>
      </c>
    </row>
    <row r="179" customFormat="false" ht="15" hidden="false" customHeight="false" outlineLevel="0" collapsed="false">
      <c r="A179" s="0" t="s">
        <v>213</v>
      </c>
      <c r="B179" s="0" t="n">
        <v>576</v>
      </c>
      <c r="C179" s="0" t="n">
        <v>449</v>
      </c>
      <c r="D179" s="0" t="n">
        <v>605</v>
      </c>
      <c r="E179" s="0" t="s">
        <v>1336</v>
      </c>
      <c r="F179" s="0" t="s">
        <v>1337</v>
      </c>
      <c r="G179" s="0" t="s">
        <v>1338</v>
      </c>
    </row>
    <row r="180" customFormat="false" ht="15" hidden="false" customHeight="false" outlineLevel="0" collapsed="false">
      <c r="A180" s="0" t="s">
        <v>214</v>
      </c>
      <c r="B180" s="0" t="n">
        <v>688</v>
      </c>
      <c r="C180" s="0" t="n">
        <v>671</v>
      </c>
      <c r="D180" s="0" t="n">
        <v>553</v>
      </c>
      <c r="E180" s="0" t="s">
        <v>1339</v>
      </c>
      <c r="F180" s="0" t="s">
        <v>1340</v>
      </c>
      <c r="G180" s="0" t="s">
        <v>1341</v>
      </c>
    </row>
    <row r="181" customFormat="false" ht="15" hidden="false" customHeight="false" outlineLevel="0" collapsed="false">
      <c r="A181" s="0" t="s">
        <v>215</v>
      </c>
      <c r="B181" s="0" t="n">
        <v>435</v>
      </c>
      <c r="C181" s="0" t="n">
        <v>364</v>
      </c>
      <c r="D181" s="0" t="n">
        <v>445</v>
      </c>
      <c r="E181" s="0" t="s">
        <v>1342</v>
      </c>
      <c r="F181" s="0" t="s">
        <v>1343</v>
      </c>
      <c r="G181" s="0" t="s">
        <v>1344</v>
      </c>
    </row>
    <row r="182" customFormat="false" ht="15" hidden="false" customHeight="false" outlineLevel="0" collapsed="false">
      <c r="A182" s="0" t="s">
        <v>216</v>
      </c>
      <c r="B182" s="0" t="n">
        <v>638</v>
      </c>
      <c r="C182" s="0" t="n">
        <v>580</v>
      </c>
      <c r="D182" s="0" t="n">
        <v>707</v>
      </c>
      <c r="E182" s="0" t="s">
        <v>1345</v>
      </c>
      <c r="F182" s="0" t="s">
        <v>1346</v>
      </c>
      <c r="G182" s="0" t="s">
        <v>1347</v>
      </c>
    </row>
    <row r="183" customFormat="false" ht="15" hidden="false" customHeight="false" outlineLevel="0" collapsed="false">
      <c r="A183" s="0" t="s">
        <v>217</v>
      </c>
      <c r="B183" s="0" t="n">
        <v>465</v>
      </c>
      <c r="C183" s="0" t="n">
        <v>204</v>
      </c>
      <c r="D183" s="0" t="n">
        <v>386</v>
      </c>
      <c r="E183" s="0" t="s">
        <v>1348</v>
      </c>
      <c r="F183" s="0" t="s">
        <v>1349</v>
      </c>
      <c r="G183" s="0" t="s">
        <v>1350</v>
      </c>
    </row>
    <row r="184" customFormat="false" ht="15" hidden="false" customHeight="false" outlineLevel="0" collapsed="false">
      <c r="A184" s="0" t="s">
        <v>218</v>
      </c>
      <c r="B184" s="0" t="n">
        <v>545</v>
      </c>
      <c r="C184" s="0" t="n">
        <v>642</v>
      </c>
      <c r="D184" s="0" t="n">
        <v>581</v>
      </c>
      <c r="E184" s="0" t="s">
        <v>1351</v>
      </c>
      <c r="F184" s="0" t="s">
        <v>1352</v>
      </c>
      <c r="G184" s="0" t="s">
        <v>1353</v>
      </c>
    </row>
    <row r="185" customFormat="false" ht="15" hidden="false" customHeight="false" outlineLevel="0" collapsed="false">
      <c r="A185" s="0" t="s">
        <v>219</v>
      </c>
      <c r="B185" s="0" t="n">
        <v>453</v>
      </c>
      <c r="C185" s="0" t="n">
        <v>267</v>
      </c>
      <c r="D185" s="0" t="n">
        <v>234</v>
      </c>
      <c r="E185" s="0" t="s">
        <v>1354</v>
      </c>
      <c r="F185" s="0" t="s">
        <v>1355</v>
      </c>
      <c r="G185" s="0" t="s">
        <v>1356</v>
      </c>
    </row>
    <row r="186" customFormat="false" ht="15" hidden="false" customHeight="false" outlineLevel="0" collapsed="false">
      <c r="A186" s="0" t="s">
        <v>220</v>
      </c>
      <c r="B186" s="0" t="n">
        <v>525</v>
      </c>
      <c r="C186" s="0" t="n">
        <v>523</v>
      </c>
      <c r="D186" s="0" t="n">
        <v>618</v>
      </c>
      <c r="E186" s="0" t="s">
        <v>1357</v>
      </c>
      <c r="F186" s="0" t="s">
        <v>1358</v>
      </c>
      <c r="G186" s="0" t="s">
        <v>1359</v>
      </c>
    </row>
    <row r="187" customFormat="false" ht="15" hidden="false" customHeight="false" outlineLevel="0" collapsed="false">
      <c r="A187" s="0" t="s">
        <v>221</v>
      </c>
      <c r="B187" s="0" t="n">
        <v>293</v>
      </c>
      <c r="C187" s="0" t="n">
        <v>401</v>
      </c>
      <c r="D187" s="0" t="n">
        <v>371</v>
      </c>
      <c r="E187" s="0" t="s">
        <v>1360</v>
      </c>
      <c r="F187" s="0" t="s">
        <v>1361</v>
      </c>
      <c r="G187" s="0" t="s">
        <v>1362</v>
      </c>
    </row>
    <row r="188" customFormat="false" ht="15" hidden="false" customHeight="false" outlineLevel="0" collapsed="false">
      <c r="A188" s="0" t="s">
        <v>222</v>
      </c>
      <c r="B188" s="0" t="n">
        <v>378</v>
      </c>
      <c r="C188" s="0" t="n">
        <v>495</v>
      </c>
      <c r="D188" s="0" t="n">
        <v>697</v>
      </c>
      <c r="E188" s="0" t="s">
        <v>1363</v>
      </c>
      <c r="F188" s="0" t="s">
        <v>1364</v>
      </c>
      <c r="G188" s="0" t="s">
        <v>1365</v>
      </c>
    </row>
    <row r="189" customFormat="false" ht="15" hidden="false" customHeight="false" outlineLevel="0" collapsed="false">
      <c r="A189" s="0" t="s">
        <v>223</v>
      </c>
      <c r="B189" s="0" t="n">
        <v>609</v>
      </c>
      <c r="C189" s="0" t="n">
        <v>710</v>
      </c>
      <c r="D189" s="0" t="n">
        <v>682</v>
      </c>
      <c r="E189" s="0" t="s">
        <v>1366</v>
      </c>
      <c r="F189" s="0" t="s">
        <v>1367</v>
      </c>
      <c r="G189" s="0" t="s">
        <v>1368</v>
      </c>
    </row>
    <row r="190" customFormat="false" ht="15" hidden="false" customHeight="false" outlineLevel="0" collapsed="false">
      <c r="A190" s="0" t="s">
        <v>224</v>
      </c>
      <c r="B190" s="0" t="n">
        <v>314</v>
      </c>
      <c r="C190" s="0" t="n">
        <v>33</v>
      </c>
      <c r="D190" s="0" t="n">
        <v>66</v>
      </c>
      <c r="E190" s="0" t="s">
        <v>1369</v>
      </c>
      <c r="F190" s="0" t="s">
        <v>1370</v>
      </c>
      <c r="G190" s="0" t="s">
        <v>1371</v>
      </c>
    </row>
    <row r="191" customFormat="false" ht="15" hidden="false" customHeight="false" outlineLevel="0" collapsed="false">
      <c r="A191" s="0" t="s">
        <v>225</v>
      </c>
      <c r="B191" s="0" t="n">
        <v>484</v>
      </c>
      <c r="C191" s="0" t="n">
        <v>345</v>
      </c>
      <c r="D191" s="0" t="n">
        <v>130</v>
      </c>
      <c r="E191" s="0" t="s">
        <v>1372</v>
      </c>
      <c r="F191" s="0" t="s">
        <v>1373</v>
      </c>
      <c r="G191" s="0" t="s">
        <v>1374</v>
      </c>
    </row>
    <row r="192" customFormat="false" ht="15" hidden="false" customHeight="false" outlineLevel="0" collapsed="false">
      <c r="A192" s="0" t="s">
        <v>226</v>
      </c>
      <c r="B192" s="0" t="n">
        <v>423</v>
      </c>
      <c r="C192" s="0" t="n">
        <v>165</v>
      </c>
      <c r="D192" s="0" t="n">
        <v>104</v>
      </c>
      <c r="E192" s="0" t="s">
        <v>1375</v>
      </c>
      <c r="F192" s="0" t="s">
        <v>1376</v>
      </c>
      <c r="G192" s="0" t="s">
        <v>1377</v>
      </c>
    </row>
    <row r="193" customFormat="false" ht="15" hidden="false" customHeight="false" outlineLevel="0" collapsed="false">
      <c r="A193" s="0" t="s">
        <v>227</v>
      </c>
      <c r="B193" s="0" t="n">
        <v>467</v>
      </c>
      <c r="C193" s="0" t="n">
        <v>477</v>
      </c>
      <c r="D193" s="0" t="n">
        <v>379</v>
      </c>
      <c r="E193" s="0" t="s">
        <v>1378</v>
      </c>
      <c r="F193" s="0" t="s">
        <v>1379</v>
      </c>
      <c r="G193" s="0" t="s">
        <v>1380</v>
      </c>
    </row>
    <row r="194" customFormat="false" ht="15" hidden="false" customHeight="false" outlineLevel="0" collapsed="false">
      <c r="A194" s="0" t="s">
        <v>228</v>
      </c>
      <c r="B194" s="0" t="n">
        <v>315</v>
      </c>
      <c r="C194" s="0" t="n">
        <v>424</v>
      </c>
      <c r="D194" s="0" t="n">
        <v>462</v>
      </c>
      <c r="E194" s="0" t="s">
        <v>1381</v>
      </c>
      <c r="F194" s="0" t="s">
        <v>1382</v>
      </c>
      <c r="G194" s="0" t="s">
        <v>1383</v>
      </c>
    </row>
    <row r="195" customFormat="false" ht="15" hidden="false" customHeight="false" outlineLevel="0" collapsed="false">
      <c r="A195" s="0" t="s">
        <v>229</v>
      </c>
      <c r="B195" s="0" t="n">
        <v>714</v>
      </c>
      <c r="C195" s="0" t="n">
        <v>583</v>
      </c>
      <c r="D195" s="0" t="n">
        <v>624</v>
      </c>
      <c r="E195" s="0" t="s">
        <v>1384</v>
      </c>
      <c r="F195" s="0" t="s">
        <v>1385</v>
      </c>
      <c r="G195" s="0" t="s">
        <v>1386</v>
      </c>
    </row>
    <row r="196" customFormat="false" ht="15" hidden="false" customHeight="false" outlineLevel="0" collapsed="false">
      <c r="A196" s="0" t="s">
        <v>230</v>
      </c>
      <c r="B196" s="0" t="n">
        <v>474</v>
      </c>
      <c r="C196" s="0" t="n">
        <v>433</v>
      </c>
      <c r="D196" s="0" t="n">
        <v>218</v>
      </c>
      <c r="E196" s="0" t="s">
        <v>1387</v>
      </c>
      <c r="F196" s="0" t="s">
        <v>1388</v>
      </c>
      <c r="G196" s="0" t="s">
        <v>1389</v>
      </c>
    </row>
    <row r="197" customFormat="false" ht="15" hidden="false" customHeight="false" outlineLevel="0" collapsed="false">
      <c r="A197" s="0" t="s">
        <v>231</v>
      </c>
      <c r="B197" s="0" t="n">
        <v>487</v>
      </c>
      <c r="C197" s="0" t="n">
        <v>98</v>
      </c>
      <c r="D197" s="0" t="n">
        <v>536</v>
      </c>
      <c r="E197" s="0" t="s">
        <v>1390</v>
      </c>
      <c r="F197" s="0" t="s">
        <v>1391</v>
      </c>
      <c r="G197" s="0" t="s">
        <v>1392</v>
      </c>
    </row>
    <row r="198" customFormat="false" ht="15" hidden="false" customHeight="false" outlineLevel="0" collapsed="false">
      <c r="A198" s="0" t="s">
        <v>232</v>
      </c>
      <c r="B198" s="0" t="n">
        <v>426</v>
      </c>
      <c r="C198" s="0" t="n">
        <v>255</v>
      </c>
      <c r="D198" s="0" t="n">
        <v>528</v>
      </c>
      <c r="E198" s="0" t="s">
        <v>1393</v>
      </c>
      <c r="F198" s="0" t="s">
        <v>1394</v>
      </c>
      <c r="G198" s="0" t="s">
        <v>1395</v>
      </c>
    </row>
    <row r="199" customFormat="false" ht="15" hidden="false" customHeight="false" outlineLevel="0" collapsed="false">
      <c r="A199" s="0" t="s">
        <v>233</v>
      </c>
      <c r="B199" s="0" t="n">
        <v>636</v>
      </c>
      <c r="C199" s="0" t="n">
        <v>620</v>
      </c>
      <c r="D199" s="0" t="n">
        <v>504</v>
      </c>
      <c r="E199" s="0" t="s">
        <v>1396</v>
      </c>
      <c r="F199" s="0" t="s">
        <v>1397</v>
      </c>
      <c r="G199" s="0" t="s">
        <v>1398</v>
      </c>
    </row>
    <row r="200" customFormat="false" ht="15" hidden="false" customHeight="false" outlineLevel="0" collapsed="false">
      <c r="A200" s="0" t="s">
        <v>234</v>
      </c>
      <c r="B200" s="0" t="n">
        <v>318</v>
      </c>
      <c r="C200" s="0" t="n">
        <v>82</v>
      </c>
      <c r="D200" s="0" t="n">
        <v>279</v>
      </c>
      <c r="E200" s="0" t="s">
        <v>1399</v>
      </c>
      <c r="F200" s="0" t="s">
        <v>1400</v>
      </c>
      <c r="G200" s="0" t="s">
        <v>1401</v>
      </c>
    </row>
    <row r="201" customFormat="false" ht="15" hidden="false" customHeight="false" outlineLevel="0" collapsed="false">
      <c r="A201" s="0" t="s">
        <v>235</v>
      </c>
      <c r="B201" s="0" t="n">
        <v>471</v>
      </c>
      <c r="C201" s="0" t="n">
        <v>369</v>
      </c>
      <c r="D201" s="0" t="n">
        <v>642</v>
      </c>
      <c r="E201" s="0" t="s">
        <v>1402</v>
      </c>
      <c r="F201" s="0" t="s">
        <v>1403</v>
      </c>
      <c r="G201" s="0" t="s">
        <v>1404</v>
      </c>
    </row>
    <row r="202" customFormat="false" ht="15" hidden="false" customHeight="false" outlineLevel="0" collapsed="false">
      <c r="A202" s="0" t="s">
        <v>236</v>
      </c>
      <c r="B202" s="0" t="n">
        <v>262</v>
      </c>
      <c r="C202" s="0" t="n">
        <v>80</v>
      </c>
      <c r="D202" s="0" t="n">
        <v>378</v>
      </c>
      <c r="E202" s="0" t="s">
        <v>1405</v>
      </c>
      <c r="F202" s="0" t="s">
        <v>1406</v>
      </c>
      <c r="G202" s="0" t="s">
        <v>1407</v>
      </c>
    </row>
    <row r="203" customFormat="false" ht="15" hidden="false" customHeight="false" outlineLevel="0" collapsed="false">
      <c r="A203" s="0" t="s">
        <v>237</v>
      </c>
    </row>
    <row r="204" customFormat="false" ht="15" hidden="false" customHeight="false" outlineLevel="0" collapsed="false">
      <c r="A204" s="0" t="s">
        <v>238</v>
      </c>
      <c r="B204" s="0" t="n">
        <v>496</v>
      </c>
      <c r="C204" s="0" t="n">
        <v>527</v>
      </c>
      <c r="D204" s="0" t="n">
        <v>390</v>
      </c>
      <c r="E204" s="0" t="s">
        <v>1408</v>
      </c>
      <c r="F204" s="0" t="s">
        <v>1409</v>
      </c>
      <c r="G204" s="0" t="s">
        <v>1410</v>
      </c>
    </row>
    <row r="205" customFormat="false" ht="15" hidden="false" customHeight="false" outlineLevel="0" collapsed="false">
      <c r="A205" s="0" t="s">
        <v>239</v>
      </c>
      <c r="B205" s="0" t="n">
        <v>415</v>
      </c>
      <c r="C205" s="0" t="n">
        <v>67</v>
      </c>
      <c r="D205" s="0" t="n">
        <v>209</v>
      </c>
      <c r="E205" s="0" t="s">
        <v>1411</v>
      </c>
      <c r="F205" s="0" t="s">
        <v>1412</v>
      </c>
      <c r="G205" s="0" t="s">
        <v>1413</v>
      </c>
    </row>
    <row r="206" customFormat="false" ht="15" hidden="false" customHeight="false" outlineLevel="0" collapsed="false">
      <c r="A206" s="0" t="s">
        <v>240</v>
      </c>
      <c r="B206" s="0" t="n">
        <v>589</v>
      </c>
      <c r="C206" s="0" t="n">
        <v>568</v>
      </c>
      <c r="D206" s="0" t="n">
        <v>140</v>
      </c>
      <c r="E206" s="0" t="s">
        <v>1414</v>
      </c>
      <c r="F206" s="0" t="s">
        <v>1415</v>
      </c>
      <c r="G206" s="0" t="s">
        <v>1416</v>
      </c>
    </row>
    <row r="207" customFormat="false" ht="15" hidden="false" customHeight="false" outlineLevel="0" collapsed="false">
      <c r="A207" s="0" t="s">
        <v>241</v>
      </c>
    </row>
    <row r="208" customFormat="false" ht="15" hidden="false" customHeight="false" outlineLevel="0" collapsed="false">
      <c r="A208" s="0" t="s">
        <v>242</v>
      </c>
      <c r="B208" s="0" t="n">
        <v>440</v>
      </c>
      <c r="C208" s="0" t="n">
        <v>268</v>
      </c>
      <c r="D208" s="0" t="n">
        <v>367</v>
      </c>
      <c r="E208" s="0" t="s">
        <v>1417</v>
      </c>
      <c r="F208" s="0" t="s">
        <v>1418</v>
      </c>
      <c r="G208" s="0" t="s">
        <v>1419</v>
      </c>
    </row>
    <row r="209" customFormat="false" ht="15" hidden="false" customHeight="false" outlineLevel="0" collapsed="false">
      <c r="A209" s="0" t="s">
        <v>243</v>
      </c>
      <c r="B209" s="0" t="n">
        <v>667</v>
      </c>
      <c r="C209" s="0" t="n">
        <v>692</v>
      </c>
      <c r="D209" s="0" t="n">
        <v>517</v>
      </c>
      <c r="E209" s="0" t="s">
        <v>1420</v>
      </c>
      <c r="F209" s="0" t="s">
        <v>1421</v>
      </c>
      <c r="G209" s="0" t="s">
        <v>1422</v>
      </c>
    </row>
    <row r="210" customFormat="false" ht="15" hidden="false" customHeight="false" outlineLevel="0" collapsed="false">
      <c r="A210" s="0" t="s">
        <v>244</v>
      </c>
      <c r="B210" s="0" t="n">
        <v>678</v>
      </c>
      <c r="C210" s="0" t="n">
        <v>474</v>
      </c>
      <c r="D210" s="0" t="n">
        <v>487</v>
      </c>
      <c r="E210" s="0" t="s">
        <v>1423</v>
      </c>
      <c r="F210" s="0" t="s">
        <v>1424</v>
      </c>
      <c r="G210" s="0" t="s">
        <v>1425</v>
      </c>
    </row>
    <row r="211" customFormat="false" ht="15" hidden="false" customHeight="false" outlineLevel="0" collapsed="false">
      <c r="A211" s="0" t="s">
        <v>245</v>
      </c>
      <c r="B211" s="0" t="n">
        <v>717</v>
      </c>
      <c r="C211" s="0" t="n">
        <v>713</v>
      </c>
      <c r="D211" s="0" t="n">
        <v>661</v>
      </c>
      <c r="E211" s="0" t="s">
        <v>1426</v>
      </c>
      <c r="F211" s="0" t="s">
        <v>1427</v>
      </c>
      <c r="G211" s="0" t="s">
        <v>1428</v>
      </c>
    </row>
    <row r="212" customFormat="false" ht="15" hidden="false" customHeight="false" outlineLevel="0" collapsed="false">
      <c r="A212" s="0" t="s">
        <v>246</v>
      </c>
    </row>
    <row r="213" customFormat="false" ht="15" hidden="false" customHeight="false" outlineLevel="0" collapsed="false">
      <c r="A213" s="0" t="s">
        <v>247</v>
      </c>
      <c r="B213" s="0" t="n">
        <v>529</v>
      </c>
      <c r="C213" s="0" t="n">
        <v>558</v>
      </c>
      <c r="D213" s="0" t="n">
        <v>559</v>
      </c>
      <c r="E213" s="0" t="s">
        <v>1429</v>
      </c>
      <c r="F213" s="0" t="s">
        <v>1430</v>
      </c>
      <c r="G213" s="0" t="s">
        <v>1431</v>
      </c>
    </row>
    <row r="214" customFormat="false" ht="15" hidden="false" customHeight="false" outlineLevel="0" collapsed="false">
      <c r="A214" s="0" t="s">
        <v>248</v>
      </c>
      <c r="B214" s="0" t="n">
        <v>647</v>
      </c>
      <c r="C214" s="0" t="n">
        <v>113</v>
      </c>
      <c r="D214" s="0" t="n">
        <v>37</v>
      </c>
      <c r="E214" s="0" t="s">
        <v>1432</v>
      </c>
      <c r="F214" s="0" t="s">
        <v>1433</v>
      </c>
      <c r="G214" s="0" t="s">
        <v>1434</v>
      </c>
    </row>
    <row r="215" customFormat="false" ht="15" hidden="false" customHeight="false" outlineLevel="0" collapsed="false">
      <c r="A215" s="0" t="s">
        <v>249</v>
      </c>
    </row>
    <row r="216" customFormat="false" ht="15" hidden="false" customHeight="false" outlineLevel="0" collapsed="false">
      <c r="A216" s="0" t="s">
        <v>250</v>
      </c>
      <c r="B216" s="0" t="n">
        <v>549</v>
      </c>
      <c r="C216" s="0" t="n">
        <v>469</v>
      </c>
      <c r="D216" s="0" t="n">
        <v>341</v>
      </c>
      <c r="E216" s="0" t="s">
        <v>1435</v>
      </c>
      <c r="F216" s="0" t="s">
        <v>1436</v>
      </c>
      <c r="G216" s="0" t="s">
        <v>1437</v>
      </c>
    </row>
    <row r="217" customFormat="false" ht="15" hidden="false" customHeight="false" outlineLevel="0" collapsed="false">
      <c r="A217" s="0" t="s">
        <v>251</v>
      </c>
      <c r="B217" s="0" t="n">
        <v>320</v>
      </c>
      <c r="C217" s="0" t="n">
        <v>156</v>
      </c>
      <c r="D217" s="0" t="n">
        <v>407</v>
      </c>
      <c r="E217" s="0" t="s">
        <v>1438</v>
      </c>
      <c r="F217" s="0" t="s">
        <v>1439</v>
      </c>
      <c r="G217" s="0" t="s">
        <v>1440</v>
      </c>
    </row>
    <row r="218" customFormat="false" ht="15" hidden="false" customHeight="false" outlineLevel="0" collapsed="false">
      <c r="A218" s="0" t="s">
        <v>252</v>
      </c>
      <c r="B218" s="0" t="n">
        <v>497</v>
      </c>
      <c r="C218" s="0" t="n">
        <v>39</v>
      </c>
      <c r="D218" s="0" t="n">
        <v>139</v>
      </c>
      <c r="E218" s="0" t="s">
        <v>1441</v>
      </c>
      <c r="F218" s="0" t="s">
        <v>1442</v>
      </c>
      <c r="G218" s="0" t="s">
        <v>1443</v>
      </c>
    </row>
    <row r="219" customFormat="false" ht="15" hidden="false" customHeight="false" outlineLevel="0" collapsed="false">
      <c r="A219" s="0" t="s">
        <v>253</v>
      </c>
      <c r="B219" s="0" t="n">
        <v>264</v>
      </c>
      <c r="C219" s="0" t="n">
        <v>6</v>
      </c>
      <c r="D219" s="0" t="n">
        <v>16</v>
      </c>
      <c r="E219" s="0" t="s">
        <v>1444</v>
      </c>
      <c r="F219" s="0" t="s">
        <v>1445</v>
      </c>
      <c r="G219" s="0" t="s">
        <v>1446</v>
      </c>
    </row>
    <row r="220" customFormat="false" ht="15" hidden="false" customHeight="false" outlineLevel="0" collapsed="false">
      <c r="A220" s="0" t="s">
        <v>254</v>
      </c>
    </row>
    <row r="221" customFormat="false" ht="15" hidden="false" customHeight="false" outlineLevel="0" collapsed="false">
      <c r="A221" s="0" t="s">
        <v>255</v>
      </c>
    </row>
    <row r="222" customFormat="false" ht="15" hidden="false" customHeight="false" outlineLevel="0" collapsed="false">
      <c r="A222" s="0" t="s">
        <v>256</v>
      </c>
      <c r="B222" s="0" t="n">
        <v>522</v>
      </c>
      <c r="C222" s="0" t="n">
        <v>174</v>
      </c>
      <c r="D222" s="0" t="n">
        <v>88</v>
      </c>
      <c r="E222" s="0" t="s">
        <v>1447</v>
      </c>
      <c r="F222" s="0" t="s">
        <v>1448</v>
      </c>
      <c r="G222" s="0" t="s">
        <v>1449</v>
      </c>
    </row>
    <row r="223" customFormat="false" ht="15" hidden="false" customHeight="false" outlineLevel="0" collapsed="false">
      <c r="A223" s="0" t="s">
        <v>257</v>
      </c>
      <c r="B223" s="0" t="n">
        <v>511</v>
      </c>
      <c r="C223" s="0" t="n">
        <v>61</v>
      </c>
      <c r="D223" s="0" t="n">
        <v>173</v>
      </c>
      <c r="E223" s="0" t="s">
        <v>1450</v>
      </c>
      <c r="F223" s="0" t="s">
        <v>1451</v>
      </c>
      <c r="G223" s="0" t="s">
        <v>1452</v>
      </c>
    </row>
    <row r="224" customFormat="false" ht="15" hidden="false" customHeight="false" outlineLevel="0" collapsed="false">
      <c r="A224" s="0" t="s">
        <v>258</v>
      </c>
      <c r="B224" s="0" t="n">
        <v>324</v>
      </c>
      <c r="C224" s="0" t="n">
        <v>58</v>
      </c>
      <c r="D224" s="0" t="n">
        <v>250</v>
      </c>
      <c r="E224" s="0" t="s">
        <v>1453</v>
      </c>
      <c r="F224" s="0" t="s">
        <v>1454</v>
      </c>
      <c r="G224" s="0" t="s">
        <v>1455</v>
      </c>
    </row>
    <row r="225" customFormat="false" ht="15" hidden="false" customHeight="false" outlineLevel="0" collapsed="false">
      <c r="A225" s="0" t="s">
        <v>259</v>
      </c>
      <c r="B225" s="0" t="n">
        <v>138</v>
      </c>
      <c r="C225" s="0" t="n">
        <v>287</v>
      </c>
      <c r="D225" s="0" t="n">
        <v>340</v>
      </c>
      <c r="E225" s="0" t="s">
        <v>1456</v>
      </c>
      <c r="F225" s="0" t="s">
        <v>1457</v>
      </c>
      <c r="G225" s="0" t="s">
        <v>1458</v>
      </c>
    </row>
    <row r="226" customFormat="false" ht="15" hidden="false" customHeight="false" outlineLevel="0" collapsed="false">
      <c r="A226" s="0" t="s">
        <v>260</v>
      </c>
      <c r="B226" s="0" t="n">
        <v>507</v>
      </c>
      <c r="C226" s="0" t="n">
        <v>133</v>
      </c>
      <c r="D226" s="0" t="n">
        <v>267</v>
      </c>
      <c r="E226" s="0" t="s">
        <v>1459</v>
      </c>
      <c r="F226" s="0" t="s">
        <v>1460</v>
      </c>
      <c r="G226" s="0" t="s">
        <v>1461</v>
      </c>
    </row>
    <row r="227" customFormat="false" ht="15" hidden="false" customHeight="false" outlineLevel="0" collapsed="false">
      <c r="A227" s="0" t="s">
        <v>261</v>
      </c>
      <c r="B227" s="0" t="n">
        <v>437</v>
      </c>
      <c r="C227" s="0" t="n">
        <v>361</v>
      </c>
      <c r="D227" s="0" t="n">
        <v>351</v>
      </c>
      <c r="E227" s="0" t="s">
        <v>1462</v>
      </c>
      <c r="F227" s="0" t="s">
        <v>1463</v>
      </c>
      <c r="G227" s="0" t="s">
        <v>1464</v>
      </c>
    </row>
    <row r="228" customFormat="false" ht="15" hidden="false" customHeight="false" outlineLevel="0" collapsed="false">
      <c r="A228" s="0" t="s">
        <v>262</v>
      </c>
      <c r="B228" s="0" t="n">
        <v>98</v>
      </c>
      <c r="C228" s="0" t="n">
        <v>435</v>
      </c>
      <c r="D228" s="0" t="n">
        <v>25</v>
      </c>
      <c r="E228" s="0" t="s">
        <v>1465</v>
      </c>
      <c r="F228" s="0" t="s">
        <v>1466</v>
      </c>
      <c r="G228" s="0" t="s">
        <v>1467</v>
      </c>
    </row>
    <row r="229" customFormat="false" ht="15" hidden="false" customHeight="false" outlineLevel="0" collapsed="false">
      <c r="A229" s="0" t="s">
        <v>263</v>
      </c>
    </row>
    <row r="230" customFormat="false" ht="15" hidden="false" customHeight="false" outlineLevel="0" collapsed="false">
      <c r="A230" s="0" t="s">
        <v>264</v>
      </c>
      <c r="B230" s="0" t="n">
        <v>607</v>
      </c>
      <c r="C230" s="0" t="n">
        <v>669</v>
      </c>
      <c r="D230" s="0" t="n">
        <v>659</v>
      </c>
      <c r="E230" s="0" t="s">
        <v>1468</v>
      </c>
      <c r="F230" s="0" t="s">
        <v>1469</v>
      </c>
      <c r="G230" s="0" t="s">
        <v>1470</v>
      </c>
    </row>
    <row r="231" customFormat="false" ht="15" hidden="false" customHeight="false" outlineLevel="0" collapsed="false">
      <c r="A231" s="0" t="s">
        <v>265</v>
      </c>
      <c r="B231" s="0" t="n">
        <v>565</v>
      </c>
      <c r="C231" s="0" t="n">
        <v>595</v>
      </c>
      <c r="D231" s="0" t="n">
        <v>542</v>
      </c>
      <c r="E231" s="0" t="s">
        <v>1471</v>
      </c>
      <c r="F231" s="0" t="s">
        <v>1472</v>
      </c>
      <c r="G231" s="0" t="s">
        <v>1473</v>
      </c>
    </row>
    <row r="232" customFormat="false" ht="15" hidden="false" customHeight="false" outlineLevel="0" collapsed="false">
      <c r="A232" s="0" t="s">
        <v>266</v>
      </c>
      <c r="B232" s="0" t="n">
        <v>422</v>
      </c>
      <c r="C232" s="0" t="n">
        <v>393</v>
      </c>
      <c r="D232" s="0" t="n">
        <v>529</v>
      </c>
      <c r="E232" s="0" t="s">
        <v>1474</v>
      </c>
      <c r="F232" s="0" t="s">
        <v>1475</v>
      </c>
      <c r="G232" s="0" t="s">
        <v>1476</v>
      </c>
    </row>
    <row r="233" customFormat="false" ht="15" hidden="false" customHeight="false" outlineLevel="0" collapsed="false">
      <c r="A233" s="0" t="s">
        <v>267</v>
      </c>
      <c r="B233" s="0" t="n">
        <v>506</v>
      </c>
      <c r="C233" s="0" t="n">
        <v>389</v>
      </c>
      <c r="D233" s="0" t="n">
        <v>297</v>
      </c>
      <c r="E233" s="0" t="s">
        <v>1477</v>
      </c>
      <c r="F233" s="0" t="s">
        <v>1478</v>
      </c>
      <c r="G233" s="0" t="s">
        <v>1479</v>
      </c>
    </row>
    <row r="234" customFormat="false" ht="15" hidden="false" customHeight="false" outlineLevel="0" collapsed="false">
      <c r="A234" s="0" t="s">
        <v>268</v>
      </c>
      <c r="B234" s="0" t="n">
        <v>477</v>
      </c>
      <c r="C234" s="0" t="n">
        <v>438</v>
      </c>
      <c r="D234" s="0" t="n">
        <v>544</v>
      </c>
      <c r="E234" s="0" t="s">
        <v>1480</v>
      </c>
      <c r="F234" s="0" t="s">
        <v>1481</v>
      </c>
      <c r="G234" s="0" t="s">
        <v>1482</v>
      </c>
    </row>
    <row r="235" customFormat="false" ht="15" hidden="false" customHeight="false" outlineLevel="0" collapsed="false">
      <c r="A235" s="0" t="s">
        <v>269</v>
      </c>
      <c r="B235" s="0" t="n">
        <v>366</v>
      </c>
      <c r="C235" s="0" t="n">
        <v>247</v>
      </c>
      <c r="D235" s="0" t="n">
        <v>75</v>
      </c>
      <c r="E235" s="0" t="s">
        <v>1483</v>
      </c>
      <c r="F235" s="0" t="s">
        <v>1484</v>
      </c>
      <c r="G235" s="0" t="s">
        <v>1485</v>
      </c>
    </row>
    <row r="236" customFormat="false" ht="15" hidden="false" customHeight="false" outlineLevel="0" collapsed="false">
      <c r="A236" s="0" t="s">
        <v>270</v>
      </c>
      <c r="B236" s="0" t="n">
        <v>359</v>
      </c>
      <c r="C236" s="0" t="n">
        <v>447</v>
      </c>
      <c r="D236" s="0" t="n">
        <v>438</v>
      </c>
      <c r="E236" s="0" t="s">
        <v>1486</v>
      </c>
      <c r="F236" s="0" t="s">
        <v>1487</v>
      </c>
      <c r="G236" s="0" t="s">
        <v>1488</v>
      </c>
    </row>
    <row r="237" customFormat="false" ht="15" hidden="false" customHeight="false" outlineLevel="0" collapsed="false">
      <c r="A237" s="0" t="s">
        <v>271</v>
      </c>
    </row>
    <row r="238" customFormat="false" ht="15" hidden="false" customHeight="false" outlineLevel="0" collapsed="false">
      <c r="A238" s="0" t="s">
        <v>272</v>
      </c>
      <c r="B238" s="0" t="n">
        <v>568</v>
      </c>
      <c r="C238" s="0" t="n">
        <v>697</v>
      </c>
      <c r="D238" s="0" t="n">
        <v>582</v>
      </c>
      <c r="E238" s="0" t="s">
        <v>1489</v>
      </c>
      <c r="F238" s="0" t="s">
        <v>1490</v>
      </c>
      <c r="G238" s="0" t="s">
        <v>1491</v>
      </c>
    </row>
    <row r="239" customFormat="false" ht="15" hidden="false" customHeight="false" outlineLevel="0" collapsed="false">
      <c r="A239" s="0" t="s">
        <v>273</v>
      </c>
      <c r="B239" s="0" t="n">
        <v>446</v>
      </c>
      <c r="C239" s="0" t="n">
        <v>532</v>
      </c>
      <c r="D239" s="0" t="n">
        <v>307</v>
      </c>
      <c r="E239" s="0" t="s">
        <v>1492</v>
      </c>
      <c r="F239" s="0" t="s">
        <v>1493</v>
      </c>
      <c r="G239" s="0" t="s">
        <v>1494</v>
      </c>
    </row>
    <row r="240" customFormat="false" ht="15" hidden="false" customHeight="false" outlineLevel="0" collapsed="false">
      <c r="A240" s="0" t="s">
        <v>274</v>
      </c>
    </row>
    <row r="241" customFormat="false" ht="15" hidden="false" customHeight="false" outlineLevel="0" collapsed="false">
      <c r="A241" s="0" t="s">
        <v>275</v>
      </c>
      <c r="B241" s="0" t="n">
        <v>71</v>
      </c>
      <c r="C241" s="0" t="n">
        <v>305</v>
      </c>
      <c r="D241" s="0" t="n">
        <v>43</v>
      </c>
      <c r="E241" s="0" t="s">
        <v>1495</v>
      </c>
      <c r="F241" s="0" t="s">
        <v>1496</v>
      </c>
      <c r="G241" s="0" t="s">
        <v>1497</v>
      </c>
    </row>
    <row r="242" customFormat="false" ht="15" hidden="false" customHeight="false" outlineLevel="0" collapsed="false">
      <c r="A242" s="0" t="s">
        <v>276</v>
      </c>
      <c r="B242" s="0" t="n">
        <v>348</v>
      </c>
      <c r="C242" s="0" t="n">
        <v>53</v>
      </c>
      <c r="D242" s="0" t="n">
        <v>236</v>
      </c>
      <c r="E242" s="0" t="s">
        <v>1498</v>
      </c>
      <c r="F242" s="0" t="s">
        <v>1499</v>
      </c>
      <c r="G242" s="0" t="s">
        <v>1500</v>
      </c>
    </row>
    <row r="243" customFormat="false" ht="15" hidden="false" customHeight="false" outlineLevel="0" collapsed="false">
      <c r="A243" s="0" t="s">
        <v>277</v>
      </c>
      <c r="B243" s="0" t="n">
        <v>403</v>
      </c>
      <c r="C243" s="0" t="n">
        <v>339</v>
      </c>
      <c r="D243" s="0" t="n">
        <v>408</v>
      </c>
      <c r="E243" s="0" t="s">
        <v>1501</v>
      </c>
      <c r="F243" s="0" t="s">
        <v>1502</v>
      </c>
      <c r="G243" s="0" t="s">
        <v>1503</v>
      </c>
    </row>
    <row r="244" customFormat="false" ht="15" hidden="false" customHeight="false" outlineLevel="0" collapsed="false">
      <c r="A244" s="0" t="s">
        <v>278</v>
      </c>
    </row>
    <row r="245" customFormat="false" ht="15" hidden="false" customHeight="false" outlineLevel="0" collapsed="false">
      <c r="A245" s="0" t="s">
        <v>279</v>
      </c>
      <c r="B245" s="0" t="n">
        <v>515</v>
      </c>
      <c r="C245" s="0" t="n">
        <v>128</v>
      </c>
      <c r="D245" s="0" t="n">
        <v>186</v>
      </c>
      <c r="E245" s="0" t="s">
        <v>1504</v>
      </c>
      <c r="F245" s="0" t="s">
        <v>1505</v>
      </c>
      <c r="G245" s="0" t="s">
        <v>1506</v>
      </c>
    </row>
    <row r="246" customFormat="false" ht="15" hidden="false" customHeight="false" outlineLevel="0" collapsed="false">
      <c r="A246" s="0" t="s">
        <v>280</v>
      </c>
    </row>
    <row r="247" customFormat="false" ht="15" hidden="false" customHeight="false" outlineLevel="0" collapsed="false">
      <c r="A247" s="0" t="s">
        <v>281</v>
      </c>
      <c r="B247" s="0" t="n">
        <v>152</v>
      </c>
      <c r="C247" s="0" t="n">
        <v>454</v>
      </c>
      <c r="D247" s="0" t="n">
        <v>235</v>
      </c>
      <c r="E247" s="0" t="s">
        <v>1507</v>
      </c>
      <c r="F247" s="0" t="s">
        <v>1508</v>
      </c>
      <c r="G247" s="0" t="s">
        <v>1509</v>
      </c>
    </row>
    <row r="248" customFormat="false" ht="15" hidden="false" customHeight="false" outlineLevel="0" collapsed="false">
      <c r="A248" s="0" t="s">
        <v>282</v>
      </c>
      <c r="B248" s="0" t="n">
        <v>555</v>
      </c>
      <c r="C248" s="0" t="n">
        <v>443</v>
      </c>
      <c r="D248" s="0" t="n">
        <v>145</v>
      </c>
      <c r="E248" s="0" t="s">
        <v>1510</v>
      </c>
      <c r="F248" s="0" t="s">
        <v>1511</v>
      </c>
      <c r="G248" s="0" t="s">
        <v>1512</v>
      </c>
    </row>
    <row r="249" customFormat="false" ht="15" hidden="false" customHeight="false" outlineLevel="0" collapsed="false">
      <c r="A249" s="0" t="s">
        <v>283</v>
      </c>
      <c r="B249" s="0" t="n">
        <v>702</v>
      </c>
      <c r="C249" s="0" t="n">
        <v>602</v>
      </c>
      <c r="D249" s="0" t="n">
        <v>360</v>
      </c>
      <c r="E249" s="0" t="s">
        <v>1513</v>
      </c>
      <c r="F249" s="0" t="s">
        <v>1514</v>
      </c>
      <c r="G249" s="0" t="s">
        <v>1515</v>
      </c>
    </row>
    <row r="250" customFormat="false" ht="15" hidden="false" customHeight="false" outlineLevel="0" collapsed="false">
      <c r="A250" s="0" t="s">
        <v>284</v>
      </c>
      <c r="B250" s="0" t="n">
        <v>654</v>
      </c>
      <c r="C250" s="0" t="n">
        <v>644</v>
      </c>
      <c r="D250" s="0" t="n">
        <v>630</v>
      </c>
      <c r="E250" s="0" t="s">
        <v>1516</v>
      </c>
      <c r="F250" s="0" t="s">
        <v>1517</v>
      </c>
      <c r="G250" s="0" t="s">
        <v>1518</v>
      </c>
    </row>
    <row r="251" customFormat="false" ht="15" hidden="false" customHeight="false" outlineLevel="0" collapsed="false">
      <c r="A251" s="0" t="s">
        <v>285</v>
      </c>
      <c r="B251" s="0" t="n">
        <v>585</v>
      </c>
      <c r="C251" s="0" t="n">
        <v>484</v>
      </c>
      <c r="D251" s="0" t="n">
        <v>389</v>
      </c>
      <c r="E251" s="0" t="s">
        <v>1519</v>
      </c>
      <c r="F251" s="0" t="s">
        <v>1520</v>
      </c>
      <c r="G251" s="0" t="s">
        <v>1521</v>
      </c>
    </row>
    <row r="252" customFormat="false" ht="15" hidden="false" customHeight="false" outlineLevel="0" collapsed="false">
      <c r="A252" s="0" t="s">
        <v>286</v>
      </c>
      <c r="B252" s="0" t="n">
        <v>660</v>
      </c>
      <c r="C252" s="0" t="n">
        <v>567</v>
      </c>
      <c r="D252" s="0" t="n">
        <v>593</v>
      </c>
      <c r="E252" s="0" t="s">
        <v>1522</v>
      </c>
      <c r="F252" s="0" t="s">
        <v>1523</v>
      </c>
      <c r="G252" s="0" t="s">
        <v>1524</v>
      </c>
    </row>
    <row r="253" customFormat="false" ht="15" hidden="false" customHeight="false" outlineLevel="0" collapsed="false">
      <c r="A253" s="0" t="s">
        <v>287</v>
      </c>
      <c r="B253" s="0" t="n">
        <v>628</v>
      </c>
      <c r="C253" s="0" t="n">
        <v>549</v>
      </c>
      <c r="D253" s="0" t="n">
        <v>364</v>
      </c>
      <c r="E253" s="0" t="s">
        <v>1525</v>
      </c>
      <c r="F253" s="0" t="s">
        <v>1526</v>
      </c>
      <c r="G253" s="0" t="s">
        <v>1527</v>
      </c>
    </row>
    <row r="254" customFormat="false" ht="15" hidden="false" customHeight="false" outlineLevel="0" collapsed="false">
      <c r="A254" s="0" t="s">
        <v>288</v>
      </c>
      <c r="B254" s="0" t="n">
        <v>646</v>
      </c>
      <c r="C254" s="0" t="n">
        <v>621</v>
      </c>
      <c r="D254" s="0" t="n">
        <v>632</v>
      </c>
      <c r="E254" s="0" t="s">
        <v>1528</v>
      </c>
      <c r="F254" s="0" t="s">
        <v>1529</v>
      </c>
      <c r="G254" s="0" t="s">
        <v>1530</v>
      </c>
    </row>
    <row r="255" customFormat="false" ht="15" hidden="false" customHeight="false" outlineLevel="0" collapsed="false">
      <c r="A255" s="0" t="s">
        <v>289</v>
      </c>
      <c r="B255" s="0" t="n">
        <v>625</v>
      </c>
      <c r="C255" s="0" t="n">
        <v>666</v>
      </c>
      <c r="D255" s="0" t="n">
        <v>701</v>
      </c>
      <c r="E255" s="0" t="s">
        <v>1531</v>
      </c>
      <c r="F255" s="0" t="s">
        <v>1532</v>
      </c>
      <c r="G255" s="0" t="s">
        <v>1533</v>
      </c>
    </row>
    <row r="256" customFormat="false" ht="15" hidden="false" customHeight="false" outlineLevel="0" collapsed="false">
      <c r="A256" s="0" t="s">
        <v>290</v>
      </c>
      <c r="B256" s="0" t="n">
        <v>454</v>
      </c>
      <c r="C256" s="0" t="n">
        <v>201</v>
      </c>
      <c r="D256" s="0" t="n">
        <v>61</v>
      </c>
      <c r="E256" s="0" t="s">
        <v>1534</v>
      </c>
      <c r="F256" s="0" t="s">
        <v>1535</v>
      </c>
      <c r="G256" s="0" t="s">
        <v>1536</v>
      </c>
    </row>
    <row r="257" customFormat="false" ht="15" hidden="false" customHeight="false" outlineLevel="0" collapsed="false">
      <c r="A257" s="0" t="s">
        <v>291</v>
      </c>
      <c r="B257" s="0" t="n">
        <v>603</v>
      </c>
      <c r="C257" s="0" t="n">
        <v>531</v>
      </c>
      <c r="D257" s="0" t="n">
        <v>627</v>
      </c>
      <c r="E257" s="0" t="s">
        <v>1537</v>
      </c>
      <c r="F257" s="0" t="s">
        <v>1538</v>
      </c>
      <c r="G257" s="0" t="s">
        <v>1539</v>
      </c>
    </row>
    <row r="258" customFormat="false" ht="15" hidden="false" customHeight="false" outlineLevel="0" collapsed="false">
      <c r="A258" s="0" t="s">
        <v>292</v>
      </c>
      <c r="B258" s="0" t="n">
        <v>684</v>
      </c>
      <c r="C258" s="0" t="n">
        <v>707</v>
      </c>
      <c r="D258" s="0" t="n">
        <v>480</v>
      </c>
      <c r="E258" s="0" t="s">
        <v>1540</v>
      </c>
      <c r="F258" s="0" t="s">
        <v>1541</v>
      </c>
      <c r="G258" s="0" t="s">
        <v>1542</v>
      </c>
    </row>
    <row r="259" customFormat="false" ht="15" hidden="false" customHeight="false" outlineLevel="0" collapsed="false">
      <c r="A259" s="0" t="s">
        <v>293</v>
      </c>
      <c r="B259" s="0" t="n">
        <v>516</v>
      </c>
      <c r="C259" s="0" t="n">
        <v>459</v>
      </c>
      <c r="D259" s="0" t="n">
        <v>548</v>
      </c>
      <c r="E259" s="0" t="s">
        <v>1543</v>
      </c>
      <c r="F259" s="0" t="s">
        <v>1544</v>
      </c>
      <c r="G259" s="0" t="s">
        <v>1545</v>
      </c>
    </row>
    <row r="260" customFormat="false" ht="15" hidden="false" customHeight="false" outlineLevel="0" collapsed="false">
      <c r="A260" s="0" t="s">
        <v>294</v>
      </c>
      <c r="B260" s="0" t="n">
        <v>491</v>
      </c>
      <c r="C260" s="0" t="n">
        <v>281</v>
      </c>
      <c r="D260" s="0" t="n">
        <v>363</v>
      </c>
      <c r="E260" s="0" t="s">
        <v>1546</v>
      </c>
      <c r="F260" s="0" t="s">
        <v>1547</v>
      </c>
      <c r="G260" s="0" t="s">
        <v>1548</v>
      </c>
    </row>
    <row r="261" customFormat="false" ht="15" hidden="false" customHeight="false" outlineLevel="0" collapsed="false">
      <c r="A261" s="0" t="s">
        <v>295</v>
      </c>
      <c r="B261" s="0" t="n">
        <v>510</v>
      </c>
      <c r="C261" s="0" t="n">
        <v>643</v>
      </c>
      <c r="D261" s="0" t="n">
        <v>603</v>
      </c>
      <c r="E261" s="0" t="s">
        <v>1549</v>
      </c>
      <c r="F261" s="0" t="s">
        <v>1550</v>
      </c>
      <c r="G261" s="0" t="s">
        <v>1551</v>
      </c>
    </row>
    <row r="262" customFormat="false" ht="15" hidden="false" customHeight="false" outlineLevel="0" collapsed="false">
      <c r="A262" s="0" t="s">
        <v>296</v>
      </c>
      <c r="B262" s="0" t="n">
        <v>526</v>
      </c>
      <c r="C262" s="0" t="n">
        <v>552</v>
      </c>
      <c r="D262" s="0" t="n">
        <v>376</v>
      </c>
      <c r="E262" s="0" t="s">
        <v>1552</v>
      </c>
      <c r="F262" s="0" t="s">
        <v>1553</v>
      </c>
      <c r="G262" s="0" t="s">
        <v>1554</v>
      </c>
    </row>
    <row r="263" customFormat="false" ht="15" hidden="false" customHeight="false" outlineLevel="0" collapsed="false">
      <c r="A263" s="0" t="s">
        <v>297</v>
      </c>
      <c r="B263" s="0" t="n">
        <v>402</v>
      </c>
      <c r="C263" s="0" t="n">
        <v>670</v>
      </c>
      <c r="D263" s="0" t="n">
        <v>677</v>
      </c>
      <c r="E263" s="0" t="s">
        <v>1555</v>
      </c>
      <c r="F263" s="0" t="s">
        <v>1556</v>
      </c>
      <c r="G263" s="0" t="s">
        <v>1557</v>
      </c>
    </row>
    <row r="264" customFormat="false" ht="15" hidden="false" customHeight="false" outlineLevel="0" collapsed="false">
      <c r="A264" s="0" t="s">
        <v>298</v>
      </c>
      <c r="B264" s="0" t="n">
        <v>341</v>
      </c>
      <c r="C264" s="0" t="n">
        <v>38</v>
      </c>
      <c r="D264" s="0" t="n">
        <v>223</v>
      </c>
      <c r="E264" s="0" t="s">
        <v>1558</v>
      </c>
      <c r="F264" s="0" t="s">
        <v>1559</v>
      </c>
      <c r="G264" s="0" t="s">
        <v>1560</v>
      </c>
    </row>
    <row r="265" customFormat="false" ht="15" hidden="false" customHeight="false" outlineLevel="0" collapsed="false">
      <c r="A265" s="0" t="s">
        <v>299</v>
      </c>
      <c r="B265" s="0" t="n">
        <v>602</v>
      </c>
      <c r="C265" s="0" t="n">
        <v>623</v>
      </c>
      <c r="D265" s="0" t="n">
        <v>641</v>
      </c>
      <c r="E265" s="0" t="s">
        <v>1561</v>
      </c>
      <c r="F265" s="0" t="s">
        <v>1562</v>
      </c>
      <c r="G265" s="0" t="s">
        <v>1563</v>
      </c>
    </row>
    <row r="266" customFormat="false" ht="15" hidden="false" customHeight="false" outlineLevel="0" collapsed="false">
      <c r="A266" s="0" t="s">
        <v>300</v>
      </c>
      <c r="B266" s="0" t="n">
        <v>284</v>
      </c>
      <c r="C266" s="0" t="n">
        <v>419</v>
      </c>
      <c r="D266" s="0" t="n">
        <v>111</v>
      </c>
      <c r="E266" s="0" t="s">
        <v>1564</v>
      </c>
      <c r="F266" s="0" t="s">
        <v>1565</v>
      </c>
      <c r="G266" s="0" t="s">
        <v>1566</v>
      </c>
    </row>
    <row r="267" customFormat="false" ht="15" hidden="false" customHeight="false" outlineLevel="0" collapsed="false">
      <c r="A267" s="0" t="s">
        <v>301</v>
      </c>
      <c r="B267" s="0" t="n">
        <v>639</v>
      </c>
      <c r="C267" s="0" t="n">
        <v>629</v>
      </c>
      <c r="D267" s="0" t="n">
        <v>655</v>
      </c>
      <c r="E267" s="0" t="s">
        <v>1567</v>
      </c>
      <c r="F267" s="0" t="s">
        <v>1568</v>
      </c>
      <c r="G267" s="0" t="s">
        <v>1569</v>
      </c>
    </row>
    <row r="268" customFormat="false" ht="15" hidden="false" customHeight="false" outlineLevel="0" collapsed="false">
      <c r="A268" s="0" t="s">
        <v>302</v>
      </c>
      <c r="B268" s="0" t="n">
        <v>445</v>
      </c>
      <c r="C268" s="0" t="n">
        <v>372</v>
      </c>
      <c r="D268" s="0" t="n">
        <v>182</v>
      </c>
      <c r="E268" s="0" t="s">
        <v>1570</v>
      </c>
      <c r="F268" s="0" t="s">
        <v>1571</v>
      </c>
      <c r="G268" s="0" t="s">
        <v>1572</v>
      </c>
    </row>
    <row r="269" customFormat="false" ht="15" hidden="false" customHeight="false" outlineLevel="0" collapsed="false">
      <c r="A269" s="0" t="s">
        <v>303</v>
      </c>
      <c r="B269" s="0" t="n">
        <v>358</v>
      </c>
      <c r="C269" s="0" t="n">
        <v>154</v>
      </c>
      <c r="D269" s="0" t="n">
        <v>229</v>
      </c>
      <c r="E269" s="0" t="s">
        <v>1573</v>
      </c>
      <c r="F269" s="0" t="s">
        <v>1574</v>
      </c>
      <c r="G269" s="0" t="s">
        <v>1575</v>
      </c>
    </row>
    <row r="270" customFormat="false" ht="15" hidden="false" customHeight="false" outlineLevel="0" collapsed="false">
      <c r="A270" s="0" t="s">
        <v>304</v>
      </c>
      <c r="B270" s="0" t="n">
        <v>627</v>
      </c>
      <c r="C270" s="0" t="n">
        <v>615</v>
      </c>
      <c r="D270" s="0" t="n">
        <v>676</v>
      </c>
      <c r="E270" s="0" t="s">
        <v>1576</v>
      </c>
      <c r="F270" s="0" t="s">
        <v>1577</v>
      </c>
      <c r="G270" s="0" t="s">
        <v>1578</v>
      </c>
    </row>
    <row r="271" customFormat="false" ht="15" hidden="false" customHeight="false" outlineLevel="0" collapsed="false">
      <c r="A271" s="0" t="s">
        <v>305</v>
      </c>
    </row>
    <row r="272" customFormat="false" ht="15" hidden="false" customHeight="false" outlineLevel="0" collapsed="false">
      <c r="A272" s="0" t="s">
        <v>306</v>
      </c>
      <c r="B272" s="0" t="n">
        <v>708</v>
      </c>
      <c r="C272" s="0" t="n">
        <v>456</v>
      </c>
      <c r="D272" s="0" t="n">
        <v>651</v>
      </c>
      <c r="E272" s="0" t="s">
        <v>1579</v>
      </c>
      <c r="F272" s="0" t="s">
        <v>1580</v>
      </c>
      <c r="G272" s="0" t="s">
        <v>1581</v>
      </c>
    </row>
    <row r="273" customFormat="false" ht="15" hidden="false" customHeight="false" outlineLevel="0" collapsed="false">
      <c r="A273" s="0" t="s">
        <v>307</v>
      </c>
      <c r="B273" s="0" t="n">
        <v>583</v>
      </c>
      <c r="C273" s="0" t="n">
        <v>177</v>
      </c>
      <c r="D273" s="0" t="n">
        <v>64</v>
      </c>
      <c r="E273" s="0" t="s">
        <v>1582</v>
      </c>
      <c r="F273" s="0" t="s">
        <v>1583</v>
      </c>
      <c r="G273" s="0" t="s">
        <v>1584</v>
      </c>
    </row>
    <row r="274" customFormat="false" ht="15" hidden="false" customHeight="false" outlineLevel="0" collapsed="false">
      <c r="A274" s="0" t="s">
        <v>308</v>
      </c>
      <c r="B274" s="0" t="n">
        <v>495</v>
      </c>
      <c r="C274" s="0" t="n">
        <v>385</v>
      </c>
      <c r="D274" s="0" t="n">
        <v>163</v>
      </c>
      <c r="E274" s="0" t="s">
        <v>1585</v>
      </c>
      <c r="F274" s="0" t="s">
        <v>1586</v>
      </c>
      <c r="G274" s="0" t="s">
        <v>1587</v>
      </c>
    </row>
    <row r="275" customFormat="false" ht="15" hidden="false" customHeight="false" outlineLevel="0" collapsed="false">
      <c r="A275" s="0" t="s">
        <v>309</v>
      </c>
      <c r="B275" s="0" t="n">
        <v>671</v>
      </c>
      <c r="C275" s="0" t="n">
        <v>599</v>
      </c>
      <c r="D275" s="0" t="n">
        <v>653</v>
      </c>
      <c r="E275" s="0" t="s">
        <v>1588</v>
      </c>
      <c r="F275" s="0" t="s">
        <v>1589</v>
      </c>
      <c r="G275" s="0" t="s">
        <v>1590</v>
      </c>
    </row>
    <row r="276" customFormat="false" ht="15" hidden="false" customHeight="false" outlineLevel="0" collapsed="false">
      <c r="A276" s="0" t="s">
        <v>310</v>
      </c>
      <c r="B276" s="0" t="n">
        <v>363</v>
      </c>
      <c r="C276" s="0" t="n">
        <v>334</v>
      </c>
      <c r="D276" s="0" t="n">
        <v>404</v>
      </c>
      <c r="E276" s="0" t="s">
        <v>1591</v>
      </c>
      <c r="F276" s="0" t="s">
        <v>1592</v>
      </c>
      <c r="G276" s="0" t="s">
        <v>1593</v>
      </c>
    </row>
    <row r="277" customFormat="false" ht="15" hidden="false" customHeight="false" outlineLevel="0" collapsed="false">
      <c r="A277" s="0" t="s">
        <v>311</v>
      </c>
      <c r="B277" s="0" t="n">
        <v>686</v>
      </c>
      <c r="C277" s="0" t="n">
        <v>681</v>
      </c>
      <c r="D277" s="0" t="n">
        <v>678</v>
      </c>
      <c r="E277" s="0" t="s">
        <v>1594</v>
      </c>
      <c r="F277" s="0" t="s">
        <v>1595</v>
      </c>
      <c r="G277" s="0" t="s">
        <v>1596</v>
      </c>
    </row>
    <row r="278" customFormat="false" ht="15" hidden="false" customHeight="false" outlineLevel="0" collapsed="false">
      <c r="A278" s="0" t="s">
        <v>312</v>
      </c>
      <c r="B278" s="0" t="n">
        <v>637</v>
      </c>
      <c r="C278" s="0" t="n">
        <v>509</v>
      </c>
      <c r="D278" s="0" t="n">
        <v>293</v>
      </c>
      <c r="E278" s="0" t="s">
        <v>1597</v>
      </c>
      <c r="F278" s="0" t="s">
        <v>1598</v>
      </c>
      <c r="G278" s="0" t="s">
        <v>1599</v>
      </c>
    </row>
    <row r="279" customFormat="false" ht="15" hidden="false" customHeight="false" outlineLevel="0" collapsed="false">
      <c r="A279" s="0" t="s">
        <v>313</v>
      </c>
      <c r="B279" s="0" t="n">
        <v>539</v>
      </c>
      <c r="C279" s="0" t="n">
        <v>483</v>
      </c>
      <c r="D279" s="0" t="n">
        <v>265</v>
      </c>
      <c r="E279" s="0" t="s">
        <v>1600</v>
      </c>
      <c r="F279" s="0" t="s">
        <v>1601</v>
      </c>
      <c r="G279" s="0" t="s">
        <v>1602</v>
      </c>
    </row>
    <row r="280" customFormat="false" ht="15" hidden="false" customHeight="false" outlineLevel="0" collapsed="false">
      <c r="A280" s="0" t="s">
        <v>314</v>
      </c>
      <c r="B280" s="0" t="n">
        <v>698</v>
      </c>
      <c r="C280" s="0" t="n">
        <v>690</v>
      </c>
      <c r="D280" s="0" t="n">
        <v>679</v>
      </c>
      <c r="E280" s="0" t="s">
        <v>1603</v>
      </c>
      <c r="F280" s="0" t="s">
        <v>1604</v>
      </c>
      <c r="G280" s="0" t="s">
        <v>1605</v>
      </c>
    </row>
    <row r="281" customFormat="false" ht="15" hidden="false" customHeight="false" outlineLevel="0" collapsed="false">
      <c r="A281" s="0" t="s">
        <v>315</v>
      </c>
      <c r="B281" s="0" t="n">
        <v>569</v>
      </c>
      <c r="C281" s="0" t="n">
        <v>346</v>
      </c>
      <c r="D281" s="0" t="n">
        <v>369</v>
      </c>
      <c r="E281" s="0" t="s">
        <v>1606</v>
      </c>
      <c r="F281" s="0" t="s">
        <v>1607</v>
      </c>
      <c r="G281" s="0" t="s">
        <v>1608</v>
      </c>
    </row>
    <row r="282" customFormat="false" ht="15" hidden="false" customHeight="false" outlineLevel="0" collapsed="false">
      <c r="A282" s="0" t="s">
        <v>316</v>
      </c>
      <c r="B282" s="0" t="n">
        <v>699</v>
      </c>
      <c r="C282" s="0" t="n">
        <v>657</v>
      </c>
      <c r="D282" s="0" t="n">
        <v>260</v>
      </c>
      <c r="E282" s="0" t="s">
        <v>1609</v>
      </c>
      <c r="F282" s="0" t="s">
        <v>1610</v>
      </c>
      <c r="G282" s="0" t="s">
        <v>1611</v>
      </c>
    </row>
    <row r="283" customFormat="false" ht="15" hidden="false" customHeight="false" outlineLevel="0" collapsed="false">
      <c r="A283" s="0" t="s">
        <v>317</v>
      </c>
      <c r="B283" s="0" t="n">
        <v>112</v>
      </c>
      <c r="C283" s="0" t="n">
        <v>36</v>
      </c>
      <c r="D283" s="0" t="n">
        <v>252</v>
      </c>
      <c r="E283" s="0" t="s">
        <v>1612</v>
      </c>
      <c r="F283" s="0" t="s">
        <v>1613</v>
      </c>
      <c r="G283" s="0" t="s">
        <v>1614</v>
      </c>
    </row>
    <row r="284" customFormat="false" ht="15" hidden="false" customHeight="false" outlineLevel="0" collapsed="false">
      <c r="A284" s="0" t="s">
        <v>318</v>
      </c>
      <c r="B284" s="0" t="n">
        <v>268</v>
      </c>
      <c r="C284" s="0" t="n">
        <v>205</v>
      </c>
      <c r="D284" s="0" t="n">
        <v>213</v>
      </c>
      <c r="E284" s="0" t="s">
        <v>1615</v>
      </c>
      <c r="F284" s="0" t="s">
        <v>1616</v>
      </c>
      <c r="G284" s="0" t="s">
        <v>1617</v>
      </c>
    </row>
    <row r="285" customFormat="false" ht="15" hidden="false" customHeight="false" outlineLevel="0" collapsed="false">
      <c r="A285" s="0" t="s">
        <v>319</v>
      </c>
      <c r="B285" s="0" t="n">
        <v>656</v>
      </c>
      <c r="C285" s="0" t="n">
        <v>672</v>
      </c>
      <c r="D285" s="0" t="n">
        <v>683</v>
      </c>
      <c r="E285" s="0" t="s">
        <v>1618</v>
      </c>
      <c r="F285" s="0" t="s">
        <v>1619</v>
      </c>
      <c r="G285" s="0" t="s">
        <v>1620</v>
      </c>
    </row>
    <row r="286" customFormat="false" ht="15" hidden="false" customHeight="false" outlineLevel="0" collapsed="false">
      <c r="A286" s="0" t="s">
        <v>320</v>
      </c>
      <c r="B286" s="0" t="n">
        <v>146</v>
      </c>
      <c r="C286" s="0" t="n">
        <v>57</v>
      </c>
      <c r="D286" s="0" t="n">
        <v>30</v>
      </c>
      <c r="E286" s="0" t="s">
        <v>1621</v>
      </c>
      <c r="F286" s="0" t="s">
        <v>1622</v>
      </c>
      <c r="G286" s="0" t="s">
        <v>1623</v>
      </c>
    </row>
    <row r="287" customFormat="false" ht="15" hidden="false" customHeight="false" outlineLevel="0" collapsed="false">
      <c r="A287" s="0" t="s">
        <v>321</v>
      </c>
      <c r="B287" s="0" t="n">
        <v>87</v>
      </c>
      <c r="C287" s="0" t="n">
        <v>51</v>
      </c>
      <c r="D287" s="0" t="n">
        <v>70</v>
      </c>
      <c r="E287" s="0" t="s">
        <v>1624</v>
      </c>
      <c r="F287" s="0" t="s">
        <v>1625</v>
      </c>
      <c r="G287" s="0" t="s">
        <v>1626</v>
      </c>
    </row>
    <row r="288" customFormat="false" ht="15" hidden="false" customHeight="false" outlineLevel="0" collapsed="false">
      <c r="A288" s="0" t="s">
        <v>322</v>
      </c>
      <c r="B288" s="0" t="n">
        <v>361</v>
      </c>
      <c r="C288" s="0" t="n">
        <v>538</v>
      </c>
      <c r="D288" s="0" t="n">
        <v>133</v>
      </c>
      <c r="E288" s="0" t="s">
        <v>1627</v>
      </c>
      <c r="F288" s="0" t="s">
        <v>1628</v>
      </c>
      <c r="G288" s="0" t="s">
        <v>1629</v>
      </c>
    </row>
    <row r="289" customFormat="false" ht="15" hidden="false" customHeight="false" outlineLevel="0" collapsed="false">
      <c r="A289" s="0" t="s">
        <v>323</v>
      </c>
      <c r="B289" s="0" t="n">
        <v>290</v>
      </c>
      <c r="C289" s="0" t="n">
        <v>356</v>
      </c>
      <c r="D289" s="0" t="n">
        <v>281</v>
      </c>
      <c r="E289" s="0" t="s">
        <v>1630</v>
      </c>
      <c r="F289" s="0" t="s">
        <v>1631</v>
      </c>
      <c r="G289" s="0" t="s">
        <v>1632</v>
      </c>
    </row>
    <row r="290" customFormat="false" ht="15" hidden="false" customHeight="false" outlineLevel="0" collapsed="false">
      <c r="A290" s="0" t="s">
        <v>324</v>
      </c>
      <c r="B290" s="0" t="n">
        <v>114</v>
      </c>
      <c r="C290" s="0" t="n">
        <v>526</v>
      </c>
      <c r="D290" s="0" t="n">
        <v>508</v>
      </c>
      <c r="E290" s="0" t="s">
        <v>1633</v>
      </c>
      <c r="F290" s="0" t="s">
        <v>1634</v>
      </c>
      <c r="G290" s="0" t="s">
        <v>1635</v>
      </c>
    </row>
    <row r="291" customFormat="false" ht="15" hidden="false" customHeight="false" outlineLevel="0" collapsed="false">
      <c r="A291" s="0" t="s">
        <v>325</v>
      </c>
      <c r="B291" s="0" t="n">
        <v>213</v>
      </c>
      <c r="C291" s="0" t="n">
        <v>93</v>
      </c>
      <c r="D291" s="0" t="n">
        <v>201</v>
      </c>
      <c r="E291" s="0" t="s">
        <v>1636</v>
      </c>
      <c r="F291" s="0" t="s">
        <v>1637</v>
      </c>
      <c r="G291" s="0" t="s">
        <v>1638</v>
      </c>
    </row>
    <row r="292" customFormat="false" ht="15" hidden="false" customHeight="false" outlineLevel="0" collapsed="false">
      <c r="A292" s="0" t="s">
        <v>326</v>
      </c>
      <c r="B292" s="0" t="n">
        <v>345</v>
      </c>
      <c r="C292" s="0" t="n">
        <v>88</v>
      </c>
      <c r="D292" s="0" t="n">
        <v>74</v>
      </c>
      <c r="E292" s="0" t="s">
        <v>1639</v>
      </c>
      <c r="F292" s="0" t="s">
        <v>1640</v>
      </c>
      <c r="G292" s="0" t="s">
        <v>1641</v>
      </c>
    </row>
    <row r="293" customFormat="false" ht="15" hidden="false" customHeight="false" outlineLevel="0" collapsed="false">
      <c r="A293" s="0" t="s">
        <v>327</v>
      </c>
      <c r="B293" s="0" t="n">
        <v>182</v>
      </c>
      <c r="C293" s="0" t="n">
        <v>360</v>
      </c>
      <c r="D293" s="0" t="n">
        <v>83</v>
      </c>
      <c r="E293" s="0" t="s">
        <v>1642</v>
      </c>
      <c r="F293" s="0" t="s">
        <v>1643</v>
      </c>
      <c r="G293" s="0" t="s">
        <v>1644</v>
      </c>
    </row>
    <row r="294" customFormat="false" ht="15" hidden="false" customHeight="false" outlineLevel="0" collapsed="false">
      <c r="A294" s="0" t="s">
        <v>328</v>
      </c>
      <c r="B294" s="0" t="n">
        <v>448</v>
      </c>
      <c r="C294" s="0" t="n">
        <v>297</v>
      </c>
      <c r="D294" s="0" t="n">
        <v>412</v>
      </c>
      <c r="E294" s="0" t="s">
        <v>1645</v>
      </c>
      <c r="F294" s="0" t="s">
        <v>1646</v>
      </c>
      <c r="G294" s="0" t="s">
        <v>1647</v>
      </c>
    </row>
    <row r="295" customFormat="false" ht="15" hidden="false" customHeight="false" outlineLevel="0" collapsed="false">
      <c r="A295" s="0" t="s">
        <v>329</v>
      </c>
      <c r="B295" s="0" t="n">
        <v>59</v>
      </c>
      <c r="C295" s="0" t="n">
        <v>480</v>
      </c>
      <c r="D295" s="0" t="n">
        <v>81</v>
      </c>
      <c r="E295" s="0" t="s">
        <v>1648</v>
      </c>
      <c r="F295" s="0" t="s">
        <v>1649</v>
      </c>
      <c r="G295" s="0" t="s">
        <v>1650</v>
      </c>
    </row>
    <row r="296" customFormat="false" ht="15" hidden="false" customHeight="false" outlineLevel="0" collapsed="false">
      <c r="A296" s="0" t="s">
        <v>330</v>
      </c>
      <c r="B296" s="0" t="n">
        <v>339</v>
      </c>
      <c r="C296" s="0" t="n">
        <v>271</v>
      </c>
      <c r="D296" s="0" t="n">
        <v>193</v>
      </c>
      <c r="E296" s="0" t="s">
        <v>1651</v>
      </c>
      <c r="F296" s="0" t="s">
        <v>1652</v>
      </c>
      <c r="G296" s="0" t="s">
        <v>1653</v>
      </c>
    </row>
    <row r="297" customFormat="false" ht="15" hidden="false" customHeight="false" outlineLevel="0" collapsed="false">
      <c r="A297" s="0" t="s">
        <v>331</v>
      </c>
      <c r="B297" s="0" t="n">
        <v>558</v>
      </c>
      <c r="C297" s="0" t="n">
        <v>445</v>
      </c>
      <c r="D297" s="0" t="n">
        <v>335</v>
      </c>
      <c r="E297" s="0" t="s">
        <v>1654</v>
      </c>
      <c r="F297" s="0" t="s">
        <v>1655</v>
      </c>
      <c r="G297" s="0" t="s">
        <v>1656</v>
      </c>
    </row>
    <row r="298" customFormat="false" ht="15" hidden="false" customHeight="false" outlineLevel="0" collapsed="false">
      <c r="A298" s="0" t="s">
        <v>332</v>
      </c>
      <c r="B298" s="0" t="n">
        <v>17</v>
      </c>
      <c r="C298" s="0" t="n">
        <v>324</v>
      </c>
      <c r="D298" s="0" t="n">
        <v>381</v>
      </c>
      <c r="E298" s="0" t="s">
        <v>1657</v>
      </c>
      <c r="F298" s="0" t="s">
        <v>1658</v>
      </c>
      <c r="G298" s="0" t="s">
        <v>1659</v>
      </c>
    </row>
    <row r="299" customFormat="false" ht="15" hidden="false" customHeight="false" outlineLevel="0" collapsed="false">
      <c r="A299" s="0" t="s">
        <v>333</v>
      </c>
      <c r="B299" s="0" t="n">
        <v>551</v>
      </c>
      <c r="C299" s="0" t="n">
        <v>265</v>
      </c>
      <c r="D299" s="0" t="n">
        <v>232</v>
      </c>
      <c r="E299" s="0" t="s">
        <v>1660</v>
      </c>
      <c r="F299" s="0" t="s">
        <v>1661</v>
      </c>
      <c r="G299" s="0" t="s">
        <v>1662</v>
      </c>
    </row>
    <row r="300" customFormat="false" ht="15" hidden="false" customHeight="false" outlineLevel="0" collapsed="false">
      <c r="A300" s="0" t="s">
        <v>334</v>
      </c>
    </row>
    <row r="301" customFormat="false" ht="15" hidden="false" customHeight="false" outlineLevel="0" collapsed="false">
      <c r="A301" s="0" t="s">
        <v>335</v>
      </c>
      <c r="B301" s="0" t="n">
        <v>224</v>
      </c>
      <c r="C301" s="0" t="n">
        <v>234</v>
      </c>
      <c r="D301" s="0" t="n">
        <v>108</v>
      </c>
      <c r="E301" s="0" t="s">
        <v>1663</v>
      </c>
      <c r="F301" s="0" t="s">
        <v>1664</v>
      </c>
      <c r="G301" s="0" t="s">
        <v>1665</v>
      </c>
    </row>
    <row r="302" customFormat="false" ht="15" hidden="false" customHeight="false" outlineLevel="0" collapsed="false">
      <c r="A302" s="0" t="s">
        <v>336</v>
      </c>
      <c r="B302" s="0" t="n">
        <v>500</v>
      </c>
      <c r="C302" s="0" t="n">
        <v>712</v>
      </c>
      <c r="D302" s="0" t="n">
        <v>488</v>
      </c>
      <c r="E302" s="0" t="s">
        <v>1666</v>
      </c>
      <c r="F302" s="0" t="s">
        <v>1667</v>
      </c>
      <c r="G302" s="0" t="s">
        <v>1668</v>
      </c>
    </row>
    <row r="303" customFormat="false" ht="15" hidden="false" customHeight="false" outlineLevel="0" collapsed="false">
      <c r="A303" s="0" t="s">
        <v>337</v>
      </c>
      <c r="B303" s="0" t="n">
        <v>347</v>
      </c>
      <c r="C303" s="0" t="n">
        <v>104</v>
      </c>
      <c r="D303" s="0" t="n">
        <v>103</v>
      </c>
      <c r="E303" s="0" t="s">
        <v>1669</v>
      </c>
      <c r="F303" s="0" t="s">
        <v>1670</v>
      </c>
      <c r="G303" s="0" t="s">
        <v>1671</v>
      </c>
    </row>
    <row r="304" customFormat="false" ht="15" hidden="false" customHeight="false" outlineLevel="0" collapsed="false">
      <c r="A304" s="0" t="s">
        <v>338</v>
      </c>
      <c r="B304" s="0" t="n">
        <v>499</v>
      </c>
      <c r="C304" s="0" t="n">
        <v>596</v>
      </c>
      <c r="D304" s="0" t="n">
        <v>180</v>
      </c>
      <c r="E304" s="0" t="s">
        <v>1672</v>
      </c>
      <c r="F304" s="0" t="s">
        <v>1673</v>
      </c>
      <c r="G304" s="0" t="s">
        <v>1674</v>
      </c>
    </row>
    <row r="305" customFormat="false" ht="15" hidden="false" customHeight="false" outlineLevel="0" collapsed="false">
      <c r="A305" s="0" t="s">
        <v>339</v>
      </c>
      <c r="B305" s="0" t="n">
        <v>439</v>
      </c>
      <c r="C305" s="0" t="n">
        <v>546</v>
      </c>
      <c r="D305" s="0" t="n">
        <v>380</v>
      </c>
      <c r="E305" s="0" t="s">
        <v>1675</v>
      </c>
      <c r="F305" s="0" t="s">
        <v>1676</v>
      </c>
      <c r="G305" s="0" t="s">
        <v>1677</v>
      </c>
    </row>
    <row r="306" customFormat="false" ht="15" hidden="false" customHeight="false" outlineLevel="0" collapsed="false">
      <c r="A306" s="0" t="s">
        <v>340</v>
      </c>
      <c r="B306" s="0" t="n">
        <v>194</v>
      </c>
      <c r="C306" s="0" t="n">
        <v>464</v>
      </c>
      <c r="D306" s="0" t="n">
        <v>612</v>
      </c>
      <c r="E306" s="0" t="s">
        <v>1678</v>
      </c>
      <c r="F306" s="0" t="s">
        <v>1679</v>
      </c>
      <c r="G306" s="0" t="s">
        <v>1680</v>
      </c>
    </row>
    <row r="307" customFormat="false" ht="15" hidden="false" customHeight="false" outlineLevel="0" collapsed="false">
      <c r="A307" s="0" t="s">
        <v>341</v>
      </c>
      <c r="B307" s="0" t="n">
        <v>580</v>
      </c>
      <c r="C307" s="0" t="n">
        <v>508</v>
      </c>
      <c r="D307" s="0" t="n">
        <v>127</v>
      </c>
      <c r="E307" s="0" t="s">
        <v>1681</v>
      </c>
      <c r="F307" s="0" t="s">
        <v>1682</v>
      </c>
      <c r="G307" s="0" t="s">
        <v>1683</v>
      </c>
    </row>
    <row r="308" customFormat="false" ht="15" hidden="false" customHeight="false" outlineLevel="0" collapsed="false">
      <c r="A308" s="0" t="s">
        <v>342</v>
      </c>
      <c r="B308" s="0" t="n">
        <v>693</v>
      </c>
      <c r="C308" s="0" t="n">
        <v>716</v>
      </c>
      <c r="D308" s="0" t="n">
        <v>664</v>
      </c>
      <c r="E308" s="0" t="s">
        <v>1684</v>
      </c>
      <c r="F308" s="0" t="s">
        <v>1685</v>
      </c>
      <c r="G308" s="0" t="s">
        <v>1686</v>
      </c>
    </row>
    <row r="309" customFormat="false" ht="15" hidden="false" customHeight="false" outlineLevel="0" collapsed="false">
      <c r="A309" s="0" t="s">
        <v>343</v>
      </c>
      <c r="B309" s="0" t="n">
        <v>327</v>
      </c>
      <c r="C309" s="0" t="n">
        <v>405</v>
      </c>
      <c r="D309" s="0" t="n">
        <v>9</v>
      </c>
      <c r="E309" s="0" t="s">
        <v>1687</v>
      </c>
      <c r="F309" s="0" t="s">
        <v>1688</v>
      </c>
      <c r="G309" s="0" t="s">
        <v>1689</v>
      </c>
    </row>
    <row r="310" customFormat="false" ht="15" hidden="false" customHeight="false" outlineLevel="0" collapsed="false">
      <c r="A310" s="0" t="s">
        <v>344</v>
      </c>
      <c r="B310" s="0" t="n">
        <v>462</v>
      </c>
      <c r="C310" s="0" t="n">
        <v>458</v>
      </c>
      <c r="D310" s="0" t="n">
        <v>36</v>
      </c>
      <c r="E310" s="0" t="s">
        <v>1690</v>
      </c>
      <c r="F310" s="0" t="s">
        <v>1691</v>
      </c>
      <c r="G310" s="0" t="s">
        <v>1692</v>
      </c>
    </row>
    <row r="311" customFormat="false" ht="15" hidden="false" customHeight="false" outlineLevel="0" collapsed="false">
      <c r="A311" s="0" t="s">
        <v>345</v>
      </c>
      <c r="B311" s="0" t="n">
        <v>209</v>
      </c>
      <c r="C311" s="0" t="n">
        <v>187</v>
      </c>
      <c r="D311" s="0" t="n">
        <v>513</v>
      </c>
      <c r="E311" s="0" t="s">
        <v>1693</v>
      </c>
      <c r="F311" s="0" t="s">
        <v>1694</v>
      </c>
      <c r="G311" s="0" t="s">
        <v>1695</v>
      </c>
    </row>
    <row r="312" customFormat="false" ht="15" hidden="false" customHeight="false" outlineLevel="0" collapsed="false">
      <c r="A312" s="0" t="s">
        <v>346</v>
      </c>
      <c r="B312" s="0" t="n">
        <v>228</v>
      </c>
      <c r="C312" s="0" t="n">
        <v>263</v>
      </c>
      <c r="D312" s="0" t="n">
        <v>69</v>
      </c>
      <c r="E312" s="0" t="s">
        <v>1696</v>
      </c>
      <c r="F312" s="0" t="s">
        <v>1697</v>
      </c>
      <c r="G312" s="0" t="s">
        <v>1698</v>
      </c>
    </row>
    <row r="313" customFormat="false" ht="15" hidden="false" customHeight="false" outlineLevel="0" collapsed="false">
      <c r="A313" s="0" t="s">
        <v>347</v>
      </c>
      <c r="B313" s="0" t="n">
        <v>177</v>
      </c>
      <c r="C313" s="0" t="n">
        <v>410</v>
      </c>
      <c r="D313" s="0" t="n">
        <v>482</v>
      </c>
      <c r="E313" s="0" t="s">
        <v>1699</v>
      </c>
      <c r="F313" s="0" t="s">
        <v>1700</v>
      </c>
      <c r="G313" s="0" t="s">
        <v>1701</v>
      </c>
    </row>
    <row r="314" customFormat="false" ht="15" hidden="false" customHeight="false" outlineLevel="0" collapsed="false">
      <c r="A314" s="0" t="s">
        <v>348</v>
      </c>
      <c r="B314" s="0" t="n">
        <v>178</v>
      </c>
      <c r="C314" s="0" t="n">
        <v>108</v>
      </c>
      <c r="D314" s="0" t="n">
        <v>106</v>
      </c>
      <c r="E314" s="0" t="s">
        <v>1702</v>
      </c>
      <c r="F314" s="0" t="s">
        <v>1703</v>
      </c>
      <c r="G314" s="0" t="s">
        <v>1704</v>
      </c>
    </row>
    <row r="315" customFormat="false" ht="15" hidden="false" customHeight="false" outlineLevel="0" collapsed="false">
      <c r="A315" s="0" t="s">
        <v>349</v>
      </c>
    </row>
    <row r="316" customFormat="false" ht="15" hidden="false" customHeight="false" outlineLevel="0" collapsed="false">
      <c r="A316" s="0" t="s">
        <v>350</v>
      </c>
      <c r="B316" s="0" t="n">
        <v>604</v>
      </c>
      <c r="C316" s="0" t="n">
        <v>224</v>
      </c>
      <c r="D316" s="0" t="n">
        <v>41</v>
      </c>
      <c r="E316" s="0" t="s">
        <v>1705</v>
      </c>
      <c r="F316" s="0" t="s">
        <v>1706</v>
      </c>
      <c r="G316" s="0" t="s">
        <v>1707</v>
      </c>
    </row>
    <row r="317" customFormat="false" ht="15" hidden="false" customHeight="false" outlineLevel="0" collapsed="false">
      <c r="A317" s="0" t="s">
        <v>351</v>
      </c>
      <c r="B317" s="0" t="n">
        <v>392</v>
      </c>
      <c r="C317" s="0" t="n">
        <v>452</v>
      </c>
      <c r="D317" s="0" t="n">
        <v>339</v>
      </c>
      <c r="E317" s="0" t="s">
        <v>1708</v>
      </c>
      <c r="F317" s="0" t="s">
        <v>1709</v>
      </c>
      <c r="G317" s="0" t="s">
        <v>1710</v>
      </c>
    </row>
    <row r="318" customFormat="false" ht="15" hidden="false" customHeight="false" outlineLevel="0" collapsed="false">
      <c r="A318" s="0" t="s">
        <v>352</v>
      </c>
      <c r="B318" s="0" t="n">
        <v>692</v>
      </c>
      <c r="C318" s="0" t="n">
        <v>646</v>
      </c>
      <c r="D318" s="0" t="n">
        <v>505</v>
      </c>
      <c r="E318" s="0" t="s">
        <v>1711</v>
      </c>
      <c r="F318" s="0" t="s">
        <v>1712</v>
      </c>
      <c r="G318" s="0" t="s">
        <v>1713</v>
      </c>
    </row>
    <row r="319" customFormat="false" ht="15" hidden="false" customHeight="false" outlineLevel="0" collapsed="false">
      <c r="A319" s="0" t="s">
        <v>353</v>
      </c>
      <c r="B319" s="0" t="n">
        <v>517</v>
      </c>
      <c r="C319" s="0" t="n">
        <v>698</v>
      </c>
      <c r="D319" s="0" t="n">
        <v>595</v>
      </c>
      <c r="E319" s="0" t="s">
        <v>1714</v>
      </c>
      <c r="F319" s="0" t="s">
        <v>1715</v>
      </c>
      <c r="G319" s="0" t="s">
        <v>1716</v>
      </c>
    </row>
    <row r="320" customFormat="false" ht="15" hidden="false" customHeight="false" outlineLevel="0" collapsed="false">
      <c r="A320" s="0" t="s">
        <v>354</v>
      </c>
      <c r="B320" s="0" t="n">
        <v>349</v>
      </c>
      <c r="C320" s="0" t="n">
        <v>107</v>
      </c>
      <c r="D320" s="0" t="n">
        <v>71</v>
      </c>
      <c r="E320" s="0" t="s">
        <v>1717</v>
      </c>
      <c r="F320" s="0" t="s">
        <v>1718</v>
      </c>
      <c r="G320" s="0" t="s">
        <v>1719</v>
      </c>
    </row>
    <row r="321" customFormat="false" ht="15" hidden="false" customHeight="false" outlineLevel="0" collapsed="false">
      <c r="A321" s="0" t="s">
        <v>355</v>
      </c>
      <c r="B321" s="0" t="n">
        <v>25</v>
      </c>
      <c r="C321" s="0" t="n">
        <v>26</v>
      </c>
      <c r="D321" s="0" t="n">
        <v>259</v>
      </c>
      <c r="E321" s="0" t="s">
        <v>1720</v>
      </c>
      <c r="F321" s="0" t="s">
        <v>1721</v>
      </c>
      <c r="G321" s="0" t="s">
        <v>1722</v>
      </c>
    </row>
    <row r="322" customFormat="false" ht="15" hidden="false" customHeight="false" outlineLevel="0" collapsed="false">
      <c r="A322" s="0" t="s">
        <v>356</v>
      </c>
      <c r="B322" s="0" t="n">
        <v>664</v>
      </c>
      <c r="C322" s="0" t="n">
        <v>564</v>
      </c>
      <c r="D322" s="0" t="n">
        <v>497</v>
      </c>
      <c r="E322" s="0" t="s">
        <v>1723</v>
      </c>
      <c r="F322" s="0" t="s">
        <v>1724</v>
      </c>
      <c r="G322" s="0" t="s">
        <v>1725</v>
      </c>
    </row>
    <row r="323" customFormat="false" ht="15" hidden="false" customHeight="false" outlineLevel="0" collapsed="false">
      <c r="A323" s="0" t="s">
        <v>357</v>
      </c>
      <c r="B323" s="0" t="n">
        <v>230</v>
      </c>
      <c r="C323" s="0" t="n">
        <v>550</v>
      </c>
      <c r="D323" s="0" t="n">
        <v>499</v>
      </c>
      <c r="E323" s="0" t="s">
        <v>1726</v>
      </c>
      <c r="F323" s="0" t="s">
        <v>1727</v>
      </c>
      <c r="G323" s="0" t="s">
        <v>1728</v>
      </c>
    </row>
    <row r="324" customFormat="false" ht="15" hidden="false" customHeight="false" outlineLevel="0" collapsed="false">
      <c r="A324" s="0" t="s">
        <v>358</v>
      </c>
      <c r="B324" s="0" t="n">
        <v>616</v>
      </c>
      <c r="C324" s="0" t="n">
        <v>582</v>
      </c>
      <c r="D324" s="0" t="n">
        <v>156</v>
      </c>
      <c r="E324" s="0" t="s">
        <v>1729</v>
      </c>
      <c r="F324" s="0" t="s">
        <v>1730</v>
      </c>
      <c r="G324" s="0" t="s">
        <v>1731</v>
      </c>
    </row>
    <row r="325" customFormat="false" ht="15" hidden="false" customHeight="false" outlineLevel="0" collapsed="false">
      <c r="A325" s="0" t="s">
        <v>359</v>
      </c>
      <c r="B325" s="0" t="n">
        <v>689</v>
      </c>
      <c r="C325" s="0" t="n">
        <v>709</v>
      </c>
      <c r="D325" s="0" t="n">
        <v>457</v>
      </c>
      <c r="E325" s="0" t="s">
        <v>1732</v>
      </c>
      <c r="F325" s="0" t="s">
        <v>1733</v>
      </c>
      <c r="G325" s="0" t="s">
        <v>1734</v>
      </c>
    </row>
    <row r="326" customFormat="false" ht="15" hidden="false" customHeight="false" outlineLevel="0" collapsed="false">
      <c r="A326" s="0" t="s">
        <v>360</v>
      </c>
      <c r="B326" s="0" t="n">
        <v>386</v>
      </c>
      <c r="C326" s="0" t="n">
        <v>521</v>
      </c>
      <c r="D326" s="0" t="n">
        <v>310</v>
      </c>
      <c r="E326" s="0" t="s">
        <v>1735</v>
      </c>
      <c r="F326" s="0" t="s">
        <v>1736</v>
      </c>
      <c r="G326" s="0" t="s">
        <v>1737</v>
      </c>
    </row>
    <row r="327" customFormat="false" ht="15" hidden="false" customHeight="false" outlineLevel="0" collapsed="false">
      <c r="A327" s="0" t="s">
        <v>361</v>
      </c>
      <c r="B327" s="0" t="n">
        <v>433</v>
      </c>
      <c r="C327" s="0" t="n">
        <v>166</v>
      </c>
      <c r="D327" s="0" t="n">
        <v>47</v>
      </c>
      <c r="E327" s="0" t="s">
        <v>1738</v>
      </c>
      <c r="F327" s="0" t="s">
        <v>1739</v>
      </c>
      <c r="G327" s="0" t="s">
        <v>1740</v>
      </c>
    </row>
    <row r="328" customFormat="false" ht="15" hidden="false" customHeight="false" outlineLevel="0" collapsed="false">
      <c r="A328" s="0" t="s">
        <v>362</v>
      </c>
      <c r="B328" s="0" t="n">
        <v>50</v>
      </c>
      <c r="C328" s="0" t="n">
        <v>76</v>
      </c>
      <c r="D328" s="0" t="n">
        <v>85</v>
      </c>
      <c r="E328" s="0" t="s">
        <v>1741</v>
      </c>
      <c r="F328" s="0" t="s">
        <v>1742</v>
      </c>
      <c r="G328" s="0" t="s">
        <v>1743</v>
      </c>
    </row>
    <row r="329" customFormat="false" ht="15" hidden="false" customHeight="false" outlineLevel="0" collapsed="false">
      <c r="A329" s="0" t="s">
        <v>363</v>
      </c>
      <c r="B329" s="0" t="n">
        <v>397</v>
      </c>
      <c r="C329" s="0" t="n">
        <v>279</v>
      </c>
      <c r="D329" s="0" t="n">
        <v>302</v>
      </c>
      <c r="E329" s="0" t="s">
        <v>1744</v>
      </c>
      <c r="F329" s="0" t="s">
        <v>1745</v>
      </c>
      <c r="G329" s="0" t="s">
        <v>1746</v>
      </c>
    </row>
    <row r="330" customFormat="false" ht="15" hidden="false" customHeight="false" outlineLevel="0" collapsed="false">
      <c r="A330" s="0" t="s">
        <v>364</v>
      </c>
      <c r="B330" s="0" t="n">
        <v>311</v>
      </c>
      <c r="C330" s="0" t="n">
        <v>408</v>
      </c>
      <c r="D330" s="0" t="n">
        <v>526</v>
      </c>
      <c r="E330" s="0" t="s">
        <v>1747</v>
      </c>
      <c r="F330" s="0" t="s">
        <v>1748</v>
      </c>
      <c r="G330" s="0" t="s">
        <v>1749</v>
      </c>
    </row>
    <row r="331" customFormat="false" ht="15" hidden="false" customHeight="false" outlineLevel="0" collapsed="false">
      <c r="A331" s="0" t="s">
        <v>365</v>
      </c>
      <c r="B331" s="0" t="n">
        <v>125</v>
      </c>
      <c r="C331" s="0" t="n">
        <v>413</v>
      </c>
      <c r="D331" s="0" t="n">
        <v>4</v>
      </c>
      <c r="E331" s="0" t="s">
        <v>1750</v>
      </c>
      <c r="F331" s="0" t="s">
        <v>1751</v>
      </c>
      <c r="G331" s="0" t="s">
        <v>1752</v>
      </c>
    </row>
    <row r="332" customFormat="false" ht="15" hidden="false" customHeight="false" outlineLevel="0" collapsed="false">
      <c r="A332" s="0" t="s">
        <v>366</v>
      </c>
    </row>
    <row r="333" customFormat="false" ht="15" hidden="false" customHeight="false" outlineLevel="0" collapsed="false">
      <c r="A333" s="0" t="s">
        <v>367</v>
      </c>
      <c r="B333" s="0" t="n">
        <v>449</v>
      </c>
      <c r="C333" s="0" t="n">
        <v>714</v>
      </c>
      <c r="D333" s="0" t="n">
        <v>637</v>
      </c>
      <c r="E333" s="0" t="s">
        <v>1753</v>
      </c>
      <c r="F333" s="0" t="s">
        <v>1754</v>
      </c>
      <c r="G333" s="0" t="s">
        <v>1755</v>
      </c>
    </row>
    <row r="334" customFormat="false" ht="15" hidden="false" customHeight="false" outlineLevel="0" collapsed="false">
      <c r="A334" s="0" t="s">
        <v>368</v>
      </c>
      <c r="B334" s="0" t="n">
        <v>626</v>
      </c>
      <c r="C334" s="0" t="n">
        <v>668</v>
      </c>
      <c r="D334" s="0" t="n">
        <v>687</v>
      </c>
      <c r="E334" s="0" t="s">
        <v>1756</v>
      </c>
      <c r="F334" s="0" t="s">
        <v>1757</v>
      </c>
      <c r="G334" s="0" t="s">
        <v>1758</v>
      </c>
    </row>
    <row r="335" customFormat="false" ht="15" hidden="false" customHeight="false" outlineLevel="0" collapsed="false">
      <c r="A335" s="0" t="s">
        <v>369</v>
      </c>
      <c r="B335" s="0" t="n">
        <v>19</v>
      </c>
      <c r="C335" s="0" t="n">
        <v>3</v>
      </c>
      <c r="D335" s="0" t="n">
        <v>159</v>
      </c>
      <c r="E335" s="0" t="s">
        <v>1759</v>
      </c>
      <c r="F335" s="0" t="s">
        <v>1760</v>
      </c>
      <c r="G335" s="0" t="s">
        <v>1761</v>
      </c>
    </row>
    <row r="336" customFormat="false" ht="15" hidden="false" customHeight="false" outlineLevel="0" collapsed="false">
      <c r="A336" s="0" t="s">
        <v>370</v>
      </c>
      <c r="B336" s="0" t="n">
        <v>192</v>
      </c>
      <c r="C336" s="0" t="n">
        <v>242</v>
      </c>
      <c r="D336" s="0" t="n">
        <v>272</v>
      </c>
      <c r="E336" s="0" t="s">
        <v>1762</v>
      </c>
      <c r="F336" s="0" t="s">
        <v>1763</v>
      </c>
      <c r="G336" s="0" t="s">
        <v>1764</v>
      </c>
    </row>
    <row r="337" customFormat="false" ht="15" hidden="false" customHeight="false" outlineLevel="0" collapsed="false">
      <c r="A337" s="0" t="s">
        <v>371</v>
      </c>
      <c r="B337" s="0" t="n">
        <v>292</v>
      </c>
      <c r="C337" s="0" t="n">
        <v>557</v>
      </c>
      <c r="D337" s="0" t="n">
        <v>564</v>
      </c>
      <c r="E337" s="0" t="s">
        <v>1765</v>
      </c>
      <c r="F337" s="0" t="s">
        <v>1766</v>
      </c>
      <c r="G337" s="0" t="s">
        <v>1767</v>
      </c>
    </row>
    <row r="338" customFormat="false" ht="15" hidden="false" customHeight="false" outlineLevel="0" collapsed="false">
      <c r="A338" s="0" t="s">
        <v>372</v>
      </c>
    </row>
    <row r="339" customFormat="false" ht="15" hidden="false" customHeight="false" outlineLevel="0" collapsed="false">
      <c r="A339" s="0" t="s">
        <v>373</v>
      </c>
      <c r="B339" s="0" t="n">
        <v>464</v>
      </c>
      <c r="C339" s="0" t="n">
        <v>153</v>
      </c>
      <c r="D339" s="0" t="n">
        <v>315</v>
      </c>
      <c r="E339" s="0" t="s">
        <v>1768</v>
      </c>
      <c r="F339" s="0" t="s">
        <v>1769</v>
      </c>
      <c r="G339" s="0" t="s">
        <v>1770</v>
      </c>
    </row>
    <row r="340" customFormat="false" ht="15" hidden="false" customHeight="false" outlineLevel="0" collapsed="false">
      <c r="A340" s="0" t="s">
        <v>374</v>
      </c>
      <c r="B340" s="0" t="n">
        <v>126</v>
      </c>
      <c r="C340" s="0" t="n">
        <v>375</v>
      </c>
      <c r="D340" s="0" t="n">
        <v>333</v>
      </c>
      <c r="E340" s="0" t="s">
        <v>1771</v>
      </c>
      <c r="F340" s="0" t="s">
        <v>1772</v>
      </c>
      <c r="G340" s="0" t="s">
        <v>1773</v>
      </c>
    </row>
    <row r="341" customFormat="false" ht="15" hidden="false" customHeight="false" outlineLevel="0" collapsed="false">
      <c r="A341" s="0" t="s">
        <v>375</v>
      </c>
    </row>
    <row r="342" customFormat="false" ht="15" hidden="false" customHeight="false" outlineLevel="0" collapsed="false">
      <c r="A342" s="0" t="s">
        <v>376</v>
      </c>
      <c r="B342" s="0" t="n">
        <v>181</v>
      </c>
      <c r="C342" s="0" t="n">
        <v>143</v>
      </c>
      <c r="D342" s="0" t="n">
        <v>48</v>
      </c>
      <c r="E342" s="0" t="s">
        <v>1774</v>
      </c>
      <c r="F342" s="0" t="s">
        <v>1775</v>
      </c>
      <c r="G342" s="0" t="s">
        <v>1776</v>
      </c>
    </row>
    <row r="343" customFormat="false" ht="15" hidden="false" customHeight="false" outlineLevel="0" collapsed="false">
      <c r="A343" s="0" t="s">
        <v>377</v>
      </c>
      <c r="B343" s="0" t="n">
        <v>203</v>
      </c>
      <c r="C343" s="0" t="n">
        <v>309</v>
      </c>
      <c r="D343" s="0" t="n">
        <v>72</v>
      </c>
      <c r="E343" s="0" t="s">
        <v>1777</v>
      </c>
      <c r="F343" s="0" t="s">
        <v>1778</v>
      </c>
      <c r="G343" s="0" t="s">
        <v>1779</v>
      </c>
    </row>
    <row r="344" customFormat="false" ht="15" hidden="false" customHeight="false" outlineLevel="0" collapsed="false">
      <c r="A344" s="0" t="s">
        <v>378</v>
      </c>
      <c r="B344" s="0" t="n">
        <v>179</v>
      </c>
      <c r="C344" s="0" t="n">
        <v>332</v>
      </c>
      <c r="D344" s="0" t="n">
        <v>365</v>
      </c>
      <c r="E344" s="0" t="s">
        <v>1780</v>
      </c>
      <c r="F344" s="0" t="s">
        <v>1781</v>
      </c>
      <c r="G344" s="0" t="s">
        <v>1782</v>
      </c>
    </row>
    <row r="345" customFormat="false" ht="15" hidden="false" customHeight="false" outlineLevel="0" collapsed="false">
      <c r="A345" s="0" t="s">
        <v>379</v>
      </c>
      <c r="B345" s="0" t="n">
        <v>244</v>
      </c>
      <c r="C345" s="0" t="n">
        <v>373</v>
      </c>
      <c r="D345" s="0" t="n">
        <v>50</v>
      </c>
      <c r="E345" s="0" t="s">
        <v>1783</v>
      </c>
      <c r="F345" s="0" t="s">
        <v>1784</v>
      </c>
      <c r="G345" s="0" t="s">
        <v>1785</v>
      </c>
    </row>
    <row r="346" customFormat="false" ht="15" hidden="false" customHeight="false" outlineLevel="0" collapsed="false">
      <c r="A346" s="0" t="s">
        <v>380</v>
      </c>
      <c r="B346" s="0" t="n">
        <v>234</v>
      </c>
      <c r="C346" s="0" t="n">
        <v>229</v>
      </c>
      <c r="D346" s="0" t="n">
        <v>409</v>
      </c>
      <c r="E346" s="0" t="s">
        <v>1786</v>
      </c>
      <c r="F346" s="0" t="s">
        <v>1787</v>
      </c>
      <c r="G346" s="0" t="s">
        <v>1788</v>
      </c>
    </row>
    <row r="347" customFormat="false" ht="15" hidden="false" customHeight="false" outlineLevel="0" collapsed="false">
      <c r="A347" s="0" t="s">
        <v>381</v>
      </c>
      <c r="B347" s="0" t="n">
        <v>135</v>
      </c>
      <c r="C347" s="0" t="n">
        <v>99</v>
      </c>
      <c r="D347" s="0" t="n">
        <v>44</v>
      </c>
      <c r="E347" s="0" t="s">
        <v>1789</v>
      </c>
      <c r="F347" s="0" t="s">
        <v>1790</v>
      </c>
      <c r="G347" s="0" t="s">
        <v>1791</v>
      </c>
    </row>
    <row r="348" customFormat="false" ht="15" hidden="false" customHeight="false" outlineLevel="0" collapsed="false">
      <c r="A348" s="0" t="s">
        <v>382</v>
      </c>
      <c r="B348" s="0" t="n">
        <v>438</v>
      </c>
      <c r="C348" s="0" t="n">
        <v>258</v>
      </c>
      <c r="D348" s="0" t="n">
        <v>453</v>
      </c>
      <c r="E348" s="0" t="s">
        <v>1792</v>
      </c>
      <c r="F348" s="0" t="s">
        <v>1793</v>
      </c>
      <c r="G348" s="0" t="s">
        <v>1794</v>
      </c>
    </row>
    <row r="349" customFormat="false" ht="15" hidden="false" customHeight="false" outlineLevel="0" collapsed="false">
      <c r="A349" s="0" t="s">
        <v>383</v>
      </c>
      <c r="B349" s="0" t="n">
        <v>242</v>
      </c>
      <c r="C349" s="0" t="n">
        <v>81</v>
      </c>
      <c r="D349" s="0" t="n">
        <v>114</v>
      </c>
      <c r="E349" s="0" t="s">
        <v>1795</v>
      </c>
      <c r="F349" s="0" t="s">
        <v>1796</v>
      </c>
      <c r="G349" s="0" t="s">
        <v>1797</v>
      </c>
    </row>
    <row r="350" customFormat="false" ht="15" hidden="false" customHeight="false" outlineLevel="0" collapsed="false">
      <c r="A350" s="0" t="s">
        <v>384</v>
      </c>
    </row>
    <row r="351" customFormat="false" ht="15" hidden="false" customHeight="false" outlineLevel="0" collapsed="false">
      <c r="A351" s="0" t="s">
        <v>385</v>
      </c>
      <c r="B351" s="0" t="n">
        <v>206</v>
      </c>
      <c r="C351" s="0" t="n">
        <v>116</v>
      </c>
      <c r="D351" s="0" t="n">
        <v>174</v>
      </c>
      <c r="E351" s="0" t="s">
        <v>1798</v>
      </c>
      <c r="F351" s="0" t="s">
        <v>1799</v>
      </c>
      <c r="G351" s="0" t="s">
        <v>1800</v>
      </c>
    </row>
    <row r="352" customFormat="false" ht="15" hidden="false" customHeight="false" outlineLevel="0" collapsed="false">
      <c r="A352" s="0" t="s">
        <v>386</v>
      </c>
      <c r="B352" s="0" t="n">
        <v>443</v>
      </c>
      <c r="C352" s="0" t="n">
        <v>302</v>
      </c>
      <c r="D352" s="0" t="n">
        <v>147</v>
      </c>
      <c r="E352" s="0" t="s">
        <v>1801</v>
      </c>
      <c r="F352" s="0" t="s">
        <v>1802</v>
      </c>
      <c r="G352" s="0" t="s">
        <v>1803</v>
      </c>
    </row>
    <row r="353" customFormat="false" ht="15" hidden="false" customHeight="false" outlineLevel="0" collapsed="false">
      <c r="A353" s="0" t="s">
        <v>387</v>
      </c>
      <c r="B353" s="0" t="n">
        <v>83</v>
      </c>
      <c r="C353" s="0" t="n">
        <v>213</v>
      </c>
      <c r="D353" s="0" t="n">
        <v>290</v>
      </c>
      <c r="E353" s="0" t="s">
        <v>1804</v>
      </c>
      <c r="F353" s="0" t="s">
        <v>1805</v>
      </c>
      <c r="G353" s="0" t="s">
        <v>1806</v>
      </c>
    </row>
    <row r="354" customFormat="false" ht="15" hidden="false" customHeight="false" outlineLevel="0" collapsed="false">
      <c r="A354" s="0" t="s">
        <v>388</v>
      </c>
      <c r="B354" s="0" t="n">
        <v>452</v>
      </c>
      <c r="C354" s="0" t="n">
        <v>462</v>
      </c>
      <c r="D354" s="0" t="n">
        <v>142</v>
      </c>
      <c r="E354" s="0" t="s">
        <v>1807</v>
      </c>
      <c r="F354" s="0" t="s">
        <v>1808</v>
      </c>
      <c r="G354" s="0" t="s">
        <v>1809</v>
      </c>
    </row>
    <row r="355" customFormat="false" ht="15" hidden="false" customHeight="false" outlineLevel="0" collapsed="false">
      <c r="A355" s="0" t="s">
        <v>389</v>
      </c>
      <c r="B355" s="0" t="n">
        <v>266</v>
      </c>
      <c r="C355" s="0" t="n">
        <v>163</v>
      </c>
      <c r="D355" s="0" t="n">
        <v>286</v>
      </c>
      <c r="E355" s="0" t="s">
        <v>1810</v>
      </c>
      <c r="F355" s="0" t="s">
        <v>1811</v>
      </c>
      <c r="G355" s="0" t="s">
        <v>1812</v>
      </c>
    </row>
    <row r="356" customFormat="false" ht="15" hidden="false" customHeight="false" outlineLevel="0" collapsed="false">
      <c r="A356" s="0" t="s">
        <v>390</v>
      </c>
      <c r="B356" s="0" t="n">
        <v>503</v>
      </c>
      <c r="C356" s="0" t="n">
        <v>160</v>
      </c>
      <c r="D356" s="0" t="n">
        <v>57</v>
      </c>
      <c r="E356" s="0" t="s">
        <v>1813</v>
      </c>
      <c r="F356" s="0" t="s">
        <v>1814</v>
      </c>
      <c r="G356" s="0" t="s">
        <v>1815</v>
      </c>
    </row>
    <row r="357" customFormat="false" ht="15" hidden="false" customHeight="false" outlineLevel="0" collapsed="false">
      <c r="A357" s="0" t="s">
        <v>391</v>
      </c>
      <c r="B357" s="0" t="n">
        <v>573</v>
      </c>
      <c r="C357" s="0" t="n">
        <v>633</v>
      </c>
      <c r="D357" s="0" t="n">
        <v>45</v>
      </c>
      <c r="E357" s="0" t="s">
        <v>1816</v>
      </c>
      <c r="F357" s="0" t="s">
        <v>1817</v>
      </c>
      <c r="G357" s="0" t="s">
        <v>1818</v>
      </c>
    </row>
    <row r="358" customFormat="false" ht="15" hidden="false" customHeight="false" outlineLevel="0" collapsed="false">
      <c r="A358" s="0" t="s">
        <v>392</v>
      </c>
      <c r="B358" s="0" t="n">
        <v>541</v>
      </c>
      <c r="C358" s="0" t="n">
        <v>676</v>
      </c>
      <c r="D358" s="0" t="n">
        <v>646</v>
      </c>
      <c r="E358" s="0" t="s">
        <v>1819</v>
      </c>
      <c r="F358" s="0" t="s">
        <v>1820</v>
      </c>
      <c r="G358" s="0" t="s">
        <v>1821</v>
      </c>
    </row>
    <row r="359" customFormat="false" ht="15" hidden="false" customHeight="false" outlineLevel="0" collapsed="false">
      <c r="A359" s="0" t="s">
        <v>393</v>
      </c>
      <c r="B359" s="0" t="n">
        <v>357</v>
      </c>
      <c r="C359" s="0" t="n">
        <v>353</v>
      </c>
      <c r="D359" s="0" t="n">
        <v>282</v>
      </c>
      <c r="E359" s="0" t="s">
        <v>1822</v>
      </c>
      <c r="F359" s="0" t="s">
        <v>1823</v>
      </c>
      <c r="G359" s="0" t="s">
        <v>1824</v>
      </c>
    </row>
    <row r="360" customFormat="false" ht="15" hidden="false" customHeight="false" outlineLevel="0" collapsed="false">
      <c r="A360" s="0" t="s">
        <v>394</v>
      </c>
      <c r="B360" s="0" t="n">
        <v>161</v>
      </c>
      <c r="C360" s="0" t="n">
        <v>131</v>
      </c>
      <c r="D360" s="0" t="n">
        <v>26</v>
      </c>
      <c r="E360" s="0" t="s">
        <v>1825</v>
      </c>
      <c r="F360" s="0" t="s">
        <v>1826</v>
      </c>
      <c r="G360" s="0" t="s">
        <v>1827</v>
      </c>
    </row>
    <row r="361" customFormat="false" ht="15" hidden="false" customHeight="false" outlineLevel="0" collapsed="false">
      <c r="A361" s="0" t="s">
        <v>395</v>
      </c>
      <c r="B361" s="0" t="n">
        <v>185</v>
      </c>
      <c r="C361" s="0" t="n">
        <v>83</v>
      </c>
      <c r="D361" s="0" t="n">
        <v>561</v>
      </c>
      <c r="E361" s="0" t="s">
        <v>1828</v>
      </c>
      <c r="F361" s="0" t="s">
        <v>1829</v>
      </c>
      <c r="G361" s="0" t="s">
        <v>1830</v>
      </c>
    </row>
    <row r="362" customFormat="false" ht="15" hidden="false" customHeight="false" outlineLevel="0" collapsed="false">
      <c r="A362" s="0" t="s">
        <v>396</v>
      </c>
      <c r="B362" s="0" t="n">
        <v>111</v>
      </c>
      <c r="C362" s="0" t="n">
        <v>238</v>
      </c>
      <c r="D362" s="0" t="n">
        <v>395</v>
      </c>
      <c r="E362" s="0" t="s">
        <v>1831</v>
      </c>
      <c r="F362" s="0" t="s">
        <v>1832</v>
      </c>
      <c r="G362" s="0" t="s">
        <v>1833</v>
      </c>
    </row>
    <row r="363" customFormat="false" ht="15" hidden="false" customHeight="false" outlineLevel="0" collapsed="false">
      <c r="A363" s="0" t="s">
        <v>397</v>
      </c>
      <c r="B363" s="0" t="n">
        <v>282</v>
      </c>
      <c r="C363" s="0" t="n">
        <v>329</v>
      </c>
      <c r="D363" s="0" t="n">
        <v>255</v>
      </c>
      <c r="E363" s="0" t="s">
        <v>1834</v>
      </c>
      <c r="F363" s="0" t="s">
        <v>1835</v>
      </c>
      <c r="G363" s="0" t="s">
        <v>1836</v>
      </c>
    </row>
    <row r="364" customFormat="false" ht="15" hidden="false" customHeight="false" outlineLevel="0" collapsed="false">
      <c r="A364" s="0" t="s">
        <v>398</v>
      </c>
      <c r="B364" s="0" t="n">
        <v>428</v>
      </c>
      <c r="C364" s="0" t="n">
        <v>272</v>
      </c>
      <c r="D364" s="0" t="n">
        <v>588</v>
      </c>
      <c r="E364" s="0" t="s">
        <v>1837</v>
      </c>
      <c r="F364" s="0" t="s">
        <v>1838</v>
      </c>
      <c r="G364" s="0" t="s">
        <v>1839</v>
      </c>
    </row>
    <row r="365" customFormat="false" ht="15" hidden="false" customHeight="false" outlineLevel="0" collapsed="false">
      <c r="A365" s="0" t="s">
        <v>399</v>
      </c>
      <c r="B365" s="0" t="n">
        <v>559</v>
      </c>
      <c r="C365" s="0" t="n">
        <v>386</v>
      </c>
      <c r="D365" s="0" t="n">
        <v>558</v>
      </c>
      <c r="E365" s="0" t="s">
        <v>1840</v>
      </c>
      <c r="F365" s="0" t="s">
        <v>1841</v>
      </c>
      <c r="G365" s="0" t="s">
        <v>1842</v>
      </c>
    </row>
    <row r="366" customFormat="false" ht="15" hidden="false" customHeight="false" outlineLevel="0" collapsed="false">
      <c r="A366" s="0" t="s">
        <v>400</v>
      </c>
      <c r="B366" s="0" t="n">
        <v>546</v>
      </c>
      <c r="C366" s="0" t="n">
        <v>497</v>
      </c>
      <c r="D366" s="0" t="n">
        <v>53</v>
      </c>
      <c r="E366" s="0" t="s">
        <v>1843</v>
      </c>
      <c r="F366" s="0" t="s">
        <v>1844</v>
      </c>
      <c r="G366" s="0" t="s">
        <v>1845</v>
      </c>
    </row>
    <row r="367" customFormat="false" ht="15" hidden="false" customHeight="false" outlineLevel="0" collapsed="false">
      <c r="A367" s="0" t="s">
        <v>401</v>
      </c>
      <c r="B367" s="0" t="n">
        <v>476</v>
      </c>
      <c r="C367" s="0" t="n">
        <v>374</v>
      </c>
      <c r="D367" s="0" t="n">
        <v>266</v>
      </c>
      <c r="E367" s="0" t="s">
        <v>1846</v>
      </c>
      <c r="F367" s="0" t="s">
        <v>1847</v>
      </c>
      <c r="G367" s="0" t="s">
        <v>1848</v>
      </c>
    </row>
    <row r="368" customFormat="false" ht="15" hidden="false" customHeight="false" outlineLevel="0" collapsed="false">
      <c r="A368" s="0" t="s">
        <v>402</v>
      </c>
      <c r="B368" s="0" t="n">
        <v>533</v>
      </c>
      <c r="C368" s="0" t="n">
        <v>674</v>
      </c>
      <c r="D368" s="0" t="n">
        <v>672</v>
      </c>
      <c r="E368" s="0" t="s">
        <v>1849</v>
      </c>
      <c r="F368" s="0" t="s">
        <v>1850</v>
      </c>
      <c r="G368" s="0" t="s">
        <v>1851</v>
      </c>
    </row>
    <row r="369" customFormat="false" ht="15" hidden="false" customHeight="false" outlineLevel="0" collapsed="false">
      <c r="A369" s="0" t="s">
        <v>403</v>
      </c>
      <c r="B369" s="0" t="n">
        <v>208</v>
      </c>
      <c r="C369" s="0" t="n">
        <v>72</v>
      </c>
      <c r="D369" s="0" t="n">
        <v>183</v>
      </c>
      <c r="E369" s="0" t="s">
        <v>1852</v>
      </c>
      <c r="F369" s="0" t="s">
        <v>1853</v>
      </c>
      <c r="G369" s="0" t="s">
        <v>1854</v>
      </c>
    </row>
    <row r="370" customFormat="false" ht="15" hidden="false" customHeight="false" outlineLevel="0" collapsed="false">
      <c r="A370" s="0" t="s">
        <v>404</v>
      </c>
      <c r="B370" s="0" t="n">
        <v>687</v>
      </c>
      <c r="C370" s="0" t="n">
        <v>622</v>
      </c>
      <c r="D370" s="0" t="n">
        <v>264</v>
      </c>
      <c r="E370" s="0" t="s">
        <v>1855</v>
      </c>
      <c r="F370" s="0" t="s">
        <v>1856</v>
      </c>
      <c r="G370" s="0" t="s">
        <v>1857</v>
      </c>
    </row>
    <row r="371" customFormat="false" ht="15" hidden="false" customHeight="false" outlineLevel="0" collapsed="false">
      <c r="A371" s="0" t="s">
        <v>405</v>
      </c>
      <c r="B371" s="0" t="n">
        <v>706</v>
      </c>
      <c r="C371" s="0" t="n">
        <v>656</v>
      </c>
      <c r="D371" s="0" t="n">
        <v>458</v>
      </c>
      <c r="E371" s="0" t="s">
        <v>1858</v>
      </c>
      <c r="F371" s="0" t="s">
        <v>1859</v>
      </c>
      <c r="G371" s="0" t="s">
        <v>1860</v>
      </c>
    </row>
    <row r="372" customFormat="false" ht="15" hidden="false" customHeight="false" outlineLevel="0" collapsed="false">
      <c r="A372" s="0" t="s">
        <v>406</v>
      </c>
      <c r="B372" s="0" t="n">
        <v>622</v>
      </c>
      <c r="C372" s="0" t="n">
        <v>545</v>
      </c>
      <c r="D372" s="0" t="n">
        <v>440</v>
      </c>
      <c r="E372" s="0" t="s">
        <v>1861</v>
      </c>
      <c r="F372" s="0" t="s">
        <v>1862</v>
      </c>
      <c r="G372" s="0" t="s">
        <v>1863</v>
      </c>
    </row>
    <row r="373" customFormat="false" ht="15" hidden="false" customHeight="false" outlineLevel="0" collapsed="false">
      <c r="A373" s="0" t="s">
        <v>407</v>
      </c>
      <c r="B373" s="0" t="n">
        <v>346</v>
      </c>
      <c r="C373" s="0" t="n">
        <v>180</v>
      </c>
      <c r="D373" s="0" t="n">
        <v>129</v>
      </c>
      <c r="E373" s="0" t="s">
        <v>1864</v>
      </c>
      <c r="F373" s="0" t="s">
        <v>1865</v>
      </c>
      <c r="G373" s="0" t="s">
        <v>1866</v>
      </c>
    </row>
    <row r="374" customFormat="false" ht="15" hidden="false" customHeight="false" outlineLevel="0" collapsed="false">
      <c r="A374" s="0" t="s">
        <v>408</v>
      </c>
      <c r="B374" s="0" t="n">
        <v>680</v>
      </c>
      <c r="C374" s="0" t="n">
        <v>708</v>
      </c>
      <c r="D374" s="0" t="n">
        <v>703</v>
      </c>
      <c r="E374" s="0" t="s">
        <v>1867</v>
      </c>
      <c r="F374" s="0" t="s">
        <v>1868</v>
      </c>
      <c r="G374" s="0" t="s">
        <v>1869</v>
      </c>
    </row>
    <row r="375" customFormat="false" ht="15" hidden="false" customHeight="false" outlineLevel="0" collapsed="false">
      <c r="A375" s="0" t="s">
        <v>409</v>
      </c>
      <c r="B375" s="0" t="n">
        <v>257</v>
      </c>
      <c r="C375" s="0" t="n">
        <v>245</v>
      </c>
      <c r="D375" s="0" t="n">
        <v>330</v>
      </c>
      <c r="E375" s="0" t="s">
        <v>1870</v>
      </c>
      <c r="F375" s="0" t="s">
        <v>1871</v>
      </c>
      <c r="G375" s="0" t="s">
        <v>1872</v>
      </c>
    </row>
    <row r="376" customFormat="false" ht="15" hidden="false" customHeight="false" outlineLevel="0" collapsed="false">
      <c r="A376" s="0" t="s">
        <v>410</v>
      </c>
      <c r="B376" s="0" t="n">
        <v>271</v>
      </c>
      <c r="C376" s="0" t="n">
        <v>161</v>
      </c>
      <c r="D376" s="0" t="n">
        <v>89</v>
      </c>
      <c r="E376" s="0" t="s">
        <v>1873</v>
      </c>
      <c r="F376" s="0" t="s">
        <v>1874</v>
      </c>
      <c r="G376" s="0" t="s">
        <v>1875</v>
      </c>
    </row>
    <row r="377" customFormat="false" ht="15" hidden="false" customHeight="false" outlineLevel="0" collapsed="false">
      <c r="A377" s="0" t="s">
        <v>411</v>
      </c>
      <c r="B377" s="0" t="n">
        <v>581</v>
      </c>
      <c r="C377" s="0" t="n">
        <v>664</v>
      </c>
      <c r="D377" s="0" t="n">
        <v>688</v>
      </c>
      <c r="E377" s="0" t="s">
        <v>1876</v>
      </c>
      <c r="F377" s="0" t="s">
        <v>1877</v>
      </c>
      <c r="G377" s="0" t="s">
        <v>1878</v>
      </c>
    </row>
    <row r="378" customFormat="false" ht="15" hidden="false" customHeight="false" outlineLevel="0" collapsed="false">
      <c r="A378" s="0" t="s">
        <v>412</v>
      </c>
      <c r="B378" s="0" t="n">
        <v>305</v>
      </c>
      <c r="C378" s="0" t="n">
        <v>184</v>
      </c>
      <c r="D378" s="0" t="n">
        <v>280</v>
      </c>
      <c r="E378" s="0" t="s">
        <v>1879</v>
      </c>
      <c r="F378" s="0" t="s">
        <v>1880</v>
      </c>
      <c r="G378" s="0" t="s">
        <v>1881</v>
      </c>
    </row>
    <row r="379" customFormat="false" ht="15" hidden="false" customHeight="false" outlineLevel="0" collapsed="false">
      <c r="A379" s="0" t="s">
        <v>413</v>
      </c>
      <c r="B379" s="0" t="n">
        <v>342</v>
      </c>
      <c r="C379" s="0" t="n">
        <v>170</v>
      </c>
      <c r="D379" s="0" t="n">
        <v>300</v>
      </c>
      <c r="E379" s="0" t="s">
        <v>1882</v>
      </c>
      <c r="F379" s="0" t="s">
        <v>1883</v>
      </c>
      <c r="G379" s="0" t="s">
        <v>1884</v>
      </c>
    </row>
    <row r="380" customFormat="false" ht="15" hidden="false" customHeight="false" outlineLevel="0" collapsed="false">
      <c r="A380" s="0" t="s">
        <v>414</v>
      </c>
      <c r="B380" s="0" t="n">
        <v>202</v>
      </c>
      <c r="C380" s="0" t="n">
        <v>349</v>
      </c>
      <c r="D380" s="0" t="n">
        <v>190</v>
      </c>
      <c r="E380" s="0" t="s">
        <v>1885</v>
      </c>
      <c r="F380" s="0" t="s">
        <v>1886</v>
      </c>
      <c r="G380" s="0" t="s">
        <v>1887</v>
      </c>
    </row>
    <row r="381" customFormat="false" ht="15" hidden="false" customHeight="false" outlineLevel="0" collapsed="false">
      <c r="A381" s="0" t="s">
        <v>415</v>
      </c>
      <c r="B381" s="0" t="n">
        <v>77</v>
      </c>
      <c r="C381" s="0" t="n">
        <v>266</v>
      </c>
      <c r="D381" s="0" t="n">
        <v>392</v>
      </c>
      <c r="E381" s="0" t="s">
        <v>1888</v>
      </c>
      <c r="F381" s="0" t="s">
        <v>1889</v>
      </c>
      <c r="G381" s="0" t="s">
        <v>1890</v>
      </c>
    </row>
    <row r="382" customFormat="false" ht="15" hidden="false" customHeight="false" outlineLevel="0" collapsed="false">
      <c r="A382" s="0" t="s">
        <v>416</v>
      </c>
      <c r="B382" s="0" t="n">
        <v>382</v>
      </c>
      <c r="C382" s="0" t="n">
        <v>392</v>
      </c>
      <c r="D382" s="0" t="n">
        <v>587</v>
      </c>
      <c r="E382" s="0" t="s">
        <v>1891</v>
      </c>
      <c r="F382" s="0" t="s">
        <v>1892</v>
      </c>
      <c r="G382" s="0" t="s">
        <v>1893</v>
      </c>
    </row>
    <row r="383" customFormat="false" ht="15" hidden="false" customHeight="false" outlineLevel="0" collapsed="false">
      <c r="A383" s="0" t="s">
        <v>417</v>
      </c>
      <c r="B383" s="0" t="n">
        <v>395</v>
      </c>
      <c r="C383" s="0" t="n">
        <v>439</v>
      </c>
      <c r="D383" s="0" t="n">
        <v>631</v>
      </c>
      <c r="E383" s="0" t="s">
        <v>1894</v>
      </c>
      <c r="F383" s="0" t="s">
        <v>1895</v>
      </c>
      <c r="G383" s="0" t="s">
        <v>1896</v>
      </c>
    </row>
    <row r="384" customFormat="false" ht="15" hidden="false" customHeight="false" outlineLevel="0" collapsed="false">
      <c r="A384" s="0" t="s">
        <v>418</v>
      </c>
      <c r="B384" s="0" t="n">
        <v>548</v>
      </c>
      <c r="C384" s="0" t="n">
        <v>384</v>
      </c>
      <c r="D384" s="0" t="n">
        <v>28</v>
      </c>
      <c r="E384" s="0" t="s">
        <v>1897</v>
      </c>
      <c r="F384" s="0" t="s">
        <v>1898</v>
      </c>
      <c r="G384" s="0" t="s">
        <v>1899</v>
      </c>
    </row>
    <row r="385" customFormat="false" ht="15" hidden="false" customHeight="false" outlineLevel="0" collapsed="false">
      <c r="A385" s="0" t="s">
        <v>419</v>
      </c>
      <c r="B385" s="0" t="n">
        <v>333</v>
      </c>
      <c r="C385" s="0" t="n">
        <v>259</v>
      </c>
      <c r="D385" s="0" t="n">
        <v>450</v>
      </c>
      <c r="E385" s="0" t="s">
        <v>1900</v>
      </c>
      <c r="F385" s="0" t="s">
        <v>1901</v>
      </c>
      <c r="G385" s="0" t="s">
        <v>1902</v>
      </c>
    </row>
    <row r="386" customFormat="false" ht="15" hidden="false" customHeight="false" outlineLevel="0" collapsed="false">
      <c r="A386" s="0" t="s">
        <v>420</v>
      </c>
    </row>
    <row r="387" customFormat="false" ht="15" hidden="false" customHeight="false" outlineLevel="0" collapsed="false">
      <c r="A387" s="0" t="s">
        <v>421</v>
      </c>
      <c r="B387" s="0" t="n">
        <v>162</v>
      </c>
      <c r="C387" s="0" t="n">
        <v>168</v>
      </c>
      <c r="D387" s="0" t="n">
        <v>195</v>
      </c>
      <c r="E387" s="0" t="s">
        <v>1903</v>
      </c>
      <c r="F387" s="0" t="s">
        <v>1904</v>
      </c>
      <c r="G387" s="0" t="s">
        <v>1905</v>
      </c>
    </row>
    <row r="388" customFormat="false" ht="15" hidden="false" customHeight="false" outlineLevel="0" collapsed="false">
      <c r="A388" s="0" t="s">
        <v>422</v>
      </c>
    </row>
    <row r="389" customFormat="false" ht="15" hidden="false" customHeight="false" outlineLevel="0" collapsed="false">
      <c r="A389" s="0" t="s">
        <v>423</v>
      </c>
      <c r="B389" s="0" t="n">
        <v>711</v>
      </c>
      <c r="C389" s="0" t="n">
        <v>551</v>
      </c>
      <c r="D389" s="0" t="n">
        <v>549</v>
      </c>
      <c r="E389" s="0" t="s">
        <v>1906</v>
      </c>
      <c r="F389" s="0" t="s">
        <v>1907</v>
      </c>
      <c r="G389" s="0" t="s">
        <v>1908</v>
      </c>
    </row>
    <row r="390" customFormat="false" ht="15" hidden="false" customHeight="false" outlineLevel="0" collapsed="false">
      <c r="A390" s="0" t="s">
        <v>424</v>
      </c>
      <c r="B390" s="0" t="n">
        <v>362</v>
      </c>
      <c r="C390" s="0" t="n">
        <v>524</v>
      </c>
      <c r="D390" s="0" t="n">
        <v>51</v>
      </c>
      <c r="E390" s="0" t="s">
        <v>1909</v>
      </c>
      <c r="F390" s="0" t="s">
        <v>1910</v>
      </c>
      <c r="G390" s="0" t="s">
        <v>1911</v>
      </c>
    </row>
    <row r="391" customFormat="false" ht="15" hidden="false" customHeight="false" outlineLevel="0" collapsed="false">
      <c r="A391" s="0" t="s">
        <v>425</v>
      </c>
      <c r="B391" s="0" t="n">
        <v>225</v>
      </c>
      <c r="C391" s="0" t="n">
        <v>159</v>
      </c>
      <c r="D391" s="0" t="n">
        <v>204</v>
      </c>
      <c r="E391" s="0" t="s">
        <v>1912</v>
      </c>
      <c r="F391" s="0" t="s">
        <v>1913</v>
      </c>
      <c r="G391" s="0" t="s">
        <v>1914</v>
      </c>
    </row>
    <row r="392" customFormat="false" ht="15" hidden="false" customHeight="false" outlineLevel="0" collapsed="false">
      <c r="A392" s="0" t="s">
        <v>426</v>
      </c>
      <c r="B392" s="0" t="n">
        <v>110</v>
      </c>
      <c r="C392" s="0" t="n">
        <v>430</v>
      </c>
      <c r="D392" s="0" t="n">
        <v>485</v>
      </c>
      <c r="E392" s="0" t="s">
        <v>1915</v>
      </c>
      <c r="F392" s="0" t="s">
        <v>1916</v>
      </c>
      <c r="G392" s="0" t="s">
        <v>1917</v>
      </c>
    </row>
    <row r="393" customFormat="false" ht="15" hidden="false" customHeight="false" outlineLevel="0" collapsed="false">
      <c r="A393" s="0" t="s">
        <v>427</v>
      </c>
      <c r="B393" s="0" t="n">
        <v>216</v>
      </c>
      <c r="C393" s="0" t="n">
        <v>274</v>
      </c>
      <c r="D393" s="0" t="n">
        <v>32</v>
      </c>
      <c r="E393" s="0" t="s">
        <v>1918</v>
      </c>
      <c r="F393" s="0" t="s">
        <v>1919</v>
      </c>
      <c r="G393" s="0" t="s">
        <v>1920</v>
      </c>
    </row>
    <row r="394" customFormat="false" ht="15" hidden="false" customHeight="false" outlineLevel="0" collapsed="false">
      <c r="A394" s="0" t="s">
        <v>428</v>
      </c>
    </row>
    <row r="395" customFormat="false" ht="15" hidden="false" customHeight="false" outlineLevel="0" collapsed="false">
      <c r="A395" s="0" t="s">
        <v>429</v>
      </c>
      <c r="B395" s="0" t="n">
        <v>461</v>
      </c>
      <c r="C395" s="0" t="n">
        <v>685</v>
      </c>
      <c r="D395" s="0" t="n">
        <v>565</v>
      </c>
      <c r="E395" s="0" t="s">
        <v>1921</v>
      </c>
      <c r="F395" s="0" t="s">
        <v>1922</v>
      </c>
      <c r="G395" s="0" t="s">
        <v>1923</v>
      </c>
    </row>
    <row r="396" customFormat="false" ht="15" hidden="false" customHeight="false" outlineLevel="0" collapsed="false">
      <c r="A396" s="0" t="s">
        <v>430</v>
      </c>
      <c r="B396" s="0" t="n">
        <v>414</v>
      </c>
      <c r="C396" s="0" t="n">
        <v>121</v>
      </c>
      <c r="D396" s="0" t="n">
        <v>489</v>
      </c>
      <c r="E396" s="0" t="s">
        <v>1924</v>
      </c>
      <c r="F396" s="0" t="s">
        <v>1925</v>
      </c>
      <c r="G396" s="0" t="s">
        <v>1926</v>
      </c>
    </row>
    <row r="397" customFormat="false" ht="15" hidden="false" customHeight="false" outlineLevel="0" collapsed="false">
      <c r="A397" s="0" t="s">
        <v>431</v>
      </c>
      <c r="B397" s="0" t="n">
        <v>554</v>
      </c>
      <c r="C397" s="0" t="n">
        <v>535</v>
      </c>
      <c r="D397" s="0" t="n">
        <v>399</v>
      </c>
      <c r="E397" s="0" t="s">
        <v>1927</v>
      </c>
      <c r="F397" s="0" t="s">
        <v>1928</v>
      </c>
      <c r="G397" s="0" t="s">
        <v>1929</v>
      </c>
    </row>
    <row r="398" customFormat="false" ht="15" hidden="false" customHeight="false" outlineLevel="0" collapsed="false">
      <c r="A398" s="0" t="s">
        <v>432</v>
      </c>
      <c r="B398" s="0" t="n">
        <v>22</v>
      </c>
      <c r="C398" s="0" t="n">
        <v>300</v>
      </c>
      <c r="D398" s="0" t="n">
        <v>59</v>
      </c>
      <c r="E398" s="0" t="s">
        <v>1930</v>
      </c>
      <c r="F398" s="0" t="s">
        <v>1931</v>
      </c>
      <c r="G398" s="0" t="s">
        <v>1932</v>
      </c>
    </row>
    <row r="399" customFormat="false" ht="15" hidden="false" customHeight="false" outlineLevel="0" collapsed="false">
      <c r="A399" s="0" t="s">
        <v>433</v>
      </c>
      <c r="B399" s="0" t="n">
        <v>188</v>
      </c>
      <c r="C399" s="0" t="n">
        <v>221</v>
      </c>
      <c r="D399" s="0" t="n">
        <v>245</v>
      </c>
      <c r="E399" s="0" t="s">
        <v>1933</v>
      </c>
      <c r="F399" s="0" t="s">
        <v>1934</v>
      </c>
      <c r="G399" s="0" t="s">
        <v>1935</v>
      </c>
    </row>
    <row r="400" customFormat="false" ht="15" hidden="false" customHeight="false" outlineLevel="0" collapsed="false">
      <c r="A400" s="0" t="s">
        <v>434</v>
      </c>
      <c r="B400" s="0" t="n">
        <v>301</v>
      </c>
      <c r="C400" s="0" t="n">
        <v>333</v>
      </c>
      <c r="D400" s="0" t="n">
        <v>551</v>
      </c>
      <c r="E400" s="0" t="s">
        <v>1936</v>
      </c>
      <c r="F400" s="0" t="s">
        <v>1937</v>
      </c>
      <c r="G400" s="0" t="s">
        <v>1938</v>
      </c>
    </row>
    <row r="401" customFormat="false" ht="15" hidden="false" customHeight="false" outlineLevel="0" collapsed="false">
      <c r="A401" s="0" t="s">
        <v>435</v>
      </c>
      <c r="B401" s="0" t="n">
        <v>79</v>
      </c>
      <c r="C401" s="0" t="n">
        <v>198</v>
      </c>
      <c r="D401" s="0" t="n">
        <v>585</v>
      </c>
      <c r="E401" s="0" t="s">
        <v>1939</v>
      </c>
      <c r="F401" s="0" t="s">
        <v>1940</v>
      </c>
      <c r="G401" s="0" t="s">
        <v>1941</v>
      </c>
    </row>
    <row r="402" customFormat="false" ht="15" hidden="false" customHeight="false" outlineLevel="0" collapsed="false">
      <c r="A402" s="0" t="s">
        <v>436</v>
      </c>
      <c r="B402" s="0" t="n">
        <v>141</v>
      </c>
      <c r="C402" s="0" t="n">
        <v>169</v>
      </c>
      <c r="D402" s="0" t="n">
        <v>398</v>
      </c>
      <c r="E402" s="0" t="s">
        <v>1942</v>
      </c>
      <c r="F402" s="0" t="s">
        <v>1943</v>
      </c>
      <c r="G402" s="0" t="s">
        <v>1944</v>
      </c>
    </row>
    <row r="403" customFormat="false" ht="15" hidden="false" customHeight="false" outlineLevel="0" collapsed="false">
      <c r="A403" s="0" t="s">
        <v>437</v>
      </c>
      <c r="B403" s="0" t="n">
        <v>37</v>
      </c>
      <c r="C403" s="0" t="n">
        <v>468</v>
      </c>
      <c r="D403" s="0" t="n">
        <v>276</v>
      </c>
      <c r="E403" s="0" t="s">
        <v>1945</v>
      </c>
      <c r="F403" s="0" t="s">
        <v>1946</v>
      </c>
      <c r="G403" s="0" t="s">
        <v>1947</v>
      </c>
    </row>
    <row r="404" customFormat="false" ht="15" hidden="false" customHeight="false" outlineLevel="0" collapsed="false">
      <c r="A404" s="0" t="s">
        <v>438</v>
      </c>
      <c r="B404" s="0" t="n">
        <v>34</v>
      </c>
      <c r="C404" s="0" t="n">
        <v>35</v>
      </c>
      <c r="D404" s="0" t="n">
        <v>199</v>
      </c>
      <c r="E404" s="0" t="s">
        <v>1948</v>
      </c>
      <c r="F404" s="0" t="s">
        <v>1949</v>
      </c>
      <c r="G404" s="0" t="s">
        <v>1950</v>
      </c>
    </row>
    <row r="405" customFormat="false" ht="15" hidden="false" customHeight="false" outlineLevel="0" collapsed="false">
      <c r="A405" s="0" t="s">
        <v>439</v>
      </c>
      <c r="B405" s="0" t="n">
        <v>48</v>
      </c>
      <c r="C405" s="0" t="n">
        <v>65</v>
      </c>
      <c r="D405" s="0" t="n">
        <v>320</v>
      </c>
      <c r="E405" s="0" t="s">
        <v>1951</v>
      </c>
      <c r="F405" s="0" t="s">
        <v>1952</v>
      </c>
      <c r="G405" s="0" t="s">
        <v>1953</v>
      </c>
    </row>
    <row r="406" customFormat="false" ht="15" hidden="false" customHeight="false" outlineLevel="0" collapsed="false">
      <c r="A406" s="0" t="s">
        <v>440</v>
      </c>
      <c r="B406" s="0" t="n">
        <v>21</v>
      </c>
      <c r="C406" s="0" t="n">
        <v>49</v>
      </c>
      <c r="D406" s="0" t="n">
        <v>222</v>
      </c>
      <c r="E406" s="0" t="s">
        <v>1954</v>
      </c>
      <c r="F406" s="0" t="s">
        <v>1955</v>
      </c>
      <c r="G406" s="0" t="s">
        <v>1956</v>
      </c>
    </row>
    <row r="407" customFormat="false" ht="15" hidden="false" customHeight="false" outlineLevel="0" collapsed="false">
      <c r="A407" s="0" t="s">
        <v>441</v>
      </c>
      <c r="B407" s="0" t="n">
        <v>137</v>
      </c>
      <c r="C407" s="0" t="n">
        <v>115</v>
      </c>
      <c r="D407" s="0" t="n">
        <v>29</v>
      </c>
      <c r="E407" s="0" t="s">
        <v>1957</v>
      </c>
      <c r="F407" s="0" t="s">
        <v>1958</v>
      </c>
      <c r="G407" s="0" t="s">
        <v>1959</v>
      </c>
    </row>
    <row r="408" customFormat="false" ht="15" hidden="false" customHeight="false" outlineLevel="0" collapsed="false">
      <c r="A408" s="0" t="s">
        <v>442</v>
      </c>
      <c r="B408" s="0" t="n">
        <v>11</v>
      </c>
      <c r="C408" s="0" t="n">
        <v>112</v>
      </c>
      <c r="D408" s="0" t="n">
        <v>295</v>
      </c>
      <c r="E408" s="0" t="s">
        <v>1960</v>
      </c>
      <c r="F408" s="0" t="s">
        <v>1961</v>
      </c>
      <c r="G408" s="0" t="s">
        <v>1962</v>
      </c>
    </row>
    <row r="409" customFormat="false" ht="15" hidden="false" customHeight="false" outlineLevel="0" collapsed="false">
      <c r="A409" s="0" t="s">
        <v>443</v>
      </c>
      <c r="B409" s="0" t="n">
        <v>421</v>
      </c>
      <c r="C409" s="0" t="n">
        <v>114</v>
      </c>
      <c r="D409" s="0" t="n">
        <v>17</v>
      </c>
      <c r="E409" s="0" t="s">
        <v>1963</v>
      </c>
      <c r="F409" s="0" t="s">
        <v>1964</v>
      </c>
      <c r="G409" s="0" t="s">
        <v>1965</v>
      </c>
    </row>
    <row r="410" customFormat="false" ht="15" hidden="false" customHeight="false" outlineLevel="0" collapsed="false">
      <c r="A410" s="0" t="s">
        <v>444</v>
      </c>
      <c r="B410" s="0" t="n">
        <v>369</v>
      </c>
      <c r="C410" s="0" t="n">
        <v>489</v>
      </c>
      <c r="D410" s="0" t="n">
        <v>263</v>
      </c>
      <c r="E410" s="0" t="s">
        <v>1966</v>
      </c>
      <c r="F410" s="0" t="s">
        <v>1967</v>
      </c>
      <c r="G410" s="0" t="s">
        <v>1968</v>
      </c>
    </row>
    <row r="411" customFormat="false" ht="15" hidden="false" customHeight="false" outlineLevel="0" collapsed="false">
      <c r="A411" s="0" t="s">
        <v>445</v>
      </c>
      <c r="B411" s="0" t="n">
        <v>140</v>
      </c>
      <c r="C411" s="0" t="n">
        <v>280</v>
      </c>
      <c r="D411" s="0" t="n">
        <v>110</v>
      </c>
      <c r="E411" s="0" t="s">
        <v>1969</v>
      </c>
      <c r="F411" s="0" t="s">
        <v>1970</v>
      </c>
      <c r="G411" s="0" t="s">
        <v>1971</v>
      </c>
    </row>
    <row r="412" customFormat="false" ht="15" hidden="false" customHeight="false" outlineLevel="0" collapsed="false">
      <c r="A412" s="0" t="s">
        <v>446</v>
      </c>
      <c r="B412" s="0" t="n">
        <v>107</v>
      </c>
      <c r="C412" s="0" t="n">
        <v>446</v>
      </c>
      <c r="D412" s="0" t="n">
        <v>80</v>
      </c>
      <c r="E412" s="0" t="s">
        <v>1972</v>
      </c>
      <c r="F412" s="0" t="s">
        <v>1973</v>
      </c>
      <c r="G412" s="0" t="s">
        <v>1974</v>
      </c>
    </row>
    <row r="413" customFormat="false" ht="15" hidden="false" customHeight="false" outlineLevel="0" collapsed="false">
      <c r="A413" s="0" t="s">
        <v>447</v>
      </c>
      <c r="B413" s="0" t="n">
        <v>30</v>
      </c>
      <c r="C413" s="0" t="n">
        <v>200</v>
      </c>
      <c r="D413" s="0" t="n">
        <v>382</v>
      </c>
      <c r="E413" s="0" t="s">
        <v>1975</v>
      </c>
      <c r="F413" s="0" t="s">
        <v>1976</v>
      </c>
      <c r="G413" s="0" t="s">
        <v>1977</v>
      </c>
    </row>
    <row r="414" customFormat="false" ht="15" hidden="false" customHeight="false" outlineLevel="0" collapsed="false">
      <c r="A414" s="0" t="s">
        <v>448</v>
      </c>
      <c r="B414" s="0" t="n">
        <v>122</v>
      </c>
      <c r="C414" s="0" t="n">
        <v>62</v>
      </c>
      <c r="D414" s="0" t="n">
        <v>417</v>
      </c>
      <c r="E414" s="0" t="s">
        <v>1978</v>
      </c>
      <c r="F414" s="0" t="s">
        <v>1979</v>
      </c>
      <c r="G414" s="0" t="s">
        <v>1980</v>
      </c>
    </row>
    <row r="415" customFormat="false" ht="15" hidden="false" customHeight="false" outlineLevel="0" collapsed="false">
      <c r="A415" s="0" t="s">
        <v>449</v>
      </c>
      <c r="B415" s="0" t="n">
        <v>75</v>
      </c>
      <c r="C415" s="0" t="n">
        <v>22</v>
      </c>
      <c r="D415" s="0" t="n">
        <v>257</v>
      </c>
      <c r="E415" s="0" t="s">
        <v>1981</v>
      </c>
      <c r="F415" s="0" t="s">
        <v>1982</v>
      </c>
      <c r="G415" s="0" t="s">
        <v>1983</v>
      </c>
    </row>
    <row r="416" customFormat="false" ht="15" hidden="false" customHeight="false" outlineLevel="0" collapsed="false">
      <c r="A416" s="0" t="s">
        <v>450</v>
      </c>
      <c r="B416" s="0" t="n">
        <v>109</v>
      </c>
      <c r="C416" s="0" t="n">
        <v>400</v>
      </c>
      <c r="D416" s="0" t="n">
        <v>353</v>
      </c>
      <c r="E416" s="0" t="s">
        <v>1984</v>
      </c>
      <c r="F416" s="0" t="s">
        <v>1985</v>
      </c>
      <c r="G416" s="0" t="s">
        <v>1986</v>
      </c>
    </row>
    <row r="417" customFormat="false" ht="15" hidden="false" customHeight="false" outlineLevel="0" collapsed="false">
      <c r="A417" s="0" t="s">
        <v>451</v>
      </c>
    </row>
    <row r="418" customFormat="false" ht="15" hidden="false" customHeight="false" outlineLevel="0" collapsed="false">
      <c r="A418" s="0" t="s">
        <v>452</v>
      </c>
      <c r="B418" s="0" t="n">
        <v>16</v>
      </c>
      <c r="C418" s="0" t="n">
        <v>34</v>
      </c>
      <c r="D418" s="0" t="n">
        <v>135</v>
      </c>
      <c r="E418" s="0" t="s">
        <v>1987</v>
      </c>
      <c r="F418" s="0" t="s">
        <v>1988</v>
      </c>
      <c r="G418" s="0" t="s">
        <v>1989</v>
      </c>
    </row>
    <row r="419" customFormat="false" ht="15" hidden="false" customHeight="false" outlineLevel="0" collapsed="false">
      <c r="A419" s="0" t="s">
        <v>453</v>
      </c>
      <c r="B419" s="0" t="n">
        <v>595</v>
      </c>
      <c r="C419" s="0" t="n">
        <v>667</v>
      </c>
      <c r="D419" s="0" t="n">
        <v>532</v>
      </c>
      <c r="E419" s="0" t="s">
        <v>1990</v>
      </c>
      <c r="F419" s="0" t="s">
        <v>1991</v>
      </c>
      <c r="G419" s="0" t="s">
        <v>1992</v>
      </c>
    </row>
    <row r="420" customFormat="false" ht="15" hidden="false" customHeight="false" outlineLevel="0" collapsed="false">
      <c r="A420" s="0" t="s">
        <v>454</v>
      </c>
      <c r="B420" s="0" t="n">
        <v>35</v>
      </c>
      <c r="C420" s="0" t="n">
        <v>30</v>
      </c>
      <c r="D420" s="0" t="n">
        <v>396</v>
      </c>
      <c r="E420" s="0" t="s">
        <v>1993</v>
      </c>
      <c r="F420" s="0" t="s">
        <v>1994</v>
      </c>
      <c r="G420" s="0" t="s">
        <v>1995</v>
      </c>
    </row>
    <row r="421" customFormat="false" ht="15" hidden="false" customHeight="false" outlineLevel="0" collapsed="false">
      <c r="A421" s="0" t="s">
        <v>455</v>
      </c>
      <c r="B421" s="0" t="n">
        <v>68</v>
      </c>
      <c r="C421" s="0" t="n">
        <v>371</v>
      </c>
      <c r="D421" s="0" t="n">
        <v>39</v>
      </c>
      <c r="E421" s="0" t="s">
        <v>1996</v>
      </c>
      <c r="F421" s="0" t="s">
        <v>1997</v>
      </c>
      <c r="G421" s="0" t="s">
        <v>1998</v>
      </c>
    </row>
    <row r="422" customFormat="false" ht="15" hidden="false" customHeight="false" outlineLevel="0" collapsed="false">
      <c r="A422" s="0" t="s">
        <v>456</v>
      </c>
      <c r="B422" s="0" t="n">
        <v>56</v>
      </c>
      <c r="C422" s="0" t="n">
        <v>10</v>
      </c>
      <c r="D422" s="0" t="n">
        <v>490</v>
      </c>
      <c r="E422" s="0" t="s">
        <v>1999</v>
      </c>
      <c r="F422" s="0" t="s">
        <v>2000</v>
      </c>
      <c r="G422" s="0" t="s">
        <v>2001</v>
      </c>
    </row>
    <row r="423" customFormat="false" ht="15" hidden="false" customHeight="false" outlineLevel="0" collapsed="false">
      <c r="A423" s="0" t="s">
        <v>457</v>
      </c>
      <c r="B423" s="0" t="n">
        <v>297</v>
      </c>
      <c r="C423" s="0" t="n">
        <v>167</v>
      </c>
      <c r="D423" s="0" t="n">
        <v>23</v>
      </c>
      <c r="E423" s="0" t="s">
        <v>2002</v>
      </c>
      <c r="F423" s="0" t="s">
        <v>2003</v>
      </c>
      <c r="G423" s="0" t="s">
        <v>2004</v>
      </c>
    </row>
    <row r="424" customFormat="false" ht="15" hidden="false" customHeight="false" outlineLevel="0" collapsed="false">
      <c r="A424" s="0" t="s">
        <v>458</v>
      </c>
      <c r="B424" s="0" t="n">
        <v>219</v>
      </c>
      <c r="C424" s="0" t="n">
        <v>142</v>
      </c>
      <c r="D424" s="0" t="n">
        <v>117</v>
      </c>
      <c r="E424" s="0" t="s">
        <v>2005</v>
      </c>
      <c r="F424" s="0" t="s">
        <v>2006</v>
      </c>
      <c r="G424" s="0" t="s">
        <v>2007</v>
      </c>
    </row>
    <row r="425" customFormat="false" ht="15" hidden="false" customHeight="false" outlineLevel="0" collapsed="false">
      <c r="A425" s="0" t="s">
        <v>459</v>
      </c>
      <c r="B425" s="0" t="n">
        <v>13</v>
      </c>
      <c r="C425" s="0" t="n">
        <v>8</v>
      </c>
      <c r="D425" s="0" t="n">
        <v>397</v>
      </c>
      <c r="E425" s="0" t="s">
        <v>2008</v>
      </c>
      <c r="F425" s="0" t="s">
        <v>2009</v>
      </c>
      <c r="G425" s="0" t="s">
        <v>2010</v>
      </c>
    </row>
    <row r="426" customFormat="false" ht="15" hidden="false" customHeight="false" outlineLevel="0" collapsed="false">
      <c r="A426" s="0" t="s">
        <v>460</v>
      </c>
      <c r="B426" s="0" t="n">
        <v>91</v>
      </c>
      <c r="C426" s="0" t="n">
        <v>256</v>
      </c>
      <c r="D426" s="0" t="n">
        <v>388</v>
      </c>
      <c r="E426" s="0" t="s">
        <v>2011</v>
      </c>
      <c r="F426" s="0" t="s">
        <v>2012</v>
      </c>
      <c r="G426" s="0" t="s">
        <v>2013</v>
      </c>
    </row>
    <row r="427" customFormat="false" ht="15" hidden="false" customHeight="false" outlineLevel="0" collapsed="false">
      <c r="A427" s="0" t="s">
        <v>461</v>
      </c>
      <c r="B427" s="0" t="n">
        <v>350</v>
      </c>
      <c r="C427" s="0" t="n">
        <v>298</v>
      </c>
      <c r="D427" s="0" t="n">
        <v>426</v>
      </c>
      <c r="E427" s="0" t="s">
        <v>2014</v>
      </c>
      <c r="F427" s="0" t="s">
        <v>2015</v>
      </c>
      <c r="G427" s="0" t="s">
        <v>2016</v>
      </c>
    </row>
    <row r="428" customFormat="false" ht="15" hidden="false" customHeight="false" outlineLevel="0" collapsed="false">
      <c r="A428" s="0" t="s">
        <v>462</v>
      </c>
      <c r="B428" s="0" t="n">
        <v>442</v>
      </c>
      <c r="C428" s="0" t="n">
        <v>542</v>
      </c>
      <c r="D428" s="0" t="n">
        <v>207</v>
      </c>
      <c r="E428" s="0" t="s">
        <v>2017</v>
      </c>
      <c r="F428" s="0" t="s">
        <v>2018</v>
      </c>
      <c r="G428" s="0" t="s">
        <v>2019</v>
      </c>
    </row>
    <row r="429" customFormat="false" ht="15" hidden="false" customHeight="false" outlineLevel="0" collapsed="false">
      <c r="A429" s="0" t="s">
        <v>463</v>
      </c>
      <c r="B429" s="0" t="n">
        <v>3</v>
      </c>
      <c r="C429" s="0" t="n">
        <v>254</v>
      </c>
      <c r="D429" s="0" t="n">
        <v>419</v>
      </c>
      <c r="E429" s="0" t="s">
        <v>2020</v>
      </c>
      <c r="F429" s="0" t="s">
        <v>2021</v>
      </c>
      <c r="G429" s="0" t="s">
        <v>2022</v>
      </c>
    </row>
    <row r="430" customFormat="false" ht="15" hidden="false" customHeight="false" outlineLevel="0" collapsed="false">
      <c r="A430" s="0" t="s">
        <v>464</v>
      </c>
      <c r="B430" s="0" t="n">
        <v>65</v>
      </c>
      <c r="C430" s="0" t="n">
        <v>118</v>
      </c>
      <c r="D430" s="0" t="n">
        <v>208</v>
      </c>
      <c r="E430" s="0" t="s">
        <v>2023</v>
      </c>
      <c r="F430" s="0" t="s">
        <v>2024</v>
      </c>
      <c r="G430" s="0" t="s">
        <v>2025</v>
      </c>
    </row>
    <row r="431" customFormat="false" ht="15" hidden="false" customHeight="false" outlineLevel="0" collapsed="false">
      <c r="A431" s="0" t="s">
        <v>465</v>
      </c>
      <c r="B431" s="0" t="n">
        <v>115</v>
      </c>
      <c r="C431" s="0" t="n">
        <v>284</v>
      </c>
      <c r="D431" s="0" t="n">
        <v>119</v>
      </c>
      <c r="E431" s="0" t="s">
        <v>2026</v>
      </c>
      <c r="F431" s="0" t="s">
        <v>2027</v>
      </c>
      <c r="G431" s="0" t="s">
        <v>2028</v>
      </c>
    </row>
    <row r="432" customFormat="false" ht="15" hidden="false" customHeight="false" outlineLevel="0" collapsed="false">
      <c r="A432" s="0" t="s">
        <v>466</v>
      </c>
      <c r="B432" s="0" t="n">
        <v>72</v>
      </c>
      <c r="C432" s="0" t="n">
        <v>288</v>
      </c>
      <c r="D432" s="0" t="n">
        <v>168</v>
      </c>
      <c r="E432" s="0" t="s">
        <v>2029</v>
      </c>
      <c r="F432" s="0" t="s">
        <v>2030</v>
      </c>
      <c r="G432" s="0" t="s">
        <v>2031</v>
      </c>
    </row>
    <row r="433" customFormat="false" ht="15" hidden="false" customHeight="false" outlineLevel="0" collapsed="false">
      <c r="A433" s="0" t="s">
        <v>467</v>
      </c>
      <c r="B433" s="0" t="n">
        <v>186</v>
      </c>
      <c r="C433" s="0" t="n">
        <v>554</v>
      </c>
      <c r="D433" s="0" t="n">
        <v>443</v>
      </c>
      <c r="E433" s="0" t="s">
        <v>2032</v>
      </c>
      <c r="F433" s="0" t="s">
        <v>2033</v>
      </c>
      <c r="G433" s="0" t="s">
        <v>2034</v>
      </c>
    </row>
    <row r="434" customFormat="false" ht="15" hidden="false" customHeight="false" outlineLevel="0" collapsed="false">
      <c r="A434" s="0" t="s">
        <v>468</v>
      </c>
    </row>
    <row r="435" customFormat="false" ht="15" hidden="false" customHeight="false" outlineLevel="0" collapsed="false">
      <c r="A435" s="0" t="s">
        <v>469</v>
      </c>
      <c r="B435" s="0" t="n">
        <v>99</v>
      </c>
      <c r="C435" s="0" t="n">
        <v>141</v>
      </c>
      <c r="D435" s="0" t="n">
        <v>76</v>
      </c>
      <c r="E435" s="0" t="s">
        <v>2035</v>
      </c>
      <c r="F435" s="0" t="s">
        <v>2036</v>
      </c>
      <c r="G435" s="0" t="s">
        <v>2037</v>
      </c>
    </row>
    <row r="436" customFormat="false" ht="15" hidden="false" customHeight="false" outlineLevel="0" collapsed="false">
      <c r="A436" s="0" t="s">
        <v>470</v>
      </c>
      <c r="B436" s="0" t="n">
        <v>434</v>
      </c>
      <c r="C436" s="0" t="n">
        <v>74</v>
      </c>
      <c r="D436" s="0" t="n">
        <v>165</v>
      </c>
      <c r="E436" s="0" t="s">
        <v>2038</v>
      </c>
      <c r="F436" s="0" t="s">
        <v>2039</v>
      </c>
      <c r="G436" s="0" t="s">
        <v>2040</v>
      </c>
    </row>
    <row r="437" customFormat="false" ht="15" hidden="false" customHeight="false" outlineLevel="0" collapsed="false">
      <c r="A437" s="0" t="s">
        <v>471</v>
      </c>
      <c r="B437" s="0" t="n">
        <v>118</v>
      </c>
      <c r="C437" s="0" t="n">
        <v>249</v>
      </c>
      <c r="D437" s="0" t="n">
        <v>288</v>
      </c>
      <c r="E437" s="0" t="s">
        <v>2041</v>
      </c>
      <c r="F437" s="0" t="s">
        <v>2042</v>
      </c>
      <c r="G437" s="0" t="s">
        <v>2043</v>
      </c>
    </row>
    <row r="438" customFormat="false" ht="15" hidden="false" customHeight="false" outlineLevel="0" collapsed="false">
      <c r="A438" s="0" t="s">
        <v>472</v>
      </c>
    </row>
    <row r="439" customFormat="false" ht="15" hidden="false" customHeight="false" outlineLevel="0" collapsed="false">
      <c r="A439" s="0" t="s">
        <v>473</v>
      </c>
      <c r="B439" s="0" t="n">
        <v>538</v>
      </c>
      <c r="C439" s="0" t="n">
        <v>653</v>
      </c>
      <c r="D439" s="0" t="n">
        <v>543</v>
      </c>
      <c r="E439" s="0" t="s">
        <v>2044</v>
      </c>
      <c r="F439" s="0" t="s">
        <v>2045</v>
      </c>
      <c r="G439" s="0" t="s">
        <v>2046</v>
      </c>
    </row>
    <row r="440" customFormat="false" ht="15" hidden="false" customHeight="false" outlineLevel="0" collapsed="false">
      <c r="A440" s="0" t="s">
        <v>474</v>
      </c>
      <c r="B440" s="0" t="n">
        <v>270</v>
      </c>
      <c r="C440" s="0" t="n">
        <v>207</v>
      </c>
      <c r="D440" s="0" t="n">
        <v>261</v>
      </c>
      <c r="E440" s="0" t="s">
        <v>2047</v>
      </c>
      <c r="F440" s="0" t="s">
        <v>2048</v>
      </c>
      <c r="G440" s="0" t="s">
        <v>2049</v>
      </c>
    </row>
    <row r="441" customFormat="false" ht="15" hidden="false" customHeight="false" outlineLevel="0" collapsed="false">
      <c r="A441" s="0" t="s">
        <v>475</v>
      </c>
      <c r="B441" s="0" t="n">
        <v>488</v>
      </c>
      <c r="C441" s="0" t="n">
        <v>478</v>
      </c>
      <c r="D441" s="0" t="n">
        <v>176</v>
      </c>
      <c r="E441" s="0" t="s">
        <v>2050</v>
      </c>
      <c r="F441" s="0" t="s">
        <v>2051</v>
      </c>
      <c r="G441" s="0" t="s">
        <v>1137</v>
      </c>
    </row>
    <row r="442" customFormat="false" ht="15" hidden="false" customHeight="false" outlineLevel="0" collapsed="false">
      <c r="A442" s="0" t="s">
        <v>476</v>
      </c>
      <c r="B442" s="0" t="n">
        <v>5</v>
      </c>
      <c r="C442" s="0" t="n">
        <v>304</v>
      </c>
      <c r="D442" s="0" t="n">
        <v>164</v>
      </c>
      <c r="E442" s="0" t="s">
        <v>2052</v>
      </c>
      <c r="F442" s="0" t="s">
        <v>2053</v>
      </c>
      <c r="G442" s="0" t="s">
        <v>2054</v>
      </c>
    </row>
    <row r="443" customFormat="false" ht="15" hidden="false" customHeight="false" outlineLevel="0" collapsed="false">
      <c r="A443" s="0" t="s">
        <v>477</v>
      </c>
    </row>
    <row r="444" customFormat="false" ht="15" hidden="false" customHeight="false" outlineLevel="0" collapsed="false">
      <c r="A444" s="0" t="s">
        <v>478</v>
      </c>
      <c r="B444" s="0" t="n">
        <v>27</v>
      </c>
      <c r="C444" s="0" t="n">
        <v>21</v>
      </c>
      <c r="D444" s="0" t="n">
        <v>327</v>
      </c>
      <c r="E444" s="0" t="s">
        <v>2055</v>
      </c>
      <c r="F444" s="0" t="s">
        <v>2056</v>
      </c>
      <c r="G444" s="0" t="s">
        <v>2057</v>
      </c>
    </row>
    <row r="445" customFormat="false" ht="15" hidden="false" customHeight="false" outlineLevel="0" collapsed="false">
      <c r="A445" s="0" t="s">
        <v>479</v>
      </c>
      <c r="B445" s="0" t="n">
        <v>15</v>
      </c>
      <c r="C445" s="0" t="n">
        <v>97</v>
      </c>
      <c r="D445" s="0" t="n">
        <v>178</v>
      </c>
      <c r="E445" s="0" t="s">
        <v>2058</v>
      </c>
      <c r="F445" s="0" t="s">
        <v>2059</v>
      </c>
      <c r="G445" s="0" t="s">
        <v>2060</v>
      </c>
    </row>
    <row r="446" customFormat="false" ht="15" hidden="false" customHeight="false" outlineLevel="0" collapsed="false">
      <c r="A446" s="0" t="s">
        <v>480</v>
      </c>
    </row>
    <row r="447" customFormat="false" ht="15" hidden="false" customHeight="false" outlineLevel="0" collapsed="false">
      <c r="A447" s="0" t="s">
        <v>481</v>
      </c>
      <c r="B447" s="0" t="n">
        <v>67</v>
      </c>
      <c r="C447" s="0" t="n">
        <v>94</v>
      </c>
      <c r="D447" s="0" t="n">
        <v>243</v>
      </c>
      <c r="E447" s="0" t="s">
        <v>2061</v>
      </c>
      <c r="F447" s="0" t="s">
        <v>2062</v>
      </c>
      <c r="G447" s="0" t="s">
        <v>2063</v>
      </c>
    </row>
    <row r="448" customFormat="false" ht="15" hidden="false" customHeight="false" outlineLevel="0" collapsed="false">
      <c r="A448" s="0" t="s">
        <v>482</v>
      </c>
      <c r="B448" s="0" t="n">
        <v>24</v>
      </c>
      <c r="C448" s="0" t="n">
        <v>186</v>
      </c>
      <c r="D448" s="0" t="n">
        <v>308</v>
      </c>
      <c r="E448" s="0" t="s">
        <v>2064</v>
      </c>
      <c r="F448" s="0" t="s">
        <v>2065</v>
      </c>
      <c r="G448" s="0" t="s">
        <v>2066</v>
      </c>
    </row>
    <row r="449" customFormat="false" ht="15" hidden="false" customHeight="false" outlineLevel="0" collapsed="false">
      <c r="A449" s="0" t="s">
        <v>483</v>
      </c>
      <c r="B449" s="0" t="n">
        <v>709</v>
      </c>
      <c r="C449" s="0" t="n">
        <v>694</v>
      </c>
      <c r="D449" s="0" t="n">
        <v>584</v>
      </c>
      <c r="E449" s="0" t="s">
        <v>2067</v>
      </c>
      <c r="F449" s="0" t="s">
        <v>2068</v>
      </c>
      <c r="G449" s="0" t="s">
        <v>2069</v>
      </c>
    </row>
    <row r="450" customFormat="false" ht="15" hidden="false" customHeight="false" outlineLevel="0" collapsed="false">
      <c r="A450" s="0" t="s">
        <v>484</v>
      </c>
    </row>
    <row r="451" customFormat="false" ht="15" hidden="false" customHeight="false" outlineLevel="0" collapsed="false">
      <c r="A451" s="0" t="s">
        <v>485</v>
      </c>
      <c r="B451" s="0" t="n">
        <v>450</v>
      </c>
      <c r="C451" s="0" t="n">
        <v>407</v>
      </c>
      <c r="D451" s="0" t="n">
        <v>116</v>
      </c>
      <c r="E451" s="0" t="s">
        <v>2070</v>
      </c>
      <c r="F451" s="0" t="s">
        <v>2071</v>
      </c>
      <c r="G451" s="0" t="s">
        <v>2072</v>
      </c>
    </row>
    <row r="452" customFormat="false" ht="15" hidden="false" customHeight="false" outlineLevel="0" collapsed="false">
      <c r="A452" s="0" t="s">
        <v>486</v>
      </c>
    </row>
    <row r="453" customFormat="false" ht="15" hidden="false" customHeight="false" outlineLevel="0" collapsed="false">
      <c r="A453" s="0" t="s">
        <v>487</v>
      </c>
      <c r="B453" s="0" t="n">
        <v>237</v>
      </c>
      <c r="C453" s="0" t="n">
        <v>368</v>
      </c>
      <c r="D453" s="0" t="n">
        <v>503</v>
      </c>
      <c r="E453" s="0" t="s">
        <v>2073</v>
      </c>
      <c r="F453" s="0" t="s">
        <v>2074</v>
      </c>
      <c r="G453" s="0" t="s">
        <v>2075</v>
      </c>
    </row>
    <row r="454" customFormat="false" ht="15" hidden="false" customHeight="false" outlineLevel="0" collapsed="false">
      <c r="A454" s="0" t="s">
        <v>488</v>
      </c>
      <c r="B454" s="0" t="n">
        <v>198</v>
      </c>
      <c r="C454" s="0" t="n">
        <v>183</v>
      </c>
      <c r="D454" s="0" t="n">
        <v>38</v>
      </c>
      <c r="E454" s="0" t="s">
        <v>2076</v>
      </c>
      <c r="F454" s="0" t="s">
        <v>2077</v>
      </c>
      <c r="G454" s="0" t="s">
        <v>2078</v>
      </c>
    </row>
    <row r="455" customFormat="false" ht="15" hidden="false" customHeight="false" outlineLevel="0" collapsed="false">
      <c r="A455" s="0" t="s">
        <v>489</v>
      </c>
      <c r="B455" s="0" t="n">
        <v>148</v>
      </c>
      <c r="C455" s="0" t="n">
        <v>152</v>
      </c>
      <c r="D455" s="0" t="n">
        <v>370</v>
      </c>
      <c r="E455" s="0" t="s">
        <v>2079</v>
      </c>
      <c r="F455" s="0" t="s">
        <v>2080</v>
      </c>
      <c r="G455" s="0" t="s">
        <v>2081</v>
      </c>
    </row>
    <row r="456" customFormat="false" ht="15" hidden="false" customHeight="false" outlineLevel="0" collapsed="false">
      <c r="A456" s="0" t="s">
        <v>490</v>
      </c>
      <c r="B456" s="0" t="n">
        <v>619</v>
      </c>
      <c r="C456" s="0" t="n">
        <v>498</v>
      </c>
      <c r="D456" s="0" t="n">
        <v>571</v>
      </c>
      <c r="E456" s="0" t="s">
        <v>2082</v>
      </c>
      <c r="F456" s="0" t="s">
        <v>2083</v>
      </c>
      <c r="G456" s="0" t="s">
        <v>2084</v>
      </c>
    </row>
    <row r="457" customFormat="false" ht="15" hidden="false" customHeight="false" outlineLevel="0" collapsed="false">
      <c r="A457" s="0" t="s">
        <v>491</v>
      </c>
      <c r="B457" s="0" t="n">
        <v>250</v>
      </c>
      <c r="C457" s="0" t="n">
        <v>310</v>
      </c>
      <c r="D457" s="0" t="n">
        <v>305</v>
      </c>
      <c r="E457" s="0" t="s">
        <v>2085</v>
      </c>
      <c r="F457" s="0" t="s">
        <v>2086</v>
      </c>
      <c r="G457" s="0" t="s">
        <v>2087</v>
      </c>
    </row>
    <row r="458" customFormat="false" ht="15" hidden="false" customHeight="false" outlineLevel="0" collapsed="false">
      <c r="A458" s="0" t="s">
        <v>492</v>
      </c>
      <c r="B458" s="0" t="n">
        <v>269</v>
      </c>
      <c r="C458" s="0" t="n">
        <v>337</v>
      </c>
      <c r="D458" s="0" t="n">
        <v>68</v>
      </c>
      <c r="E458" s="0" t="s">
        <v>2088</v>
      </c>
      <c r="F458" s="0" t="s">
        <v>2089</v>
      </c>
      <c r="G458" s="0" t="s">
        <v>2090</v>
      </c>
    </row>
    <row r="459" customFormat="false" ht="15" hidden="false" customHeight="false" outlineLevel="0" collapsed="false">
      <c r="A459" s="0" t="s">
        <v>493</v>
      </c>
      <c r="B459" s="0" t="n">
        <v>252</v>
      </c>
      <c r="C459" s="0" t="n">
        <v>269</v>
      </c>
      <c r="D459" s="0" t="n">
        <v>148</v>
      </c>
      <c r="E459" s="0" t="s">
        <v>2091</v>
      </c>
      <c r="F459" s="0" t="s">
        <v>2092</v>
      </c>
      <c r="G459" s="0" t="s">
        <v>2093</v>
      </c>
    </row>
    <row r="460" customFormat="false" ht="15" hidden="false" customHeight="false" outlineLevel="0" collapsed="false">
      <c r="A460" s="0" t="s">
        <v>494</v>
      </c>
      <c r="B460" s="0" t="n">
        <v>204</v>
      </c>
      <c r="C460" s="0" t="n">
        <v>130</v>
      </c>
      <c r="D460" s="0" t="n">
        <v>179</v>
      </c>
      <c r="E460" s="0" t="s">
        <v>2094</v>
      </c>
      <c r="F460" s="0" t="s">
        <v>2095</v>
      </c>
      <c r="G460" s="0" t="s">
        <v>2096</v>
      </c>
    </row>
    <row r="461" customFormat="false" ht="15" hidden="false" customHeight="false" outlineLevel="0" collapsed="false">
      <c r="A461" s="0" t="s">
        <v>495</v>
      </c>
      <c r="B461" s="0" t="n">
        <v>41</v>
      </c>
      <c r="C461" s="0" t="n">
        <v>193</v>
      </c>
      <c r="D461" s="0" t="n">
        <v>538</v>
      </c>
      <c r="E461" s="0" t="s">
        <v>2097</v>
      </c>
      <c r="F461" s="0" t="s">
        <v>2098</v>
      </c>
      <c r="G461" s="0" t="s">
        <v>2099</v>
      </c>
    </row>
    <row r="462" customFormat="false" ht="15" hidden="false" customHeight="false" outlineLevel="0" collapsed="false">
      <c r="A462" s="0" t="s">
        <v>496</v>
      </c>
      <c r="B462" s="0" t="n">
        <v>294</v>
      </c>
      <c r="C462" s="0" t="n">
        <v>145</v>
      </c>
      <c r="D462" s="0" t="n">
        <v>212</v>
      </c>
      <c r="E462" s="0" t="s">
        <v>2100</v>
      </c>
      <c r="F462" s="0" t="s">
        <v>2101</v>
      </c>
      <c r="G462" s="0" t="s">
        <v>2102</v>
      </c>
    </row>
    <row r="463" customFormat="false" ht="15" hidden="false" customHeight="false" outlineLevel="0" collapsed="false">
      <c r="A463" s="0" t="s">
        <v>497</v>
      </c>
      <c r="B463" s="0" t="n">
        <v>235</v>
      </c>
      <c r="C463" s="0" t="n">
        <v>195</v>
      </c>
      <c r="D463" s="0" t="n">
        <v>113</v>
      </c>
      <c r="E463" s="0" t="s">
        <v>2103</v>
      </c>
      <c r="F463" s="0" t="s">
        <v>2104</v>
      </c>
      <c r="G463" s="0" t="s">
        <v>2105</v>
      </c>
    </row>
    <row r="464" customFormat="false" ht="15" hidden="false" customHeight="false" outlineLevel="0" collapsed="false">
      <c r="A464" s="0" t="s">
        <v>498</v>
      </c>
      <c r="B464" s="0" t="n">
        <v>280</v>
      </c>
      <c r="C464" s="0" t="n">
        <v>577</v>
      </c>
      <c r="D464" s="0" t="n">
        <v>247</v>
      </c>
      <c r="E464" s="0" t="s">
        <v>2106</v>
      </c>
      <c r="F464" s="0" t="s">
        <v>2107</v>
      </c>
      <c r="G464" s="0" t="s">
        <v>2108</v>
      </c>
    </row>
    <row r="465" customFormat="false" ht="15" hidden="false" customHeight="false" outlineLevel="0" collapsed="false">
      <c r="A465" s="0" t="s">
        <v>499</v>
      </c>
      <c r="B465" s="0" t="n">
        <v>400</v>
      </c>
      <c r="C465" s="0" t="n">
        <v>461</v>
      </c>
      <c r="D465" s="0" t="n">
        <v>325</v>
      </c>
      <c r="E465" s="0" t="s">
        <v>2109</v>
      </c>
      <c r="F465" s="0" t="s">
        <v>2110</v>
      </c>
      <c r="G465" s="0" t="s">
        <v>2111</v>
      </c>
    </row>
    <row r="466" customFormat="false" ht="15" hidden="false" customHeight="false" outlineLevel="0" collapsed="false">
      <c r="A466" s="0" t="s">
        <v>500</v>
      </c>
      <c r="B466" s="0" t="n">
        <v>133</v>
      </c>
      <c r="C466" s="0" t="n">
        <v>140</v>
      </c>
      <c r="D466" s="0" t="n">
        <v>256</v>
      </c>
      <c r="E466" s="0" t="s">
        <v>2112</v>
      </c>
      <c r="F466" s="0" t="s">
        <v>2113</v>
      </c>
      <c r="G466" s="0" t="s">
        <v>2114</v>
      </c>
    </row>
    <row r="467" customFormat="false" ht="15" hidden="false" customHeight="false" outlineLevel="0" collapsed="false">
      <c r="A467" s="0" t="s">
        <v>501</v>
      </c>
      <c r="B467" s="0" t="n">
        <v>514</v>
      </c>
      <c r="C467" s="0" t="n">
        <v>516</v>
      </c>
      <c r="D467" s="0" t="n">
        <v>468</v>
      </c>
      <c r="E467" s="0" t="s">
        <v>2115</v>
      </c>
      <c r="F467" s="0" t="s">
        <v>2116</v>
      </c>
      <c r="G467" s="0" t="s">
        <v>2117</v>
      </c>
    </row>
    <row r="468" customFormat="false" ht="15" hidden="false" customHeight="false" outlineLevel="0" collapsed="false">
      <c r="A468" s="0" t="s">
        <v>502</v>
      </c>
      <c r="B468" s="0" t="n">
        <v>509</v>
      </c>
      <c r="C468" s="0" t="n">
        <v>572</v>
      </c>
      <c r="D468" s="0" t="n">
        <v>598</v>
      </c>
      <c r="E468" s="0" t="s">
        <v>2118</v>
      </c>
      <c r="F468" s="0" t="s">
        <v>2119</v>
      </c>
      <c r="G468" s="0" t="s">
        <v>2120</v>
      </c>
    </row>
    <row r="469" customFormat="false" ht="15" hidden="false" customHeight="false" outlineLevel="0" collapsed="false">
      <c r="A469" s="0" t="s">
        <v>503</v>
      </c>
      <c r="B469" s="0" t="n">
        <v>283</v>
      </c>
      <c r="C469" s="0" t="n">
        <v>499</v>
      </c>
      <c r="D469" s="0" t="n">
        <v>242</v>
      </c>
      <c r="E469" s="0" t="s">
        <v>2121</v>
      </c>
      <c r="F469" s="0" t="s">
        <v>2122</v>
      </c>
      <c r="G469" s="0" t="s">
        <v>2123</v>
      </c>
    </row>
    <row r="470" customFormat="false" ht="15" hidden="false" customHeight="false" outlineLevel="0" collapsed="false">
      <c r="A470" s="0" t="s">
        <v>504</v>
      </c>
      <c r="B470" s="0" t="n">
        <v>356</v>
      </c>
      <c r="C470" s="0" t="n">
        <v>185</v>
      </c>
      <c r="D470" s="0" t="n">
        <v>134</v>
      </c>
      <c r="E470" s="0" t="s">
        <v>2124</v>
      </c>
      <c r="F470" s="0" t="s">
        <v>2125</v>
      </c>
      <c r="G470" s="0" t="s">
        <v>2126</v>
      </c>
    </row>
    <row r="471" customFormat="false" ht="15" hidden="false" customHeight="false" outlineLevel="0" collapsed="false">
      <c r="A471" s="0" t="s">
        <v>505</v>
      </c>
      <c r="B471" s="0" t="n">
        <v>28</v>
      </c>
      <c r="C471" s="0" t="n">
        <v>139</v>
      </c>
      <c r="D471" s="0" t="n">
        <v>86</v>
      </c>
      <c r="E471" s="0" t="s">
        <v>2127</v>
      </c>
      <c r="F471" s="0" t="s">
        <v>2128</v>
      </c>
      <c r="G471" s="0" t="s">
        <v>2129</v>
      </c>
    </row>
    <row r="472" customFormat="false" ht="15" hidden="false" customHeight="false" outlineLevel="0" collapsed="false">
      <c r="A472" s="0" t="s">
        <v>506</v>
      </c>
      <c r="B472" s="0" t="n">
        <v>94</v>
      </c>
      <c r="C472" s="0" t="n">
        <v>90</v>
      </c>
      <c r="D472" s="0" t="n">
        <v>5</v>
      </c>
      <c r="E472" s="0" t="s">
        <v>2130</v>
      </c>
      <c r="F472" s="0" t="s">
        <v>2131</v>
      </c>
      <c r="G472" s="0" t="s">
        <v>2132</v>
      </c>
    </row>
    <row r="473" customFormat="false" ht="15" hidden="false" customHeight="false" outlineLevel="0" collapsed="false">
      <c r="A473" s="0" t="s">
        <v>507</v>
      </c>
      <c r="B473" s="0" t="n">
        <v>368</v>
      </c>
      <c r="C473" s="0" t="n">
        <v>402</v>
      </c>
      <c r="D473" s="0" t="n">
        <v>524</v>
      </c>
      <c r="E473" s="0" t="s">
        <v>2133</v>
      </c>
      <c r="F473" s="0" t="s">
        <v>2134</v>
      </c>
      <c r="G473" s="0" t="s">
        <v>2135</v>
      </c>
    </row>
    <row r="474" customFormat="false" ht="15" hidden="false" customHeight="false" outlineLevel="0" collapsed="false">
      <c r="A474" s="0" t="s">
        <v>508</v>
      </c>
      <c r="B474" s="0" t="n">
        <v>1</v>
      </c>
      <c r="C474" s="0" t="n">
        <v>29</v>
      </c>
      <c r="D474" s="0" t="n">
        <v>289</v>
      </c>
      <c r="E474" s="0" t="s">
        <v>2136</v>
      </c>
      <c r="F474" s="0" t="s">
        <v>2137</v>
      </c>
      <c r="G474" s="0" t="s">
        <v>2138</v>
      </c>
    </row>
    <row r="475" customFormat="false" ht="15" hidden="false" customHeight="false" outlineLevel="0" collapsed="false">
      <c r="A475" s="0" t="s">
        <v>509</v>
      </c>
      <c r="B475" s="0" t="n">
        <v>227</v>
      </c>
      <c r="C475" s="0" t="n">
        <v>420</v>
      </c>
      <c r="D475" s="0" t="n">
        <v>99</v>
      </c>
      <c r="E475" s="0" t="s">
        <v>2139</v>
      </c>
      <c r="F475" s="0" t="s">
        <v>2140</v>
      </c>
      <c r="G475" s="0" t="s">
        <v>2141</v>
      </c>
    </row>
    <row r="476" customFormat="false" ht="15" hidden="false" customHeight="false" outlineLevel="0" collapsed="false">
      <c r="A476" s="0" t="s">
        <v>510</v>
      </c>
      <c r="B476" s="0" t="n">
        <v>493</v>
      </c>
      <c r="C476" s="0" t="n">
        <v>561</v>
      </c>
      <c r="D476" s="0" t="n">
        <v>6</v>
      </c>
      <c r="E476" s="0" t="s">
        <v>2142</v>
      </c>
      <c r="F476" s="0" t="s">
        <v>2143</v>
      </c>
      <c r="G476" s="0" t="s">
        <v>2144</v>
      </c>
    </row>
    <row r="477" customFormat="false" ht="15" hidden="false" customHeight="false" outlineLevel="0" collapsed="false">
      <c r="A477" s="0" t="s">
        <v>511</v>
      </c>
      <c r="B477" s="0" t="n">
        <v>104</v>
      </c>
      <c r="C477" s="0" t="n">
        <v>328</v>
      </c>
      <c r="D477" s="0" t="n">
        <v>20</v>
      </c>
      <c r="E477" s="0" t="s">
        <v>2145</v>
      </c>
      <c r="F477" s="0" t="s">
        <v>2146</v>
      </c>
      <c r="G477" s="0" t="s">
        <v>2147</v>
      </c>
    </row>
    <row r="478" customFormat="false" ht="15" hidden="false" customHeight="false" outlineLevel="0" collapsed="false">
      <c r="A478" s="0" t="s">
        <v>512</v>
      </c>
      <c r="B478" s="0" t="n">
        <v>458</v>
      </c>
      <c r="C478" s="0" t="n">
        <v>591</v>
      </c>
      <c r="D478" s="0" t="n">
        <v>537</v>
      </c>
      <c r="E478" s="0" t="s">
        <v>2148</v>
      </c>
      <c r="F478" s="0" t="s">
        <v>2149</v>
      </c>
      <c r="G478" s="0" t="s">
        <v>2150</v>
      </c>
    </row>
    <row r="479" customFormat="false" ht="15" hidden="false" customHeight="false" outlineLevel="0" collapsed="false">
      <c r="A479" s="0" t="s">
        <v>513</v>
      </c>
      <c r="B479" s="0" t="n">
        <v>537</v>
      </c>
      <c r="C479" s="0" t="n">
        <v>585</v>
      </c>
      <c r="D479" s="0" t="n">
        <v>132</v>
      </c>
      <c r="E479" s="0" t="s">
        <v>2151</v>
      </c>
      <c r="F479" s="0" t="s">
        <v>2152</v>
      </c>
      <c r="G479" s="0" t="s">
        <v>2153</v>
      </c>
    </row>
    <row r="480" customFormat="false" ht="15" hidden="false" customHeight="false" outlineLevel="0" collapsed="false">
      <c r="A480" s="0" t="s">
        <v>514</v>
      </c>
      <c r="B480" s="0" t="n">
        <v>33</v>
      </c>
      <c r="C480" s="0" t="n">
        <v>71</v>
      </c>
      <c r="D480" s="0" t="n">
        <v>238</v>
      </c>
      <c r="E480" s="0" t="s">
        <v>2154</v>
      </c>
      <c r="F480" s="0" t="s">
        <v>2155</v>
      </c>
      <c r="G480" s="0" t="s">
        <v>2156</v>
      </c>
    </row>
    <row r="481" customFormat="false" ht="15" hidden="false" customHeight="false" outlineLevel="0" collapsed="false">
      <c r="A481" s="0" t="s">
        <v>515</v>
      </c>
      <c r="B481" s="0" t="n">
        <v>46</v>
      </c>
      <c r="C481" s="0" t="n">
        <v>262</v>
      </c>
      <c r="D481" s="0" t="n">
        <v>101</v>
      </c>
      <c r="E481" s="0" t="s">
        <v>2157</v>
      </c>
      <c r="F481" s="0" t="s">
        <v>2158</v>
      </c>
      <c r="G481" s="0" t="s">
        <v>2159</v>
      </c>
    </row>
    <row r="482" customFormat="false" ht="15" hidden="false" customHeight="false" outlineLevel="0" collapsed="false">
      <c r="A482" s="0" t="s">
        <v>516</v>
      </c>
      <c r="B482" s="0" t="n">
        <v>189</v>
      </c>
      <c r="C482" s="0" t="n">
        <v>555</v>
      </c>
      <c r="D482" s="0" t="n">
        <v>246</v>
      </c>
      <c r="E482" s="0" t="s">
        <v>2160</v>
      </c>
      <c r="F482" s="0" t="s">
        <v>2161</v>
      </c>
      <c r="G482" s="0" t="s">
        <v>2162</v>
      </c>
    </row>
    <row r="483" customFormat="false" ht="15" hidden="false" customHeight="false" outlineLevel="0" collapsed="false">
      <c r="A483" s="0" t="s">
        <v>517</v>
      </c>
      <c r="B483" s="0" t="n">
        <v>328</v>
      </c>
      <c r="C483" s="0" t="n">
        <v>250</v>
      </c>
      <c r="D483" s="0" t="n">
        <v>98</v>
      </c>
      <c r="E483" s="0" t="s">
        <v>2163</v>
      </c>
      <c r="F483" s="0" t="s">
        <v>2164</v>
      </c>
      <c r="G483" s="0" t="s">
        <v>2165</v>
      </c>
    </row>
    <row r="484" customFormat="false" ht="15" hidden="false" customHeight="false" outlineLevel="0" collapsed="false">
      <c r="A484" s="0" t="s">
        <v>518</v>
      </c>
      <c r="B484" s="0" t="n">
        <v>196</v>
      </c>
      <c r="C484" s="0" t="n">
        <v>172</v>
      </c>
      <c r="D484" s="0" t="n">
        <v>65</v>
      </c>
      <c r="E484" s="0" t="s">
        <v>2166</v>
      </c>
      <c r="F484" s="0" t="s">
        <v>2167</v>
      </c>
      <c r="G484" s="0" t="s">
        <v>2168</v>
      </c>
    </row>
    <row r="485" customFormat="false" ht="15" hidden="false" customHeight="false" outlineLevel="0" collapsed="false">
      <c r="A485" s="0" t="s">
        <v>519</v>
      </c>
      <c r="B485" s="0" t="n">
        <v>120</v>
      </c>
      <c r="C485" s="0" t="n">
        <v>387</v>
      </c>
      <c r="D485" s="0" t="n">
        <v>158</v>
      </c>
      <c r="E485" s="0" t="s">
        <v>2169</v>
      </c>
      <c r="F485" s="0" t="s">
        <v>2170</v>
      </c>
      <c r="G485" s="0" t="s">
        <v>2171</v>
      </c>
    </row>
    <row r="486" customFormat="false" ht="15" hidden="false" customHeight="false" outlineLevel="0" collapsed="false">
      <c r="A486" s="0" t="s">
        <v>520</v>
      </c>
    </row>
    <row r="487" customFormat="false" ht="15" hidden="false" customHeight="false" outlineLevel="0" collapsed="false">
      <c r="A487" s="0" t="s">
        <v>521</v>
      </c>
      <c r="B487" s="0" t="n">
        <v>82</v>
      </c>
      <c r="C487" s="0" t="n">
        <v>342</v>
      </c>
      <c r="D487" s="0" t="n">
        <v>200</v>
      </c>
      <c r="E487" s="0" t="s">
        <v>2172</v>
      </c>
      <c r="F487" s="0" t="s">
        <v>2173</v>
      </c>
      <c r="G487" s="0" t="s">
        <v>2174</v>
      </c>
    </row>
    <row r="488" customFormat="false" ht="15" hidden="false" customHeight="false" outlineLevel="0" collapsed="false">
      <c r="A488" s="0" t="s">
        <v>522</v>
      </c>
      <c r="B488" s="0" t="n">
        <v>132</v>
      </c>
      <c r="C488" s="0" t="n">
        <v>192</v>
      </c>
      <c r="D488" s="0" t="n">
        <v>224</v>
      </c>
      <c r="E488" s="0" t="s">
        <v>2175</v>
      </c>
      <c r="F488" s="0" t="s">
        <v>2176</v>
      </c>
      <c r="G488" s="0" t="s">
        <v>2177</v>
      </c>
    </row>
    <row r="489" customFormat="false" ht="15" hidden="false" customHeight="false" outlineLevel="0" collapsed="false">
      <c r="A489" s="0" t="s">
        <v>523</v>
      </c>
      <c r="B489" s="0" t="n">
        <v>460</v>
      </c>
      <c r="C489" s="0" t="n">
        <v>611</v>
      </c>
      <c r="D489" s="0" t="n">
        <v>10</v>
      </c>
      <c r="E489" s="0" t="s">
        <v>2178</v>
      </c>
      <c r="F489" s="0" t="s">
        <v>2179</v>
      </c>
      <c r="G489" s="0" t="s">
        <v>2180</v>
      </c>
    </row>
    <row r="490" customFormat="false" ht="15" hidden="false" customHeight="false" outlineLevel="0" collapsed="false">
      <c r="A490" s="0" t="s">
        <v>524</v>
      </c>
      <c r="B490" s="0" t="n">
        <v>393</v>
      </c>
      <c r="C490" s="0" t="n">
        <v>409</v>
      </c>
      <c r="D490" s="0" t="n">
        <v>359</v>
      </c>
      <c r="E490" s="0" t="s">
        <v>2181</v>
      </c>
      <c r="F490" s="0" t="s">
        <v>2182</v>
      </c>
      <c r="G490" s="0" t="s">
        <v>2183</v>
      </c>
    </row>
    <row r="491" customFormat="false" ht="15" hidden="false" customHeight="false" outlineLevel="0" collapsed="false">
      <c r="A491" s="0" t="s">
        <v>525</v>
      </c>
      <c r="B491" s="0" t="n">
        <v>195</v>
      </c>
      <c r="C491" s="0" t="n">
        <v>230</v>
      </c>
      <c r="D491" s="0" t="n">
        <v>470</v>
      </c>
      <c r="E491" s="0" t="s">
        <v>2184</v>
      </c>
      <c r="F491" s="0" t="s">
        <v>2185</v>
      </c>
      <c r="G491" s="0" t="s">
        <v>2186</v>
      </c>
    </row>
    <row r="492" customFormat="false" ht="15" hidden="false" customHeight="false" outlineLevel="0" collapsed="false">
      <c r="A492" s="0" t="s">
        <v>526</v>
      </c>
      <c r="B492" s="0" t="n">
        <v>102</v>
      </c>
      <c r="C492" s="0" t="n">
        <v>312</v>
      </c>
      <c r="D492" s="0" t="n">
        <v>97</v>
      </c>
      <c r="E492" s="0" t="s">
        <v>2187</v>
      </c>
      <c r="F492" s="0" t="s">
        <v>2188</v>
      </c>
      <c r="G492" s="0" t="s">
        <v>2189</v>
      </c>
    </row>
    <row r="493" customFormat="false" ht="15" hidden="false" customHeight="false" outlineLevel="0" collapsed="false">
      <c r="A493" s="0" t="s">
        <v>527</v>
      </c>
      <c r="B493" s="0" t="n">
        <v>696</v>
      </c>
      <c r="C493" s="0" t="n">
        <v>634</v>
      </c>
      <c r="D493" s="0" t="n">
        <v>354</v>
      </c>
      <c r="E493" s="0" t="s">
        <v>2190</v>
      </c>
      <c r="F493" s="0" t="s">
        <v>2191</v>
      </c>
      <c r="G493" s="0" t="s">
        <v>2192</v>
      </c>
    </row>
    <row r="494" customFormat="false" ht="15" hidden="false" customHeight="false" outlineLevel="0" collapsed="false">
      <c r="A494" s="0" t="s">
        <v>528</v>
      </c>
      <c r="B494" s="0" t="n">
        <v>158</v>
      </c>
      <c r="C494" s="0" t="n">
        <v>117</v>
      </c>
      <c r="D494" s="0" t="n">
        <v>377</v>
      </c>
      <c r="E494" s="0" t="s">
        <v>2193</v>
      </c>
      <c r="F494" s="0" t="s">
        <v>2194</v>
      </c>
      <c r="G494" s="0" t="s">
        <v>2195</v>
      </c>
    </row>
    <row r="495" customFormat="false" ht="15" hidden="false" customHeight="false" outlineLevel="0" collapsed="false">
      <c r="A495" s="0" t="s">
        <v>529</v>
      </c>
      <c r="B495" s="0" t="n">
        <v>168</v>
      </c>
      <c r="C495" s="0" t="n">
        <v>137</v>
      </c>
      <c r="D495" s="0" t="n">
        <v>299</v>
      </c>
      <c r="E495" s="0" t="s">
        <v>2196</v>
      </c>
      <c r="F495" s="0" t="s">
        <v>2197</v>
      </c>
      <c r="G495" s="0" t="s">
        <v>2198</v>
      </c>
    </row>
    <row r="496" customFormat="false" ht="15" hidden="false" customHeight="false" outlineLevel="0" collapsed="false">
      <c r="A496" s="0" t="s">
        <v>530</v>
      </c>
      <c r="B496" s="0" t="n">
        <v>217</v>
      </c>
      <c r="C496" s="0" t="n">
        <v>216</v>
      </c>
      <c r="D496" s="0" t="n">
        <v>125</v>
      </c>
      <c r="E496" s="0" t="s">
        <v>2199</v>
      </c>
      <c r="F496" s="0" t="s">
        <v>2200</v>
      </c>
      <c r="G496" s="0" t="s">
        <v>2201</v>
      </c>
    </row>
    <row r="497" customFormat="false" ht="15" hidden="false" customHeight="false" outlineLevel="0" collapsed="false">
      <c r="A497" s="0" t="s">
        <v>531</v>
      </c>
      <c r="B497" s="0" t="n">
        <v>205</v>
      </c>
      <c r="C497" s="0" t="n">
        <v>390</v>
      </c>
      <c r="D497" s="0" t="n">
        <v>294</v>
      </c>
      <c r="E497" s="0" t="s">
        <v>2202</v>
      </c>
      <c r="F497" s="0" t="s">
        <v>2203</v>
      </c>
      <c r="G497" s="0" t="s">
        <v>2204</v>
      </c>
    </row>
    <row r="498" customFormat="false" ht="15" hidden="false" customHeight="false" outlineLevel="0" collapsed="false">
      <c r="A498" s="0" t="s">
        <v>532</v>
      </c>
      <c r="B498" s="0" t="n">
        <v>481</v>
      </c>
      <c r="C498" s="0" t="n">
        <v>706</v>
      </c>
      <c r="D498" s="0" t="n">
        <v>625</v>
      </c>
      <c r="E498" s="0" t="s">
        <v>2205</v>
      </c>
      <c r="F498" s="0" t="s">
        <v>2206</v>
      </c>
      <c r="G498" s="0" t="s">
        <v>2207</v>
      </c>
    </row>
    <row r="499" customFormat="false" ht="15" hidden="false" customHeight="false" outlineLevel="0" collapsed="false">
      <c r="A499" s="0" t="s">
        <v>533</v>
      </c>
      <c r="B499" s="0" t="n">
        <v>36</v>
      </c>
      <c r="C499" s="0" t="n">
        <v>135</v>
      </c>
      <c r="D499" s="0" t="n">
        <v>206</v>
      </c>
      <c r="E499" s="0" t="s">
        <v>2208</v>
      </c>
      <c r="F499" s="0" t="s">
        <v>2209</v>
      </c>
      <c r="G499" s="0" t="s">
        <v>2210</v>
      </c>
    </row>
    <row r="500" customFormat="false" ht="15" hidden="false" customHeight="false" outlineLevel="0" collapsed="false">
      <c r="A500" s="0" t="s">
        <v>534</v>
      </c>
      <c r="B500" s="0" t="n">
        <v>640</v>
      </c>
      <c r="C500" s="0" t="n">
        <v>691</v>
      </c>
      <c r="D500" s="0" t="n">
        <v>466</v>
      </c>
      <c r="E500" s="0" t="s">
        <v>2211</v>
      </c>
      <c r="F500" s="0" t="s">
        <v>2212</v>
      </c>
      <c r="G500" s="0" t="s">
        <v>2213</v>
      </c>
    </row>
    <row r="501" customFormat="false" ht="15" hidden="false" customHeight="false" outlineLevel="0" collapsed="false">
      <c r="A501" s="0" t="s">
        <v>535</v>
      </c>
      <c r="B501" s="0" t="n">
        <v>258</v>
      </c>
      <c r="C501" s="0" t="n">
        <v>395</v>
      </c>
      <c r="D501" s="0" t="n">
        <v>171</v>
      </c>
      <c r="E501" s="0" t="s">
        <v>2214</v>
      </c>
      <c r="F501" s="0" t="s">
        <v>2215</v>
      </c>
      <c r="G501" s="0" t="s">
        <v>2216</v>
      </c>
    </row>
    <row r="502" customFormat="false" ht="15" hidden="false" customHeight="false" outlineLevel="0" collapsed="false">
      <c r="A502" s="0" t="s">
        <v>536</v>
      </c>
      <c r="B502" s="0" t="n">
        <v>380</v>
      </c>
      <c r="C502" s="0" t="n">
        <v>441</v>
      </c>
      <c r="D502" s="0" t="n">
        <v>274</v>
      </c>
      <c r="E502" s="0" t="s">
        <v>2217</v>
      </c>
      <c r="F502" s="0" t="s">
        <v>2218</v>
      </c>
      <c r="G502" s="0" t="s">
        <v>2219</v>
      </c>
    </row>
    <row r="503" customFormat="false" ht="15" hidden="false" customHeight="false" outlineLevel="0" collapsed="false">
      <c r="A503" s="0" t="s">
        <v>537</v>
      </c>
      <c r="B503" s="0" t="n">
        <v>567</v>
      </c>
      <c r="C503" s="0" t="n">
        <v>606</v>
      </c>
      <c r="D503" s="0" t="n">
        <v>162</v>
      </c>
      <c r="E503" s="0" t="s">
        <v>2220</v>
      </c>
      <c r="F503" s="0" t="s">
        <v>2221</v>
      </c>
      <c r="G503" s="0" t="s">
        <v>2222</v>
      </c>
    </row>
    <row r="504" customFormat="false" ht="15" hidden="false" customHeight="false" outlineLevel="0" collapsed="false">
      <c r="A504" s="0" t="s">
        <v>538</v>
      </c>
      <c r="B504" s="0" t="n">
        <v>278</v>
      </c>
      <c r="C504" s="0" t="n">
        <v>314</v>
      </c>
      <c r="D504" s="0" t="n">
        <v>77</v>
      </c>
      <c r="E504" s="0" t="s">
        <v>2223</v>
      </c>
      <c r="F504" s="0" t="s">
        <v>2224</v>
      </c>
      <c r="G504" s="0" t="s">
        <v>2225</v>
      </c>
    </row>
    <row r="505" customFormat="false" ht="15" hidden="false" customHeight="false" outlineLevel="0" collapsed="false">
      <c r="A505" s="0" t="s">
        <v>539</v>
      </c>
      <c r="B505" s="0" t="n">
        <v>241</v>
      </c>
      <c r="C505" s="0" t="n">
        <v>56</v>
      </c>
      <c r="D505" s="0" t="n">
        <v>298</v>
      </c>
      <c r="E505" s="0" t="s">
        <v>2226</v>
      </c>
      <c r="F505" s="0" t="s">
        <v>2227</v>
      </c>
      <c r="G505" s="0" t="s">
        <v>2228</v>
      </c>
    </row>
    <row r="506" customFormat="false" ht="15" hidden="false" customHeight="false" outlineLevel="0" collapsed="false">
      <c r="A506" s="0" t="s">
        <v>540</v>
      </c>
      <c r="B506" s="0" t="n">
        <v>130</v>
      </c>
      <c r="C506" s="0" t="n">
        <v>199</v>
      </c>
      <c r="D506" s="0" t="n">
        <v>177</v>
      </c>
      <c r="E506" s="0" t="s">
        <v>2229</v>
      </c>
      <c r="F506" s="0" t="s">
        <v>2230</v>
      </c>
      <c r="G506" s="0" t="s">
        <v>2231</v>
      </c>
    </row>
    <row r="507" customFormat="false" ht="15" hidden="false" customHeight="false" outlineLevel="0" collapsed="false">
      <c r="A507" s="0" t="s">
        <v>541</v>
      </c>
      <c r="B507" s="0" t="n">
        <v>291</v>
      </c>
      <c r="C507" s="0" t="n">
        <v>641</v>
      </c>
      <c r="D507" s="0" t="n">
        <v>518</v>
      </c>
      <c r="E507" s="0" t="s">
        <v>2232</v>
      </c>
      <c r="F507" s="0" t="s">
        <v>2233</v>
      </c>
      <c r="G507" s="0" t="s">
        <v>2234</v>
      </c>
    </row>
    <row r="508" customFormat="false" ht="15" hidden="false" customHeight="false" outlineLevel="0" collapsed="false">
      <c r="A508" s="0" t="s">
        <v>542</v>
      </c>
      <c r="B508" s="0" t="n">
        <v>556</v>
      </c>
      <c r="C508" s="0" t="n">
        <v>394</v>
      </c>
      <c r="D508" s="0" t="n">
        <v>67</v>
      </c>
      <c r="E508" s="0" t="s">
        <v>2235</v>
      </c>
      <c r="F508" s="0" t="s">
        <v>2236</v>
      </c>
      <c r="G508" s="0" t="s">
        <v>2237</v>
      </c>
    </row>
    <row r="509" customFormat="false" ht="15" hidden="false" customHeight="false" outlineLevel="0" collapsed="false">
      <c r="A509" s="0" t="s">
        <v>543</v>
      </c>
      <c r="B509" s="0" t="n">
        <v>6</v>
      </c>
      <c r="C509" s="0" t="n">
        <v>2</v>
      </c>
      <c r="D509" s="0" t="n">
        <v>141</v>
      </c>
      <c r="E509" s="0" t="s">
        <v>2238</v>
      </c>
      <c r="F509" s="0" t="s">
        <v>2239</v>
      </c>
      <c r="G509" s="0" t="s">
        <v>2240</v>
      </c>
    </row>
    <row r="510" customFormat="false" ht="15" hidden="false" customHeight="false" outlineLevel="0" collapsed="false">
      <c r="A510" s="0" t="s">
        <v>544</v>
      </c>
      <c r="B510" s="0" t="n">
        <v>651</v>
      </c>
      <c r="C510" s="0" t="n">
        <v>679</v>
      </c>
      <c r="D510" s="0" t="n">
        <v>323</v>
      </c>
      <c r="E510" s="0" t="s">
        <v>2241</v>
      </c>
      <c r="F510" s="0" t="s">
        <v>2242</v>
      </c>
      <c r="G510" s="0" t="s">
        <v>2243</v>
      </c>
    </row>
    <row r="511" customFormat="false" ht="15" hidden="false" customHeight="false" outlineLevel="0" collapsed="false">
      <c r="A511" s="0" t="s">
        <v>545</v>
      </c>
      <c r="B511" s="0" t="n">
        <v>58</v>
      </c>
      <c r="C511" s="0" t="n">
        <v>176</v>
      </c>
      <c r="D511" s="0" t="n">
        <v>387</v>
      </c>
      <c r="E511" s="0" t="s">
        <v>2244</v>
      </c>
      <c r="F511" s="0" t="s">
        <v>2245</v>
      </c>
      <c r="G511" s="0" t="s">
        <v>2246</v>
      </c>
    </row>
    <row r="512" customFormat="false" ht="15" hidden="false" customHeight="false" outlineLevel="0" collapsed="false">
      <c r="A512" s="0" t="s">
        <v>546</v>
      </c>
      <c r="B512" s="0" t="n">
        <v>424</v>
      </c>
      <c r="C512" s="0" t="n">
        <v>612</v>
      </c>
      <c r="D512" s="0" t="n">
        <v>477</v>
      </c>
      <c r="E512" s="0" t="s">
        <v>2247</v>
      </c>
      <c r="F512" s="0" t="s">
        <v>2248</v>
      </c>
      <c r="G512" s="0" t="s">
        <v>2249</v>
      </c>
    </row>
    <row r="513" customFormat="false" ht="15" hidden="false" customHeight="false" outlineLevel="0" collapsed="false">
      <c r="A513" s="0" t="s">
        <v>547</v>
      </c>
      <c r="B513" s="0" t="n">
        <v>404</v>
      </c>
      <c r="C513" s="0" t="n">
        <v>490</v>
      </c>
      <c r="D513" s="0" t="n">
        <v>520</v>
      </c>
      <c r="E513" s="0" t="s">
        <v>2250</v>
      </c>
      <c r="F513" s="0" t="s">
        <v>2251</v>
      </c>
      <c r="G513" s="0" t="s">
        <v>2252</v>
      </c>
    </row>
    <row r="514" customFormat="false" ht="15" hidden="false" customHeight="false" outlineLevel="0" collapsed="false">
      <c r="A514" s="0" t="s">
        <v>548</v>
      </c>
      <c r="B514" s="0" t="n">
        <v>26</v>
      </c>
      <c r="C514" s="0" t="n">
        <v>208</v>
      </c>
      <c r="D514" s="0" t="n">
        <v>248</v>
      </c>
      <c r="E514" s="0" t="s">
        <v>2253</v>
      </c>
      <c r="F514" s="0" t="s">
        <v>2254</v>
      </c>
      <c r="G514" s="0" t="s">
        <v>2255</v>
      </c>
    </row>
    <row r="515" customFormat="false" ht="15" hidden="false" customHeight="false" outlineLevel="0" collapsed="false">
      <c r="A515" s="0" t="s">
        <v>549</v>
      </c>
      <c r="B515" s="0" t="n">
        <v>55</v>
      </c>
      <c r="C515" s="0" t="n">
        <v>191</v>
      </c>
      <c r="D515" s="0" t="n">
        <v>189</v>
      </c>
      <c r="E515" s="0" t="s">
        <v>2256</v>
      </c>
      <c r="F515" s="0" t="s">
        <v>2257</v>
      </c>
      <c r="G515" s="0" t="s">
        <v>2258</v>
      </c>
    </row>
    <row r="516" customFormat="false" ht="15" hidden="false" customHeight="false" outlineLevel="0" collapsed="false">
      <c r="A516" s="0" t="s">
        <v>550</v>
      </c>
      <c r="B516" s="0" t="n">
        <v>431</v>
      </c>
      <c r="C516" s="0" t="n">
        <v>579</v>
      </c>
      <c r="D516" s="0" t="n">
        <v>95</v>
      </c>
      <c r="E516" s="0" t="s">
        <v>2259</v>
      </c>
      <c r="F516" s="0" t="s">
        <v>2260</v>
      </c>
      <c r="G516" s="0" t="s">
        <v>2261</v>
      </c>
    </row>
    <row r="517" customFormat="false" ht="15" hidden="false" customHeight="false" outlineLevel="0" collapsed="false">
      <c r="A517" s="0" t="s">
        <v>551</v>
      </c>
      <c r="B517" s="0" t="n">
        <v>32</v>
      </c>
      <c r="C517" s="0" t="n">
        <v>437</v>
      </c>
      <c r="D517" s="0" t="n">
        <v>239</v>
      </c>
      <c r="E517" s="0" t="s">
        <v>2262</v>
      </c>
      <c r="F517" s="0" t="s">
        <v>2263</v>
      </c>
      <c r="G517" s="0" t="s">
        <v>2264</v>
      </c>
    </row>
    <row r="518" customFormat="false" ht="15" hidden="false" customHeight="false" outlineLevel="0" collapsed="false">
      <c r="A518" s="0" t="s">
        <v>552</v>
      </c>
      <c r="B518" s="0" t="n">
        <v>299</v>
      </c>
      <c r="C518" s="0" t="n">
        <v>434</v>
      </c>
      <c r="D518" s="0" t="n">
        <v>13</v>
      </c>
      <c r="E518" s="0" t="s">
        <v>2265</v>
      </c>
      <c r="F518" s="0" t="s">
        <v>2266</v>
      </c>
      <c r="G518" s="0" t="s">
        <v>2267</v>
      </c>
    </row>
    <row r="519" customFormat="false" ht="15" hidden="false" customHeight="false" outlineLevel="0" collapsed="false">
      <c r="A519" s="0" t="s">
        <v>553</v>
      </c>
      <c r="B519" s="0" t="n">
        <v>588</v>
      </c>
      <c r="C519" s="0" t="n">
        <v>547</v>
      </c>
      <c r="D519" s="0" t="n">
        <v>348</v>
      </c>
      <c r="E519" s="0" t="s">
        <v>2268</v>
      </c>
      <c r="F519" s="0" t="s">
        <v>2269</v>
      </c>
      <c r="G519" s="0" t="s">
        <v>2270</v>
      </c>
    </row>
    <row r="520" customFormat="false" ht="15" hidden="false" customHeight="false" outlineLevel="0" collapsed="false">
      <c r="A520" s="0" t="s">
        <v>554</v>
      </c>
    </row>
    <row r="521" customFormat="false" ht="15" hidden="false" customHeight="false" outlineLevel="0" collapsed="false">
      <c r="A521" s="0" t="s">
        <v>555</v>
      </c>
      <c r="B521" s="0" t="n">
        <v>575</v>
      </c>
      <c r="C521" s="0" t="n">
        <v>536</v>
      </c>
      <c r="D521" s="0" t="n">
        <v>331</v>
      </c>
      <c r="E521" s="0" t="s">
        <v>2271</v>
      </c>
      <c r="F521" s="0" t="s">
        <v>2272</v>
      </c>
      <c r="G521" s="0" t="s">
        <v>2273</v>
      </c>
    </row>
    <row r="522" customFormat="false" ht="15" hidden="false" customHeight="false" outlineLevel="0" collapsed="false">
      <c r="A522" s="0" t="s">
        <v>556</v>
      </c>
      <c r="B522" s="0" t="n">
        <v>676</v>
      </c>
      <c r="C522" s="0" t="n">
        <v>514</v>
      </c>
      <c r="D522" s="0" t="n">
        <v>155</v>
      </c>
      <c r="E522" s="0" t="s">
        <v>2274</v>
      </c>
      <c r="F522" s="0" t="s">
        <v>2275</v>
      </c>
      <c r="G522" s="0" t="s">
        <v>2276</v>
      </c>
    </row>
    <row r="523" customFormat="false" ht="15" hidden="false" customHeight="false" outlineLevel="0" collapsed="false">
      <c r="A523" s="0" t="s">
        <v>557</v>
      </c>
      <c r="B523" s="0" t="n">
        <v>312</v>
      </c>
      <c r="C523" s="0" t="n">
        <v>367</v>
      </c>
      <c r="D523" s="0" t="n">
        <v>228</v>
      </c>
      <c r="E523" s="0" t="s">
        <v>2277</v>
      </c>
      <c r="F523" s="0" t="s">
        <v>2278</v>
      </c>
      <c r="G523" s="0" t="s">
        <v>2279</v>
      </c>
    </row>
    <row r="524" customFormat="false" ht="15" hidden="false" customHeight="false" outlineLevel="0" collapsed="false">
      <c r="A524" s="0" t="s">
        <v>558</v>
      </c>
      <c r="B524" s="0" t="n">
        <v>479</v>
      </c>
      <c r="C524" s="0" t="n">
        <v>689</v>
      </c>
      <c r="D524" s="0" t="n">
        <v>478</v>
      </c>
      <c r="E524" s="0" t="s">
        <v>2280</v>
      </c>
      <c r="F524" s="0" t="s">
        <v>2281</v>
      </c>
      <c r="G524" s="0" t="s">
        <v>2282</v>
      </c>
    </row>
    <row r="525" customFormat="false" ht="15" hidden="false" customHeight="false" outlineLevel="0" collapsed="false">
      <c r="A525" s="0" t="s">
        <v>559</v>
      </c>
      <c r="B525" s="0" t="n">
        <v>39</v>
      </c>
      <c r="C525" s="0" t="n">
        <v>316</v>
      </c>
      <c r="D525" s="0" t="n">
        <v>342</v>
      </c>
      <c r="E525" s="0" t="s">
        <v>2283</v>
      </c>
      <c r="F525" s="0" t="s">
        <v>2284</v>
      </c>
      <c r="G525" s="0" t="s">
        <v>2285</v>
      </c>
    </row>
    <row r="526" customFormat="false" ht="15" hidden="false" customHeight="false" outlineLevel="0" collapsed="false">
      <c r="A526" s="0" t="s">
        <v>560</v>
      </c>
      <c r="B526" s="0" t="n">
        <v>413</v>
      </c>
      <c r="C526" s="0" t="n">
        <v>472</v>
      </c>
      <c r="D526" s="0" t="n">
        <v>225</v>
      </c>
      <c r="E526" s="0" t="s">
        <v>2286</v>
      </c>
      <c r="F526" s="0" t="s">
        <v>2287</v>
      </c>
      <c r="G526" s="0" t="s">
        <v>2288</v>
      </c>
    </row>
    <row r="527" customFormat="false" ht="15" hidden="false" customHeight="false" outlineLevel="0" collapsed="false">
      <c r="A527" s="0" t="s">
        <v>561</v>
      </c>
      <c r="B527" s="0" t="n">
        <v>256</v>
      </c>
      <c r="C527" s="0" t="n">
        <v>491</v>
      </c>
      <c r="D527" s="0" t="n">
        <v>18</v>
      </c>
      <c r="E527" s="0" t="s">
        <v>2289</v>
      </c>
      <c r="F527" s="0" t="s">
        <v>2290</v>
      </c>
      <c r="G527" s="0" t="s">
        <v>2291</v>
      </c>
    </row>
    <row r="528" customFormat="false" ht="15" hidden="false" customHeight="false" outlineLevel="0" collapsed="false">
      <c r="A528" s="0" t="s">
        <v>562</v>
      </c>
      <c r="B528" s="0" t="n">
        <v>355</v>
      </c>
      <c r="C528" s="0" t="n">
        <v>236</v>
      </c>
      <c r="D528" s="0" t="n">
        <v>131</v>
      </c>
      <c r="E528" s="0" t="s">
        <v>2292</v>
      </c>
      <c r="F528" s="0" t="s">
        <v>2293</v>
      </c>
      <c r="G528" s="0" t="s">
        <v>2294</v>
      </c>
    </row>
    <row r="529" customFormat="false" ht="15" hidden="false" customHeight="false" outlineLevel="0" collapsed="false">
      <c r="A529" s="0" t="s">
        <v>563</v>
      </c>
      <c r="B529" s="0" t="n">
        <v>248</v>
      </c>
      <c r="C529" s="0" t="n">
        <v>37</v>
      </c>
      <c r="D529" s="0" t="n">
        <v>356</v>
      </c>
      <c r="E529" s="0" t="s">
        <v>2295</v>
      </c>
      <c r="F529" s="0" t="s">
        <v>2296</v>
      </c>
      <c r="G529" s="0" t="s">
        <v>2297</v>
      </c>
    </row>
    <row r="530" customFormat="false" ht="15" hidden="false" customHeight="false" outlineLevel="0" collapsed="false">
      <c r="A530" s="0" t="s">
        <v>564</v>
      </c>
      <c r="B530" s="0" t="n">
        <v>391</v>
      </c>
      <c r="C530" s="0" t="n">
        <v>637</v>
      </c>
      <c r="D530" s="0" t="n">
        <v>422</v>
      </c>
      <c r="E530" s="0" t="s">
        <v>2298</v>
      </c>
      <c r="F530" s="0" t="s">
        <v>2299</v>
      </c>
      <c r="G530" s="0" t="s">
        <v>2300</v>
      </c>
    </row>
    <row r="531" customFormat="false" ht="15" hidden="false" customHeight="false" outlineLevel="0" collapsed="false">
      <c r="A531" s="0" t="s">
        <v>565</v>
      </c>
      <c r="B531" s="0" t="n">
        <v>520</v>
      </c>
      <c r="C531" s="0" t="n">
        <v>594</v>
      </c>
      <c r="D531" s="0" t="n">
        <v>374</v>
      </c>
      <c r="E531" s="0" t="s">
        <v>2301</v>
      </c>
      <c r="F531" s="0" t="s">
        <v>2302</v>
      </c>
      <c r="G531" s="0" t="s">
        <v>2303</v>
      </c>
    </row>
    <row r="532" customFormat="false" ht="15" hidden="false" customHeight="false" outlineLevel="0" collapsed="false">
      <c r="A532" s="0" t="s">
        <v>566</v>
      </c>
      <c r="B532" s="0" t="n">
        <v>618</v>
      </c>
      <c r="C532" s="0" t="n">
        <v>543</v>
      </c>
      <c r="D532" s="0" t="n">
        <v>332</v>
      </c>
      <c r="E532" s="0" t="s">
        <v>2304</v>
      </c>
      <c r="F532" s="0" t="s">
        <v>2305</v>
      </c>
      <c r="G532" s="0" t="s">
        <v>2306</v>
      </c>
    </row>
    <row r="533" customFormat="false" ht="15" hidden="false" customHeight="false" outlineLevel="0" collapsed="false">
      <c r="A533" s="0" t="s">
        <v>567</v>
      </c>
      <c r="B533" s="0" t="n">
        <v>119</v>
      </c>
      <c r="C533" s="0" t="n">
        <v>260</v>
      </c>
      <c r="D533" s="0" t="n">
        <v>277</v>
      </c>
      <c r="E533" s="0" t="s">
        <v>2307</v>
      </c>
      <c r="F533" s="0" t="s">
        <v>2308</v>
      </c>
      <c r="G533" s="0" t="s">
        <v>2309</v>
      </c>
    </row>
    <row r="534" customFormat="false" ht="15" hidden="false" customHeight="false" outlineLevel="0" collapsed="false">
      <c r="A534" s="0" t="s">
        <v>568</v>
      </c>
      <c r="B534" s="0" t="n">
        <v>334</v>
      </c>
      <c r="C534" s="0" t="n">
        <v>336</v>
      </c>
      <c r="D534" s="0" t="n">
        <v>1</v>
      </c>
      <c r="E534" s="0" t="s">
        <v>2310</v>
      </c>
      <c r="F534" s="0" t="s">
        <v>2311</v>
      </c>
      <c r="G534" s="0" t="s">
        <v>2312</v>
      </c>
    </row>
    <row r="535" customFormat="false" ht="15" hidden="false" customHeight="false" outlineLevel="0" collapsed="false">
      <c r="A535" s="0" t="s">
        <v>569</v>
      </c>
      <c r="B535" s="0" t="n">
        <v>261</v>
      </c>
      <c r="C535" s="0" t="n">
        <v>466</v>
      </c>
      <c r="D535" s="0" t="n">
        <v>326</v>
      </c>
      <c r="E535" s="0" t="s">
        <v>2313</v>
      </c>
      <c r="F535" s="0" t="s">
        <v>2314</v>
      </c>
      <c r="G535" s="0" t="s">
        <v>2315</v>
      </c>
    </row>
    <row r="536" customFormat="false" ht="15" hidden="false" customHeight="false" outlineLevel="0" collapsed="false">
      <c r="A536" s="0" t="s">
        <v>570</v>
      </c>
      <c r="B536" s="0" t="n">
        <v>486</v>
      </c>
      <c r="C536" s="0" t="n">
        <v>662</v>
      </c>
      <c r="D536" s="0" t="n">
        <v>214</v>
      </c>
      <c r="E536" s="0" t="s">
        <v>2316</v>
      </c>
      <c r="F536" s="0" t="s">
        <v>2317</v>
      </c>
      <c r="G536" s="0" t="s">
        <v>2318</v>
      </c>
    </row>
    <row r="537" customFormat="false" ht="15" hidden="false" customHeight="false" outlineLevel="0" collapsed="false">
      <c r="A537" s="0" t="s">
        <v>571</v>
      </c>
      <c r="B537" s="0" t="n">
        <v>528</v>
      </c>
      <c r="C537" s="0" t="n">
        <v>473</v>
      </c>
      <c r="D537" s="0" t="n">
        <v>580</v>
      </c>
      <c r="E537" s="0" t="s">
        <v>2319</v>
      </c>
      <c r="F537" s="0" t="s">
        <v>2320</v>
      </c>
      <c r="G537" s="0" t="s">
        <v>2321</v>
      </c>
    </row>
    <row r="538" customFormat="false" ht="15" hidden="false" customHeight="false" outlineLevel="0" collapsed="false">
      <c r="A538" s="0" t="s">
        <v>572</v>
      </c>
      <c r="B538" s="0" t="n">
        <v>73</v>
      </c>
      <c r="C538" s="0" t="n">
        <v>206</v>
      </c>
      <c r="D538" s="0" t="n">
        <v>90</v>
      </c>
      <c r="E538" s="0" t="s">
        <v>2322</v>
      </c>
      <c r="F538" s="0" t="s">
        <v>2323</v>
      </c>
      <c r="G538" s="0" t="s">
        <v>2324</v>
      </c>
    </row>
    <row r="539" customFormat="false" ht="15" hidden="false" customHeight="false" outlineLevel="0" collapsed="false">
      <c r="A539" s="0" t="s">
        <v>573</v>
      </c>
      <c r="B539" s="0" t="n">
        <v>31</v>
      </c>
      <c r="C539" s="0" t="n">
        <v>296</v>
      </c>
      <c r="D539" s="0" t="n">
        <v>413</v>
      </c>
      <c r="E539" s="0" t="s">
        <v>2325</v>
      </c>
      <c r="F539" s="0" t="s">
        <v>2326</v>
      </c>
      <c r="G539" s="0" t="s">
        <v>2327</v>
      </c>
    </row>
    <row r="540" customFormat="false" ht="15" hidden="false" customHeight="false" outlineLevel="0" collapsed="false">
      <c r="A540" s="0" t="s">
        <v>574</v>
      </c>
    </row>
    <row r="541" customFormat="false" ht="15" hidden="false" customHeight="false" outlineLevel="0" collapsed="false">
      <c r="A541" s="0" t="s">
        <v>575</v>
      </c>
      <c r="B541" s="0" t="n">
        <v>69</v>
      </c>
      <c r="C541" s="0" t="n">
        <v>5</v>
      </c>
      <c r="D541" s="0" t="n">
        <v>56</v>
      </c>
      <c r="E541" s="0" t="s">
        <v>2328</v>
      </c>
      <c r="F541" s="0" t="s">
        <v>2329</v>
      </c>
      <c r="G541" s="0" t="s">
        <v>2330</v>
      </c>
    </row>
    <row r="542" customFormat="false" ht="15" hidden="false" customHeight="false" outlineLevel="0" collapsed="false">
      <c r="A542" s="0" t="s">
        <v>576</v>
      </c>
      <c r="B542" s="0" t="n">
        <v>630</v>
      </c>
      <c r="C542" s="0" t="n">
        <v>571</v>
      </c>
      <c r="D542" s="0" t="n">
        <v>217</v>
      </c>
      <c r="E542" s="0" t="s">
        <v>2331</v>
      </c>
      <c r="F542" s="0" t="s">
        <v>2332</v>
      </c>
      <c r="G542" s="0" t="s">
        <v>2333</v>
      </c>
    </row>
    <row r="543" customFormat="false" ht="15" hidden="false" customHeight="false" outlineLevel="0" collapsed="false">
      <c r="A543" s="0" t="s">
        <v>577</v>
      </c>
      <c r="B543" s="0" t="n">
        <v>95</v>
      </c>
      <c r="C543" s="0" t="n">
        <v>240</v>
      </c>
      <c r="D543" s="0" t="n">
        <v>151</v>
      </c>
      <c r="E543" s="0" t="s">
        <v>2334</v>
      </c>
      <c r="F543" s="0" t="s">
        <v>2335</v>
      </c>
      <c r="G543" s="0" t="s">
        <v>2336</v>
      </c>
    </row>
    <row r="544" customFormat="false" ht="15" hidden="false" customHeight="false" outlineLevel="0" collapsed="false">
      <c r="A544" s="0" t="s">
        <v>578</v>
      </c>
    </row>
    <row r="545" customFormat="false" ht="15" hidden="false" customHeight="false" outlineLevel="0" collapsed="false">
      <c r="A545" s="0" t="s">
        <v>579</v>
      </c>
      <c r="B545" s="0" t="n">
        <v>598</v>
      </c>
      <c r="C545" s="0" t="n">
        <v>655</v>
      </c>
      <c r="D545" s="0" t="n">
        <v>552</v>
      </c>
      <c r="E545" s="0" t="s">
        <v>2337</v>
      </c>
      <c r="F545" s="0" t="s">
        <v>2338</v>
      </c>
      <c r="G545" s="0" t="s">
        <v>2339</v>
      </c>
    </row>
    <row r="546" customFormat="false" ht="15" hidden="false" customHeight="false" outlineLevel="0" collapsed="false">
      <c r="A546" s="0" t="s">
        <v>580</v>
      </c>
      <c r="B546" s="0" t="n">
        <v>49</v>
      </c>
      <c r="C546" s="0" t="n">
        <v>212</v>
      </c>
      <c r="D546" s="0" t="n">
        <v>160</v>
      </c>
      <c r="E546" s="0" t="s">
        <v>2340</v>
      </c>
      <c r="F546" s="0" t="s">
        <v>2341</v>
      </c>
      <c r="G546" s="0" t="s">
        <v>2342</v>
      </c>
    </row>
    <row r="547" customFormat="false" ht="15" hidden="false" customHeight="false" outlineLevel="0" collapsed="false">
      <c r="A547" s="0" t="s">
        <v>581</v>
      </c>
      <c r="B547" s="0" t="n">
        <v>12</v>
      </c>
      <c r="C547" s="0" t="n">
        <v>231</v>
      </c>
      <c r="D547" s="0" t="n">
        <v>24</v>
      </c>
      <c r="E547" s="0" t="s">
        <v>2343</v>
      </c>
      <c r="F547" s="0" t="s">
        <v>2344</v>
      </c>
      <c r="G547" s="0" t="s">
        <v>2345</v>
      </c>
    </row>
    <row r="548" customFormat="false" ht="15" hidden="false" customHeight="false" outlineLevel="0" collapsed="false">
      <c r="A548" s="0" t="s">
        <v>582</v>
      </c>
      <c r="B548" s="0" t="n">
        <v>302</v>
      </c>
      <c r="C548" s="0" t="n">
        <v>487</v>
      </c>
      <c r="D548" s="0" t="n">
        <v>312</v>
      </c>
      <c r="E548" s="0" t="s">
        <v>2346</v>
      </c>
      <c r="F548" s="0" t="s">
        <v>2347</v>
      </c>
      <c r="G548" s="0" t="s">
        <v>2348</v>
      </c>
    </row>
    <row r="549" customFormat="false" ht="15" hidden="false" customHeight="false" outlineLevel="0" collapsed="false">
      <c r="A549" s="0" t="s">
        <v>583</v>
      </c>
      <c r="B549" s="0" t="n">
        <v>353</v>
      </c>
      <c r="C549" s="0" t="n">
        <v>510</v>
      </c>
      <c r="D549" s="0" t="n">
        <v>120</v>
      </c>
      <c r="E549" s="0" t="s">
        <v>2349</v>
      </c>
      <c r="F549" s="0" t="s">
        <v>2350</v>
      </c>
      <c r="G549" s="0" t="s">
        <v>2351</v>
      </c>
    </row>
    <row r="550" customFormat="false" ht="15" hidden="false" customHeight="false" outlineLevel="0" collapsed="false">
      <c r="A550" s="0" t="s">
        <v>584</v>
      </c>
      <c r="B550" s="0" t="n">
        <v>191</v>
      </c>
      <c r="C550" s="0" t="n">
        <v>563</v>
      </c>
      <c r="D550" s="0" t="n">
        <v>31</v>
      </c>
      <c r="E550" s="0" t="s">
        <v>2352</v>
      </c>
      <c r="F550" s="0" t="s">
        <v>2353</v>
      </c>
      <c r="G550" s="0" t="s">
        <v>2354</v>
      </c>
    </row>
    <row r="551" customFormat="false" ht="15" hidden="false" customHeight="false" outlineLevel="0" collapsed="false">
      <c r="A551" s="0" t="s">
        <v>585</v>
      </c>
      <c r="B551" s="0" t="n">
        <v>372</v>
      </c>
      <c r="C551" s="0" t="n">
        <v>214</v>
      </c>
      <c r="D551" s="0" t="n">
        <v>7</v>
      </c>
      <c r="E551" s="0" t="s">
        <v>2355</v>
      </c>
      <c r="F551" s="0" t="s">
        <v>2356</v>
      </c>
      <c r="G551" s="0" t="s">
        <v>2357</v>
      </c>
    </row>
    <row r="552" customFormat="false" ht="15" hidden="false" customHeight="false" outlineLevel="0" collapsed="false">
      <c r="A552" s="0" t="s">
        <v>586</v>
      </c>
      <c r="B552" s="0" t="n">
        <v>430</v>
      </c>
      <c r="C552" s="0" t="n">
        <v>253</v>
      </c>
      <c r="D552" s="0" t="n">
        <v>55</v>
      </c>
      <c r="E552" s="0" t="s">
        <v>2358</v>
      </c>
      <c r="F552" s="0" t="s">
        <v>2359</v>
      </c>
      <c r="G552" s="0" t="s">
        <v>2360</v>
      </c>
    </row>
    <row r="553" customFormat="false" ht="15" hidden="false" customHeight="false" outlineLevel="0" collapsed="false">
      <c r="A553" s="0" t="s">
        <v>587</v>
      </c>
      <c r="B553" s="0" t="n">
        <v>187</v>
      </c>
      <c r="C553" s="0" t="n">
        <v>470</v>
      </c>
      <c r="D553" s="0" t="n">
        <v>459</v>
      </c>
      <c r="E553" s="0" t="s">
        <v>2361</v>
      </c>
      <c r="F553" s="0" t="s">
        <v>2362</v>
      </c>
      <c r="G553" s="0" t="s">
        <v>2363</v>
      </c>
    </row>
    <row r="554" customFormat="false" ht="15" hidden="false" customHeight="false" outlineLevel="0" collapsed="false">
      <c r="A554" s="0" t="s">
        <v>588</v>
      </c>
      <c r="B554" s="0" t="n">
        <v>63</v>
      </c>
      <c r="C554" s="0" t="n">
        <v>321</v>
      </c>
      <c r="D554" s="0" t="n">
        <v>102</v>
      </c>
      <c r="E554" s="0" t="s">
        <v>2364</v>
      </c>
      <c r="F554" s="0" t="s">
        <v>2365</v>
      </c>
      <c r="G554" s="0" t="s">
        <v>2366</v>
      </c>
    </row>
    <row r="555" customFormat="false" ht="15" hidden="false" customHeight="false" outlineLevel="0" collapsed="false">
      <c r="A555" s="0" t="s">
        <v>589</v>
      </c>
      <c r="B555" s="0" t="n">
        <v>8</v>
      </c>
      <c r="C555" s="0" t="n">
        <v>48</v>
      </c>
      <c r="D555" s="0" t="n">
        <v>205</v>
      </c>
      <c r="E555" s="0" t="s">
        <v>2367</v>
      </c>
      <c r="F555" s="0" t="s">
        <v>2368</v>
      </c>
      <c r="G555" s="0" t="s">
        <v>2369</v>
      </c>
    </row>
    <row r="556" customFormat="false" ht="15" hidden="false" customHeight="false" outlineLevel="0" collapsed="false">
      <c r="A556" s="0" t="s">
        <v>590</v>
      </c>
      <c r="B556" s="0" t="n">
        <v>85</v>
      </c>
      <c r="C556" s="0" t="n">
        <v>101</v>
      </c>
      <c r="D556" s="0" t="n">
        <v>2</v>
      </c>
      <c r="E556" s="0" t="s">
        <v>2370</v>
      </c>
      <c r="F556" s="0" t="s">
        <v>2371</v>
      </c>
      <c r="G556" s="0" t="s">
        <v>2372</v>
      </c>
    </row>
    <row r="557" customFormat="false" ht="15" hidden="false" customHeight="false" outlineLevel="0" collapsed="false">
      <c r="A557" s="0" t="s">
        <v>591</v>
      </c>
      <c r="B557" s="0" t="n">
        <v>134</v>
      </c>
      <c r="C557" s="0" t="n">
        <v>89</v>
      </c>
      <c r="D557" s="0" t="n">
        <v>230</v>
      </c>
      <c r="E557" s="0" t="s">
        <v>2373</v>
      </c>
      <c r="F557" s="0" t="s">
        <v>2374</v>
      </c>
      <c r="G557" s="0" t="s">
        <v>2375</v>
      </c>
    </row>
    <row r="558" customFormat="false" ht="15" hidden="false" customHeight="false" outlineLevel="0" collapsed="false">
      <c r="A558" s="0" t="s">
        <v>592</v>
      </c>
      <c r="B558" s="0" t="n">
        <v>232</v>
      </c>
      <c r="C558" s="0" t="n">
        <v>379</v>
      </c>
      <c r="D558" s="0" t="n">
        <v>21</v>
      </c>
      <c r="E558" s="0" t="s">
        <v>2376</v>
      </c>
      <c r="F558" s="0" t="s">
        <v>2377</v>
      </c>
      <c r="G558" s="0" t="s">
        <v>2378</v>
      </c>
    </row>
    <row r="559" customFormat="false" ht="15" hidden="false" customHeight="false" outlineLevel="0" collapsed="false">
      <c r="A559" s="0" t="s">
        <v>593</v>
      </c>
      <c r="B559" s="0" t="n">
        <v>164</v>
      </c>
      <c r="C559" s="0" t="n">
        <v>517</v>
      </c>
      <c r="D559" s="0" t="n">
        <v>211</v>
      </c>
      <c r="E559" s="0" t="s">
        <v>2379</v>
      </c>
      <c r="F559" s="0" t="s">
        <v>2380</v>
      </c>
      <c r="G559" s="0" t="s">
        <v>2381</v>
      </c>
    </row>
    <row r="560" customFormat="false" ht="15" hidden="false" customHeight="false" outlineLevel="0" collapsed="false">
      <c r="A560" s="0" t="s">
        <v>594</v>
      </c>
      <c r="B560" s="0" t="n">
        <v>2</v>
      </c>
      <c r="C560" s="0" t="n">
        <v>13</v>
      </c>
      <c r="D560" s="0" t="n">
        <v>42</v>
      </c>
      <c r="E560" s="0" t="s">
        <v>2382</v>
      </c>
      <c r="F560" s="0" t="s">
        <v>2383</v>
      </c>
      <c r="G560" s="0" t="s">
        <v>2384</v>
      </c>
    </row>
    <row r="561" customFormat="false" ht="15" hidden="false" customHeight="false" outlineLevel="0" collapsed="false">
      <c r="A561" s="0" t="s">
        <v>595</v>
      </c>
      <c r="B561" s="0" t="n">
        <v>60</v>
      </c>
      <c r="C561" s="0" t="n">
        <v>363</v>
      </c>
      <c r="D561" s="0" t="n">
        <v>262</v>
      </c>
      <c r="E561" s="0" t="s">
        <v>2385</v>
      </c>
      <c r="F561" s="0" t="s">
        <v>2386</v>
      </c>
      <c r="G561" s="0" t="s">
        <v>2387</v>
      </c>
    </row>
    <row r="562" customFormat="false" ht="15" hidden="false" customHeight="false" outlineLevel="0" collapsed="false">
      <c r="A562" s="0" t="s">
        <v>596</v>
      </c>
      <c r="B562" s="0" t="n">
        <v>18</v>
      </c>
      <c r="C562" s="0" t="n">
        <v>23</v>
      </c>
      <c r="D562" s="0" t="n">
        <v>161</v>
      </c>
      <c r="E562" s="0" t="s">
        <v>2388</v>
      </c>
      <c r="F562" s="0" t="s">
        <v>2389</v>
      </c>
      <c r="G562" s="0" t="s">
        <v>2390</v>
      </c>
    </row>
    <row r="563" customFormat="false" ht="15" hidden="false" customHeight="false" outlineLevel="0" collapsed="false">
      <c r="A563" s="0" t="s">
        <v>597</v>
      </c>
      <c r="B563" s="0" t="n">
        <v>279</v>
      </c>
      <c r="C563" s="0" t="n">
        <v>522</v>
      </c>
      <c r="D563" s="0" t="n">
        <v>94</v>
      </c>
      <c r="E563" s="0" t="s">
        <v>2391</v>
      </c>
      <c r="F563" s="0" t="s">
        <v>2392</v>
      </c>
      <c r="G563" s="0" t="s">
        <v>2393</v>
      </c>
    </row>
    <row r="564" customFormat="false" ht="15" hidden="false" customHeight="false" outlineLevel="0" collapsed="false">
      <c r="A564" s="0" t="s">
        <v>598</v>
      </c>
      <c r="B564" s="0" t="n">
        <v>81</v>
      </c>
      <c r="C564" s="0" t="n">
        <v>211</v>
      </c>
      <c r="D564" s="0" t="n">
        <v>115</v>
      </c>
      <c r="E564" s="0" t="s">
        <v>2394</v>
      </c>
      <c r="F564" s="0" t="s">
        <v>2395</v>
      </c>
      <c r="G564" s="0" t="s">
        <v>2396</v>
      </c>
    </row>
    <row r="565" customFormat="false" ht="15" hidden="false" customHeight="false" outlineLevel="0" collapsed="false">
      <c r="A565" s="0" t="s">
        <v>599</v>
      </c>
      <c r="B565" s="0" t="n">
        <v>44</v>
      </c>
      <c r="C565" s="0" t="n">
        <v>225</v>
      </c>
      <c r="D565" s="0" t="n">
        <v>401</v>
      </c>
      <c r="E565" s="0" t="s">
        <v>2397</v>
      </c>
      <c r="F565" s="0" t="s">
        <v>2398</v>
      </c>
      <c r="G565" s="0" t="s">
        <v>2399</v>
      </c>
    </row>
    <row r="566" customFormat="false" ht="15" hidden="false" customHeight="false" outlineLevel="0" collapsed="false">
      <c r="A566" s="0" t="s">
        <v>600</v>
      </c>
      <c r="B566" s="0" t="n">
        <v>287</v>
      </c>
      <c r="C566" s="0" t="n">
        <v>559</v>
      </c>
      <c r="D566" s="0" t="n">
        <v>446</v>
      </c>
      <c r="E566" s="0" t="s">
        <v>2400</v>
      </c>
      <c r="F566" s="0" t="s">
        <v>2401</v>
      </c>
      <c r="G566" s="0" t="s">
        <v>2402</v>
      </c>
    </row>
    <row r="567" customFormat="false" ht="15" hidden="false" customHeight="false" outlineLevel="0" collapsed="false">
      <c r="A567" s="0" t="s">
        <v>601</v>
      </c>
      <c r="B567" s="0" t="n">
        <v>9</v>
      </c>
      <c r="C567" s="0" t="n">
        <v>32</v>
      </c>
      <c r="D567" s="0" t="n">
        <v>15</v>
      </c>
      <c r="E567" s="0" t="s">
        <v>2403</v>
      </c>
      <c r="F567" s="0" t="s">
        <v>2404</v>
      </c>
      <c r="G567" s="0" t="s">
        <v>2405</v>
      </c>
    </row>
    <row r="568" customFormat="false" ht="15" hidden="false" customHeight="false" outlineLevel="0" collapsed="false">
      <c r="A568" s="0" t="s">
        <v>602</v>
      </c>
      <c r="B568" s="0" t="n">
        <v>620</v>
      </c>
      <c r="C568" s="0" t="n">
        <v>704</v>
      </c>
      <c r="D568" s="0" t="n">
        <v>436</v>
      </c>
      <c r="E568" s="0" t="s">
        <v>2406</v>
      </c>
      <c r="F568" s="0" t="s">
        <v>2407</v>
      </c>
      <c r="G568" s="0" t="s">
        <v>2408</v>
      </c>
    </row>
    <row r="569" customFormat="false" ht="15" hidden="false" customHeight="false" outlineLevel="0" collapsed="false">
      <c r="A569" s="0" t="s">
        <v>603</v>
      </c>
      <c r="B569" s="0" t="n">
        <v>101</v>
      </c>
      <c r="C569" s="0" t="n">
        <v>42</v>
      </c>
      <c r="D569" s="0" t="n">
        <v>112</v>
      </c>
      <c r="E569" s="0" t="s">
        <v>2409</v>
      </c>
      <c r="F569" s="0" t="s">
        <v>2410</v>
      </c>
      <c r="G569" s="0" t="s">
        <v>2411</v>
      </c>
    </row>
    <row r="570" customFormat="false" ht="15" hidden="false" customHeight="false" outlineLevel="0" collapsed="false">
      <c r="A570" s="0" t="s">
        <v>604</v>
      </c>
      <c r="B570" s="0" t="n">
        <v>504</v>
      </c>
      <c r="C570" s="0" t="n">
        <v>218</v>
      </c>
      <c r="D570" s="0" t="n">
        <v>268</v>
      </c>
      <c r="E570" s="0" t="s">
        <v>2412</v>
      </c>
      <c r="F570" s="0" t="s">
        <v>2413</v>
      </c>
      <c r="G570" s="0" t="s">
        <v>2414</v>
      </c>
    </row>
    <row r="571" customFormat="false" ht="15" hidden="false" customHeight="false" outlineLevel="0" collapsed="false">
      <c r="A571" s="0" t="s">
        <v>605</v>
      </c>
      <c r="B571" s="0" t="n">
        <v>174</v>
      </c>
      <c r="C571" s="0" t="n">
        <v>418</v>
      </c>
      <c r="D571" s="0" t="n">
        <v>329</v>
      </c>
      <c r="E571" s="0" t="s">
        <v>2415</v>
      </c>
      <c r="F571" s="0" t="s">
        <v>2416</v>
      </c>
      <c r="G571" s="0" t="s">
        <v>2417</v>
      </c>
    </row>
    <row r="572" customFormat="false" ht="15" hidden="false" customHeight="false" outlineLevel="0" collapsed="false">
      <c r="A572" s="0" t="s">
        <v>606</v>
      </c>
      <c r="B572" s="0" t="n">
        <v>207</v>
      </c>
      <c r="C572" s="0" t="n">
        <v>520</v>
      </c>
      <c r="D572" s="0" t="n">
        <v>560</v>
      </c>
      <c r="E572" s="0" t="s">
        <v>2418</v>
      </c>
      <c r="F572" s="0" t="s">
        <v>2419</v>
      </c>
      <c r="G572" s="0" t="s">
        <v>2420</v>
      </c>
    </row>
    <row r="573" customFormat="false" ht="15" hidden="false" customHeight="false" outlineLevel="0" collapsed="false">
      <c r="A573" s="0" t="s">
        <v>607</v>
      </c>
    </row>
    <row r="574" customFormat="false" ht="15" hidden="false" customHeight="false" outlineLevel="0" collapsed="false">
      <c r="A574" s="0" t="s">
        <v>608</v>
      </c>
      <c r="B574" s="0" t="n">
        <v>427</v>
      </c>
      <c r="C574" s="0" t="n">
        <v>506</v>
      </c>
      <c r="D574" s="0" t="n">
        <v>237</v>
      </c>
      <c r="E574" s="0" t="s">
        <v>2421</v>
      </c>
      <c r="F574" s="0" t="s">
        <v>2422</v>
      </c>
      <c r="G574" s="0" t="s">
        <v>2423</v>
      </c>
    </row>
    <row r="575" customFormat="false" ht="15" hidden="false" customHeight="false" outlineLevel="0" collapsed="false">
      <c r="A575" s="0" t="s">
        <v>609</v>
      </c>
      <c r="B575" s="0" t="n">
        <v>128</v>
      </c>
      <c r="C575" s="0" t="n">
        <v>251</v>
      </c>
      <c r="D575" s="0" t="n">
        <v>321</v>
      </c>
      <c r="E575" s="0" t="s">
        <v>2424</v>
      </c>
      <c r="F575" s="0" t="s">
        <v>2425</v>
      </c>
      <c r="G575" s="0" t="s">
        <v>2426</v>
      </c>
    </row>
    <row r="576" customFormat="false" ht="15" hidden="false" customHeight="false" outlineLevel="0" collapsed="false">
      <c r="A576" s="0" t="s">
        <v>610</v>
      </c>
      <c r="B576" s="0" t="n">
        <v>274</v>
      </c>
      <c r="C576" s="0" t="n">
        <v>378</v>
      </c>
      <c r="D576" s="0" t="n">
        <v>291</v>
      </c>
      <c r="E576" s="0" t="s">
        <v>2427</v>
      </c>
      <c r="F576" s="0" t="s">
        <v>2428</v>
      </c>
      <c r="G576" s="0" t="s">
        <v>2429</v>
      </c>
    </row>
    <row r="577" customFormat="false" ht="15" hidden="false" customHeight="false" outlineLevel="0" collapsed="false">
      <c r="A577" s="0" t="s">
        <v>611</v>
      </c>
      <c r="B577" s="0" t="n">
        <v>601</v>
      </c>
      <c r="C577" s="0" t="n">
        <v>678</v>
      </c>
      <c r="D577" s="0" t="n">
        <v>344</v>
      </c>
      <c r="E577" s="0" t="s">
        <v>2430</v>
      </c>
      <c r="F577" s="0" t="s">
        <v>2431</v>
      </c>
      <c r="G577" s="0" t="s">
        <v>2432</v>
      </c>
    </row>
    <row r="578" customFormat="false" ht="15" hidden="false" customHeight="false" outlineLevel="0" collapsed="false">
      <c r="A578" s="0" t="s">
        <v>612</v>
      </c>
      <c r="B578" s="0" t="n">
        <v>296</v>
      </c>
      <c r="C578" s="0" t="n">
        <v>344</v>
      </c>
      <c r="D578" s="0" t="n">
        <v>357</v>
      </c>
      <c r="E578" s="0" t="s">
        <v>2433</v>
      </c>
      <c r="F578" s="0" t="s">
        <v>2434</v>
      </c>
      <c r="G578" s="0" t="s">
        <v>2435</v>
      </c>
    </row>
    <row r="579" customFormat="false" ht="15" hidden="false" customHeight="false" outlineLevel="0" collapsed="false">
      <c r="A579" s="0" t="s">
        <v>613</v>
      </c>
      <c r="B579" s="0" t="n">
        <v>325</v>
      </c>
      <c r="C579" s="0" t="n">
        <v>616</v>
      </c>
      <c r="D579" s="0" t="n">
        <v>519</v>
      </c>
      <c r="E579" s="0" t="s">
        <v>2436</v>
      </c>
      <c r="F579" s="0" t="s">
        <v>2437</v>
      </c>
      <c r="G579" s="0" t="s">
        <v>2438</v>
      </c>
    </row>
    <row r="580" customFormat="false" ht="15" hidden="false" customHeight="false" outlineLevel="0" collapsed="false">
      <c r="A580" s="0" t="s">
        <v>614</v>
      </c>
      <c r="B580" s="0" t="n">
        <v>557</v>
      </c>
      <c r="C580" s="0" t="n">
        <v>688</v>
      </c>
      <c r="D580" s="0" t="n">
        <v>639</v>
      </c>
      <c r="E580" s="0" t="s">
        <v>2439</v>
      </c>
      <c r="F580" s="0" t="s">
        <v>2440</v>
      </c>
      <c r="G580" s="0" t="s">
        <v>2441</v>
      </c>
    </row>
    <row r="581" customFormat="false" ht="15" hidden="false" customHeight="false" outlineLevel="0" collapsed="false">
      <c r="A581" s="0" t="s">
        <v>615</v>
      </c>
      <c r="B581" s="0" t="n">
        <v>645</v>
      </c>
      <c r="C581" s="0" t="n">
        <v>597</v>
      </c>
      <c r="D581" s="0" t="n">
        <v>318</v>
      </c>
      <c r="E581" s="0" t="s">
        <v>2442</v>
      </c>
      <c r="F581" s="0" t="s">
        <v>2443</v>
      </c>
      <c r="G581" s="0" t="s">
        <v>2444</v>
      </c>
    </row>
    <row r="582" customFormat="false" ht="15" hidden="false" customHeight="false" outlineLevel="0" collapsed="false">
      <c r="A582" s="0" t="s">
        <v>616</v>
      </c>
      <c r="B582" s="0" t="n">
        <v>579</v>
      </c>
      <c r="C582" s="0" t="n">
        <v>654</v>
      </c>
      <c r="D582" s="0" t="n">
        <v>270</v>
      </c>
      <c r="E582" s="0" t="s">
        <v>2445</v>
      </c>
      <c r="F582" s="0" t="s">
        <v>2446</v>
      </c>
      <c r="G582" s="0" t="s">
        <v>2447</v>
      </c>
    </row>
    <row r="583" customFormat="false" ht="15" hidden="false" customHeight="false" outlineLevel="0" collapsed="false">
      <c r="A583" s="0" t="s">
        <v>617</v>
      </c>
      <c r="B583" s="0" t="n">
        <v>367</v>
      </c>
      <c r="C583" s="0" t="n">
        <v>100</v>
      </c>
      <c r="D583" s="0" t="n">
        <v>525</v>
      </c>
      <c r="E583" s="0" t="s">
        <v>2448</v>
      </c>
      <c r="F583" s="0" t="s">
        <v>2449</v>
      </c>
      <c r="G583" s="0" t="s">
        <v>2450</v>
      </c>
    </row>
    <row r="584" customFormat="false" ht="15" hidden="false" customHeight="false" outlineLevel="0" collapsed="false">
      <c r="A584" s="0" t="s">
        <v>618</v>
      </c>
      <c r="B584" s="0" t="n">
        <v>220</v>
      </c>
      <c r="C584" s="0" t="n">
        <v>448</v>
      </c>
      <c r="D584" s="0" t="n">
        <v>463</v>
      </c>
      <c r="E584" s="0" t="s">
        <v>2451</v>
      </c>
      <c r="F584" s="0" t="s">
        <v>2452</v>
      </c>
      <c r="G584" s="0" t="s">
        <v>2453</v>
      </c>
    </row>
    <row r="585" customFormat="false" ht="15" hidden="false" customHeight="false" outlineLevel="0" collapsed="false">
      <c r="A585" s="0" t="s">
        <v>619</v>
      </c>
      <c r="B585" s="0" t="n">
        <v>677</v>
      </c>
      <c r="C585" s="0" t="n">
        <v>488</v>
      </c>
      <c r="D585" s="0" t="n">
        <v>590</v>
      </c>
      <c r="E585" s="0" t="s">
        <v>2454</v>
      </c>
      <c r="F585" s="0" t="s">
        <v>2455</v>
      </c>
      <c r="G585" s="0" t="s">
        <v>2456</v>
      </c>
    </row>
    <row r="586" customFormat="false" ht="15" hidden="false" customHeight="false" outlineLevel="0" collapsed="false">
      <c r="A586" s="0" t="s">
        <v>620</v>
      </c>
      <c r="B586" s="0" t="n">
        <v>352</v>
      </c>
      <c r="C586" s="0" t="n">
        <v>126</v>
      </c>
      <c r="D586" s="0" t="n">
        <v>416</v>
      </c>
      <c r="E586" s="0" t="s">
        <v>2457</v>
      </c>
      <c r="F586" s="0" t="s">
        <v>2458</v>
      </c>
      <c r="G586" s="0" t="s">
        <v>2459</v>
      </c>
    </row>
    <row r="587" customFormat="false" ht="15" hidden="false" customHeight="false" outlineLevel="0" collapsed="false">
      <c r="A587" s="0" t="s">
        <v>621</v>
      </c>
      <c r="B587" s="0" t="n">
        <v>648</v>
      </c>
      <c r="C587" s="0" t="n">
        <v>695</v>
      </c>
      <c r="D587" s="0" t="n">
        <v>594</v>
      </c>
      <c r="E587" s="0" t="s">
        <v>2460</v>
      </c>
      <c r="F587" s="0" t="s">
        <v>2461</v>
      </c>
      <c r="G587" s="0" t="s">
        <v>2462</v>
      </c>
    </row>
    <row r="588" customFormat="false" ht="15" hidden="false" customHeight="false" outlineLevel="0" collapsed="false">
      <c r="A588" s="0" t="s">
        <v>622</v>
      </c>
      <c r="B588" s="0" t="n">
        <v>716</v>
      </c>
      <c r="C588" s="0" t="n">
        <v>700</v>
      </c>
      <c r="D588" s="0" t="n">
        <v>610</v>
      </c>
      <c r="E588" s="0" t="s">
        <v>2463</v>
      </c>
      <c r="F588" s="0" t="s">
        <v>2464</v>
      </c>
      <c r="G588" s="0" t="s">
        <v>2465</v>
      </c>
    </row>
    <row r="589" customFormat="false" ht="15" hidden="false" customHeight="false" outlineLevel="0" collapsed="false">
      <c r="A589" s="0" t="s">
        <v>623</v>
      </c>
      <c r="B589" s="0" t="n">
        <v>92</v>
      </c>
      <c r="C589" s="0" t="n">
        <v>264</v>
      </c>
      <c r="D589" s="0" t="n">
        <v>319</v>
      </c>
      <c r="E589" s="0" t="s">
        <v>2466</v>
      </c>
      <c r="F589" s="0" t="s">
        <v>2467</v>
      </c>
      <c r="G589" s="0" t="s">
        <v>2468</v>
      </c>
    </row>
    <row r="590" customFormat="false" ht="15" hidden="false" customHeight="false" outlineLevel="0" collapsed="false">
      <c r="A590" s="0" t="s">
        <v>624</v>
      </c>
      <c r="B590" s="0" t="n">
        <v>166</v>
      </c>
      <c r="C590" s="0" t="n">
        <v>69</v>
      </c>
      <c r="D590" s="0" t="n">
        <v>126</v>
      </c>
      <c r="E590" s="0" t="s">
        <v>2469</v>
      </c>
      <c r="F590" s="0" t="s">
        <v>2470</v>
      </c>
      <c r="G590" s="0" t="s">
        <v>2471</v>
      </c>
    </row>
    <row r="591" customFormat="false" ht="15" hidden="false" customHeight="false" outlineLevel="0" collapsed="false">
      <c r="A591" s="0" t="s">
        <v>625</v>
      </c>
      <c r="B591" s="0" t="n">
        <v>249</v>
      </c>
      <c r="C591" s="0" t="n">
        <v>573</v>
      </c>
      <c r="D591" s="0" t="n">
        <v>597</v>
      </c>
      <c r="E591" s="0" t="s">
        <v>2472</v>
      </c>
      <c r="F591" s="0" t="s">
        <v>2473</v>
      </c>
      <c r="G591" s="0" t="s">
        <v>2474</v>
      </c>
    </row>
    <row r="592" customFormat="false" ht="15" hidden="false" customHeight="false" outlineLevel="0" collapsed="false">
      <c r="A592" s="0" t="s">
        <v>626</v>
      </c>
      <c r="B592" s="0" t="n">
        <v>38</v>
      </c>
      <c r="C592" s="0" t="n">
        <v>146</v>
      </c>
      <c r="D592" s="0" t="n">
        <v>275</v>
      </c>
      <c r="E592" s="0" t="s">
        <v>2475</v>
      </c>
      <c r="F592" s="0" t="s">
        <v>2476</v>
      </c>
      <c r="G592" s="0" t="s">
        <v>2477</v>
      </c>
    </row>
    <row r="593" customFormat="false" ht="15" hidden="false" customHeight="false" outlineLevel="0" collapsed="false">
      <c r="A593" s="0" t="s">
        <v>627</v>
      </c>
      <c r="B593" s="0" t="n">
        <v>319</v>
      </c>
      <c r="C593" s="0" t="n">
        <v>639</v>
      </c>
      <c r="D593" s="0" t="n">
        <v>502</v>
      </c>
      <c r="E593" s="0" t="s">
        <v>2478</v>
      </c>
      <c r="F593" s="0" t="s">
        <v>2479</v>
      </c>
      <c r="G593" s="0" t="s">
        <v>2480</v>
      </c>
    </row>
    <row r="594" customFormat="false" ht="15" hidden="false" customHeight="false" outlineLevel="0" collapsed="false">
      <c r="A594" s="0" t="s">
        <v>628</v>
      </c>
      <c r="B594" s="0" t="n">
        <v>444</v>
      </c>
      <c r="C594" s="0" t="n">
        <v>648</v>
      </c>
      <c r="D594" s="0" t="n">
        <v>596</v>
      </c>
      <c r="E594" s="0" t="s">
        <v>2481</v>
      </c>
      <c r="F594" s="0" t="s">
        <v>2482</v>
      </c>
      <c r="G594" s="0" t="s">
        <v>2483</v>
      </c>
    </row>
    <row r="595" customFormat="false" ht="15" hidden="false" customHeight="false" outlineLevel="0" collapsed="false">
      <c r="A595" s="0" t="s">
        <v>629</v>
      </c>
      <c r="B595" s="0" t="n">
        <v>309</v>
      </c>
      <c r="C595" s="0" t="n">
        <v>530</v>
      </c>
      <c r="D595" s="0" t="n">
        <v>150</v>
      </c>
      <c r="E595" s="0" t="s">
        <v>2484</v>
      </c>
      <c r="F595" s="0" t="s">
        <v>2485</v>
      </c>
      <c r="G595" s="0" t="s">
        <v>2486</v>
      </c>
    </row>
    <row r="596" customFormat="false" ht="15" hidden="false" customHeight="false" outlineLevel="0" collapsed="false">
      <c r="A596" s="0" t="s">
        <v>630</v>
      </c>
      <c r="B596" s="0" t="n">
        <v>64</v>
      </c>
      <c r="C596" s="0" t="n">
        <v>147</v>
      </c>
      <c r="D596" s="0" t="n">
        <v>343</v>
      </c>
      <c r="E596" s="0" t="s">
        <v>2487</v>
      </c>
      <c r="F596" s="0" t="s">
        <v>2488</v>
      </c>
      <c r="G596" s="0" t="s">
        <v>2489</v>
      </c>
    </row>
    <row r="597" customFormat="false" ht="15" hidden="false" customHeight="false" outlineLevel="0" collapsed="false">
      <c r="A597" s="0" t="s">
        <v>631</v>
      </c>
      <c r="B597" s="0" t="n">
        <v>53</v>
      </c>
      <c r="C597" s="0" t="n">
        <v>227</v>
      </c>
      <c r="D597" s="0" t="n">
        <v>418</v>
      </c>
      <c r="E597" s="0" t="s">
        <v>2490</v>
      </c>
      <c r="F597" s="0" t="s">
        <v>2491</v>
      </c>
      <c r="G597" s="0" t="s">
        <v>2492</v>
      </c>
    </row>
    <row r="598" customFormat="false" ht="15" hidden="false" customHeight="false" outlineLevel="0" collapsed="false">
      <c r="A598" s="0" t="s">
        <v>632</v>
      </c>
      <c r="B598" s="0" t="n">
        <v>20</v>
      </c>
      <c r="C598" s="0" t="n">
        <v>417</v>
      </c>
      <c r="D598" s="0" t="n">
        <v>406</v>
      </c>
      <c r="E598" s="0" t="s">
        <v>2493</v>
      </c>
      <c r="F598" s="0" t="s">
        <v>2494</v>
      </c>
      <c r="G598" s="0" t="s">
        <v>2495</v>
      </c>
    </row>
    <row r="599" customFormat="false" ht="15" hidden="false" customHeight="false" outlineLevel="0" collapsed="false">
      <c r="A599" s="0" t="s">
        <v>633</v>
      </c>
      <c r="B599" s="0" t="n">
        <v>649</v>
      </c>
      <c r="C599" s="0" t="n">
        <v>399</v>
      </c>
      <c r="D599" s="0" t="n">
        <v>415</v>
      </c>
      <c r="E599" s="0" t="s">
        <v>2496</v>
      </c>
      <c r="F599" s="0" t="s">
        <v>2497</v>
      </c>
      <c r="G599" s="0" t="s">
        <v>2498</v>
      </c>
    </row>
    <row r="600" customFormat="false" ht="15" hidden="false" customHeight="false" outlineLevel="0" collapsed="false">
      <c r="A600" s="0" t="s">
        <v>634</v>
      </c>
      <c r="B600" s="0" t="n">
        <v>159</v>
      </c>
      <c r="C600" s="0" t="n">
        <v>246</v>
      </c>
      <c r="D600" s="0" t="n">
        <v>11</v>
      </c>
      <c r="E600" s="0" t="s">
        <v>2499</v>
      </c>
      <c r="F600" s="0" t="s">
        <v>2500</v>
      </c>
      <c r="G600" s="0" t="s">
        <v>2501</v>
      </c>
    </row>
    <row r="601" customFormat="false" ht="15" hidden="false" customHeight="false" outlineLevel="0" collapsed="false">
      <c r="A601" s="0" t="s">
        <v>635</v>
      </c>
      <c r="B601" s="0" t="n">
        <v>180</v>
      </c>
      <c r="C601" s="0" t="n">
        <v>397</v>
      </c>
      <c r="D601" s="0" t="n">
        <v>19</v>
      </c>
      <c r="E601" s="0" t="s">
        <v>2502</v>
      </c>
      <c r="F601" s="0" t="s">
        <v>2503</v>
      </c>
      <c r="G601" s="0" t="s">
        <v>2504</v>
      </c>
    </row>
    <row r="602" customFormat="false" ht="15" hidden="false" customHeight="false" outlineLevel="0" collapsed="false">
      <c r="A602" s="0" t="s">
        <v>636</v>
      </c>
      <c r="B602" s="0" t="n">
        <v>694</v>
      </c>
      <c r="C602" s="0" t="n">
        <v>715</v>
      </c>
      <c r="D602" s="0" t="n">
        <v>702</v>
      </c>
      <c r="E602" s="0" t="s">
        <v>2505</v>
      </c>
      <c r="F602" s="0" t="s">
        <v>2506</v>
      </c>
      <c r="G602" s="0" t="s">
        <v>2507</v>
      </c>
    </row>
    <row r="603" customFormat="false" ht="15" hidden="false" customHeight="false" outlineLevel="0" collapsed="false">
      <c r="A603" s="0" t="s">
        <v>637</v>
      </c>
      <c r="B603" s="0" t="n">
        <v>246</v>
      </c>
      <c r="C603" s="0" t="n">
        <v>600</v>
      </c>
      <c r="D603" s="0" t="n">
        <v>567</v>
      </c>
      <c r="E603" s="0" t="s">
        <v>2508</v>
      </c>
      <c r="F603" s="0" t="s">
        <v>2509</v>
      </c>
      <c r="G603" s="0" t="s">
        <v>2510</v>
      </c>
    </row>
    <row r="604" customFormat="false" ht="15" hidden="false" customHeight="false" outlineLevel="0" collapsed="false">
      <c r="A604" s="0" t="s">
        <v>638</v>
      </c>
      <c r="B604" s="0" t="n">
        <v>398</v>
      </c>
      <c r="C604" s="0" t="n">
        <v>188</v>
      </c>
      <c r="D604" s="0" t="n">
        <v>194</v>
      </c>
      <c r="E604" s="0" t="s">
        <v>2511</v>
      </c>
      <c r="F604" s="0" t="s">
        <v>2512</v>
      </c>
      <c r="G604" s="0" t="s">
        <v>2513</v>
      </c>
    </row>
    <row r="605" customFormat="false" ht="15" hidden="false" customHeight="false" outlineLevel="0" collapsed="false">
      <c r="A605" s="0" t="s">
        <v>639</v>
      </c>
      <c r="B605" s="0" t="n">
        <v>139</v>
      </c>
      <c r="C605" s="0" t="n">
        <v>1</v>
      </c>
      <c r="D605" s="0" t="n">
        <v>355</v>
      </c>
      <c r="E605" s="0" t="s">
        <v>2514</v>
      </c>
      <c r="F605" s="0" t="s">
        <v>2515</v>
      </c>
      <c r="G605" s="0" t="s">
        <v>2516</v>
      </c>
    </row>
    <row r="606" customFormat="false" ht="15" hidden="false" customHeight="false" outlineLevel="0" collapsed="false">
      <c r="A606" s="0" t="s">
        <v>640</v>
      </c>
    </row>
    <row r="607" customFormat="false" ht="15" hidden="false" customHeight="false" outlineLevel="0" collapsed="false">
      <c r="A607" s="0" t="s">
        <v>641</v>
      </c>
      <c r="B607" s="0" t="n">
        <v>272</v>
      </c>
      <c r="C607" s="0" t="n">
        <v>565</v>
      </c>
      <c r="D607" s="0" t="n">
        <v>591</v>
      </c>
      <c r="E607" s="0" t="s">
        <v>2517</v>
      </c>
      <c r="F607" s="0" t="s">
        <v>2518</v>
      </c>
      <c r="G607" s="0" t="s">
        <v>2519</v>
      </c>
    </row>
    <row r="608" customFormat="false" ht="15" hidden="false" customHeight="false" outlineLevel="0" collapsed="false">
      <c r="A608" s="0" t="s">
        <v>642</v>
      </c>
      <c r="B608" s="0" t="n">
        <v>512</v>
      </c>
      <c r="C608" s="0" t="n">
        <v>317</v>
      </c>
      <c r="D608" s="0" t="n">
        <v>100</v>
      </c>
      <c r="E608" s="0" t="s">
        <v>2520</v>
      </c>
      <c r="F608" s="0" t="s">
        <v>2521</v>
      </c>
      <c r="G608" s="0" t="s">
        <v>2522</v>
      </c>
    </row>
    <row r="609" customFormat="false" ht="15" hidden="false" customHeight="false" outlineLevel="0" collapsed="false">
      <c r="A609" s="0" t="s">
        <v>643</v>
      </c>
    </row>
    <row r="610" customFormat="false" ht="15" hidden="false" customHeight="false" outlineLevel="0" collapsed="false">
      <c r="A610" s="0" t="s">
        <v>644</v>
      </c>
      <c r="B610" s="0" t="n">
        <v>113</v>
      </c>
      <c r="C610" s="0" t="n">
        <v>175</v>
      </c>
      <c r="D610" s="0" t="n">
        <v>167</v>
      </c>
      <c r="E610" s="0" t="s">
        <v>2523</v>
      </c>
      <c r="F610" s="0" t="s">
        <v>2524</v>
      </c>
      <c r="G610" s="0" t="s">
        <v>2525</v>
      </c>
    </row>
    <row r="611" customFormat="false" ht="15" hidden="false" customHeight="false" outlineLevel="0" collapsed="false">
      <c r="A611" s="0" t="s">
        <v>645</v>
      </c>
      <c r="B611" s="0" t="n">
        <v>566</v>
      </c>
      <c r="C611" s="0" t="n">
        <v>578</v>
      </c>
      <c r="D611" s="0" t="n">
        <v>336</v>
      </c>
      <c r="E611" s="0" t="s">
        <v>2526</v>
      </c>
      <c r="F611" s="0" t="s">
        <v>2527</v>
      </c>
      <c r="G611" s="0" t="s">
        <v>2528</v>
      </c>
    </row>
    <row r="612" customFormat="false" ht="15" hidden="false" customHeight="false" outlineLevel="0" collapsed="false">
      <c r="A612" s="0" t="s">
        <v>646</v>
      </c>
      <c r="B612" s="0" t="n">
        <v>229</v>
      </c>
      <c r="C612" s="0" t="n">
        <v>442</v>
      </c>
      <c r="D612" s="0" t="n">
        <v>461</v>
      </c>
      <c r="E612" s="0" t="s">
        <v>2529</v>
      </c>
      <c r="F612" s="0" t="s">
        <v>2530</v>
      </c>
      <c r="G612" s="0" t="s">
        <v>2531</v>
      </c>
    </row>
    <row r="613" customFormat="false" ht="15" hidden="false" customHeight="false" outlineLevel="0" collapsed="false">
      <c r="A613" s="0" t="s">
        <v>647</v>
      </c>
    </row>
    <row r="614" customFormat="false" ht="15" hidden="false" customHeight="false" outlineLevel="0" collapsed="false">
      <c r="A614" s="0" t="s">
        <v>648</v>
      </c>
      <c r="B614" s="0" t="n">
        <v>62</v>
      </c>
      <c r="C614" s="0" t="n">
        <v>220</v>
      </c>
      <c r="D614" s="0" t="n">
        <v>434</v>
      </c>
      <c r="E614" s="0" t="s">
        <v>2532</v>
      </c>
      <c r="F614" s="0" t="s">
        <v>2533</v>
      </c>
      <c r="G614" s="0" t="s">
        <v>2534</v>
      </c>
    </row>
    <row r="615" customFormat="false" ht="15" hidden="false" customHeight="false" outlineLevel="0" collapsed="false">
      <c r="A615" s="0" t="s">
        <v>649</v>
      </c>
      <c r="B615" s="0" t="n">
        <v>144</v>
      </c>
      <c r="C615" s="0" t="n">
        <v>111</v>
      </c>
      <c r="D615" s="0" t="n">
        <v>253</v>
      </c>
      <c r="E615" s="0" t="s">
        <v>2535</v>
      </c>
      <c r="F615" s="0" t="s">
        <v>2536</v>
      </c>
      <c r="G615" s="0" t="s">
        <v>2537</v>
      </c>
    </row>
    <row r="616" customFormat="false" ht="15" hidden="false" customHeight="false" outlineLevel="0" collapsed="false">
      <c r="A616" s="0" t="s">
        <v>650</v>
      </c>
      <c r="B616" s="0" t="n">
        <v>84</v>
      </c>
      <c r="C616" s="0" t="n">
        <v>194</v>
      </c>
      <c r="D616" s="0" t="n">
        <v>474</v>
      </c>
      <c r="E616" s="0" t="s">
        <v>2538</v>
      </c>
      <c r="F616" s="0" t="s">
        <v>2539</v>
      </c>
      <c r="G616" s="0" t="s">
        <v>2540</v>
      </c>
    </row>
    <row r="617" customFormat="false" ht="15" hidden="false" customHeight="false" outlineLevel="0" collapsed="false">
      <c r="A617" s="0" t="s">
        <v>651</v>
      </c>
    </row>
    <row r="618" customFormat="false" ht="15" hidden="false" customHeight="false" outlineLevel="0" collapsed="false">
      <c r="A618" s="0" t="s">
        <v>652</v>
      </c>
    </row>
    <row r="619" customFormat="false" ht="15" hidden="false" customHeight="false" outlineLevel="0" collapsed="false">
      <c r="A619" s="0" t="s">
        <v>653</v>
      </c>
      <c r="B619" s="0" t="n">
        <v>307</v>
      </c>
      <c r="C619" s="0" t="n">
        <v>457</v>
      </c>
      <c r="D619" s="0" t="n">
        <v>521</v>
      </c>
      <c r="E619" s="0" t="s">
        <v>2541</v>
      </c>
      <c r="F619" s="0" t="s">
        <v>2542</v>
      </c>
      <c r="G619" s="0" t="s">
        <v>2543</v>
      </c>
    </row>
    <row r="620" customFormat="false" ht="15" hidden="false" customHeight="false" outlineLevel="0" collapsed="false">
      <c r="A620" s="0" t="s">
        <v>654</v>
      </c>
      <c r="B620" s="0" t="n">
        <v>672</v>
      </c>
      <c r="C620" s="0" t="n">
        <v>581</v>
      </c>
      <c r="D620" s="0" t="n">
        <v>128</v>
      </c>
      <c r="E620" s="0" t="s">
        <v>2544</v>
      </c>
      <c r="F620" s="0" t="s">
        <v>2545</v>
      </c>
      <c r="G620" s="0" t="s">
        <v>2546</v>
      </c>
    </row>
    <row r="621" customFormat="false" ht="15" hidden="false" customHeight="false" outlineLevel="0" collapsed="false">
      <c r="A621" s="0" t="s">
        <v>655</v>
      </c>
      <c r="B621" s="0" t="n">
        <v>521</v>
      </c>
      <c r="C621" s="0" t="n">
        <v>209</v>
      </c>
      <c r="D621" s="0" t="n">
        <v>292</v>
      </c>
      <c r="E621" s="0" t="s">
        <v>2547</v>
      </c>
      <c r="F621" s="0" t="s">
        <v>2548</v>
      </c>
      <c r="G621" s="0" t="s">
        <v>2549</v>
      </c>
    </row>
    <row r="622" customFormat="false" ht="15" hidden="false" customHeight="false" outlineLevel="0" collapsed="false">
      <c r="A622" s="0" t="s">
        <v>656</v>
      </c>
      <c r="B622" s="0" t="n">
        <v>183</v>
      </c>
      <c r="C622" s="0" t="n">
        <v>319</v>
      </c>
      <c r="D622" s="0" t="n">
        <v>324</v>
      </c>
      <c r="E622" s="0" t="s">
        <v>2550</v>
      </c>
      <c r="F622" s="0" t="s">
        <v>2551</v>
      </c>
      <c r="G622" s="0" t="s">
        <v>2552</v>
      </c>
    </row>
    <row r="623" customFormat="false" ht="15" hidden="false" customHeight="false" outlineLevel="0" collapsed="false">
      <c r="A623" s="0" t="s">
        <v>657</v>
      </c>
      <c r="B623" s="0" t="n">
        <v>490</v>
      </c>
      <c r="C623" s="0" t="n">
        <v>682</v>
      </c>
      <c r="D623" s="0" t="n">
        <v>568</v>
      </c>
      <c r="E623" s="0" t="s">
        <v>2553</v>
      </c>
      <c r="F623" s="0" t="s">
        <v>2554</v>
      </c>
      <c r="G623" s="0" t="s">
        <v>2555</v>
      </c>
    </row>
    <row r="624" customFormat="false" ht="15" hidden="false" customHeight="false" outlineLevel="0" collapsed="false">
      <c r="A624" s="0" t="s">
        <v>658</v>
      </c>
      <c r="B624" s="0" t="n">
        <v>633</v>
      </c>
      <c r="C624" s="0" t="n">
        <v>331</v>
      </c>
      <c r="D624" s="0" t="n">
        <v>429</v>
      </c>
      <c r="E624" s="0" t="s">
        <v>2556</v>
      </c>
      <c r="F624" s="0" t="s">
        <v>2557</v>
      </c>
      <c r="G624" s="0" t="s">
        <v>2558</v>
      </c>
    </row>
    <row r="625" customFormat="false" ht="15" hidden="false" customHeight="false" outlineLevel="0" collapsed="false">
      <c r="A625" s="0" t="s">
        <v>659</v>
      </c>
      <c r="B625" s="0" t="n">
        <v>501</v>
      </c>
      <c r="C625" s="0" t="n">
        <v>347</v>
      </c>
      <c r="D625" s="0" t="n">
        <v>328</v>
      </c>
      <c r="E625" s="0" t="s">
        <v>2559</v>
      </c>
      <c r="F625" s="0" t="s">
        <v>2560</v>
      </c>
      <c r="G625" s="0" t="s">
        <v>2561</v>
      </c>
    </row>
    <row r="626" customFormat="false" ht="15" hidden="false" customHeight="false" outlineLevel="0" collapsed="false">
      <c r="A626" s="0" t="s">
        <v>660</v>
      </c>
      <c r="B626" s="0" t="n">
        <v>407</v>
      </c>
      <c r="C626" s="0" t="n">
        <v>286</v>
      </c>
      <c r="D626" s="0" t="n">
        <v>109</v>
      </c>
      <c r="E626" s="0" t="s">
        <v>2562</v>
      </c>
      <c r="F626" s="0" t="s">
        <v>2563</v>
      </c>
      <c r="G626" s="0" t="s">
        <v>2564</v>
      </c>
    </row>
    <row r="627" customFormat="false" ht="15" hidden="false" customHeight="false" outlineLevel="0" collapsed="false">
      <c r="A627" s="0" t="s">
        <v>661</v>
      </c>
      <c r="B627" s="0" t="n">
        <v>23</v>
      </c>
      <c r="C627" s="0" t="n">
        <v>295</v>
      </c>
      <c r="D627" s="0" t="n">
        <v>365</v>
      </c>
      <c r="E627" s="0" t="s">
        <v>2565</v>
      </c>
      <c r="F627" s="0" t="s">
        <v>2566</v>
      </c>
      <c r="G627" s="0" t="s">
        <v>1782</v>
      </c>
    </row>
    <row r="628" customFormat="false" ht="15" hidden="false" customHeight="false" outlineLevel="0" collapsed="false">
      <c r="A628" s="0" t="s">
        <v>662</v>
      </c>
      <c r="B628" s="0" t="n">
        <v>76</v>
      </c>
      <c r="C628" s="0" t="n">
        <v>618</v>
      </c>
      <c r="D628" s="0" t="n">
        <v>463</v>
      </c>
      <c r="E628" s="0" t="s">
        <v>2567</v>
      </c>
      <c r="F628" s="0" t="s">
        <v>2568</v>
      </c>
      <c r="G628" s="0" t="s">
        <v>2453</v>
      </c>
    </row>
    <row r="629" customFormat="false" ht="15" hidden="false" customHeight="false" outlineLevel="0" collapsed="false">
      <c r="A629" s="0" t="s">
        <v>663</v>
      </c>
      <c r="B629" s="0" t="n">
        <v>485</v>
      </c>
      <c r="C629" s="0" t="n">
        <v>503</v>
      </c>
      <c r="D629" s="0" t="n">
        <v>373</v>
      </c>
      <c r="E629" s="0" t="s">
        <v>2569</v>
      </c>
      <c r="F629" s="0" t="s">
        <v>2570</v>
      </c>
      <c r="G629" s="0" t="s">
        <v>2571</v>
      </c>
    </row>
    <row r="630" customFormat="false" ht="15" hidden="false" customHeight="false" outlineLevel="0" collapsed="false">
      <c r="A630" s="0" t="s">
        <v>664</v>
      </c>
      <c r="B630" s="0" t="n">
        <v>74</v>
      </c>
      <c r="C630" s="0" t="n">
        <v>122</v>
      </c>
      <c r="D630" s="0" t="n">
        <v>402</v>
      </c>
      <c r="E630" s="0" t="s">
        <v>2572</v>
      </c>
      <c r="F630" s="0" t="s">
        <v>2573</v>
      </c>
      <c r="G630" s="0" t="s">
        <v>2574</v>
      </c>
    </row>
    <row r="631" customFormat="false" ht="15" hidden="false" customHeight="false" outlineLevel="0" collapsed="false">
      <c r="A631" s="0" t="s">
        <v>665</v>
      </c>
      <c r="B631" s="0" t="n">
        <v>231</v>
      </c>
      <c r="C631" s="0" t="n">
        <v>202</v>
      </c>
      <c r="D631" s="0" t="n">
        <v>241</v>
      </c>
      <c r="E631" s="0" t="s">
        <v>2575</v>
      </c>
      <c r="F631" s="0" t="s">
        <v>2576</v>
      </c>
      <c r="G631" s="0" t="s">
        <v>2577</v>
      </c>
    </row>
    <row r="632" customFormat="false" ht="15" hidden="false" customHeight="false" outlineLevel="0" collapsed="false">
      <c r="A632" s="0" t="s">
        <v>666</v>
      </c>
      <c r="B632" s="0" t="n">
        <v>459</v>
      </c>
      <c r="C632" s="0" t="n">
        <v>601</v>
      </c>
      <c r="D632" s="0" t="n">
        <v>507</v>
      </c>
      <c r="E632" s="0" t="s">
        <v>2578</v>
      </c>
      <c r="F632" s="0" t="s">
        <v>2579</v>
      </c>
      <c r="G632" s="0" t="s">
        <v>2580</v>
      </c>
    </row>
    <row r="633" customFormat="false" ht="15" hidden="false" customHeight="false" outlineLevel="0" collapsed="false">
      <c r="A633" s="0" t="s">
        <v>667</v>
      </c>
      <c r="B633" s="0" t="n">
        <v>259</v>
      </c>
      <c r="C633" s="0" t="n">
        <v>79</v>
      </c>
      <c r="D633" s="0" t="n">
        <v>301</v>
      </c>
      <c r="E633" s="0" t="s">
        <v>2581</v>
      </c>
      <c r="F633" s="0" t="s">
        <v>2582</v>
      </c>
      <c r="G633" s="0" t="s">
        <v>2583</v>
      </c>
    </row>
    <row r="634" customFormat="false" ht="15" hidden="false" customHeight="false" outlineLevel="0" collapsed="false">
      <c r="A634" s="0" t="s">
        <v>668</v>
      </c>
      <c r="B634" s="0" t="n">
        <v>634</v>
      </c>
      <c r="C634" s="0" t="n">
        <v>362</v>
      </c>
      <c r="D634" s="0" t="n">
        <v>14</v>
      </c>
      <c r="E634" s="0" t="s">
        <v>2584</v>
      </c>
      <c r="F634" s="0" t="s">
        <v>2585</v>
      </c>
      <c r="G634" s="0" t="s">
        <v>2586</v>
      </c>
    </row>
    <row r="635" customFormat="false" ht="15" hidden="false" customHeight="false" outlineLevel="0" collapsed="false">
      <c r="A635" s="0" t="s">
        <v>669</v>
      </c>
      <c r="B635" s="0" t="n">
        <v>518</v>
      </c>
      <c r="C635" s="0" t="n">
        <v>556</v>
      </c>
      <c r="D635" s="0" t="n">
        <v>410</v>
      </c>
      <c r="E635" s="0" t="s">
        <v>2587</v>
      </c>
      <c r="F635" s="0" t="s">
        <v>2588</v>
      </c>
      <c r="G635" s="0" t="s">
        <v>2589</v>
      </c>
    </row>
    <row r="636" customFormat="false" ht="15" hidden="false" customHeight="false" outlineLevel="0" collapsed="false">
      <c r="A636" s="0" t="s">
        <v>670</v>
      </c>
      <c r="B636" s="0" t="n">
        <v>411</v>
      </c>
      <c r="C636" s="0" t="n">
        <v>584</v>
      </c>
      <c r="D636" s="0" t="n">
        <v>124</v>
      </c>
      <c r="E636" s="0" t="s">
        <v>2590</v>
      </c>
      <c r="F636" s="0" t="s">
        <v>2591</v>
      </c>
      <c r="G636" s="0" t="s">
        <v>2592</v>
      </c>
    </row>
    <row r="637" customFormat="false" ht="15" hidden="false" customHeight="false" outlineLevel="0" collapsed="false">
      <c r="A637" s="0" t="s">
        <v>671</v>
      </c>
      <c r="B637" s="0" t="n">
        <v>513</v>
      </c>
      <c r="C637" s="0" t="n">
        <v>607</v>
      </c>
      <c r="D637" s="0" t="n">
        <v>494</v>
      </c>
      <c r="E637" s="0" t="s">
        <v>2593</v>
      </c>
      <c r="F637" s="0" t="s">
        <v>2594</v>
      </c>
      <c r="G637" s="0" t="s">
        <v>2595</v>
      </c>
    </row>
    <row r="638" customFormat="false" ht="15" hidden="false" customHeight="false" outlineLevel="0" collapsed="false">
      <c r="A638" s="0" t="s">
        <v>672</v>
      </c>
      <c r="B638" s="0" t="n">
        <v>540</v>
      </c>
      <c r="C638" s="0" t="n">
        <v>173</v>
      </c>
      <c r="D638" s="0" t="n">
        <v>284</v>
      </c>
      <c r="E638" s="0" t="s">
        <v>2596</v>
      </c>
      <c r="F638" s="0" t="s">
        <v>2597</v>
      </c>
      <c r="G638" s="0" t="s">
        <v>2598</v>
      </c>
    </row>
    <row r="639" customFormat="false" ht="15" hidden="false" customHeight="false" outlineLevel="0" collapsed="false">
      <c r="A639" s="0" t="s">
        <v>673</v>
      </c>
      <c r="B639" s="0" t="n">
        <v>704</v>
      </c>
      <c r="C639" s="0" t="n">
        <v>335</v>
      </c>
      <c r="D639" s="0" t="n">
        <v>271</v>
      </c>
      <c r="E639" s="0" t="s">
        <v>2599</v>
      </c>
      <c r="F639" s="0" t="s">
        <v>2600</v>
      </c>
      <c r="G639" s="0" t="s">
        <v>2601</v>
      </c>
    </row>
    <row r="640" customFormat="false" ht="15" hidden="false" customHeight="false" outlineLevel="0" collapsed="false">
      <c r="A640" s="0" t="s">
        <v>674</v>
      </c>
    </row>
    <row r="641" customFormat="false" ht="15" hidden="false" customHeight="false" outlineLevel="0" collapsed="false">
      <c r="A641" s="0" t="s">
        <v>675</v>
      </c>
      <c r="B641" s="0" t="n">
        <v>532</v>
      </c>
      <c r="C641" s="0" t="n">
        <v>376</v>
      </c>
      <c r="D641" s="0" t="n">
        <v>185</v>
      </c>
      <c r="E641" s="0" t="s">
        <v>2602</v>
      </c>
      <c r="F641" s="0" t="s">
        <v>2603</v>
      </c>
      <c r="G641" s="0" t="s">
        <v>2604</v>
      </c>
    </row>
    <row r="642" customFormat="false" ht="15" hidden="false" customHeight="false" outlineLevel="0" collapsed="false">
      <c r="A642" s="0" t="s">
        <v>676</v>
      </c>
      <c r="B642" s="0" t="n">
        <v>388</v>
      </c>
      <c r="C642" s="0" t="n">
        <v>291</v>
      </c>
      <c r="D642" s="0" t="n">
        <v>181</v>
      </c>
      <c r="E642" s="0" t="s">
        <v>2605</v>
      </c>
      <c r="F642" s="0" t="s">
        <v>2606</v>
      </c>
      <c r="G642" s="0" t="s">
        <v>2607</v>
      </c>
    </row>
    <row r="643" customFormat="false" ht="15" hidden="false" customHeight="false" outlineLevel="0" collapsed="false">
      <c r="A643" s="0" t="s">
        <v>677</v>
      </c>
    </row>
    <row r="644" customFormat="false" ht="15" hidden="false" customHeight="false" outlineLevel="0" collapsed="false">
      <c r="A644" s="0" t="s">
        <v>678</v>
      </c>
    </row>
    <row r="645" customFormat="false" ht="15" hidden="false" customHeight="false" outlineLevel="0" collapsed="false">
      <c r="A645" s="0" t="s">
        <v>679</v>
      </c>
      <c r="B645" s="0" t="n">
        <v>492</v>
      </c>
      <c r="C645" s="0" t="n">
        <v>432</v>
      </c>
      <c r="D645" s="0" t="n">
        <v>153</v>
      </c>
      <c r="E645" s="0" t="s">
        <v>2608</v>
      </c>
      <c r="F645" s="0" t="s">
        <v>2609</v>
      </c>
      <c r="G645" s="0" t="s">
        <v>2610</v>
      </c>
    </row>
    <row r="646" customFormat="false" ht="15" hidden="false" customHeight="false" outlineLevel="0" collapsed="false">
      <c r="A646" s="0" t="s">
        <v>680</v>
      </c>
      <c r="B646" s="0" t="n">
        <v>394</v>
      </c>
      <c r="C646" s="0" t="n">
        <v>239</v>
      </c>
      <c r="D646" s="0" t="n">
        <v>435</v>
      </c>
      <c r="E646" s="0" t="s">
        <v>2611</v>
      </c>
      <c r="F646" s="0" t="s">
        <v>2612</v>
      </c>
      <c r="G646" s="0" t="s">
        <v>2613</v>
      </c>
    </row>
    <row r="647" customFormat="false" ht="15" hidden="false" customHeight="false" outlineLevel="0" collapsed="false">
      <c r="A647" s="0" t="s">
        <v>681</v>
      </c>
    </row>
    <row r="648" customFormat="false" ht="15" hidden="false" customHeight="false" outlineLevel="0" collapsed="false">
      <c r="A648" s="0" t="s">
        <v>682</v>
      </c>
      <c r="B648" s="0" t="n">
        <v>396</v>
      </c>
      <c r="C648" s="0" t="n">
        <v>383</v>
      </c>
      <c r="D648" s="0" t="n">
        <v>394</v>
      </c>
      <c r="E648" s="0" t="s">
        <v>2614</v>
      </c>
      <c r="F648" s="0" t="s">
        <v>2615</v>
      </c>
      <c r="G648" s="0" t="s">
        <v>2616</v>
      </c>
    </row>
    <row r="649" customFormat="false" ht="15" hidden="false" customHeight="false" outlineLevel="0" collapsed="false">
      <c r="A649" s="0" t="s">
        <v>683</v>
      </c>
      <c r="B649" s="0" t="n">
        <v>455</v>
      </c>
      <c r="C649" s="0" t="n">
        <v>450</v>
      </c>
      <c r="D649" s="0" t="n">
        <v>362</v>
      </c>
      <c r="E649" s="0" t="s">
        <v>2617</v>
      </c>
      <c r="F649" s="0" t="s">
        <v>2618</v>
      </c>
      <c r="G649" s="0" t="s">
        <v>2619</v>
      </c>
    </row>
    <row r="650" customFormat="false" ht="15" hidden="false" customHeight="false" outlineLevel="0" collapsed="false">
      <c r="A650" s="0" t="s">
        <v>684</v>
      </c>
      <c r="B650" s="0" t="n">
        <v>306</v>
      </c>
      <c r="C650" s="0" t="n">
        <v>178</v>
      </c>
      <c r="D650" s="0" t="n">
        <v>430</v>
      </c>
      <c r="E650" s="0" t="s">
        <v>2620</v>
      </c>
      <c r="F650" s="0" t="s">
        <v>2621</v>
      </c>
      <c r="G650" s="0" t="s">
        <v>2622</v>
      </c>
    </row>
    <row r="651" customFormat="false" ht="15" hidden="false" customHeight="false" outlineLevel="0" collapsed="false">
      <c r="A651" s="0" t="s">
        <v>685</v>
      </c>
      <c r="B651" s="0" t="n">
        <v>173</v>
      </c>
      <c r="C651" s="0" t="n">
        <v>617</v>
      </c>
      <c r="D651" s="0" t="n">
        <v>479</v>
      </c>
      <c r="E651" s="0" t="s">
        <v>2623</v>
      </c>
      <c r="F651" s="0" t="s">
        <v>2624</v>
      </c>
      <c r="G651" s="0" t="s">
        <v>2625</v>
      </c>
    </row>
    <row r="652" customFormat="false" ht="15" hidden="false" customHeight="false" outlineLevel="0" collapsed="false">
      <c r="A652" s="0" t="s">
        <v>686</v>
      </c>
      <c r="B652" s="0" t="n">
        <v>436</v>
      </c>
      <c r="C652" s="0" t="n">
        <v>528</v>
      </c>
      <c r="D652" s="0" t="n">
        <v>121</v>
      </c>
      <c r="E652" s="0" t="s">
        <v>2626</v>
      </c>
      <c r="F652" s="0" t="s">
        <v>2627</v>
      </c>
      <c r="G652" s="0" t="s">
        <v>2628</v>
      </c>
    </row>
    <row r="653" customFormat="false" ht="15" hidden="false" customHeight="false" outlineLevel="0" collapsed="false">
      <c r="A653" s="0" t="s">
        <v>687</v>
      </c>
    </row>
    <row r="654" customFormat="false" ht="15" hidden="false" customHeight="false" outlineLevel="0" collapsed="false">
      <c r="A654" s="0" t="s">
        <v>688</v>
      </c>
      <c r="B654" s="0" t="n">
        <v>470</v>
      </c>
      <c r="C654" s="0" t="n">
        <v>686</v>
      </c>
      <c r="D654" s="0" t="n">
        <v>442</v>
      </c>
      <c r="E654" s="0" t="s">
        <v>2629</v>
      </c>
      <c r="F654" s="0" t="s">
        <v>2630</v>
      </c>
      <c r="G654" s="0" t="s">
        <v>2631</v>
      </c>
    </row>
    <row r="655" customFormat="false" ht="15" hidden="false" customHeight="false" outlineLevel="0" collapsed="false">
      <c r="A655" s="0" t="s">
        <v>689</v>
      </c>
      <c r="B655" s="0" t="n">
        <v>335</v>
      </c>
      <c r="C655" s="0" t="n">
        <v>330</v>
      </c>
      <c r="D655" s="0" t="n">
        <v>296</v>
      </c>
      <c r="E655" s="0" t="s">
        <v>2632</v>
      </c>
      <c r="F655" s="0" t="s">
        <v>2633</v>
      </c>
      <c r="G655" s="0" t="s">
        <v>2634</v>
      </c>
    </row>
    <row r="656" customFormat="false" ht="15" hidden="false" customHeight="false" outlineLevel="0" collapsed="false">
      <c r="A656" s="0" t="s">
        <v>690</v>
      </c>
    </row>
    <row r="657" customFormat="false" ht="15" hidden="false" customHeight="false" outlineLevel="0" collapsed="false">
      <c r="A657" s="0" t="s">
        <v>691</v>
      </c>
    </row>
    <row r="658" customFormat="false" ht="15" hidden="false" customHeight="false" outlineLevel="0" collapsed="false">
      <c r="A658" s="0" t="s">
        <v>692</v>
      </c>
      <c r="B658" s="0" t="n">
        <v>700</v>
      </c>
      <c r="C658" s="0" t="n">
        <v>677</v>
      </c>
      <c r="D658" s="0" t="n">
        <v>569</v>
      </c>
      <c r="E658" s="0" t="s">
        <v>2635</v>
      </c>
      <c r="F658" s="0" t="s">
        <v>2636</v>
      </c>
      <c r="G658" s="0" t="s">
        <v>2637</v>
      </c>
    </row>
    <row r="659" customFormat="false" ht="15" hidden="false" customHeight="false" outlineLevel="0" collapsed="false">
      <c r="A659" s="0" t="s">
        <v>693</v>
      </c>
    </row>
    <row r="660" customFormat="false" ht="15" hidden="false" customHeight="false" outlineLevel="0" collapsed="false">
      <c r="A660" s="0" t="s">
        <v>694</v>
      </c>
    </row>
    <row r="661" customFormat="false" ht="15" hidden="false" customHeight="false" outlineLevel="0" collapsed="false">
      <c r="A661" s="0" t="s">
        <v>695</v>
      </c>
      <c r="B661" s="0" t="n">
        <v>331</v>
      </c>
      <c r="C661" s="0" t="n">
        <v>320</v>
      </c>
      <c r="D661" s="0" t="n">
        <v>210</v>
      </c>
      <c r="E661" s="0" t="s">
        <v>2638</v>
      </c>
      <c r="F661" s="0" t="s">
        <v>2639</v>
      </c>
      <c r="G661" s="0" t="s">
        <v>2640</v>
      </c>
    </row>
    <row r="662" customFormat="false" ht="15" hidden="false" customHeight="false" outlineLevel="0" collapsed="false">
      <c r="A662" s="0" t="s">
        <v>696</v>
      </c>
    </row>
    <row r="663" customFormat="false" ht="15" hidden="false" customHeight="false" outlineLevel="0" collapsed="false">
      <c r="A663" s="0" t="s">
        <v>697</v>
      </c>
      <c r="B663" s="0" t="n">
        <v>631</v>
      </c>
      <c r="C663" s="0" t="n">
        <v>354</v>
      </c>
      <c r="D663" s="0" t="n">
        <v>138</v>
      </c>
      <c r="E663" s="0" t="s">
        <v>2641</v>
      </c>
      <c r="F663" s="0" t="s">
        <v>2642</v>
      </c>
      <c r="G663" s="0" t="s">
        <v>2643</v>
      </c>
    </row>
    <row r="664" customFormat="false" ht="15" hidden="false" customHeight="false" outlineLevel="0" collapsed="false">
      <c r="A664" s="0" t="s">
        <v>698</v>
      </c>
      <c r="B664" s="0" t="n">
        <v>313</v>
      </c>
      <c r="C664" s="0" t="n">
        <v>415</v>
      </c>
      <c r="D664" s="0" t="n">
        <v>372</v>
      </c>
      <c r="E664" s="0" t="s">
        <v>2644</v>
      </c>
      <c r="F664" s="0" t="s">
        <v>2645</v>
      </c>
      <c r="G664" s="0" t="s">
        <v>2646</v>
      </c>
    </row>
    <row r="665" customFormat="false" ht="15" hidden="false" customHeight="false" outlineLevel="0" collapsed="false">
      <c r="A665" s="0" t="s">
        <v>699</v>
      </c>
      <c r="B665" s="0" t="n">
        <v>530</v>
      </c>
      <c r="C665" s="0" t="n">
        <v>414</v>
      </c>
      <c r="D665" s="0" t="n">
        <v>73</v>
      </c>
      <c r="E665" s="0" t="s">
        <v>2647</v>
      </c>
      <c r="F665" s="0" t="s">
        <v>2648</v>
      </c>
      <c r="G665" s="0" t="s">
        <v>2649</v>
      </c>
    </row>
    <row r="666" customFormat="false" ht="15" hidden="false" customHeight="false" outlineLevel="0" collapsed="false">
      <c r="A666" s="0" t="s">
        <v>700</v>
      </c>
      <c r="B666" s="0" t="n">
        <v>277</v>
      </c>
      <c r="C666" s="0" t="n">
        <v>41</v>
      </c>
      <c r="D666" s="0" t="n">
        <v>303</v>
      </c>
      <c r="E666" s="0" t="s">
        <v>2650</v>
      </c>
      <c r="F666" s="0" t="s">
        <v>2651</v>
      </c>
      <c r="G666" s="0" t="s">
        <v>2652</v>
      </c>
    </row>
    <row r="667" customFormat="false" ht="15" hidden="false" customHeight="false" outlineLevel="0" collapsed="false">
      <c r="A667" s="0" t="s">
        <v>701</v>
      </c>
    </row>
    <row r="668" customFormat="false" ht="15" hidden="false" customHeight="false" outlineLevel="0" collapsed="false">
      <c r="A668" s="0" t="s">
        <v>702</v>
      </c>
      <c r="B668" s="0" t="n">
        <v>401</v>
      </c>
      <c r="C668" s="0" t="n">
        <v>598</v>
      </c>
      <c r="D668" s="0" t="n">
        <v>523</v>
      </c>
      <c r="E668" s="0" t="s">
        <v>2653</v>
      </c>
      <c r="F668" s="0" t="s">
        <v>2654</v>
      </c>
      <c r="G668" s="0" t="s">
        <v>2655</v>
      </c>
    </row>
    <row r="669" customFormat="false" ht="15" hidden="false" customHeight="false" outlineLevel="0" collapsed="false">
      <c r="A669" s="0" t="s">
        <v>703</v>
      </c>
      <c r="B669" s="0" t="n">
        <v>550</v>
      </c>
      <c r="C669" s="0" t="n">
        <v>427</v>
      </c>
      <c r="D669" s="0" t="n">
        <v>384</v>
      </c>
      <c r="E669" s="0" t="s">
        <v>2656</v>
      </c>
      <c r="F669" s="0" t="s">
        <v>2657</v>
      </c>
      <c r="G669" s="0" t="s">
        <v>2658</v>
      </c>
    </row>
    <row r="670" customFormat="false" ht="15" hidden="false" customHeight="false" outlineLevel="0" collapsed="false">
      <c r="A670" s="0" t="s">
        <v>704</v>
      </c>
      <c r="B670" s="0" t="n">
        <v>215</v>
      </c>
      <c r="C670" s="0" t="n">
        <v>222</v>
      </c>
      <c r="D670" s="0" t="n">
        <v>448</v>
      </c>
      <c r="E670" s="0" t="s">
        <v>2659</v>
      </c>
      <c r="F670" s="0" t="s">
        <v>2660</v>
      </c>
      <c r="G670" s="0" t="s">
        <v>2661</v>
      </c>
    </row>
    <row r="671" customFormat="false" ht="15" hidden="false" customHeight="false" outlineLevel="0" collapsed="false">
      <c r="A671" s="0" t="s">
        <v>705</v>
      </c>
      <c r="B671" s="0" t="n">
        <v>171</v>
      </c>
      <c r="C671" s="0" t="n">
        <v>326</v>
      </c>
      <c r="D671" s="0" t="n">
        <v>313</v>
      </c>
      <c r="E671" s="0" t="s">
        <v>2662</v>
      </c>
      <c r="F671" s="0" t="s">
        <v>2663</v>
      </c>
      <c r="G671" s="0" t="s">
        <v>2664</v>
      </c>
    </row>
    <row r="672" customFormat="false" ht="15" hidden="false" customHeight="false" outlineLevel="0" collapsed="false">
      <c r="A672" s="0" t="s">
        <v>706</v>
      </c>
      <c r="B672" s="0" t="n">
        <v>473</v>
      </c>
      <c r="C672" s="0" t="n">
        <v>323</v>
      </c>
      <c r="D672" s="0" t="n">
        <v>476</v>
      </c>
      <c r="E672" s="0" t="s">
        <v>2665</v>
      </c>
      <c r="F672" s="0" t="s">
        <v>2666</v>
      </c>
      <c r="G672" s="0" t="s">
        <v>2667</v>
      </c>
    </row>
    <row r="673" customFormat="false" ht="15" hidden="false" customHeight="false" outlineLevel="0" collapsed="false">
      <c r="A673" s="0" t="s">
        <v>707</v>
      </c>
      <c r="B673" s="0" t="n">
        <v>337</v>
      </c>
      <c r="C673" s="0" t="n">
        <v>576</v>
      </c>
      <c r="D673" s="0" t="n">
        <v>501</v>
      </c>
      <c r="E673" s="0" t="s">
        <v>2668</v>
      </c>
      <c r="F673" s="0" t="s">
        <v>2669</v>
      </c>
      <c r="G673" s="0" t="s">
        <v>2670</v>
      </c>
    </row>
    <row r="674" customFormat="false" ht="15" hidden="false" customHeight="false" outlineLevel="0" collapsed="false">
      <c r="A674" s="0" t="s">
        <v>708</v>
      </c>
      <c r="B674" s="0" t="n">
        <v>344</v>
      </c>
      <c r="C674" s="0" t="n">
        <v>27</v>
      </c>
      <c r="D674" s="0" t="n">
        <v>192</v>
      </c>
      <c r="E674" s="0" t="s">
        <v>2671</v>
      </c>
      <c r="F674" s="0" t="s">
        <v>2672</v>
      </c>
      <c r="G674" s="0" t="s">
        <v>2673</v>
      </c>
    </row>
    <row r="675" customFormat="false" ht="15" hidden="false" customHeight="false" outlineLevel="0" collapsed="false">
      <c r="A675" s="0" t="s">
        <v>709</v>
      </c>
      <c r="B675" s="0" t="n">
        <v>233</v>
      </c>
      <c r="C675" s="0" t="n">
        <v>120</v>
      </c>
      <c r="D675" s="0" t="n">
        <v>122</v>
      </c>
      <c r="E675" s="0" t="s">
        <v>2674</v>
      </c>
      <c r="F675" s="0" t="s">
        <v>2675</v>
      </c>
      <c r="G675" s="0" t="s">
        <v>2676</v>
      </c>
    </row>
    <row r="676" customFormat="false" ht="15" hidden="false" customHeight="false" outlineLevel="0" collapsed="false">
      <c r="A676" s="0" t="s">
        <v>710</v>
      </c>
      <c r="B676" s="0" t="n">
        <v>679</v>
      </c>
      <c r="C676" s="0" t="n">
        <v>604</v>
      </c>
      <c r="D676" s="0" t="n">
        <v>405</v>
      </c>
      <c r="E676" s="0" t="s">
        <v>2677</v>
      </c>
      <c r="F676" s="0" t="s">
        <v>2678</v>
      </c>
      <c r="G676" s="0" t="s">
        <v>2679</v>
      </c>
    </row>
    <row r="677" customFormat="false" ht="15" hidden="false" customHeight="false" outlineLevel="0" collapsed="false">
      <c r="A677" s="0" t="s">
        <v>711</v>
      </c>
      <c r="B677" s="0" t="n">
        <v>673</v>
      </c>
      <c r="C677" s="0" t="n">
        <v>660</v>
      </c>
      <c r="D677" s="0" t="n">
        <v>467</v>
      </c>
      <c r="E677" s="0" t="s">
        <v>2680</v>
      </c>
      <c r="F677" s="0" t="s">
        <v>2681</v>
      </c>
      <c r="G677" s="0" t="s">
        <v>2682</v>
      </c>
    </row>
    <row r="678" customFormat="false" ht="15" hidden="false" customHeight="false" outlineLevel="0" collapsed="false">
      <c r="A678" s="0" t="s">
        <v>712</v>
      </c>
      <c r="B678" s="0" t="n">
        <v>665</v>
      </c>
      <c r="C678" s="0" t="n">
        <v>683</v>
      </c>
      <c r="D678" s="0" t="n">
        <v>572</v>
      </c>
      <c r="E678" s="0" t="s">
        <v>2683</v>
      </c>
      <c r="F678" s="0" t="s">
        <v>2684</v>
      </c>
      <c r="G678" s="0" t="s">
        <v>2685</v>
      </c>
    </row>
    <row r="679" customFormat="false" ht="15" hidden="false" customHeight="false" outlineLevel="0" collapsed="false">
      <c r="A679" s="0" t="s">
        <v>713</v>
      </c>
      <c r="B679" s="0" t="n">
        <v>712</v>
      </c>
      <c r="C679" s="0" t="n">
        <v>533</v>
      </c>
      <c r="D679" s="0" t="n">
        <v>484</v>
      </c>
      <c r="E679" s="0" t="s">
        <v>2686</v>
      </c>
      <c r="F679" s="0" t="s">
        <v>2687</v>
      </c>
      <c r="G679" s="0" t="s">
        <v>2688</v>
      </c>
    </row>
    <row r="680" customFormat="false" ht="15" hidden="false" customHeight="false" outlineLevel="0" collapsed="false">
      <c r="A680" s="0" t="s">
        <v>714</v>
      </c>
      <c r="B680" s="0" t="n">
        <v>658</v>
      </c>
      <c r="C680" s="0" t="n">
        <v>640</v>
      </c>
      <c r="D680" s="0" t="n">
        <v>227</v>
      </c>
      <c r="E680" s="0" t="s">
        <v>2689</v>
      </c>
      <c r="F680" s="0" t="s">
        <v>2690</v>
      </c>
      <c r="G680" s="0" t="s">
        <v>2691</v>
      </c>
    </row>
    <row r="681" customFormat="false" ht="15" hidden="false" customHeight="false" outlineLevel="0" collapsed="false">
      <c r="A681" s="0" t="s">
        <v>715</v>
      </c>
      <c r="B681" s="0" t="n">
        <v>190</v>
      </c>
      <c r="C681" s="0" t="n">
        <v>636</v>
      </c>
      <c r="D681" s="0" t="n">
        <v>420</v>
      </c>
      <c r="E681" s="0" t="s">
        <v>2692</v>
      </c>
      <c r="F681" s="0" t="s">
        <v>2693</v>
      </c>
      <c r="G681" s="0" t="s">
        <v>2694</v>
      </c>
    </row>
    <row r="682" customFormat="false" ht="15" hidden="false" customHeight="false" outlineLevel="0" collapsed="false">
      <c r="A682" s="0" t="s">
        <v>716</v>
      </c>
      <c r="B682" s="0" t="n">
        <v>375</v>
      </c>
      <c r="C682" s="0" t="n">
        <v>625</v>
      </c>
      <c r="D682" s="0" t="n">
        <v>157</v>
      </c>
      <c r="E682" s="0" t="s">
        <v>2695</v>
      </c>
      <c r="F682" s="0" t="s">
        <v>2696</v>
      </c>
      <c r="G682" s="0" t="s">
        <v>2697</v>
      </c>
    </row>
    <row r="683" customFormat="false" ht="15" hidden="false" customHeight="false" outlineLevel="0" collapsed="false">
      <c r="A683" s="0" t="s">
        <v>717</v>
      </c>
      <c r="B683" s="0" t="n">
        <v>160</v>
      </c>
      <c r="C683" s="0" t="n">
        <v>307</v>
      </c>
      <c r="D683" s="0" t="n">
        <v>309</v>
      </c>
      <c r="E683" s="0" t="s">
        <v>2698</v>
      </c>
      <c r="F683" s="0" t="s">
        <v>2699</v>
      </c>
      <c r="G683" s="0" t="s">
        <v>2700</v>
      </c>
    </row>
    <row r="684" customFormat="false" ht="15" hidden="false" customHeight="false" outlineLevel="0" collapsed="false">
      <c r="A684" s="0" t="s">
        <v>718</v>
      </c>
      <c r="B684" s="0" t="n">
        <v>351</v>
      </c>
      <c r="C684" s="0" t="n">
        <v>507</v>
      </c>
      <c r="D684" s="0" t="n">
        <v>146</v>
      </c>
      <c r="E684" s="0" t="s">
        <v>2701</v>
      </c>
      <c r="F684" s="0" t="s">
        <v>2702</v>
      </c>
      <c r="G684" s="0" t="s">
        <v>2703</v>
      </c>
    </row>
    <row r="685" customFormat="false" ht="15" hidden="false" customHeight="false" outlineLevel="0" collapsed="false">
      <c r="A685" s="0" t="s">
        <v>719</v>
      </c>
      <c r="B685" s="0" t="n">
        <v>170</v>
      </c>
      <c r="C685" s="0" t="n">
        <v>630</v>
      </c>
      <c r="D685" s="0" t="n">
        <v>361</v>
      </c>
      <c r="E685" s="0" t="s">
        <v>2704</v>
      </c>
      <c r="F685" s="0" t="s">
        <v>2705</v>
      </c>
      <c r="G685" s="0" t="s">
        <v>2706</v>
      </c>
    </row>
    <row r="686" customFormat="false" ht="15" hidden="false" customHeight="false" outlineLevel="0" collapsed="false">
      <c r="A686" s="0" t="s">
        <v>720</v>
      </c>
      <c r="B686" s="0" t="n">
        <v>406</v>
      </c>
      <c r="C686" s="0" t="n">
        <v>500</v>
      </c>
      <c r="D686" s="0" t="n">
        <v>251</v>
      </c>
      <c r="E686" s="0" t="s">
        <v>2707</v>
      </c>
      <c r="F686" s="0" t="s">
        <v>2708</v>
      </c>
      <c r="G686" s="0" t="s">
        <v>2709</v>
      </c>
    </row>
    <row r="687" customFormat="false" ht="15" hidden="false" customHeight="false" outlineLevel="0" collapsed="false">
      <c r="A687" s="0" t="s">
        <v>721</v>
      </c>
      <c r="B687" s="0" t="n">
        <v>247</v>
      </c>
      <c r="C687" s="0" t="n">
        <v>566</v>
      </c>
      <c r="D687" s="0" t="n">
        <v>337</v>
      </c>
      <c r="E687" s="0" t="s">
        <v>2710</v>
      </c>
      <c r="F687" s="0" t="s">
        <v>2711</v>
      </c>
      <c r="G687" s="0" t="s">
        <v>2712</v>
      </c>
    </row>
    <row r="688" customFormat="false" ht="15" hidden="false" customHeight="false" outlineLevel="0" collapsed="false">
      <c r="A688" s="0" t="s">
        <v>722</v>
      </c>
      <c r="B688" s="0" t="n">
        <v>410</v>
      </c>
      <c r="C688" s="0" t="n">
        <v>562</v>
      </c>
      <c r="D688" s="0" t="n">
        <v>258</v>
      </c>
      <c r="E688" s="0" t="s">
        <v>2713</v>
      </c>
      <c r="F688" s="0" t="s">
        <v>2714</v>
      </c>
      <c r="G688" s="0" t="s">
        <v>2715</v>
      </c>
    </row>
    <row r="689" customFormat="false" ht="15" hidden="false" customHeight="false" outlineLevel="0" collapsed="false">
      <c r="A689" s="0" t="s">
        <v>723</v>
      </c>
    </row>
    <row r="690" customFormat="false" ht="15" hidden="false" customHeight="false" outlineLevel="0" collapsed="false">
      <c r="A690" s="0" t="s">
        <v>724</v>
      </c>
      <c r="B690" s="0" t="n">
        <v>149</v>
      </c>
      <c r="C690" s="0" t="n">
        <v>586</v>
      </c>
      <c r="D690" s="0" t="n">
        <v>338</v>
      </c>
      <c r="E690" s="0" t="s">
        <v>2716</v>
      </c>
      <c r="F690" s="0" t="s">
        <v>2717</v>
      </c>
      <c r="G690" s="0" t="s">
        <v>2718</v>
      </c>
    </row>
    <row r="691" customFormat="false" ht="15" hidden="false" customHeight="false" outlineLevel="0" collapsed="false">
      <c r="A691" s="0" t="s">
        <v>725</v>
      </c>
      <c r="B691" s="0" t="n">
        <v>169</v>
      </c>
      <c r="C691" s="0" t="n">
        <v>110</v>
      </c>
      <c r="D691" s="0" t="n">
        <v>34</v>
      </c>
      <c r="E691" s="0" t="s">
        <v>2719</v>
      </c>
      <c r="F691" s="0" t="s">
        <v>2720</v>
      </c>
      <c r="G691" s="0" t="s">
        <v>2721</v>
      </c>
    </row>
    <row r="692" customFormat="false" ht="15" hidden="false" customHeight="false" outlineLevel="0" collapsed="false">
      <c r="A692" s="0" t="s">
        <v>726</v>
      </c>
      <c r="B692" s="0" t="n">
        <v>243</v>
      </c>
      <c r="C692" s="0" t="n">
        <v>511</v>
      </c>
      <c r="D692" s="0" t="n">
        <v>306</v>
      </c>
      <c r="E692" s="0" t="s">
        <v>2722</v>
      </c>
      <c r="F692" s="0" t="s">
        <v>2723</v>
      </c>
      <c r="G692" s="0" t="s">
        <v>2724</v>
      </c>
    </row>
    <row r="693" customFormat="false" ht="15" hidden="false" customHeight="false" outlineLevel="0" collapsed="false">
      <c r="A693" s="0" t="s">
        <v>727</v>
      </c>
      <c r="B693" s="0" t="n">
        <v>90</v>
      </c>
      <c r="C693" s="0" t="n">
        <v>95</v>
      </c>
      <c r="D693" s="0" t="n">
        <v>96</v>
      </c>
      <c r="E693" s="0" t="s">
        <v>2725</v>
      </c>
      <c r="F693" s="0" t="s">
        <v>2726</v>
      </c>
      <c r="G693" s="0" t="s">
        <v>2727</v>
      </c>
    </row>
    <row r="694" customFormat="false" ht="15" hidden="false" customHeight="false" outlineLevel="0" collapsed="false">
      <c r="A694" s="0" t="s">
        <v>728</v>
      </c>
      <c r="B694" s="0" t="n">
        <v>288</v>
      </c>
      <c r="C694" s="0" t="n">
        <v>270</v>
      </c>
      <c r="D694" s="0" t="n">
        <v>221</v>
      </c>
      <c r="E694" s="0" t="s">
        <v>2728</v>
      </c>
      <c r="F694" s="0" t="s">
        <v>2729</v>
      </c>
      <c r="G694" s="0" t="s">
        <v>2730</v>
      </c>
    </row>
    <row r="695" customFormat="false" ht="15" hidden="false" customHeight="false" outlineLevel="0" collapsed="false">
      <c r="A695" s="0" t="s">
        <v>729</v>
      </c>
      <c r="B695" s="0" t="n">
        <v>103</v>
      </c>
      <c r="C695" s="0" t="n">
        <v>261</v>
      </c>
      <c r="D695" s="0" t="n">
        <v>249</v>
      </c>
      <c r="E695" s="0" t="s">
        <v>2731</v>
      </c>
      <c r="F695" s="0" t="s">
        <v>2732</v>
      </c>
      <c r="G695" s="0" t="s">
        <v>2733</v>
      </c>
    </row>
    <row r="696" customFormat="false" ht="15" hidden="false" customHeight="false" outlineLevel="0" collapsed="false">
      <c r="A696" s="0" t="s">
        <v>730</v>
      </c>
      <c r="B696" s="0" t="n">
        <v>86</v>
      </c>
      <c r="C696" s="0" t="n">
        <v>75</v>
      </c>
      <c r="D696" s="0" t="n">
        <v>454</v>
      </c>
      <c r="E696" s="0" t="s">
        <v>2734</v>
      </c>
      <c r="F696" s="0" t="s">
        <v>2735</v>
      </c>
      <c r="G696" s="0" t="s">
        <v>2736</v>
      </c>
    </row>
    <row r="697" customFormat="false" ht="15" hidden="false" customHeight="false" outlineLevel="0" collapsed="false">
      <c r="A697" s="0" t="s">
        <v>731</v>
      </c>
      <c r="B697" s="0" t="n">
        <v>106</v>
      </c>
      <c r="C697" s="0" t="n">
        <v>248</v>
      </c>
      <c r="D697" s="0" t="n">
        <v>91</v>
      </c>
      <c r="E697" s="0" t="s">
        <v>2737</v>
      </c>
      <c r="F697" s="0" t="s">
        <v>2738</v>
      </c>
      <c r="G697" s="0" t="s">
        <v>2739</v>
      </c>
    </row>
    <row r="698" customFormat="false" ht="15" hidden="false" customHeight="false" outlineLevel="0" collapsed="false">
      <c r="A698" s="0" t="s">
        <v>732</v>
      </c>
      <c r="B698" s="0" t="n">
        <v>221</v>
      </c>
      <c r="C698" s="0" t="n">
        <v>293</v>
      </c>
      <c r="D698" s="0" t="n">
        <v>285</v>
      </c>
      <c r="E698" s="0" t="s">
        <v>2740</v>
      </c>
      <c r="F698" s="0" t="s">
        <v>2741</v>
      </c>
      <c r="G698" s="0" t="s">
        <v>2742</v>
      </c>
    </row>
    <row r="699" customFormat="false" ht="15" hidden="false" customHeight="false" outlineLevel="0" collapsed="false">
      <c r="A699" s="0" t="s">
        <v>733</v>
      </c>
      <c r="B699" s="0" t="n">
        <v>265</v>
      </c>
      <c r="C699" s="0" t="n">
        <v>7</v>
      </c>
      <c r="D699" s="0" t="n">
        <v>92</v>
      </c>
      <c r="E699" s="0" t="s">
        <v>2743</v>
      </c>
      <c r="F699" s="0" t="s">
        <v>2744</v>
      </c>
      <c r="G699" s="0" t="s">
        <v>2745</v>
      </c>
    </row>
    <row r="700" customFormat="false" ht="15" hidden="false" customHeight="false" outlineLevel="0" collapsed="false">
      <c r="A700" s="0" t="s">
        <v>734</v>
      </c>
      <c r="B700" s="0" t="n">
        <v>390</v>
      </c>
      <c r="C700" s="0" t="n">
        <v>124</v>
      </c>
      <c r="D700" s="0" t="n">
        <v>304</v>
      </c>
      <c r="E700" s="0" t="s">
        <v>2746</v>
      </c>
      <c r="F700" s="0" t="s">
        <v>2747</v>
      </c>
      <c r="G700" s="0" t="s">
        <v>2748</v>
      </c>
    </row>
    <row r="701" customFormat="false" ht="15" hidden="false" customHeight="false" outlineLevel="0" collapsed="false">
      <c r="A701" s="0" t="s">
        <v>735</v>
      </c>
      <c r="B701" s="0" t="n">
        <v>429</v>
      </c>
      <c r="C701" s="0" t="n">
        <v>548</v>
      </c>
      <c r="D701" s="0" t="n">
        <v>352</v>
      </c>
      <c r="E701" s="0" t="s">
        <v>2749</v>
      </c>
      <c r="F701" s="0" t="s">
        <v>2750</v>
      </c>
      <c r="G701" s="0" t="s">
        <v>2751</v>
      </c>
    </row>
    <row r="702" customFormat="false" ht="15" hidden="false" customHeight="false" outlineLevel="0" collapsed="false">
      <c r="A702" s="0" t="s">
        <v>736</v>
      </c>
      <c r="B702" s="0" t="n">
        <v>176</v>
      </c>
      <c r="C702" s="0" t="n">
        <v>343</v>
      </c>
      <c r="D702" s="0" t="n">
        <v>219</v>
      </c>
      <c r="E702" s="0" t="s">
        <v>2752</v>
      </c>
      <c r="F702" s="0" t="s">
        <v>2753</v>
      </c>
      <c r="G702" s="0" t="s">
        <v>2754</v>
      </c>
    </row>
    <row r="703" customFormat="false" ht="15" hidden="false" customHeight="false" outlineLevel="0" collapsed="false">
      <c r="A703" s="0" t="s">
        <v>737</v>
      </c>
      <c r="B703" s="0" t="n">
        <v>200</v>
      </c>
      <c r="C703" s="0" t="n">
        <v>19</v>
      </c>
      <c r="D703" s="0" t="n">
        <v>93</v>
      </c>
      <c r="E703" s="0" t="s">
        <v>2755</v>
      </c>
      <c r="F703" s="0" t="s">
        <v>2756</v>
      </c>
      <c r="G703" s="0" t="s">
        <v>2757</v>
      </c>
    </row>
    <row r="704" customFormat="false" ht="15" hidden="false" customHeight="false" outlineLevel="0" collapsed="false">
      <c r="A704" s="0" t="s">
        <v>738</v>
      </c>
      <c r="B704" s="0" t="n">
        <v>617</v>
      </c>
      <c r="C704" s="0" t="n">
        <v>626</v>
      </c>
      <c r="D704" s="0" t="n">
        <v>375</v>
      </c>
      <c r="E704" s="0" t="s">
        <v>2758</v>
      </c>
      <c r="F704" s="0" t="s">
        <v>2759</v>
      </c>
      <c r="G704" s="0" t="s">
        <v>2760</v>
      </c>
    </row>
    <row r="705" customFormat="false" ht="15" hidden="false" customHeight="false" outlineLevel="0" collapsed="false">
      <c r="A705" s="0" t="s">
        <v>739</v>
      </c>
      <c r="B705" s="0" t="n">
        <v>197</v>
      </c>
      <c r="C705" s="0" t="n">
        <v>103</v>
      </c>
      <c r="D705" s="0" t="n">
        <v>495</v>
      </c>
      <c r="E705" s="0" t="s">
        <v>2761</v>
      </c>
      <c r="F705" s="0" t="s">
        <v>2762</v>
      </c>
      <c r="G705" s="0" t="s">
        <v>2763</v>
      </c>
    </row>
    <row r="706" customFormat="false" ht="15" hidden="false" customHeight="false" outlineLevel="0" collapsed="false">
      <c r="A706" s="0" t="s">
        <v>740</v>
      </c>
      <c r="B706" s="0" t="n">
        <v>478</v>
      </c>
      <c r="C706" s="0" t="n">
        <v>228</v>
      </c>
      <c r="D706" s="0" t="n">
        <v>346</v>
      </c>
      <c r="E706" s="0" t="s">
        <v>2764</v>
      </c>
      <c r="F706" s="0" t="s">
        <v>2765</v>
      </c>
      <c r="G706" s="0" t="s">
        <v>2766</v>
      </c>
    </row>
    <row r="707" customFormat="false" ht="15" hidden="false" customHeight="false" outlineLevel="0" collapsed="false">
      <c r="A707" s="0" t="s">
        <v>741</v>
      </c>
      <c r="B707" s="0" t="n">
        <v>10</v>
      </c>
      <c r="C707" s="0" t="n">
        <v>14</v>
      </c>
      <c r="D707" s="0" t="n">
        <v>411</v>
      </c>
      <c r="E707" s="0" t="s">
        <v>2767</v>
      </c>
      <c r="F707" s="0" t="s">
        <v>2768</v>
      </c>
      <c r="G707" s="0" t="s">
        <v>2769</v>
      </c>
    </row>
    <row r="708" customFormat="false" ht="15" hidden="false" customHeight="false" outlineLevel="0" collapsed="false">
      <c r="A708" s="0" t="s">
        <v>742</v>
      </c>
      <c r="B708" s="0" t="n">
        <v>136</v>
      </c>
      <c r="C708" s="0" t="n">
        <v>182</v>
      </c>
      <c r="D708" s="0" t="n">
        <v>143</v>
      </c>
      <c r="E708" s="0" t="s">
        <v>2770</v>
      </c>
      <c r="F708" s="0" t="s">
        <v>2771</v>
      </c>
      <c r="G708" s="0" t="s">
        <v>2772</v>
      </c>
    </row>
    <row r="709" customFormat="false" ht="15" hidden="false" customHeight="false" outlineLevel="0" collapsed="false">
      <c r="A709" s="0" t="s">
        <v>743</v>
      </c>
      <c r="B709" s="0" t="n">
        <v>131</v>
      </c>
      <c r="C709" s="0" t="n">
        <v>73</v>
      </c>
      <c r="D709" s="0" t="n">
        <v>118</v>
      </c>
      <c r="E709" s="0" t="s">
        <v>2773</v>
      </c>
      <c r="F709" s="0" t="s">
        <v>2774</v>
      </c>
      <c r="G709" s="0" t="s">
        <v>2775</v>
      </c>
    </row>
    <row r="710" customFormat="false" ht="15" hidden="false" customHeight="false" outlineLevel="0" collapsed="false">
      <c r="A710" s="0" t="s">
        <v>744</v>
      </c>
      <c r="B710" s="0" t="n">
        <v>129</v>
      </c>
      <c r="C710" s="0" t="n">
        <v>203</v>
      </c>
      <c r="D710" s="0" t="n">
        <v>317</v>
      </c>
      <c r="E710" s="0" t="s">
        <v>2776</v>
      </c>
      <c r="F710" s="0" t="s">
        <v>2777</v>
      </c>
      <c r="G710" s="0" t="s">
        <v>2778</v>
      </c>
    </row>
    <row r="711" customFormat="false" ht="15" hidden="false" customHeight="false" outlineLevel="0" collapsed="false">
      <c r="A711" s="0" t="s">
        <v>745</v>
      </c>
      <c r="B711" s="0" t="n">
        <v>502</v>
      </c>
      <c r="C711" s="0" t="n">
        <v>684</v>
      </c>
      <c r="D711" s="0" t="n">
        <v>589</v>
      </c>
      <c r="E711" s="0" t="s">
        <v>2779</v>
      </c>
      <c r="F711" s="0" t="s">
        <v>2780</v>
      </c>
      <c r="G711" s="0" t="s">
        <v>2781</v>
      </c>
    </row>
    <row r="712" customFormat="false" ht="15" hidden="false" customHeight="false" outlineLevel="0" collapsed="false">
      <c r="A712" s="0" t="s">
        <v>746</v>
      </c>
      <c r="B712" s="0" t="n">
        <v>14</v>
      </c>
      <c r="C712" s="0" t="n">
        <v>196</v>
      </c>
      <c r="D712" s="0" t="n">
        <v>52</v>
      </c>
      <c r="E712" s="0" t="s">
        <v>2782</v>
      </c>
      <c r="F712" s="0" t="s">
        <v>2783</v>
      </c>
      <c r="G712" s="0" t="s">
        <v>2784</v>
      </c>
    </row>
    <row r="713" customFormat="false" ht="15" hidden="false" customHeight="false" outlineLevel="0" collapsed="false">
      <c r="A713" s="0" t="s">
        <v>747</v>
      </c>
      <c r="B713" s="0" t="n">
        <v>52</v>
      </c>
      <c r="C713" s="0" t="n">
        <v>17</v>
      </c>
      <c r="D713" s="0" t="n">
        <v>226</v>
      </c>
      <c r="E713" s="0" t="s">
        <v>2785</v>
      </c>
      <c r="F713" s="0" t="s">
        <v>2786</v>
      </c>
      <c r="G713" s="0" t="s">
        <v>2787</v>
      </c>
    </row>
    <row r="714" customFormat="false" ht="15" hidden="false" customHeight="false" outlineLevel="0" collapsed="false">
      <c r="A714" s="0" t="s">
        <v>748</v>
      </c>
      <c r="B714" s="0" t="n">
        <v>534</v>
      </c>
      <c r="C714" s="0" t="n">
        <v>537</v>
      </c>
      <c r="D714" s="0" t="n">
        <v>460</v>
      </c>
      <c r="E714" s="0" t="s">
        <v>2788</v>
      </c>
      <c r="F714" s="0" t="s">
        <v>2789</v>
      </c>
      <c r="G714" s="0" t="s">
        <v>2790</v>
      </c>
    </row>
    <row r="715" customFormat="false" ht="15" hidden="false" customHeight="false" outlineLevel="0" collapsed="false">
      <c r="A715" s="0" t="s">
        <v>749</v>
      </c>
      <c r="B715" s="0" t="n">
        <v>251</v>
      </c>
      <c r="C715" s="0" t="n">
        <v>179</v>
      </c>
      <c r="D715" s="0" t="n">
        <v>82</v>
      </c>
      <c r="E715" s="0" t="s">
        <v>2791</v>
      </c>
      <c r="F715" s="0" t="s">
        <v>2792</v>
      </c>
      <c r="G715" s="0" t="s">
        <v>2793</v>
      </c>
    </row>
    <row r="716" customFormat="false" ht="15" hidden="false" customHeight="false" outlineLevel="0" collapsed="false">
      <c r="A716" s="0" t="s">
        <v>750</v>
      </c>
      <c r="B716" s="0" t="n">
        <v>123</v>
      </c>
      <c r="C716" s="0" t="n">
        <v>20</v>
      </c>
      <c r="D716" s="0" t="n">
        <v>84</v>
      </c>
      <c r="E716" s="0" t="s">
        <v>2794</v>
      </c>
      <c r="F716" s="0" t="s">
        <v>2795</v>
      </c>
      <c r="G716" s="0" t="s">
        <v>2796</v>
      </c>
    </row>
    <row r="717" customFormat="false" ht="15" hidden="false" customHeight="false" outlineLevel="0" collapsed="false">
      <c r="A717" s="0" t="s">
        <v>751</v>
      </c>
      <c r="B717" s="0" t="n">
        <v>42</v>
      </c>
      <c r="C717" s="0" t="n">
        <v>28</v>
      </c>
      <c r="D717" s="0" t="n">
        <v>244</v>
      </c>
      <c r="E717" s="0" t="s">
        <v>2797</v>
      </c>
      <c r="F717" s="0" t="s">
        <v>2798</v>
      </c>
      <c r="G717" s="0" t="s">
        <v>2799</v>
      </c>
    </row>
    <row r="718" customFormat="false" ht="15" hidden="false" customHeight="false" outlineLevel="0" collapsed="false">
      <c r="A718" s="0" t="s">
        <v>752</v>
      </c>
      <c r="B718" s="0" t="n">
        <v>143</v>
      </c>
      <c r="C718" s="0" t="n">
        <v>9</v>
      </c>
      <c r="D718" s="0" t="n">
        <v>46</v>
      </c>
      <c r="E718" s="0" t="s">
        <v>2800</v>
      </c>
      <c r="F718" s="0" t="s">
        <v>2801</v>
      </c>
      <c r="G718" s="0" t="s">
        <v>2802</v>
      </c>
    </row>
    <row r="719" customFormat="false" ht="15" hidden="false" customHeight="false" outlineLevel="0" collapsed="false">
      <c r="A719" s="0" t="s">
        <v>753</v>
      </c>
      <c r="B719" s="0" t="n">
        <v>419</v>
      </c>
      <c r="C719" s="0" t="n">
        <v>451</v>
      </c>
      <c r="D719" s="0" t="n">
        <v>220</v>
      </c>
      <c r="E719" s="0" t="s">
        <v>2803</v>
      </c>
      <c r="F719" s="0" t="s">
        <v>2804</v>
      </c>
      <c r="G719" s="0" t="s">
        <v>2805</v>
      </c>
    </row>
    <row r="720" customFormat="false" ht="15" hidden="false" customHeight="false" outlineLevel="0" collapsed="false">
      <c r="A720" s="0" t="s">
        <v>754</v>
      </c>
      <c r="B720" s="0" t="n">
        <v>51</v>
      </c>
      <c r="C720" s="0" t="n">
        <v>52</v>
      </c>
      <c r="D720" s="0" t="n">
        <v>347</v>
      </c>
      <c r="E720" s="0" t="s">
        <v>2806</v>
      </c>
      <c r="F720" s="0" t="s">
        <v>2807</v>
      </c>
      <c r="G720" s="0" t="s">
        <v>2808</v>
      </c>
    </row>
    <row r="721" customFormat="false" ht="15" hidden="false" customHeight="false" outlineLevel="0" collapsed="false">
      <c r="A721" s="0" t="s">
        <v>755</v>
      </c>
      <c r="B721" s="0" t="n">
        <v>40</v>
      </c>
      <c r="C721" s="0" t="n">
        <v>18</v>
      </c>
      <c r="D721" s="0" t="n">
        <v>314</v>
      </c>
      <c r="E721" s="0" t="s">
        <v>2809</v>
      </c>
      <c r="F721" s="0" t="s">
        <v>2810</v>
      </c>
      <c r="G721" s="0" t="s">
        <v>2811</v>
      </c>
    </row>
    <row r="722" customFormat="false" ht="15" hidden="false" customHeight="false" outlineLevel="0" collapsed="false">
      <c r="A722" s="0" t="s">
        <v>756</v>
      </c>
      <c r="B722" s="0" t="n">
        <v>276</v>
      </c>
      <c r="C722" s="0" t="n">
        <v>138</v>
      </c>
      <c r="D722" s="0" t="n">
        <v>188</v>
      </c>
      <c r="E722" s="0" t="s">
        <v>2812</v>
      </c>
      <c r="F722" s="0" t="s">
        <v>2813</v>
      </c>
      <c r="G722" s="0" t="s">
        <v>2814</v>
      </c>
    </row>
    <row r="723" customFormat="false" ht="15" hidden="false" customHeight="false" outlineLevel="0" collapsed="false">
      <c r="A723" s="0" t="s">
        <v>757</v>
      </c>
      <c r="B723" s="0" t="n">
        <v>239</v>
      </c>
      <c r="C723" s="0" t="n">
        <v>50</v>
      </c>
      <c r="D723" s="0" t="n">
        <v>63</v>
      </c>
      <c r="E723" s="0" t="s">
        <v>2815</v>
      </c>
      <c r="F723" s="0" t="s">
        <v>2816</v>
      </c>
      <c r="G723" s="0" t="s">
        <v>2817</v>
      </c>
    </row>
    <row r="724" customFormat="false" ht="15" hidden="false" customHeight="false" outlineLevel="0" collapsed="false">
      <c r="A724" s="0" t="s">
        <v>758</v>
      </c>
      <c r="B724" s="0" t="n">
        <v>281</v>
      </c>
      <c r="C724" s="0" t="n">
        <v>109</v>
      </c>
      <c r="D724" s="0" t="n">
        <v>58</v>
      </c>
      <c r="E724" s="0" t="s">
        <v>2818</v>
      </c>
      <c r="F724" s="0" t="s">
        <v>2819</v>
      </c>
      <c r="G724" s="0" t="s">
        <v>2820</v>
      </c>
    </row>
    <row r="725" customFormat="false" ht="15" hidden="false" customHeight="false" outlineLevel="0" collapsed="false">
      <c r="A725" s="0" t="s">
        <v>759</v>
      </c>
      <c r="B725" s="0" t="n">
        <v>666</v>
      </c>
      <c r="C725" s="0" t="n">
        <v>673</v>
      </c>
      <c r="D725" s="0" t="n">
        <v>22</v>
      </c>
      <c r="E725" s="0" t="s">
        <v>2821</v>
      </c>
      <c r="F725" s="0" t="s">
        <v>2822</v>
      </c>
      <c r="G725" s="0" t="s">
        <v>2823</v>
      </c>
    </row>
    <row r="726" customFormat="false" ht="15" hidden="false" customHeight="false" outlineLevel="0" collapsed="false">
      <c r="A726" s="0" t="s">
        <v>760</v>
      </c>
      <c r="B726" s="0" t="n">
        <v>326</v>
      </c>
      <c r="C726" s="0" t="n">
        <v>308</v>
      </c>
      <c r="D726" s="0" t="n">
        <v>35</v>
      </c>
      <c r="E726" s="0" t="s">
        <v>2824</v>
      </c>
      <c r="F726" s="0" t="s">
        <v>2825</v>
      </c>
      <c r="G726" s="0" t="s">
        <v>2826</v>
      </c>
    </row>
    <row r="727" customFormat="false" ht="15" hidden="false" customHeight="false" outlineLevel="0" collapsed="false">
      <c r="A727" s="0" t="s">
        <v>761</v>
      </c>
      <c r="B727" s="0" t="n">
        <v>332</v>
      </c>
      <c r="C727" s="0" t="n">
        <v>24</v>
      </c>
      <c r="D727" s="0" t="n">
        <v>3</v>
      </c>
      <c r="E727" s="0" t="s">
        <v>2827</v>
      </c>
      <c r="F727" s="0" t="s">
        <v>2828</v>
      </c>
      <c r="G727" s="0" t="s">
        <v>2829</v>
      </c>
    </row>
    <row r="728" customFormat="false" ht="15" hidden="false" customHeight="false" outlineLevel="0" collapsed="false">
      <c r="A728" s="0" t="s">
        <v>762</v>
      </c>
      <c r="B728" s="0" t="n">
        <v>536</v>
      </c>
      <c r="C728" s="0" t="n">
        <v>431</v>
      </c>
      <c r="D728" s="0" t="n">
        <v>240</v>
      </c>
      <c r="E728" s="0" t="s">
        <v>2830</v>
      </c>
      <c r="F728" s="0" t="s">
        <v>2831</v>
      </c>
      <c r="G728" s="0" t="s">
        <v>2832</v>
      </c>
    </row>
    <row r="729" customFormat="false" ht="15" hidden="false" customHeight="false" outlineLevel="0" collapsed="false">
      <c r="A729" s="0" t="s">
        <v>763</v>
      </c>
      <c r="B729" s="0" t="n">
        <v>263</v>
      </c>
      <c r="C729" s="0" t="n">
        <v>4</v>
      </c>
      <c r="D729" s="0" t="n">
        <v>78</v>
      </c>
      <c r="E729" s="0" t="s">
        <v>2833</v>
      </c>
      <c r="F729" s="0" t="s">
        <v>2834</v>
      </c>
      <c r="G729" s="0" t="s">
        <v>2835</v>
      </c>
    </row>
    <row r="730" customFormat="false" ht="15" hidden="false" customHeight="false" outlineLevel="0" collapsed="false">
      <c r="A730" s="0" t="s">
        <v>764</v>
      </c>
      <c r="B730" s="0" t="n">
        <v>599</v>
      </c>
      <c r="C730" s="0" t="n">
        <v>608</v>
      </c>
      <c r="D730" s="0" t="n">
        <v>107</v>
      </c>
      <c r="E730" s="0" t="s">
        <v>2836</v>
      </c>
      <c r="F730" s="0" t="s">
        <v>2837</v>
      </c>
      <c r="G730" s="0" t="s">
        <v>2838</v>
      </c>
    </row>
    <row r="731" customFormat="false" ht="15" hidden="false" customHeight="false" outlineLevel="0" collapsed="false">
      <c r="A731" s="0" t="s">
        <v>765</v>
      </c>
      <c r="B731" s="0" t="n">
        <v>705</v>
      </c>
      <c r="C731" s="0" t="n">
        <v>717</v>
      </c>
      <c r="D731" s="0" t="n">
        <v>12</v>
      </c>
      <c r="E731" s="0" t="s">
        <v>2839</v>
      </c>
      <c r="F731" s="0" t="s">
        <v>2840</v>
      </c>
      <c r="G731" s="0" t="s">
        <v>2841</v>
      </c>
    </row>
    <row r="732" customFormat="false" ht="15" hidden="false" customHeight="false" outlineLevel="0" collapsed="false">
      <c r="A732" s="0" t="s">
        <v>766</v>
      </c>
      <c r="B732" s="0" t="n">
        <v>254</v>
      </c>
      <c r="C732" s="0" t="n">
        <v>237</v>
      </c>
      <c r="D732" s="0" t="n">
        <v>215</v>
      </c>
      <c r="E732" s="0" t="s">
        <v>2842</v>
      </c>
      <c r="F732" s="0" t="s">
        <v>2843</v>
      </c>
      <c r="G732" s="0" t="s">
        <v>2844</v>
      </c>
    </row>
    <row r="733" customFormat="false" ht="15" hidden="false" customHeight="false" outlineLevel="0" collapsed="false">
      <c r="A733" s="0" t="s">
        <v>767</v>
      </c>
      <c r="B733" s="0" t="n">
        <v>45</v>
      </c>
      <c r="C733" s="0" t="n">
        <v>60</v>
      </c>
      <c r="D733" s="0" t="n">
        <v>216</v>
      </c>
      <c r="E733" s="0" t="s">
        <v>2845</v>
      </c>
      <c r="F733" s="0" t="s">
        <v>2846</v>
      </c>
      <c r="G733" s="0" t="s">
        <v>2847</v>
      </c>
    </row>
    <row r="734" customFormat="false" ht="15" hidden="false" customHeight="false" outlineLevel="0" collapsed="false">
      <c r="A734" s="0" t="s">
        <v>768</v>
      </c>
    </row>
    <row r="735" customFormat="false" ht="15" hidden="false" customHeight="false" outlineLevel="0" collapsed="false">
      <c r="A735" s="0" t="s">
        <v>769</v>
      </c>
    </row>
    <row r="736" customFormat="false" ht="15" hidden="false" customHeight="false" outlineLevel="0" collapsed="false">
      <c r="A736" s="0" t="s">
        <v>770</v>
      </c>
      <c r="B736" s="0" t="n">
        <v>317</v>
      </c>
      <c r="C736" s="0" t="n">
        <v>496</v>
      </c>
      <c r="D736" s="0" t="n">
        <v>191</v>
      </c>
      <c r="E736" s="0" t="s">
        <v>2848</v>
      </c>
      <c r="F736" s="0" t="s">
        <v>2849</v>
      </c>
      <c r="G736" s="0" t="s">
        <v>2850</v>
      </c>
    </row>
    <row r="737" customFormat="false" ht="15" hidden="false" customHeight="false" outlineLevel="0" collapsed="false">
      <c r="A737" s="0" t="s">
        <v>771</v>
      </c>
      <c r="B737" s="0" t="n">
        <v>611</v>
      </c>
      <c r="C737" s="0" t="n">
        <v>651</v>
      </c>
      <c r="D737" s="0" t="n">
        <v>54</v>
      </c>
      <c r="E737" s="0" t="s">
        <v>2851</v>
      </c>
      <c r="F737" s="0" t="s">
        <v>2852</v>
      </c>
      <c r="G737" s="0" t="s">
        <v>2853</v>
      </c>
    </row>
    <row r="738" customFormat="false" ht="15" hidden="false" customHeight="false" outlineLevel="0" collapsed="false">
      <c r="A738" s="0" t="s">
        <v>772</v>
      </c>
      <c r="B738" s="0" t="n">
        <v>285</v>
      </c>
      <c r="C738" s="0" t="n">
        <v>164</v>
      </c>
      <c r="D738" s="0" t="n">
        <v>202</v>
      </c>
      <c r="E738" s="0" t="s">
        <v>2854</v>
      </c>
      <c r="F738" s="0" t="s">
        <v>2855</v>
      </c>
      <c r="G738" s="0" t="s">
        <v>2856</v>
      </c>
    </row>
    <row r="739" customFormat="false" ht="15" hidden="false" customHeight="false" outlineLevel="0" collapsed="false">
      <c r="A739" s="0" t="s">
        <v>773</v>
      </c>
      <c r="B739" s="0" t="n">
        <v>564</v>
      </c>
      <c r="C739" s="0" t="n">
        <v>381</v>
      </c>
      <c r="D739" s="0" t="n">
        <v>233</v>
      </c>
      <c r="E739" s="0" t="s">
        <v>2857</v>
      </c>
      <c r="F739" s="0" t="s">
        <v>2858</v>
      </c>
      <c r="G739" s="0" t="s">
        <v>2859</v>
      </c>
    </row>
    <row r="740" customFormat="false" ht="15" hidden="false" customHeight="false" outlineLevel="0" collapsed="false">
      <c r="A740" s="0" t="s">
        <v>774</v>
      </c>
    </row>
    <row r="741" customFormat="false" ht="15" hidden="false" customHeight="false" outlineLevel="0" collapsed="false">
      <c r="A741" s="0" t="s">
        <v>775</v>
      </c>
      <c r="B741" s="0" t="n">
        <v>416</v>
      </c>
      <c r="C741" s="0" t="n">
        <v>318</v>
      </c>
      <c r="D741" s="0" t="n">
        <v>40</v>
      </c>
      <c r="E741" s="0" t="s">
        <v>2860</v>
      </c>
      <c r="F741" s="0" t="s">
        <v>2861</v>
      </c>
      <c r="G741" s="0" t="s">
        <v>2862</v>
      </c>
    </row>
    <row r="742" customFormat="false" ht="15" hidden="false" customHeight="false" outlineLevel="0" collapsed="false">
      <c r="A742" s="0" t="s">
        <v>776</v>
      </c>
      <c r="B742" s="0" t="n">
        <v>172</v>
      </c>
      <c r="C742" s="0" t="n">
        <v>77</v>
      </c>
      <c r="D742" s="0" t="n">
        <v>27</v>
      </c>
      <c r="E742" s="0" t="s">
        <v>2863</v>
      </c>
      <c r="F742" s="0" t="s">
        <v>2864</v>
      </c>
      <c r="G742" s="0" t="s">
        <v>2865</v>
      </c>
    </row>
    <row r="743" customFormat="false" ht="15" hidden="false" customHeight="false" outlineLevel="0" collapsed="false">
      <c r="A743" s="0" t="s">
        <v>777</v>
      </c>
    </row>
    <row r="744" customFormat="false" ht="15" hidden="false" customHeight="false" outlineLevel="0" collapsed="false">
      <c r="A744" s="0" t="s">
        <v>778</v>
      </c>
    </row>
    <row r="745" customFormat="false" ht="15" hidden="false" customHeight="false" outlineLevel="0" collapsed="false">
      <c r="A745" s="0" t="s">
        <v>779</v>
      </c>
      <c r="B745" s="0" t="n">
        <v>340</v>
      </c>
      <c r="C745" s="0" t="n">
        <v>127</v>
      </c>
      <c r="D745" s="0" t="n">
        <v>123</v>
      </c>
      <c r="E745" s="0" t="s">
        <v>2866</v>
      </c>
      <c r="F745" s="0" t="s">
        <v>2867</v>
      </c>
      <c r="G745" s="0" t="s">
        <v>2868</v>
      </c>
    </row>
    <row r="746" customFormat="false" ht="15" hidden="false" customHeight="false" outlineLevel="0" collapsed="false">
      <c r="A746" s="0" t="s">
        <v>780</v>
      </c>
      <c r="B746" s="0" t="n">
        <v>408</v>
      </c>
      <c r="C746" s="0" t="n">
        <v>102</v>
      </c>
      <c r="D746" s="0" t="n">
        <v>166</v>
      </c>
      <c r="E746" s="0" t="s">
        <v>2869</v>
      </c>
      <c r="F746" s="0" t="s">
        <v>2870</v>
      </c>
      <c r="G746" s="0" t="s">
        <v>2871</v>
      </c>
    </row>
    <row r="747" customFormat="false" ht="15" hidden="false" customHeight="false" outlineLevel="0" collapsed="false">
      <c r="A747" s="0" t="s">
        <v>781</v>
      </c>
    </row>
    <row r="748" customFormat="false" ht="15" hidden="false" customHeight="false" outlineLevel="0" collapsed="false">
      <c r="A748" s="0" t="s">
        <v>782</v>
      </c>
      <c r="B748" s="0" t="n">
        <v>670</v>
      </c>
      <c r="C748" s="0" t="n">
        <v>631</v>
      </c>
      <c r="D748" s="0" t="n">
        <v>144</v>
      </c>
      <c r="E748" s="0" t="s">
        <v>2872</v>
      </c>
      <c r="F748" s="0" t="s">
        <v>2873</v>
      </c>
      <c r="G748" s="0" t="s">
        <v>2874</v>
      </c>
    </row>
    <row r="749" customFormat="false" ht="15" hidden="false" customHeight="false" outlineLevel="0" collapsed="false">
      <c r="A749" s="0" t="s">
        <v>783</v>
      </c>
      <c r="B749" s="0" t="n">
        <v>412</v>
      </c>
      <c r="C749" s="0" t="n">
        <v>285</v>
      </c>
      <c r="D749" s="0" t="n">
        <v>196</v>
      </c>
      <c r="E749" s="0" t="s">
        <v>2875</v>
      </c>
      <c r="F749" s="0" t="s">
        <v>2876</v>
      </c>
      <c r="G749" s="0" t="s">
        <v>2877</v>
      </c>
    </row>
    <row r="750" customFormat="false" ht="15" hidden="false" customHeight="false" outlineLevel="0" collapsed="false">
      <c r="A750" s="0" t="s">
        <v>784</v>
      </c>
    </row>
    <row r="751" customFormat="false" ht="15" hidden="false" customHeight="false" outlineLevel="0" collapsed="false">
      <c r="A751" s="0" t="s">
        <v>785</v>
      </c>
      <c r="B751" s="0" t="n">
        <v>303</v>
      </c>
      <c r="C751" s="0" t="n">
        <v>421</v>
      </c>
      <c r="D751" s="0" t="n">
        <v>433</v>
      </c>
      <c r="E751" s="0" t="s">
        <v>2878</v>
      </c>
      <c r="F751" s="0" t="s">
        <v>2879</v>
      </c>
      <c r="G751" s="0" t="s">
        <v>2880</v>
      </c>
    </row>
    <row r="752" customFormat="false" ht="15" hidden="false" customHeight="false" outlineLevel="0" collapsed="false">
      <c r="A752" s="0" t="s">
        <v>786</v>
      </c>
      <c r="B752" s="0" t="n">
        <v>600</v>
      </c>
      <c r="C752" s="0" t="n">
        <v>340</v>
      </c>
      <c r="D752" s="0" t="n">
        <v>8</v>
      </c>
      <c r="E752" s="0" t="s">
        <v>2881</v>
      </c>
      <c r="F752" s="0" t="s">
        <v>2882</v>
      </c>
      <c r="G752" s="0" t="s">
        <v>2883</v>
      </c>
    </row>
    <row r="753" customFormat="false" ht="15" hidden="false" customHeight="false" outlineLevel="0" collapsed="false">
      <c r="A753" s="0" t="s">
        <v>787</v>
      </c>
      <c r="B753" s="0" t="n">
        <v>560</v>
      </c>
      <c r="C753" s="0" t="n">
        <v>429</v>
      </c>
      <c r="D753" s="0" t="n">
        <v>483</v>
      </c>
      <c r="E753" s="0" t="s">
        <v>2884</v>
      </c>
      <c r="F753" s="0" t="s">
        <v>2885</v>
      </c>
      <c r="G753" s="0" t="s">
        <v>2886</v>
      </c>
    </row>
    <row r="754" customFormat="false" ht="15" hidden="false" customHeight="false" outlineLevel="0" collapsed="false">
      <c r="A754" s="0" t="s">
        <v>788</v>
      </c>
    </row>
    <row r="755" customFormat="false" ht="15" hidden="false" customHeight="false" outlineLevel="0" collapsed="false">
      <c r="A755" s="0" t="s">
        <v>789</v>
      </c>
      <c r="B755" s="0" t="n">
        <v>447</v>
      </c>
      <c r="C755" s="0" t="n">
        <v>283</v>
      </c>
      <c r="D755" s="0" t="n">
        <v>231</v>
      </c>
      <c r="E755" s="0" t="s">
        <v>2887</v>
      </c>
      <c r="F755" s="0" t="s">
        <v>2888</v>
      </c>
      <c r="G755" s="0" t="s">
        <v>2889</v>
      </c>
    </row>
    <row r="756" customFormat="false" ht="15" hidden="false" customHeight="false" outlineLevel="0" collapsed="false">
      <c r="A756" s="0" t="s">
        <v>790</v>
      </c>
      <c r="B756" s="0" t="n">
        <v>116</v>
      </c>
      <c r="C756" s="0" t="n">
        <v>66</v>
      </c>
      <c r="D756" s="0" t="n">
        <v>269</v>
      </c>
      <c r="E756" s="0" t="s">
        <v>2890</v>
      </c>
      <c r="F756" s="0" t="s">
        <v>2891</v>
      </c>
      <c r="G756" s="0" t="s">
        <v>2892</v>
      </c>
    </row>
    <row r="757" customFormat="false" ht="15" hidden="false" customHeight="false" outlineLevel="0" collapsed="false">
      <c r="A757" s="0" t="s">
        <v>791</v>
      </c>
    </row>
    <row r="758" customFormat="false" ht="15" hidden="false" customHeight="false" outlineLevel="0" collapsed="false">
      <c r="A758" s="0" t="s">
        <v>792</v>
      </c>
    </row>
    <row r="759" customFormat="false" ht="15" hidden="false" customHeight="false" outlineLevel="0" collapsed="false">
      <c r="A759" s="0" t="s">
        <v>793</v>
      </c>
      <c r="B759" s="0" t="n">
        <v>78</v>
      </c>
      <c r="C759" s="0" t="n">
        <v>105</v>
      </c>
      <c r="D759" s="0" t="n">
        <v>136</v>
      </c>
      <c r="E759" s="0" t="s">
        <v>2893</v>
      </c>
      <c r="F759" s="0" t="s">
        <v>2894</v>
      </c>
      <c r="G759" s="0" t="s">
        <v>2895</v>
      </c>
    </row>
    <row r="760" customFormat="false" ht="15" hidden="false" customHeight="false" outlineLevel="0" collapsed="false">
      <c r="A760" s="0" t="s">
        <v>794</v>
      </c>
    </row>
    <row r="761" customFormat="false" ht="15" hidden="false" customHeight="false" outlineLevel="0" collapsed="false">
      <c r="A761" s="0" t="s">
        <v>795</v>
      </c>
      <c r="B761" s="0" t="n">
        <v>273</v>
      </c>
      <c r="C761" s="0" t="n">
        <v>463</v>
      </c>
      <c r="D761" s="0" t="n">
        <v>500</v>
      </c>
      <c r="E761" s="0" t="s">
        <v>2896</v>
      </c>
      <c r="F761" s="0" t="s">
        <v>2897</v>
      </c>
      <c r="G761" s="0" t="s">
        <v>2898</v>
      </c>
    </row>
    <row r="762" customFormat="false" ht="15" hidden="false" customHeight="false" outlineLevel="0" collapsed="false">
      <c r="A762" s="0" t="s">
        <v>796</v>
      </c>
      <c r="B762" s="0" t="n">
        <v>409</v>
      </c>
      <c r="C762" s="0" t="n">
        <v>12</v>
      </c>
      <c r="D762" s="0" t="n">
        <v>455</v>
      </c>
      <c r="E762" s="0" t="s">
        <v>2899</v>
      </c>
      <c r="F762" s="0" t="s">
        <v>2900</v>
      </c>
      <c r="G762" s="0" t="s">
        <v>2901</v>
      </c>
    </row>
    <row r="763" customFormat="false" ht="15" hidden="false" customHeight="false" outlineLevel="0" collapsed="false">
      <c r="A763" s="0" t="s">
        <v>797</v>
      </c>
      <c r="B763" s="0" t="n">
        <v>535</v>
      </c>
      <c r="C763" s="0" t="n">
        <v>428</v>
      </c>
      <c r="D763" s="0" t="n">
        <v>172</v>
      </c>
      <c r="E763" s="0" t="s">
        <v>2902</v>
      </c>
      <c r="F763" s="0" t="s">
        <v>2903</v>
      </c>
      <c r="G763" s="0" t="s">
        <v>2904</v>
      </c>
    </row>
    <row r="764" customFormat="false" ht="15" hidden="false" customHeight="false" outlineLevel="0" collapsed="false">
      <c r="A764" s="0" t="s">
        <v>798</v>
      </c>
      <c r="B764" s="0" t="n">
        <v>590</v>
      </c>
      <c r="C764" s="0" t="n">
        <v>292</v>
      </c>
      <c r="D764" s="0" t="n">
        <v>421</v>
      </c>
      <c r="E764" s="0" t="s">
        <v>2905</v>
      </c>
      <c r="F764" s="0" t="s">
        <v>2906</v>
      </c>
      <c r="G764" s="0" t="s">
        <v>2907</v>
      </c>
    </row>
    <row r="765" customFormat="false" ht="15" hidden="false" customHeight="false" outlineLevel="0" collapsed="false">
      <c r="A765" s="0" t="s">
        <v>799</v>
      </c>
      <c r="B765" s="0" t="n">
        <v>494</v>
      </c>
      <c r="C765" s="0" t="n">
        <v>70</v>
      </c>
      <c r="D765" s="0" t="n">
        <v>444</v>
      </c>
      <c r="E765" s="0" t="s">
        <v>2908</v>
      </c>
      <c r="F765" s="0" t="s">
        <v>2909</v>
      </c>
      <c r="G765" s="0" t="s">
        <v>2910</v>
      </c>
    </row>
    <row r="766" customFormat="false" ht="15" hidden="false" customHeight="false" outlineLevel="0" collapsed="false">
      <c r="A766" s="0" t="s">
        <v>800</v>
      </c>
      <c r="B766" s="0" t="n">
        <v>483</v>
      </c>
      <c r="C766" s="0" t="n">
        <v>219</v>
      </c>
      <c r="D766" s="0" t="n">
        <v>431</v>
      </c>
      <c r="E766" s="0" t="s">
        <v>2911</v>
      </c>
      <c r="F766" s="0" t="s">
        <v>2912</v>
      </c>
      <c r="G766" s="0" t="s">
        <v>2913</v>
      </c>
    </row>
    <row r="767" customFormat="false" ht="15" hidden="false" customHeight="false" outlineLevel="0" collapsed="false">
      <c r="A767" s="0" t="s">
        <v>801</v>
      </c>
      <c r="B767" s="0" t="n">
        <v>466</v>
      </c>
      <c r="C767" s="0" t="n">
        <v>569</v>
      </c>
      <c r="D767" s="0" t="n">
        <v>49</v>
      </c>
      <c r="E767" s="0" t="s">
        <v>2914</v>
      </c>
      <c r="F767" s="0" t="s">
        <v>2915</v>
      </c>
      <c r="G767" s="0" t="s">
        <v>2916</v>
      </c>
    </row>
    <row r="768" customFormat="false" ht="15" hidden="false" customHeight="false" outlineLevel="0" collapsed="false">
      <c r="A768" s="0" t="s">
        <v>802</v>
      </c>
    </row>
    <row r="769" customFormat="false" ht="15" hidden="false" customHeight="false" outlineLevel="0" collapsed="false">
      <c r="A769" s="0" t="s">
        <v>803</v>
      </c>
      <c r="B769" s="0" t="n">
        <v>201</v>
      </c>
      <c r="C769" s="0" t="n">
        <v>11</v>
      </c>
      <c r="D769" s="0" t="n">
        <v>87</v>
      </c>
      <c r="E769" s="0" t="s">
        <v>2917</v>
      </c>
      <c r="F769" s="0" t="s">
        <v>2918</v>
      </c>
      <c r="G769" s="0" t="s">
        <v>2919</v>
      </c>
    </row>
    <row r="770" customFormat="false" ht="15" hidden="false" customHeight="false" outlineLevel="0" collapsed="false">
      <c r="A770" s="0" t="s">
        <v>804</v>
      </c>
    </row>
    <row r="771" customFormat="false" ht="15" hidden="false" customHeight="false" outlineLevel="0" collapsed="false">
      <c r="A771" s="0" t="s">
        <v>805</v>
      </c>
      <c r="B771" s="0" t="n">
        <v>127</v>
      </c>
      <c r="C771" s="0" t="n">
        <v>338</v>
      </c>
      <c r="D771" s="0" t="n">
        <v>428</v>
      </c>
      <c r="E771" s="0" t="s">
        <v>2920</v>
      </c>
      <c r="F771" s="0" t="s">
        <v>2921</v>
      </c>
      <c r="G771" s="0" t="s">
        <v>2922</v>
      </c>
    </row>
    <row r="772" customFormat="false" ht="15" hidden="false" customHeight="false" outlineLevel="0" collapsed="false">
      <c r="A772" s="0" t="s">
        <v>806</v>
      </c>
      <c r="B772" s="0" t="n">
        <v>163</v>
      </c>
      <c r="C772" s="0" t="n">
        <v>59</v>
      </c>
      <c r="D772" s="0" t="n">
        <v>465</v>
      </c>
      <c r="E772" s="0" t="s">
        <v>2923</v>
      </c>
      <c r="F772" s="0" t="s">
        <v>2924</v>
      </c>
      <c r="G772" s="0" t="s">
        <v>2925</v>
      </c>
    </row>
    <row r="773" customFormat="false" ht="15" hidden="false" customHeight="false" outlineLevel="0" collapsed="false">
      <c r="A773" s="0" t="s">
        <v>807</v>
      </c>
      <c r="B773" s="0" t="n">
        <v>108</v>
      </c>
      <c r="C773" s="0" t="n">
        <v>614</v>
      </c>
      <c r="D773" s="0" t="n">
        <v>545</v>
      </c>
      <c r="E773" s="0" t="s">
        <v>2926</v>
      </c>
      <c r="F773" s="0" t="s">
        <v>2927</v>
      </c>
      <c r="G773" s="0" t="s">
        <v>2928</v>
      </c>
    </row>
    <row r="774" customFormat="false" ht="15" hidden="false" customHeight="false" outlineLevel="0" collapsed="false">
      <c r="A774" s="0" t="s">
        <v>808</v>
      </c>
      <c r="B774" s="0" t="n">
        <v>482</v>
      </c>
      <c r="C774" s="0" t="n">
        <v>398</v>
      </c>
      <c r="D774" s="0" t="n">
        <v>203</v>
      </c>
      <c r="E774" s="0" t="s">
        <v>2929</v>
      </c>
      <c r="F774" s="0" t="s">
        <v>2930</v>
      </c>
      <c r="G774" s="0" t="s">
        <v>2931</v>
      </c>
    </row>
    <row r="775" customFormat="false" ht="15" hidden="false" customHeight="false" outlineLevel="0" collapsed="false">
      <c r="A775" s="0" t="s">
        <v>809</v>
      </c>
    </row>
    <row r="776" customFormat="false" ht="15" hidden="false" customHeight="false" outlineLevel="0" collapsed="false">
      <c r="A776" s="0" t="s">
        <v>810</v>
      </c>
      <c r="B776" s="0" t="n">
        <v>165</v>
      </c>
      <c r="C776" s="0" t="n">
        <v>63</v>
      </c>
      <c r="D776" s="0" t="n">
        <v>105</v>
      </c>
      <c r="E776" s="0" t="s">
        <v>2932</v>
      </c>
      <c r="F776" s="0" t="s">
        <v>2933</v>
      </c>
      <c r="G776" s="0" t="s">
        <v>2934</v>
      </c>
    </row>
    <row r="777" customFormat="false" ht="15" hidden="false" customHeight="false" outlineLevel="0" collapsed="false">
      <c r="A777" s="0" t="s">
        <v>811</v>
      </c>
      <c r="B777" s="0" t="n">
        <v>330</v>
      </c>
      <c r="C777" s="0" t="n">
        <v>411</v>
      </c>
      <c r="D777" s="0" t="n">
        <v>33</v>
      </c>
      <c r="E777" s="0" t="s">
        <v>2935</v>
      </c>
      <c r="F777" s="0" t="s">
        <v>2936</v>
      </c>
      <c r="G777" s="0" t="s">
        <v>2937</v>
      </c>
    </row>
    <row r="778" customFormat="false" ht="15" hidden="false" customHeight="false" outlineLevel="0" collapsed="false">
      <c r="A778" s="0" t="s">
        <v>812</v>
      </c>
      <c r="B778" s="0" t="n">
        <v>121</v>
      </c>
      <c r="C778" s="0" t="n">
        <v>223</v>
      </c>
      <c r="D778" s="0" t="n">
        <v>514</v>
      </c>
      <c r="E778" s="0" t="s">
        <v>2938</v>
      </c>
      <c r="F778" s="0" t="s">
        <v>2939</v>
      </c>
      <c r="G778" s="0" t="s">
        <v>2940</v>
      </c>
    </row>
    <row r="779" customFormat="false" ht="15" hidden="false" customHeight="false" outlineLevel="0" collapsed="false">
      <c r="A779" s="0" t="s">
        <v>813</v>
      </c>
      <c r="B779" s="0" t="n">
        <v>574</v>
      </c>
      <c r="C779" s="0" t="n">
        <v>426</v>
      </c>
      <c r="D779" s="0" t="n">
        <v>198</v>
      </c>
      <c r="E779" s="0" t="s">
        <v>2941</v>
      </c>
      <c r="F779" s="0" t="s">
        <v>2942</v>
      </c>
      <c r="G779" s="0" t="s">
        <v>2943</v>
      </c>
    </row>
    <row r="780" customFormat="false" ht="15" hidden="false" customHeight="false" outlineLevel="0" collapsed="false">
      <c r="A780" s="0" t="s">
        <v>814</v>
      </c>
      <c r="B780" s="0" t="n">
        <v>47</v>
      </c>
      <c r="C780" s="0" t="n">
        <v>54</v>
      </c>
      <c r="D780" s="0" t="n">
        <v>184</v>
      </c>
      <c r="E780" s="0" t="s">
        <v>2944</v>
      </c>
      <c r="F780" s="0" t="s">
        <v>2945</v>
      </c>
      <c r="G780" s="0" t="s">
        <v>2946</v>
      </c>
    </row>
    <row r="781" customFormat="false" ht="15" hidden="false" customHeight="false" outlineLevel="0" collapsed="false">
      <c r="A781" s="0" t="s">
        <v>815</v>
      </c>
      <c r="B781" s="0" t="n">
        <v>523</v>
      </c>
      <c r="C781" s="0" t="n">
        <v>515</v>
      </c>
      <c r="D781" s="0" t="n">
        <v>232</v>
      </c>
      <c r="E781" s="0" t="s">
        <v>2947</v>
      </c>
      <c r="F781" s="0" t="s">
        <v>2948</v>
      </c>
      <c r="G781" s="0" t="s">
        <v>1662</v>
      </c>
    </row>
    <row r="782" customFormat="false" ht="15" hidden="false" customHeight="false" outlineLevel="0" collapsed="false">
      <c r="A782" s="0" t="s">
        <v>816</v>
      </c>
      <c r="B782" s="0" t="n">
        <v>472</v>
      </c>
      <c r="C782" s="0" t="n">
        <v>485</v>
      </c>
      <c r="D782" s="0" t="n">
        <v>601</v>
      </c>
      <c r="E782" s="0" t="s">
        <v>2949</v>
      </c>
      <c r="F782" s="0" t="s">
        <v>2950</v>
      </c>
      <c r="G782" s="0" t="s">
        <v>2951</v>
      </c>
    </row>
    <row r="783" customFormat="false" ht="15" hidden="false" customHeight="false" outlineLevel="0" collapsed="false">
      <c r="A783" s="0" t="s">
        <v>817</v>
      </c>
    </row>
    <row r="784" customFormat="false" ht="15" hidden="false" customHeight="false" outlineLevel="0" collapsed="false">
      <c r="A784" s="0" t="s">
        <v>818</v>
      </c>
      <c r="B784" s="0" t="n">
        <v>632</v>
      </c>
      <c r="C784" s="0" t="n">
        <v>348</v>
      </c>
      <c r="D784" s="0" t="n">
        <v>481</v>
      </c>
      <c r="E784" s="0" t="s">
        <v>2952</v>
      </c>
      <c r="F784" s="0" t="s">
        <v>2953</v>
      </c>
      <c r="G784" s="0" t="s">
        <v>2954</v>
      </c>
    </row>
    <row r="785" customFormat="false" ht="15" hidden="false" customHeight="false" outlineLevel="0" collapsed="false">
      <c r="A785" s="0" t="s">
        <v>819</v>
      </c>
    </row>
    <row r="786" customFormat="false" ht="15" hidden="false" customHeight="false" outlineLevel="0" collapsed="false">
      <c r="A786" s="0" t="s">
        <v>820</v>
      </c>
      <c r="B786" s="0" t="n">
        <v>561</v>
      </c>
      <c r="C786" s="0" t="n">
        <v>650</v>
      </c>
      <c r="D786" s="0" t="n">
        <v>441</v>
      </c>
      <c r="E786" s="0" t="s">
        <v>2955</v>
      </c>
      <c r="F786" s="0" t="s">
        <v>2956</v>
      </c>
      <c r="G786" s="0" t="s">
        <v>2957</v>
      </c>
    </row>
    <row r="787" customFormat="false" ht="15" hidden="false" customHeight="false" outlineLevel="0" collapsed="false">
      <c r="A787" s="0" t="s">
        <v>821</v>
      </c>
      <c r="B787" s="0" t="n">
        <v>154</v>
      </c>
      <c r="C787" s="0" t="n">
        <v>404</v>
      </c>
      <c r="D787" s="0" t="n">
        <v>322</v>
      </c>
      <c r="E787" s="0" t="s">
        <v>2958</v>
      </c>
      <c r="F787" s="0" t="s">
        <v>2959</v>
      </c>
      <c r="G787" s="0" t="s">
        <v>2960</v>
      </c>
    </row>
    <row r="788" customFormat="false" ht="15" hidden="false" customHeight="false" outlineLevel="0" collapsed="false">
      <c r="A788" s="0" t="s">
        <v>822</v>
      </c>
      <c r="B788" s="0" t="n">
        <v>629</v>
      </c>
      <c r="C788" s="0" t="n">
        <v>652</v>
      </c>
      <c r="D788" s="0" t="n">
        <v>599</v>
      </c>
      <c r="E788" s="0" t="s">
        <v>2961</v>
      </c>
      <c r="F788" s="0" t="s">
        <v>2962</v>
      </c>
      <c r="G788" s="0" t="s">
        <v>2963</v>
      </c>
    </row>
    <row r="789" customFormat="false" ht="15" hidden="false" customHeight="false" outlineLevel="0" collapsed="false">
      <c r="A789" s="0" t="s">
        <v>823</v>
      </c>
      <c r="B789" s="0" t="n">
        <v>145</v>
      </c>
      <c r="C789" s="0" t="n">
        <v>44</v>
      </c>
      <c r="D789" s="0" t="n">
        <v>149</v>
      </c>
      <c r="E789" s="0" t="s">
        <v>2964</v>
      </c>
      <c r="F789" s="0" t="s">
        <v>2965</v>
      </c>
      <c r="G789" s="0" t="s">
        <v>2966</v>
      </c>
    </row>
    <row r="790" customFormat="false" ht="15" hidden="false" customHeight="false" outlineLevel="0" collapsed="false">
      <c r="A790" s="0" t="s">
        <v>824</v>
      </c>
      <c r="B790" s="0" t="n">
        <v>155</v>
      </c>
      <c r="C790" s="0" t="n">
        <v>136</v>
      </c>
      <c r="D790" s="0" t="n">
        <v>424</v>
      </c>
      <c r="E790" s="0" t="s">
        <v>2967</v>
      </c>
      <c r="F790" s="0" t="s">
        <v>2968</v>
      </c>
      <c r="G790" s="0" t="s">
        <v>2969</v>
      </c>
    </row>
    <row r="791" customFormat="false" ht="15" hidden="false" customHeight="false" outlineLevel="0" collapsed="false">
      <c r="A791" s="0" t="s">
        <v>825</v>
      </c>
      <c r="B791" s="0" t="n">
        <v>89</v>
      </c>
      <c r="C791" s="0" t="n">
        <v>47</v>
      </c>
      <c r="D791" s="0" t="n">
        <v>368</v>
      </c>
      <c r="E791" s="0" t="s">
        <v>2970</v>
      </c>
      <c r="F791" s="0" t="s">
        <v>2971</v>
      </c>
      <c r="G791" s="0" t="s">
        <v>2972</v>
      </c>
    </row>
    <row r="792" customFormat="false" ht="15" hidden="false" customHeight="false" outlineLevel="0" collapsed="false">
      <c r="A792" s="0" t="s">
        <v>826</v>
      </c>
      <c r="B792" s="0" t="n">
        <v>475</v>
      </c>
      <c r="C792" s="0" t="n">
        <v>150</v>
      </c>
      <c r="D792" s="0" t="n">
        <v>464</v>
      </c>
      <c r="E792" s="0" t="s">
        <v>2973</v>
      </c>
      <c r="F792" s="0" t="s">
        <v>2974</v>
      </c>
      <c r="G792" s="0" t="s">
        <v>2975</v>
      </c>
    </row>
    <row r="793" customFormat="false" ht="15" hidden="false" customHeight="false" outlineLevel="0" collapsed="false">
      <c r="A793" s="0" t="s">
        <v>827</v>
      </c>
    </row>
    <row r="794" customFormat="false" ht="15" hidden="false" customHeight="false" outlineLevel="0" collapsed="false">
      <c r="A794" s="0" t="s">
        <v>828</v>
      </c>
      <c r="B794" s="0" t="n">
        <v>66</v>
      </c>
      <c r="C794" s="0" t="n">
        <v>106</v>
      </c>
      <c r="D794" s="0" t="n">
        <v>345</v>
      </c>
      <c r="E794" s="0" t="s">
        <v>2976</v>
      </c>
      <c r="F794" s="0" t="s">
        <v>2977</v>
      </c>
      <c r="G794" s="0" t="s">
        <v>2978</v>
      </c>
    </row>
    <row r="795" customFormat="false" ht="15" hidden="false" customHeight="false" outlineLevel="0" collapsed="false">
      <c r="A795" s="0" t="s">
        <v>829</v>
      </c>
      <c r="B795" s="0" t="n">
        <v>441</v>
      </c>
      <c r="C795" s="0" t="n">
        <v>436</v>
      </c>
      <c r="D795" s="0" t="n">
        <v>137</v>
      </c>
      <c r="E795" s="0" t="s">
        <v>2979</v>
      </c>
      <c r="F795" s="0" t="s">
        <v>2980</v>
      </c>
      <c r="G795" s="0" t="s">
        <v>2981</v>
      </c>
    </row>
    <row r="796" customFormat="false" ht="15" hidden="false" customHeight="false" outlineLevel="0" collapsed="false">
      <c r="A796" s="0" t="s">
        <v>830</v>
      </c>
    </row>
    <row r="797" customFormat="false" ht="15" hidden="false" customHeight="false" outlineLevel="0" collapsed="false">
      <c r="A797" s="0" t="s">
        <v>831</v>
      </c>
      <c r="B797" s="0" t="n">
        <v>117</v>
      </c>
      <c r="C797" s="0" t="n">
        <v>391</v>
      </c>
      <c r="D797" s="0" t="n">
        <v>350</v>
      </c>
      <c r="E797" s="0" t="s">
        <v>2982</v>
      </c>
      <c r="F797" s="0" t="s">
        <v>2983</v>
      </c>
      <c r="G797" s="0" t="s">
        <v>2984</v>
      </c>
    </row>
    <row r="798" customFormat="false" ht="15" hidden="false" customHeight="false" outlineLevel="0" collapsed="false">
      <c r="A798" s="0" t="s">
        <v>832</v>
      </c>
      <c r="B798" s="0" t="n">
        <v>597</v>
      </c>
      <c r="C798" s="0" t="n">
        <v>382</v>
      </c>
      <c r="D798" s="0" t="n">
        <v>152</v>
      </c>
      <c r="E798" s="0" t="s">
        <v>2985</v>
      </c>
      <c r="F798" s="0" t="s">
        <v>2986</v>
      </c>
      <c r="G798" s="0" t="s">
        <v>2987</v>
      </c>
    </row>
    <row r="799" customFormat="false" ht="15" hidden="false" customHeight="false" outlineLevel="0" collapsed="false">
      <c r="A799" s="0" t="s">
        <v>833</v>
      </c>
      <c r="B799" s="0" t="n">
        <v>354</v>
      </c>
      <c r="C799" s="0" t="n">
        <v>243</v>
      </c>
      <c r="D799" s="0" t="n">
        <v>334</v>
      </c>
      <c r="E799" s="0" t="s">
        <v>2988</v>
      </c>
      <c r="F799" s="0" t="s">
        <v>2989</v>
      </c>
      <c r="G799" s="0" t="s">
        <v>2990</v>
      </c>
    </row>
    <row r="800" customFormat="false" ht="15" hidden="false" customHeight="false" outlineLevel="0" collapsed="false">
      <c r="A800" s="0" t="s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2991</v>
      </c>
      <c r="C1" s="0" t="s">
        <v>2992</v>
      </c>
      <c r="D1" s="0" t="s">
        <v>2993</v>
      </c>
      <c r="E1" s="0" t="s">
        <v>2994</v>
      </c>
      <c r="F1" s="0" t="s">
        <v>2995</v>
      </c>
      <c r="G1" s="0" t="s">
        <v>2996</v>
      </c>
      <c r="H1" s="0" t="s">
        <v>2997</v>
      </c>
      <c r="I1" s="0" t="s">
        <v>2998</v>
      </c>
      <c r="J1" s="0" t="s">
        <v>2999</v>
      </c>
      <c r="K1" s="0" t="s">
        <v>3000</v>
      </c>
      <c r="L1" s="0" t="s">
        <v>3001</v>
      </c>
      <c r="M1" s="0" t="s">
        <v>3002</v>
      </c>
      <c r="N1" s="0" t="s">
        <v>3003</v>
      </c>
      <c r="O1" s="0" t="s">
        <v>3004</v>
      </c>
      <c r="P1" s="0" t="s">
        <v>3005</v>
      </c>
      <c r="Q1" s="0" t="s">
        <v>3006</v>
      </c>
      <c r="R1" s="0" t="s">
        <v>3007</v>
      </c>
      <c r="S1" s="0" t="s">
        <v>3008</v>
      </c>
      <c r="T1" s="0" t="s">
        <v>3009</v>
      </c>
      <c r="U1" s="0" t="s">
        <v>3010</v>
      </c>
      <c r="V1" s="0" t="s">
        <v>3011</v>
      </c>
      <c r="W1" s="0" t="s">
        <v>3012</v>
      </c>
    </row>
    <row r="2" customFormat="false" ht="15" hidden="false" customHeight="false" outlineLevel="0" collapsed="false">
      <c r="A2" s="0" t="s">
        <v>36</v>
      </c>
      <c r="B2" s="0" t="s">
        <v>3013</v>
      </c>
      <c r="C2" s="0" t="n">
        <v>34.7878371372212</v>
      </c>
      <c r="D2" s="0" t="n">
        <f aca="false">SUMPRODUCT(Risk_Inputs!B2:AJ2,Risk_Coefs!$B$2:$AJ$2)</f>
        <v>-1.18508403282873</v>
      </c>
      <c r="E2" s="0" t="n">
        <f aca="false">1/(1+EXP(-MAX(-25,MIN(25,D2))))</f>
        <v>0.234139305237129</v>
      </c>
      <c r="F2" s="0" t="n">
        <f aca="false">SUMPRODUCT(Risk_Inputs!B2:AJ2,Risk_Coefs!$B$3:$AJ$3)</f>
        <v>8.19364118678631</v>
      </c>
      <c r="G2" s="0" t="n">
        <f aca="false">MAX(0,F2)</f>
        <v>8.19364118678631</v>
      </c>
      <c r="H2" s="0" t="n">
        <f aca="false">(SUMPRODUCT(--ISNUMBER($E$2:$E$800),--($E$2:$E$800&lt;E2))+(SUMPRODUCT(--ISNUMBER($E$2:$E$800),--($E$2:$E$800=E2))+1)/2)/COUNT($E$2:$E$800)</f>
        <v>0.195244055068836</v>
      </c>
      <c r="I2" s="0" t="n">
        <f aca="false">(SUMPRODUCT(--ISNUMBER($G$2:$G$800),--($G$2:$G$800&lt;G2))+(SUMPRODUCT(--ISNUMBER($G$2:$G$800),--($G$2:$G$800=G2))+1)/2)/COUNT($G$2:$G$800)</f>
        <v>0.561952440550688</v>
      </c>
      <c r="J2" s="0" t="n">
        <v>6.7846238997304</v>
      </c>
      <c r="K2" s="0" t="n">
        <v>1.4535454724023</v>
      </c>
      <c r="L2" s="0" t="n">
        <v>0.314280102141032</v>
      </c>
      <c r="M2" s="0" t="n">
        <f aca="false">IF(OR(B2="NW",COUNT(Risk_Rank_Keys!B2)=0),0.5,(SUMPRODUCT(--ISNUMBER(Risk_Rank_Keys!$B$2:$B$800),--(Risk_Rank_Keys!$B$2:$B$800&lt;Risk_Rank_Keys!B2))+(SUMPRODUCT(--ISNUMBER(Risk_Rank_Keys!$B$2:$B$800),--(Risk_Rank_Keys!$B$2:$B$800=Risk_Rank_Keys!B2))+1)/2)/COUNT(Risk_Rank_Keys!$B$2:$B$800))</f>
        <v>0.292887029288703</v>
      </c>
      <c r="N2" s="0" t="n">
        <f aca="false">IF(OR(B2="NW",COUNT(Risk_Rank_Keys!C2)=0),0.5,(SUMPRODUCT(--ISNUMBER(Risk_Rank_Keys!$C$2:$C$800),--(Risk_Rank_Keys!$C$2:$C$800&lt;Risk_Rank_Keys!C2))+(SUMPRODUCT(--ISNUMBER(Risk_Rank_Keys!$C$2:$C$800),--(Risk_Rank_Keys!$C$2:$C$800=Risk_Rank_Keys!C2))+1)/2)/COUNT(Risk_Rank_Keys!$C$2:$C$800))</f>
        <v>0.121338912133891</v>
      </c>
      <c r="O2" s="0" t="n">
        <f aca="false">IF(OR(B2="NW",COUNT(Risk_Rank_Keys!D2)=0),0.5,(SUMPRODUCT(--ISNUMBER(Risk_Rank_Keys!$D$2:$D$800),--(Risk_Rank_Keys!$D$2:$D$800&lt;Risk_Rank_Keys!D2))+(SUMPRODUCT(--ISNUMBER(Risk_Rank_Keys!$D$2:$D$800),--(Risk_Rank_Keys!$D$2:$D$800=Risk_Rank_Keys!D2))+1)/2)/COUNT(Risk_Rank_Keys!$D$2:$D$800))</f>
        <v>0.760111576011158</v>
      </c>
      <c r="P2" s="0" t="n">
        <f aca="false">AVERAGE(M2:O2)</f>
        <v>0.391445839144584</v>
      </c>
      <c r="Q2" s="0" t="n">
        <f aca="false">0.4*H2+0.4*I2+0.2*P2</f>
        <v>0.381167766076727</v>
      </c>
      <c r="R2" s="0" t="n">
        <f aca="false">PERCENTILE($Q$2:$Q$800,0.75)</f>
        <v>0.667715717403612</v>
      </c>
      <c r="S2" s="1" t="b">
        <f aca="false">OR(Q2&gt;=R2,AND(B2="CW",COUNT(J2:L2)&lt;3))</f>
        <v>0</v>
      </c>
      <c r="T2" s="0" t="n">
        <v>0.234139305237129</v>
      </c>
      <c r="U2" s="0" t="n">
        <v>8.19364118678631</v>
      </c>
      <c r="V2" s="0" t="n">
        <v>0.381167766076727</v>
      </c>
      <c r="W2" s="0" t="n">
        <f aca="false">Q2-V2</f>
        <v>0</v>
      </c>
    </row>
    <row r="3" customFormat="false" ht="15" hidden="false" customHeight="false" outlineLevel="0" collapsed="false">
      <c r="A3" s="0" t="s">
        <v>37</v>
      </c>
      <c r="B3" s="0" t="s">
        <v>3013</v>
      </c>
      <c r="C3" s="0" t="n">
        <v>44.5002673862297</v>
      </c>
      <c r="D3" s="0" t="n">
        <f aca="false">SUMPRODUCT(Risk_Inputs!B3:AJ3,Risk_Coefs!$B$2:$AJ$2)</f>
        <v>-0.962689899630306</v>
      </c>
      <c r="E3" s="0" t="n">
        <f aca="false">1/(1+EXP(-MAX(-25,MIN(25,D3))))</f>
        <v>0.276339955518171</v>
      </c>
      <c r="F3" s="0" t="n">
        <f aca="false">SUMPRODUCT(Risk_Inputs!B3:AJ3,Risk_Coefs!$B$3:$AJ$3)</f>
        <v>10.9319645129746</v>
      </c>
      <c r="G3" s="0" t="n">
        <f aca="false">MAX(0,F3)</f>
        <v>10.9319645129746</v>
      </c>
      <c r="H3" s="0" t="n">
        <f aca="false">(SUMPRODUCT(--ISNUMBER($E$2:$E$800),--($E$2:$E$800&lt;E3))+(SUMPRODUCT(--ISNUMBER($E$2:$E$800),--($E$2:$E$800=E3))+1)/2)/COUNT($E$2:$E$800)</f>
        <v>0.436795994993742</v>
      </c>
      <c r="I3" s="0" t="n">
        <f aca="false">(SUMPRODUCT(--ISNUMBER($G$2:$G$800),--($G$2:$G$800&lt;G3))+(SUMPRODUCT(--ISNUMBER($G$2:$G$800),--($G$2:$G$800=G3))+1)/2)/COUNT($G$2:$G$800)</f>
        <v>0.874843554443054</v>
      </c>
      <c r="J3" s="0" t="n">
        <v>39.3952489972603</v>
      </c>
      <c r="K3" s="0" t="n">
        <v>3.63890832750175</v>
      </c>
      <c r="L3" s="0" t="n">
        <v>0.326568696057851</v>
      </c>
      <c r="M3" s="0" t="n">
        <f aca="false">IF(OR(B3="NW",COUNT(Risk_Rank_Keys!B3)=0),0.5,(SUMPRODUCT(--ISNUMBER(Risk_Rank_Keys!$B$2:$B$800),--(Risk_Rank_Keys!$B$2:$B$800&lt;Risk_Rank_Keys!B3))+(SUMPRODUCT(--ISNUMBER(Risk_Rank_Keys!$B$2:$B$800),--(Risk_Rank_Keys!$B$2:$B$800=Risk_Rank_Keys!B3))+1)/2)/COUNT(Risk_Rank_Keys!$B$2:$B$800))</f>
        <v>0.95258019525802</v>
      </c>
      <c r="N3" s="0" t="n">
        <f aca="false">IF(OR(B3="NW",COUNT(Risk_Rank_Keys!C3)=0),0.5,(SUMPRODUCT(--ISNUMBER(Risk_Rank_Keys!$C$2:$C$800),--(Risk_Rank_Keys!$C$2:$C$800&lt;Risk_Rank_Keys!C3))+(SUMPRODUCT(--ISNUMBER(Risk_Rank_Keys!$C$2:$C$800),--(Risk_Rank_Keys!$C$2:$C$800=Risk_Rank_Keys!C3))+1)/2)/COUNT(Risk_Rank_Keys!$C$2:$C$800))</f>
        <v>0.552301255230126</v>
      </c>
      <c r="O3" s="0" t="n">
        <f aca="false">IF(OR(B3="NW",COUNT(Risk_Rank_Keys!D3)=0),0.5,(SUMPRODUCT(--ISNUMBER(Risk_Rank_Keys!$D$2:$D$800),--(Risk_Rank_Keys!$D$2:$D$800&lt;Risk_Rank_Keys!D3))+(SUMPRODUCT(--ISNUMBER(Risk_Rank_Keys!$D$2:$D$800),--(Risk_Rank_Keys!$D$2:$D$800=Risk_Rank_Keys!D3))+1)/2)/COUNT(Risk_Rank_Keys!$D$2:$D$800))</f>
        <v>0.790794979079498</v>
      </c>
      <c r="P3" s="0" t="n">
        <f aca="false">AVERAGE(M3:O3)</f>
        <v>0.765225476522548</v>
      </c>
      <c r="Q3" s="0" t="n">
        <f aca="false">0.4*H3+0.4*I3+0.2*P3</f>
        <v>0.677700915079228</v>
      </c>
      <c r="R3" s="0" t="n">
        <f aca="false">PERCENTILE($Q$2:$Q$800,0.75)</f>
        <v>0.667715717403612</v>
      </c>
      <c r="S3" s="1" t="b">
        <f aca="false">OR(Q3&gt;=R3,AND(B3="CW",COUNT(J3:L3)&lt;3))</f>
        <v>1</v>
      </c>
      <c r="T3" s="0" t="n">
        <v>0.276339955518171</v>
      </c>
      <c r="U3" s="0" t="n">
        <v>10.9319645129746</v>
      </c>
      <c r="V3" s="0" t="n">
        <v>0.677700915079228</v>
      </c>
      <c r="W3" s="0" t="n">
        <f aca="false">Q3-V3</f>
        <v>0</v>
      </c>
    </row>
    <row r="4" customFormat="false" ht="15" hidden="false" customHeight="false" outlineLevel="0" collapsed="false">
      <c r="A4" s="0" t="s">
        <v>38</v>
      </c>
      <c r="B4" s="0" t="s">
        <v>3013</v>
      </c>
      <c r="C4" s="0" t="n">
        <v>-10.6842697016992</v>
      </c>
      <c r="D4" s="0" t="n">
        <f aca="false">SUMPRODUCT(Risk_Inputs!B4:AJ4,Risk_Coefs!$B$2:$AJ$2)</f>
        <v>-1.43338100470313</v>
      </c>
      <c r="E4" s="0" t="n">
        <f aca="false">1/(1+EXP(-MAX(-25,MIN(25,D4))))</f>
        <v>0.192572431100253</v>
      </c>
      <c r="F4" s="0" t="n">
        <f aca="false">SUMPRODUCT(Risk_Inputs!B4:AJ4,Risk_Coefs!$B$3:$AJ$3)</f>
        <v>3.22102558698666</v>
      </c>
      <c r="G4" s="0" t="n">
        <f aca="false">MAX(0,F4)</f>
        <v>3.22102558698666</v>
      </c>
      <c r="H4" s="0" t="n">
        <f aca="false">(SUMPRODUCT(--ISNUMBER($E$2:$E$800),--($E$2:$E$800&lt;E4))+(SUMPRODUCT(--ISNUMBER($E$2:$E$800),--($E$2:$E$800=E4))+1)/2)/COUNT($E$2:$E$800)</f>
        <v>0.0926157697121402</v>
      </c>
      <c r="I4" s="0" t="n">
        <f aca="false">(SUMPRODUCT(--ISNUMBER($G$2:$G$800),--($G$2:$G$800&lt;G4))+(SUMPRODUCT(--ISNUMBER($G$2:$G$800),--($G$2:$G$800=G4))+1)/2)/COUNT($G$2:$G$800)</f>
        <v>0.0300375469336671</v>
      </c>
      <c r="J4" s="0" t="n">
        <v>8.55778278855833</v>
      </c>
      <c r="K4" s="0" t="n">
        <v>3.71888726207908</v>
      </c>
      <c r="L4" s="0" t="n">
        <v>0.380673499267939</v>
      </c>
      <c r="M4" s="0" t="n">
        <f aca="false">IF(OR(B4="NW",COUNT(Risk_Rank_Keys!B4)=0),0.5,(SUMPRODUCT(--ISNUMBER(Risk_Rank_Keys!$B$2:$B$800),--(Risk_Rank_Keys!$B$2:$B$800&lt;Risk_Rank_Keys!B4))+(SUMPRODUCT(--ISNUMBER(Risk_Rank_Keys!$B$2:$B$800),--(Risk_Rank_Keys!$B$2:$B$800=Risk_Rank_Keys!B4))+1)/2)/COUNT(Risk_Rank_Keys!$B$2:$B$800))</f>
        <v>0.423988842398884</v>
      </c>
      <c r="N4" s="0" t="n">
        <f aca="false">IF(OR(B4="NW",COUNT(Risk_Rank_Keys!C4)=0),0.5,(SUMPRODUCT(--ISNUMBER(Risk_Rank_Keys!$C$2:$C$800),--(Risk_Rank_Keys!$C$2:$C$800&lt;Risk_Rank_Keys!C4))+(SUMPRODUCT(--ISNUMBER(Risk_Rank_Keys!$C$2:$C$800),--(Risk_Rank_Keys!$C$2:$C$800=Risk_Rank_Keys!C4))+1)/2)/COUNT(Risk_Rank_Keys!$C$2:$C$800))</f>
        <v>0.562064156206416</v>
      </c>
      <c r="O4" s="0" t="n">
        <f aca="false">IF(OR(B4="NW",COUNT(Risk_Rank_Keys!D4)=0),0.5,(SUMPRODUCT(--ISNUMBER(Risk_Rank_Keys!$D$2:$D$800),--(Risk_Rank_Keys!$D$2:$D$800&lt;Risk_Rank_Keys!D4))+(SUMPRODUCT(--ISNUMBER(Risk_Rank_Keys!$D$2:$D$800),--(Risk_Rank_Keys!$D$2:$D$800=Risk_Rank_Keys!D4))+1)/2)/COUNT(Risk_Rank_Keys!$D$2:$D$800))</f>
        <v>0.866108786610879</v>
      </c>
      <c r="P4" s="0" t="n">
        <f aca="false">AVERAGE(M4:O4)</f>
        <v>0.617387261738726</v>
      </c>
      <c r="Q4" s="0" t="n">
        <f aca="false">0.4*H4+0.4*I4+0.2*P4</f>
        <v>0.172538779006068</v>
      </c>
      <c r="R4" s="0" t="n">
        <f aca="false">PERCENTILE($Q$2:$Q$800,0.75)</f>
        <v>0.667715717403612</v>
      </c>
      <c r="S4" s="1" t="b">
        <f aca="false">OR(Q4&gt;=R4,AND(B4="CW",COUNT(J4:L4)&lt;3))</f>
        <v>0</v>
      </c>
      <c r="T4" s="0" t="n">
        <v>0.192572431100253</v>
      </c>
      <c r="U4" s="0" t="n">
        <v>3.22102558698666</v>
      </c>
      <c r="V4" s="0" t="n">
        <v>0.172538779006068</v>
      </c>
      <c r="W4" s="0" t="n">
        <f aca="false">Q4-V4</f>
        <v>0</v>
      </c>
    </row>
    <row r="5" customFormat="false" ht="15" hidden="false" customHeight="false" outlineLevel="0" collapsed="false">
      <c r="A5" s="0" t="s">
        <v>39</v>
      </c>
      <c r="B5" s="0" t="s">
        <v>3013</v>
      </c>
      <c r="C5" s="0" t="n">
        <v>-45.306746674886</v>
      </c>
      <c r="D5" s="0" t="n">
        <f aca="false">SUMPRODUCT(Risk_Inputs!B5:AJ5,Risk_Coefs!$B$2:$AJ$2)</f>
        <v>-0.716829568251008</v>
      </c>
      <c r="E5" s="0" t="n">
        <f aca="false">1/(1+EXP(-MAX(-25,MIN(25,D5))))</f>
        <v>0.328091515297164</v>
      </c>
      <c r="F5" s="0" t="n">
        <f aca="false">SUMPRODUCT(Risk_Inputs!B5:AJ5,Risk_Coefs!$B$3:$AJ$3)</f>
        <v>10.8117678778806</v>
      </c>
      <c r="G5" s="0" t="n">
        <f aca="false">MAX(0,F5)</f>
        <v>10.8117678778806</v>
      </c>
      <c r="H5" s="0" t="n">
        <f aca="false">(SUMPRODUCT(--ISNUMBER($E$2:$E$800),--($E$2:$E$800&lt;E5))+(SUMPRODUCT(--ISNUMBER($E$2:$E$800),--($E$2:$E$800=E5))+1)/2)/COUNT($E$2:$E$800)</f>
        <v>0.72090112640801</v>
      </c>
      <c r="I5" s="0" t="n">
        <f aca="false">(SUMPRODUCT(--ISNUMBER($G$2:$G$800),--($G$2:$G$800&lt;G5))+(SUMPRODUCT(--ISNUMBER($G$2:$G$800),--($G$2:$G$800=G5))+1)/2)/COUNT($G$2:$G$800)</f>
        <v>0.862327909887359</v>
      </c>
      <c r="J5" s="0" t="n">
        <v>9.39750385403274</v>
      </c>
      <c r="K5" s="0" t="n">
        <v>1.64912280701756</v>
      </c>
      <c r="L5" s="0" t="n">
        <v>0.315789473684213</v>
      </c>
      <c r="M5" s="0" t="n">
        <f aca="false">IF(OR(B5="NW",COUNT(Risk_Rank_Keys!B5)=0),0.5,(SUMPRODUCT(--ISNUMBER(Risk_Rank_Keys!$B$2:$B$800),--(Risk_Rank_Keys!$B$2:$B$800&lt;Risk_Rank_Keys!B5))+(SUMPRODUCT(--ISNUMBER(Risk_Rank_Keys!$B$2:$B$800),--(Risk_Rank_Keys!$B$2:$B$800=Risk_Rank_Keys!B5))+1)/2)/COUNT(Risk_Rank_Keys!$B$2:$B$800))</f>
        <v>0.468619246861925</v>
      </c>
      <c r="N5" s="0" t="n">
        <f aca="false">IF(OR(B5="NW",COUNT(Risk_Rank_Keys!C5)=0),0.5,(SUMPRODUCT(--ISNUMBER(Risk_Rank_Keys!$C$2:$C$800),--(Risk_Rank_Keys!$C$2:$C$800&lt;Risk_Rank_Keys!C5))+(SUMPRODUCT(--ISNUMBER(Risk_Rank_Keys!$C$2:$C$800),--(Risk_Rank_Keys!$C$2:$C$800=Risk_Rank_Keys!C5))+1)/2)/COUNT(Risk_Rank_Keys!$C$2:$C$800))</f>
        <v>0.174337517433752</v>
      </c>
      <c r="O5" s="0" t="n">
        <f aca="false">IF(OR(B5="NW",COUNT(Risk_Rank_Keys!D5)=0),0.5,(SUMPRODUCT(--ISNUMBER(Risk_Rank_Keys!$D$2:$D$800),--(Risk_Rank_Keys!$D$2:$D$800&lt;Risk_Rank_Keys!D5))+(SUMPRODUCT(--ISNUMBER(Risk_Rank_Keys!$D$2:$D$800),--(Risk_Rank_Keys!$D$2:$D$800=Risk_Rank_Keys!D5))+1)/2)/COUNT(Risk_Rank_Keys!$D$2:$D$800))</f>
        <v>0.767085076708508</v>
      </c>
      <c r="P5" s="0" t="n">
        <f aca="false">AVERAGE(M5:O5)</f>
        <v>0.470013947001395</v>
      </c>
      <c r="Q5" s="0" t="n">
        <f aca="false">0.4*H5+0.4*I5+0.2*P5</f>
        <v>0.727294403918427</v>
      </c>
      <c r="R5" s="0" t="n">
        <f aca="false">PERCENTILE($Q$2:$Q$800,0.75)</f>
        <v>0.667715717403612</v>
      </c>
      <c r="S5" s="1" t="b">
        <f aca="false">OR(Q5&gt;=R5,AND(B5="CW",COUNT(J5:L5)&lt;3))</f>
        <v>1</v>
      </c>
      <c r="T5" s="0" t="n">
        <v>0.328091515297164</v>
      </c>
      <c r="U5" s="0" t="n">
        <v>10.8117678778806</v>
      </c>
      <c r="V5" s="0" t="n">
        <v>0.727294403918427</v>
      </c>
      <c r="W5" s="0" t="n">
        <f aca="false">Q5-V5</f>
        <v>0</v>
      </c>
    </row>
    <row r="6" customFormat="false" ht="15" hidden="false" customHeight="false" outlineLevel="0" collapsed="false">
      <c r="A6" s="0" t="s">
        <v>40</v>
      </c>
      <c r="B6" s="0" t="s">
        <v>3013</v>
      </c>
      <c r="C6" s="0" t="n">
        <v>40.4294449509149</v>
      </c>
      <c r="D6" s="0" t="n">
        <f aca="false">SUMPRODUCT(Risk_Inputs!B6:AJ6,Risk_Coefs!$B$2:$AJ$2)</f>
        <v>-0.818929126818936</v>
      </c>
      <c r="E6" s="0" t="n">
        <f aca="false">1/(1+EXP(-MAX(-25,MIN(25,D6))))</f>
        <v>0.305991023815882</v>
      </c>
      <c r="F6" s="0" t="n">
        <f aca="false">SUMPRODUCT(Risk_Inputs!B6:AJ6,Risk_Coefs!$B$3:$AJ$3)</f>
        <v>8.80150524921145</v>
      </c>
      <c r="G6" s="0" t="n">
        <f aca="false">MAX(0,F6)</f>
        <v>8.80150524921145</v>
      </c>
      <c r="H6" s="0" t="n">
        <f aca="false">(SUMPRODUCT(--ISNUMBER($E$2:$E$800),--($E$2:$E$800&lt;E6))+(SUMPRODUCT(--ISNUMBER($E$2:$E$800),--($E$2:$E$800=E6))+1)/2)/COUNT($E$2:$E$800)</f>
        <v>0.598247809762203</v>
      </c>
      <c r="I6" s="0" t="n">
        <f aca="false">(SUMPRODUCT(--ISNUMBER($G$2:$G$800),--($G$2:$G$800&lt;G6))+(SUMPRODUCT(--ISNUMBER($G$2:$G$800),--($G$2:$G$800=G6))+1)/2)/COUNT($G$2:$G$800)</f>
        <v>0.65206508135169</v>
      </c>
      <c r="J6" s="0" t="n">
        <v>5.80062717084205</v>
      </c>
      <c r="K6" s="0" t="n">
        <v>2.85006195786865</v>
      </c>
      <c r="L6" s="0" t="n">
        <v>0.309789343246588</v>
      </c>
      <c r="M6" s="0" t="n">
        <f aca="false">IF(OR(B6="NW",COUNT(Risk_Rank_Keys!B6)=0),0.5,(SUMPRODUCT(--ISNUMBER(Risk_Rank_Keys!$B$2:$B$800),--(Risk_Rank_Keys!$B$2:$B$800&lt;Risk_Rank_Keys!B6))+(SUMPRODUCT(--ISNUMBER(Risk_Rank_Keys!$B$2:$B$800),--(Risk_Rank_Keys!$B$2:$B$800=Risk_Rank_Keys!B6))+1)/2)/COUNT(Risk_Rank_Keys!$B$2:$B$800))</f>
        <v>0.209205020920502</v>
      </c>
      <c r="N6" s="0" t="n">
        <f aca="false">IF(OR(B6="NW",COUNT(Risk_Rank_Keys!C6)=0),0.5,(SUMPRODUCT(--ISNUMBER(Risk_Rank_Keys!$C$2:$C$800),--(Risk_Rank_Keys!$C$2:$C$800&lt;Risk_Rank_Keys!C6))+(SUMPRODUCT(--ISNUMBER(Risk_Rank_Keys!$C$2:$C$800),--(Risk_Rank_Keys!$C$2:$C$800=Risk_Rank_Keys!C6))+1)/2)/COUNT(Risk_Rank_Keys!$C$2:$C$800))</f>
        <v>0.449093444909345</v>
      </c>
      <c r="O6" s="0" t="n">
        <f aca="false">IF(OR(B6="NW",COUNT(Risk_Rank_Keys!D6)=0),0.5,(SUMPRODUCT(--ISNUMBER(Risk_Rank_Keys!$D$2:$D$800),--(Risk_Rank_Keys!$D$2:$D$800&lt;Risk_Rank_Keys!D6))+(SUMPRODUCT(--ISNUMBER(Risk_Rank_Keys!$D$2:$D$800),--(Risk_Rank_Keys!$D$2:$D$800=Risk_Rank_Keys!D6))+1)/2)/COUNT(Risk_Rank_Keys!$D$2:$D$800))</f>
        <v>0.757322175732218</v>
      </c>
      <c r="P6" s="0" t="n">
        <f aca="false">AVERAGE(M6:O6)</f>
        <v>0.471873547187355</v>
      </c>
      <c r="Q6" s="0" t="n">
        <f aca="false">0.4*H6+0.4*I6+0.2*P6</f>
        <v>0.594499865883028</v>
      </c>
      <c r="R6" s="0" t="n">
        <f aca="false">PERCENTILE($Q$2:$Q$800,0.75)</f>
        <v>0.667715717403612</v>
      </c>
      <c r="S6" s="1" t="b">
        <f aca="false">OR(Q6&gt;=R6,AND(B6="CW",COUNT(J6:L6)&lt;3))</f>
        <v>0</v>
      </c>
      <c r="T6" s="0" t="n">
        <v>0.305991023815882</v>
      </c>
      <c r="U6" s="0" t="n">
        <v>8.80150524921145</v>
      </c>
      <c r="V6" s="0" t="n">
        <v>0.594499865883028</v>
      </c>
      <c r="W6" s="0" t="n">
        <f aca="false">Q6-V6</f>
        <v>0</v>
      </c>
    </row>
    <row r="7" customFormat="false" ht="15" hidden="false" customHeight="false" outlineLevel="0" collapsed="false">
      <c r="A7" s="0" t="s">
        <v>41</v>
      </c>
      <c r="B7" s="0" t="s">
        <v>3013</v>
      </c>
      <c r="C7" s="0" t="n">
        <v>-37.9218115368195</v>
      </c>
      <c r="D7" s="0" t="n">
        <f aca="false">SUMPRODUCT(Risk_Inputs!B7:AJ7,Risk_Coefs!$B$2:$AJ$2)</f>
        <v>-0.588117803617277</v>
      </c>
      <c r="E7" s="0" t="n">
        <f aca="false">1/(1+EXP(-MAX(-25,MIN(25,D7))))</f>
        <v>0.35706683399404</v>
      </c>
      <c r="F7" s="0" t="n">
        <f aca="false">SUMPRODUCT(Risk_Inputs!B7:AJ7,Risk_Coefs!$B$3:$AJ$3)</f>
        <v>10.2779805789009</v>
      </c>
      <c r="G7" s="0" t="n">
        <f aca="false">MAX(0,F7)</f>
        <v>10.2779805789009</v>
      </c>
      <c r="H7" s="0" t="n">
        <f aca="false">(SUMPRODUCT(--ISNUMBER($E$2:$E$800),--($E$2:$E$800&lt;E7))+(SUMPRODUCT(--ISNUMBER($E$2:$E$800),--($E$2:$E$800=E7))+1)/2)/COUNT($E$2:$E$800)</f>
        <v>0.833541927409262</v>
      </c>
      <c r="I7" s="0" t="n">
        <f aca="false">(SUMPRODUCT(--ISNUMBER($G$2:$G$800),--($G$2:$G$800&lt;G7))+(SUMPRODUCT(--ISNUMBER($G$2:$G$800),--($G$2:$G$800=G7))+1)/2)/COUNT($G$2:$G$800)</f>
        <v>0.819774718397998</v>
      </c>
      <c r="J7" s="0" t="n">
        <v>10.3829178429915</v>
      </c>
      <c r="K7" s="0" t="n">
        <v>2.88620771232552</v>
      </c>
      <c r="L7" s="0" t="n">
        <v>0.260231842914602</v>
      </c>
      <c r="M7" s="0" t="n">
        <f aca="false">IF(OR(B7="NW",COUNT(Risk_Rank_Keys!B7)=0),0.5,(SUMPRODUCT(--ISNUMBER(Risk_Rank_Keys!$B$2:$B$800),--(Risk_Rank_Keys!$B$2:$B$800&lt;Risk_Rank_Keys!B7))+(SUMPRODUCT(--ISNUMBER(Risk_Rank_Keys!$B$2:$B$800),--(Risk_Rank_Keys!$B$2:$B$800=Risk_Rank_Keys!B7))+1)/2)/COUNT(Risk_Rank_Keys!$B$2:$B$800))</f>
        <v>0.525801952580195</v>
      </c>
      <c r="N7" s="0" t="n">
        <f aca="false">IF(OR(B7="NW",COUNT(Risk_Rank_Keys!C7)=0),0.5,(SUMPRODUCT(--ISNUMBER(Risk_Rank_Keys!$C$2:$C$800),--(Risk_Rank_Keys!$C$2:$C$800&lt;Risk_Rank_Keys!C7))+(SUMPRODUCT(--ISNUMBER(Risk_Rank_Keys!$C$2:$C$800),--(Risk_Rank_Keys!$C$2:$C$800=Risk_Rank_Keys!C7))+1)/2)/COUNT(Risk_Rank_Keys!$C$2:$C$800))</f>
        <v>0.456066945606695</v>
      </c>
      <c r="O7" s="0" t="n">
        <f aca="false">IF(OR(B7="NW",COUNT(Risk_Rank_Keys!D7)=0),0.5,(SUMPRODUCT(--ISNUMBER(Risk_Rank_Keys!$D$2:$D$800),--(Risk_Rank_Keys!$D$2:$D$800&lt;Risk_Rank_Keys!D7))+(SUMPRODUCT(--ISNUMBER(Risk_Rank_Keys!$D$2:$D$800),--(Risk_Rank_Keys!$D$2:$D$800=Risk_Rank_Keys!D7))+1)/2)/COUNT(Risk_Rank_Keys!$D$2:$D$800))</f>
        <v>0.634588563458856</v>
      </c>
      <c r="P7" s="0" t="n">
        <f aca="false">AVERAGE(M7:O7)</f>
        <v>0.538819153881915</v>
      </c>
      <c r="Q7" s="0" t="n">
        <f aca="false">0.4*H7+0.4*I7+0.2*P7</f>
        <v>0.769090489099287</v>
      </c>
      <c r="R7" s="0" t="n">
        <f aca="false">PERCENTILE($Q$2:$Q$800,0.75)</f>
        <v>0.667715717403612</v>
      </c>
      <c r="S7" s="1" t="b">
        <f aca="false">OR(Q7&gt;=R7,AND(B7="CW",COUNT(J7:L7)&lt;3))</f>
        <v>1</v>
      </c>
      <c r="T7" s="0" t="n">
        <v>0.35706683399404</v>
      </c>
      <c r="U7" s="0" t="n">
        <v>10.277980578901</v>
      </c>
      <c r="V7" s="0" t="n">
        <v>0.769090489099287</v>
      </c>
      <c r="W7" s="0" t="n">
        <f aca="false">Q7-V7</f>
        <v>0</v>
      </c>
    </row>
    <row r="8" customFormat="false" ht="15" hidden="false" customHeight="false" outlineLevel="0" collapsed="false">
      <c r="A8" s="0" t="s">
        <v>42</v>
      </c>
      <c r="B8" s="0" t="s">
        <v>3013</v>
      </c>
      <c r="C8" s="0" t="n">
        <v>18.4454308454905</v>
      </c>
      <c r="D8" s="0" t="n">
        <f aca="false">SUMPRODUCT(Risk_Inputs!B8:AJ8,Risk_Coefs!$B$2:$AJ$2)</f>
        <v>-0.903538744855423</v>
      </c>
      <c r="E8" s="0" t="n">
        <f aca="false">1/(1+EXP(-MAX(-25,MIN(25,D8))))</f>
        <v>0.288323827434467</v>
      </c>
      <c r="F8" s="0" t="n">
        <f aca="false">SUMPRODUCT(Risk_Inputs!B8:AJ8,Risk_Coefs!$B$3:$AJ$3)</f>
        <v>7.10822220780192</v>
      </c>
      <c r="G8" s="0" t="n">
        <f aca="false">MAX(0,F8)</f>
        <v>7.10822220780192</v>
      </c>
      <c r="H8" s="0" t="n">
        <f aca="false">(SUMPRODUCT(--ISNUMBER($E$2:$E$800),--($E$2:$E$800&lt;E8))+(SUMPRODUCT(--ISNUMBER($E$2:$E$800),--($E$2:$E$800=E8))+1)/2)/COUNT($E$2:$E$800)</f>
        <v>0.51188986232791</v>
      </c>
      <c r="I8" s="0" t="n">
        <f aca="false">(SUMPRODUCT(--ISNUMBER($G$2:$G$800),--($G$2:$G$800&lt;G8))+(SUMPRODUCT(--ISNUMBER($G$2:$G$800),--($G$2:$G$800=G8))+1)/2)/COUNT($G$2:$G$800)</f>
        <v>0.429286608260325</v>
      </c>
      <c r="J8" s="0" t="n">
        <v>6.12592408007335</v>
      </c>
      <c r="K8" s="0" t="n">
        <v>1.74661105318039</v>
      </c>
      <c r="L8" s="0" t="n">
        <v>0.31282586027112</v>
      </c>
      <c r="M8" s="0" t="n">
        <f aca="false">IF(OR(B8="NW",COUNT(Risk_Rank_Keys!B8)=0),0.5,(SUMPRODUCT(--ISNUMBER(Risk_Rank_Keys!$B$2:$B$800),--(Risk_Rank_Keys!$B$2:$B$800&lt;Risk_Rank_Keys!B8))+(SUMPRODUCT(--ISNUMBER(Risk_Rank_Keys!$B$2:$B$800),--(Risk_Rank_Keys!$B$2:$B$800=Risk_Rank_Keys!B8))+1)/2)/COUNT(Risk_Rank_Keys!$B$2:$B$800))</f>
        <v>0.232914923291492</v>
      </c>
      <c r="N8" s="0" t="n">
        <f aca="false">IF(OR(B8="NW",COUNT(Risk_Rank_Keys!C8)=0),0.5,(SUMPRODUCT(--ISNUMBER(Risk_Rank_Keys!$C$2:$C$800),--(Risk_Rank_Keys!$C$2:$C$800&lt;Risk_Rank_Keys!C8))+(SUMPRODUCT(--ISNUMBER(Risk_Rank_Keys!$C$2:$C$800),--(Risk_Rank_Keys!$C$2:$C$800=Risk_Rank_Keys!C8))+1)/2)/COUNT(Risk_Rank_Keys!$C$2:$C$800))</f>
        <v>0.200836820083682</v>
      </c>
      <c r="O8" s="0" t="n">
        <f aca="false">IF(OR(B8="NW",COUNT(Risk_Rank_Keys!D8)=0),0.5,(SUMPRODUCT(--ISNUMBER(Risk_Rank_Keys!$D$2:$D$800),--(Risk_Rank_Keys!$D$2:$D$800&lt;Risk_Rank_Keys!D8))+(SUMPRODUCT(--ISNUMBER(Risk_Rank_Keys!$D$2:$D$800),--(Risk_Rank_Keys!$D$2:$D$800=Risk_Rank_Keys!D8))+1)/2)/COUNT(Risk_Rank_Keys!$D$2:$D$800))</f>
        <v>0.758716875871688</v>
      </c>
      <c r="P8" s="0" t="n">
        <f aca="false">AVERAGE(M8:O8)</f>
        <v>0.397489539748954</v>
      </c>
      <c r="Q8" s="0" t="n">
        <f aca="false">0.4*H8+0.4*I8+0.2*P8</f>
        <v>0.455968496185085</v>
      </c>
      <c r="R8" s="0" t="n">
        <f aca="false">PERCENTILE($Q$2:$Q$800,0.75)</f>
        <v>0.667715717403612</v>
      </c>
      <c r="S8" s="1" t="b">
        <f aca="false">OR(Q8&gt;=R8,AND(B8="CW",COUNT(J8:L8)&lt;3))</f>
        <v>0</v>
      </c>
      <c r="T8" s="0" t="n">
        <v>0.288323827434467</v>
      </c>
      <c r="U8" s="0" t="n">
        <v>7.10822220780192</v>
      </c>
      <c r="V8" s="0" t="n">
        <v>0.455968496185085</v>
      </c>
      <c r="W8" s="0" t="n">
        <f aca="false">Q8-V8</f>
        <v>0</v>
      </c>
    </row>
    <row r="9" customFormat="false" ht="15" hidden="false" customHeight="false" outlineLevel="0" collapsed="false">
      <c r="A9" s="0" t="s">
        <v>43</v>
      </c>
      <c r="B9" s="0" t="s">
        <v>3013</v>
      </c>
      <c r="C9" s="0" t="n">
        <v>21.2971820799708</v>
      </c>
      <c r="D9" s="0" t="n">
        <f aca="false">SUMPRODUCT(Risk_Inputs!B9:AJ9,Risk_Coefs!$B$2:$AJ$2)</f>
        <v>-0.720106480668369</v>
      </c>
      <c r="E9" s="0" t="n">
        <f aca="false">1/(1+EXP(-MAX(-25,MIN(25,D9))))</f>
        <v>0.327369535594084</v>
      </c>
      <c r="F9" s="0" t="n">
        <f aca="false">SUMPRODUCT(Risk_Inputs!B9:AJ9,Risk_Coefs!$B$3:$AJ$3)</f>
        <v>9.45836891262595</v>
      </c>
      <c r="G9" s="0" t="n">
        <f aca="false">MAX(0,F9)</f>
        <v>9.45836891262595</v>
      </c>
      <c r="H9" s="0" t="n">
        <f aca="false">(SUMPRODUCT(--ISNUMBER($E$2:$E$800),--($E$2:$E$800&lt;E9))+(SUMPRODUCT(--ISNUMBER($E$2:$E$800),--($E$2:$E$800=E9))+1)/2)/COUNT($E$2:$E$800)</f>
        <v>0.717146433041302</v>
      </c>
      <c r="I9" s="0" t="n">
        <f aca="false">(SUMPRODUCT(--ISNUMBER($G$2:$G$800),--($G$2:$G$800&lt;G9))+(SUMPRODUCT(--ISNUMBER($G$2:$G$800),--($G$2:$G$800=G9))+1)/2)/COUNT($G$2:$G$800)</f>
        <v>0.723404255319149</v>
      </c>
      <c r="J9" s="0" t="n">
        <v>4.0768782760634</v>
      </c>
      <c r="K9" s="0" t="n">
        <v>2.71914132379247</v>
      </c>
      <c r="L9" s="0" t="n">
        <v>0.322003577817533</v>
      </c>
      <c r="M9" s="0" t="n">
        <f aca="false">IF(OR(B9="NW",COUNT(Risk_Rank_Keys!B9)=0),0.5,(SUMPRODUCT(--ISNUMBER(Risk_Rank_Keys!$B$2:$B$800),--(Risk_Rank_Keys!$B$2:$B$800&lt;Risk_Rank_Keys!B9))+(SUMPRODUCT(--ISNUMBER(Risk_Rank_Keys!$B$2:$B$800),--(Risk_Rank_Keys!$B$2:$B$800=Risk_Rank_Keys!B9))+1)/2)/COUNT(Risk_Rank_Keys!$B$2:$B$800))</f>
        <v>0.0753138075313808</v>
      </c>
      <c r="N9" s="0" t="n">
        <f aca="false">IF(OR(B9="NW",COUNT(Risk_Rank_Keys!C9)=0),0.5,(SUMPRODUCT(--ISNUMBER(Risk_Rank_Keys!$C$2:$C$800),--(Risk_Rank_Keys!$C$2:$C$800&lt;Risk_Rank_Keys!C9))+(SUMPRODUCT(--ISNUMBER(Risk_Rank_Keys!$C$2:$C$800),--(Risk_Rank_Keys!$C$2:$C$800=Risk_Rank_Keys!C9))+1)/2)/COUNT(Risk_Rank_Keys!$C$2:$C$800))</f>
        <v>0.426778242677824</v>
      </c>
      <c r="O9" s="0" t="n">
        <f aca="false">IF(OR(B9="NW",COUNT(Risk_Rank_Keys!D9)=0),0.5,(SUMPRODUCT(--ISNUMBER(Risk_Rank_Keys!$D$2:$D$800),--(Risk_Rank_Keys!$D$2:$D$800&lt;Risk_Rank_Keys!D9))+(SUMPRODUCT(--ISNUMBER(Risk_Rank_Keys!$D$2:$D$800),--(Risk_Rank_Keys!$D$2:$D$800=Risk_Rank_Keys!D9))+1)/2)/COUNT(Risk_Rank_Keys!$D$2:$D$800))</f>
        <v>0.782426778242678</v>
      </c>
      <c r="P9" s="0" t="n">
        <f aca="false">AVERAGE(M9:O9)</f>
        <v>0.428172942817294</v>
      </c>
      <c r="Q9" s="0" t="n">
        <f aca="false">0.4*H9+0.4*I9+0.2*P9</f>
        <v>0.661854863907639</v>
      </c>
      <c r="R9" s="0" t="n">
        <f aca="false">PERCENTILE($Q$2:$Q$800,0.75)</f>
        <v>0.667715717403612</v>
      </c>
      <c r="S9" s="1" t="b">
        <f aca="false">OR(Q9&gt;=R9,AND(B9="CW",COUNT(J9:L9)&lt;3))</f>
        <v>0</v>
      </c>
      <c r="T9" s="0" t="n">
        <v>0.327369535594084</v>
      </c>
      <c r="U9" s="0" t="n">
        <v>9.45836891262595</v>
      </c>
      <c r="V9" s="0" t="n">
        <v>0.661854863907639</v>
      </c>
      <c r="W9" s="0" t="n">
        <f aca="false">Q9-V9</f>
        <v>0</v>
      </c>
    </row>
    <row r="10" customFormat="false" ht="15" hidden="false" customHeight="false" outlineLevel="0" collapsed="false">
      <c r="A10" s="0" t="s">
        <v>44</v>
      </c>
      <c r="B10" s="0" t="s">
        <v>3013</v>
      </c>
      <c r="C10" s="0" t="n">
        <v>25.7378285429829</v>
      </c>
      <c r="D10" s="0" t="n">
        <f aca="false">SUMPRODUCT(Risk_Inputs!B10:AJ10,Risk_Coefs!$B$2:$AJ$2)</f>
        <v>-0.969065448919665</v>
      </c>
      <c r="E10" s="0" t="n">
        <f aca="false">1/(1+EXP(-MAX(-25,MIN(25,D10))))</f>
        <v>0.275066817248373</v>
      </c>
      <c r="F10" s="0" t="n">
        <f aca="false">SUMPRODUCT(Risk_Inputs!B10:AJ10,Risk_Coefs!$B$3:$AJ$3)</f>
        <v>7.41531551241862</v>
      </c>
      <c r="G10" s="0" t="n">
        <f aca="false">MAX(0,F10)</f>
        <v>7.41531551241862</v>
      </c>
      <c r="H10" s="0" t="n">
        <f aca="false">(SUMPRODUCT(--ISNUMBER($E$2:$E$800),--($E$2:$E$800&lt;E10))+(SUMPRODUCT(--ISNUMBER($E$2:$E$800),--($E$2:$E$800=E10))+1)/2)/COUNT($E$2:$E$800)</f>
        <v>0.424280350438048</v>
      </c>
      <c r="I10" s="0" t="n">
        <f aca="false">(SUMPRODUCT(--ISNUMBER($G$2:$G$800),--($G$2:$G$800&lt;G10))+(SUMPRODUCT(--ISNUMBER($G$2:$G$800),--($G$2:$G$800=G10))+1)/2)/COUNT($G$2:$G$800)</f>
        <v>0.460575719649562</v>
      </c>
      <c r="J10" s="0" t="n">
        <v>6.4240637871748</v>
      </c>
      <c r="K10" s="0" t="n">
        <v>3.3197437390798</v>
      </c>
      <c r="L10" s="0" t="n">
        <v>0.465928945835758</v>
      </c>
      <c r="M10" s="0" t="n">
        <f aca="false">IF(OR(B10="NW",COUNT(Risk_Rank_Keys!B10)=0),0.5,(SUMPRODUCT(--ISNUMBER(Risk_Rank_Keys!$B$2:$B$800),--(Risk_Rank_Keys!$B$2:$B$800&lt;Risk_Rank_Keys!B10))+(SUMPRODUCT(--ISNUMBER(Risk_Rank_Keys!$B$2:$B$800),--(Risk_Rank_Keys!$B$2:$B$800=Risk_Rank_Keys!B10))+1)/2)/COUNT(Risk_Rank_Keys!$B$2:$B$800))</f>
        <v>0.269177126917713</v>
      </c>
      <c r="N10" s="0" t="n">
        <f aca="false">IF(OR(B10="NW",COUNT(Risk_Rank_Keys!C10)=0),0.5,(SUMPRODUCT(--ISNUMBER(Risk_Rank_Keys!$C$2:$C$800),--(Risk_Rank_Keys!$C$2:$C$800&lt;Risk_Rank_Keys!C10))+(SUMPRODUCT(--ISNUMBER(Risk_Rank_Keys!$C$2:$C$800),--(Risk_Rank_Keys!$C$2:$C$800=Risk_Rank_Keys!C10))+1)/2)/COUNT(Risk_Rank_Keys!$C$2:$C$800))</f>
        <v>0.510460251046025</v>
      </c>
      <c r="O10" s="0" t="n">
        <f aca="false">IF(OR(B10="NW",COUNT(Risk_Rank_Keys!D10)=0),0.5,(SUMPRODUCT(--ISNUMBER(Risk_Rank_Keys!$D$2:$D$800),--(Risk_Rank_Keys!$D$2:$D$800&lt;Risk_Rank_Keys!D10))+(SUMPRODUCT(--ISNUMBER(Risk_Rank_Keys!$D$2:$D$800),--(Risk_Rank_Keys!$D$2:$D$800=Risk_Rank_Keys!D10))+1)/2)/COUNT(Risk_Rank_Keys!$D$2:$D$800))</f>
        <v>0.934449093444909</v>
      </c>
      <c r="P10" s="0" t="n">
        <f aca="false">AVERAGE(M10:O10)</f>
        <v>0.571362157136216</v>
      </c>
      <c r="Q10" s="0" t="n">
        <f aca="false">0.4*H10+0.4*I10+0.2*P10</f>
        <v>0.468214859462287</v>
      </c>
      <c r="R10" s="0" t="n">
        <f aca="false">PERCENTILE($Q$2:$Q$800,0.75)</f>
        <v>0.667715717403612</v>
      </c>
      <c r="S10" s="1" t="b">
        <f aca="false">OR(Q10&gt;=R10,AND(B10="CW",COUNT(J10:L10)&lt;3))</f>
        <v>0</v>
      </c>
      <c r="T10" s="0" t="n">
        <v>0.275066817248373</v>
      </c>
      <c r="U10" s="0" t="n">
        <v>7.41531551241862</v>
      </c>
      <c r="V10" s="0" t="n">
        <v>0.468214859462287</v>
      </c>
      <c r="W10" s="0" t="n">
        <f aca="false">Q10-V10</f>
        <v>0</v>
      </c>
    </row>
    <row r="11" customFormat="false" ht="15" hidden="false" customHeight="false" outlineLevel="0" collapsed="false">
      <c r="A11" s="0" t="s">
        <v>45</v>
      </c>
      <c r="B11" s="0" t="s">
        <v>3013</v>
      </c>
      <c r="C11" s="0" t="n">
        <v>-45.1338939682278</v>
      </c>
      <c r="D11" s="0" t="n">
        <f aca="false">SUMPRODUCT(Risk_Inputs!B11:AJ11,Risk_Coefs!$B$2:$AJ$2)</f>
        <v>-1.06235247080581</v>
      </c>
      <c r="E11" s="0" t="n">
        <f aca="false">1/(1+EXP(-MAX(-25,MIN(25,D11))))</f>
        <v>0.256860151194598</v>
      </c>
      <c r="F11" s="0" t="n">
        <f aca="false">SUMPRODUCT(Risk_Inputs!B11:AJ11,Risk_Coefs!$B$3:$AJ$3)</f>
        <v>8.20133155551994</v>
      </c>
      <c r="G11" s="0" t="n">
        <f aca="false">MAX(0,F11)</f>
        <v>8.20133155551994</v>
      </c>
      <c r="H11" s="0" t="n">
        <f aca="false">(SUMPRODUCT(--ISNUMBER($E$2:$E$800),--($E$2:$E$800&lt;E11))+(SUMPRODUCT(--ISNUMBER($E$2:$E$800),--($E$2:$E$800=E11))+1)/2)/COUNT($E$2:$E$800)</f>
        <v>0.309136420525657</v>
      </c>
      <c r="I11" s="0" t="n">
        <f aca="false">(SUMPRODUCT(--ISNUMBER($G$2:$G$800),--($G$2:$G$800&lt;G11))+(SUMPRODUCT(--ISNUMBER($G$2:$G$800),--($G$2:$G$800=G11))+1)/2)/COUNT($G$2:$G$800)</f>
        <v>0.563204005006258</v>
      </c>
      <c r="J11" s="0" t="n">
        <v>14.8950668223515</v>
      </c>
      <c r="K11" s="0" t="n">
        <v>1.78806700545831</v>
      </c>
      <c r="L11" s="0" t="n">
        <v>0.338791643139471</v>
      </c>
      <c r="M11" s="0" t="n">
        <f aca="false">IF(OR(B11="NW",COUNT(Risk_Rank_Keys!B11)=0),0.5,(SUMPRODUCT(--ISNUMBER(Risk_Rank_Keys!$B$2:$B$800),--(Risk_Rank_Keys!$B$2:$B$800&lt;Risk_Rank_Keys!B11))+(SUMPRODUCT(--ISNUMBER(Risk_Rank_Keys!$B$2:$B$800),--(Risk_Rank_Keys!$B$2:$B$800=Risk_Rank_Keys!B11))+1)/2)/COUNT(Risk_Rank_Keys!$B$2:$B$800))</f>
        <v>0.704323570432357</v>
      </c>
      <c r="N11" s="0" t="n">
        <f aca="false">IF(OR(B11="NW",COUNT(Risk_Rank_Keys!C11)=0),0.5,(SUMPRODUCT(--ISNUMBER(Risk_Rank_Keys!$C$2:$C$800),--(Risk_Rank_Keys!$C$2:$C$800&lt;Risk_Rank_Keys!C11))+(SUMPRODUCT(--ISNUMBER(Risk_Rank_Keys!$C$2:$C$800),--(Risk_Rank_Keys!$C$2:$C$800=Risk_Rank_Keys!C11))+1)/2)/COUNT(Risk_Rank_Keys!$C$2:$C$800))</f>
        <v>0.210599721059972</v>
      </c>
      <c r="O11" s="0" t="n">
        <f aca="false">IF(OR(B11="NW",COUNT(Risk_Rank_Keys!D11)=0),0.5,(SUMPRODUCT(--ISNUMBER(Risk_Rank_Keys!$D$2:$D$800),--(Risk_Rank_Keys!$D$2:$D$800&lt;Risk_Rank_Keys!D11))+(SUMPRODUCT(--ISNUMBER(Risk_Rank_Keys!$D$2:$D$800),--(Risk_Rank_Keys!$D$2:$D$800=Risk_Rank_Keys!D11))+1)/2)/COUNT(Risk_Rank_Keys!$D$2:$D$800))</f>
        <v>0.813110181311018</v>
      </c>
      <c r="P11" s="0" t="n">
        <f aca="false">AVERAGE(M11:O11)</f>
        <v>0.576011157601116</v>
      </c>
      <c r="Q11" s="0" t="n">
        <f aca="false">0.4*H11+0.4*I11+0.2*P11</f>
        <v>0.464138401732989</v>
      </c>
      <c r="R11" s="0" t="n">
        <f aca="false">PERCENTILE($Q$2:$Q$800,0.75)</f>
        <v>0.667715717403612</v>
      </c>
      <c r="S11" s="1" t="b">
        <f aca="false">OR(Q11&gt;=R11,AND(B11="CW",COUNT(J11:L11)&lt;3))</f>
        <v>0</v>
      </c>
      <c r="T11" s="0" t="n">
        <v>0.256860151194598</v>
      </c>
      <c r="U11" s="0" t="n">
        <v>8.20133155551994</v>
      </c>
      <c r="V11" s="0" t="n">
        <v>0.464138401732989</v>
      </c>
      <c r="W11" s="0" t="n">
        <f aca="false">Q11-V11</f>
        <v>0</v>
      </c>
    </row>
    <row r="12" customFormat="false" ht="15" hidden="false" customHeight="false" outlineLevel="0" collapsed="false">
      <c r="A12" s="0" t="s">
        <v>46</v>
      </c>
      <c r="B12" s="0" t="s">
        <v>3013</v>
      </c>
      <c r="C12" s="0" t="n">
        <v>11.4786055138173</v>
      </c>
      <c r="D12" s="0" t="n">
        <f aca="false">SUMPRODUCT(Risk_Inputs!B12:AJ12,Risk_Coefs!$B$2:$AJ$2)</f>
        <v>-0.369231272298317</v>
      </c>
      <c r="E12" s="0" t="n">
        <f aca="false">1/(1+EXP(-MAX(-25,MIN(25,D12))))</f>
        <v>0.408726786333069</v>
      </c>
      <c r="F12" s="0" t="n">
        <f aca="false">SUMPRODUCT(Risk_Inputs!B12:AJ12,Risk_Coefs!$B$3:$AJ$3)</f>
        <v>10.2711315232803</v>
      </c>
      <c r="G12" s="0" t="n">
        <f aca="false">MAX(0,F12)</f>
        <v>10.2711315232803</v>
      </c>
      <c r="H12" s="0" t="n">
        <f aca="false">(SUMPRODUCT(--ISNUMBER($E$2:$E$800),--($E$2:$E$800&lt;E12))+(SUMPRODUCT(--ISNUMBER($E$2:$E$800),--($E$2:$E$800=E12))+1)/2)/COUNT($E$2:$E$800)</f>
        <v>0.954943679599499</v>
      </c>
      <c r="I12" s="0" t="n">
        <f aca="false">(SUMPRODUCT(--ISNUMBER($G$2:$G$800),--($G$2:$G$800&lt;G12))+(SUMPRODUCT(--ISNUMBER($G$2:$G$800),--($G$2:$G$800=G12))+1)/2)/COUNT($G$2:$G$800)</f>
        <v>0.818523153942428</v>
      </c>
      <c r="J12" s="0" t="n">
        <v>5.10773143756479</v>
      </c>
      <c r="K12" s="0" t="n">
        <v>1.17416829745597</v>
      </c>
      <c r="L12" s="0" t="n">
        <v>0.249066002490666</v>
      </c>
      <c r="M12" s="0" t="n">
        <f aca="false">IF(OR(B12="NW",COUNT(Risk_Rank_Keys!B12)=0),0.5,(SUMPRODUCT(--ISNUMBER(Risk_Rank_Keys!$B$2:$B$800),--(Risk_Rank_Keys!$B$2:$B$800&lt;Risk_Rank_Keys!B12))+(SUMPRODUCT(--ISNUMBER(Risk_Rank_Keys!$B$2:$B$800),--(Risk_Rank_Keys!$B$2:$B$800=Risk_Rank_Keys!B12))+1)/2)/COUNT(Risk_Rank_Keys!$B$2:$B$800))</f>
        <v>0.139470013947001</v>
      </c>
      <c r="N12" s="0" t="n">
        <f aca="false">IF(OR(B12="NW",COUNT(Risk_Rank_Keys!C12)=0),0.5,(SUMPRODUCT(--ISNUMBER(Risk_Rank_Keys!$C$2:$C$800),--(Risk_Rank_Keys!$C$2:$C$800&lt;Risk_Rank_Keys!C12))+(SUMPRODUCT(--ISNUMBER(Risk_Rank_Keys!$C$2:$C$800),--(Risk_Rank_Keys!$C$2:$C$800=Risk_Rank_Keys!C12))+1)/2)/COUNT(Risk_Rank_Keys!$C$2:$C$800))</f>
        <v>0.0627615062761506</v>
      </c>
      <c r="O12" s="0" t="n">
        <f aca="false">IF(OR(B12="NW",COUNT(Risk_Rank_Keys!D12)=0),0.5,(SUMPRODUCT(--ISNUMBER(Risk_Rank_Keys!$D$2:$D$800),--(Risk_Rank_Keys!$D$2:$D$800&lt;Risk_Rank_Keys!D12))+(SUMPRODUCT(--ISNUMBER(Risk_Rank_Keys!$D$2:$D$800),--(Risk_Rank_Keys!$D$2:$D$800=Risk_Rank_Keys!D12))+1)/2)/COUNT(Risk_Rank_Keys!$D$2:$D$800))</f>
        <v>0.581589958158996</v>
      </c>
      <c r="P12" s="0" t="n">
        <f aca="false">AVERAGE(M12:O12)</f>
        <v>0.261273826127383</v>
      </c>
      <c r="Q12" s="0" t="n">
        <f aca="false">0.4*H12+0.4*I12+0.2*P12</f>
        <v>0.761641498642248</v>
      </c>
      <c r="R12" s="0" t="n">
        <f aca="false">PERCENTILE($Q$2:$Q$800,0.75)</f>
        <v>0.667715717403612</v>
      </c>
      <c r="S12" s="1" t="b">
        <f aca="false">OR(Q12&gt;=R12,AND(B12="CW",COUNT(J12:L12)&lt;3))</f>
        <v>1</v>
      </c>
      <c r="T12" s="0" t="n">
        <v>0.408726786333069</v>
      </c>
      <c r="U12" s="0" t="n">
        <v>10.2711315232803</v>
      </c>
      <c r="V12" s="0" t="n">
        <v>0.761641498642248</v>
      </c>
      <c r="W12" s="0" t="n">
        <f aca="false">Q12-V12</f>
        <v>0</v>
      </c>
    </row>
    <row r="13" customFormat="false" ht="15" hidden="false" customHeight="false" outlineLevel="0" collapsed="false">
      <c r="A13" s="0" t="s">
        <v>47</v>
      </c>
      <c r="B13" s="0" t="s">
        <v>3013</v>
      </c>
      <c r="C13" s="0" t="n">
        <v>39.151501454516</v>
      </c>
      <c r="D13" s="0" t="n">
        <f aca="false">SUMPRODUCT(Risk_Inputs!B13:AJ13,Risk_Coefs!$B$2:$AJ$2)</f>
        <v>-1.29499070863617</v>
      </c>
      <c r="E13" s="0" t="n">
        <f aca="false">1/(1+EXP(-MAX(-25,MIN(25,D13))))</f>
        <v>0.215009279566815</v>
      </c>
      <c r="F13" s="0" t="n">
        <f aca="false">SUMPRODUCT(Risk_Inputs!B13:AJ13,Risk_Coefs!$B$3:$AJ$3)</f>
        <v>5.15351991873367</v>
      </c>
      <c r="G13" s="0" t="n">
        <f aca="false">MAX(0,F13)</f>
        <v>5.15351991873367</v>
      </c>
      <c r="H13" s="0" t="n">
        <f aca="false">(SUMPRODUCT(--ISNUMBER($E$2:$E$800),--($E$2:$E$800&lt;E13))+(SUMPRODUCT(--ISNUMBER($E$2:$E$800),--($E$2:$E$800=E13))+1)/2)/COUNT($E$2:$E$800)</f>
        <v>0.130162703379224</v>
      </c>
      <c r="I13" s="0" t="n">
        <f aca="false">(SUMPRODUCT(--ISNUMBER($G$2:$G$800),--($G$2:$G$800&lt;G13))+(SUMPRODUCT(--ISNUMBER($G$2:$G$800),--($G$2:$G$800=G13))+1)/2)/COUNT($G$2:$G$800)</f>
        <v>0.157697121401752</v>
      </c>
      <c r="J13" s="0" t="n">
        <v>10.6143073903433</v>
      </c>
      <c r="K13" s="0" t="n">
        <v>5.23584905660378</v>
      </c>
      <c r="L13" s="0" t="n">
        <v>0.566037735849065</v>
      </c>
      <c r="M13" s="0" t="n">
        <f aca="false">IF(OR(B13="NW",COUNT(Risk_Rank_Keys!B13)=0),0.5,(SUMPRODUCT(--ISNUMBER(Risk_Rank_Keys!$B$2:$B$800),--(Risk_Rank_Keys!$B$2:$B$800&lt;Risk_Rank_Keys!B13))+(SUMPRODUCT(--ISNUMBER(Risk_Rank_Keys!$B$2:$B$800),--(Risk_Rank_Keys!$B$2:$B$800=Risk_Rank_Keys!B13))+1)/2)/COUNT(Risk_Rank_Keys!$B$2:$B$800))</f>
        <v>0.534170153417015</v>
      </c>
      <c r="N13" s="0" t="n">
        <f aca="false">IF(OR(B13="NW",COUNT(Risk_Rank_Keys!C13)=0),0.5,(SUMPRODUCT(--ISNUMBER(Risk_Rank_Keys!$C$2:$C$800),--(Risk_Rank_Keys!$C$2:$C$800&lt;Risk_Rank_Keys!C13))+(SUMPRODUCT(--ISNUMBER(Risk_Rank_Keys!$C$2:$C$800),--(Risk_Rank_Keys!$C$2:$C$800=Risk_Rank_Keys!C13))+1)/2)/COUNT(Risk_Rank_Keys!$C$2:$C$800))</f>
        <v>0.704323570432357</v>
      </c>
      <c r="O13" s="0" t="n">
        <f aca="false">IF(OR(B13="NW",COUNT(Risk_Rank_Keys!D13)=0),0.5,(SUMPRODUCT(--ISNUMBER(Risk_Rank_Keys!$D$2:$D$800),--(Risk_Rank_Keys!$D$2:$D$800&lt;Risk_Rank_Keys!D13))+(SUMPRODUCT(--ISNUMBER(Risk_Rank_Keys!$D$2:$D$800),--(Risk_Rank_Keys!$D$2:$D$800=Risk_Rank_Keys!D13))+1)/2)/COUNT(Risk_Rank_Keys!$D$2:$D$800))</f>
        <v>0.96792189679219</v>
      </c>
      <c r="P13" s="0" t="n">
        <f aca="false">AVERAGE(M13:O13)</f>
        <v>0.735471873547187</v>
      </c>
      <c r="Q13" s="0" t="n">
        <f aca="false">0.4*H13+0.4*I13+0.2*P13</f>
        <v>0.262238304621828</v>
      </c>
      <c r="R13" s="0" t="n">
        <f aca="false">PERCENTILE($Q$2:$Q$800,0.75)</f>
        <v>0.667715717403612</v>
      </c>
      <c r="S13" s="1" t="b">
        <f aca="false">OR(Q13&gt;=R13,AND(B13="CW",COUNT(J13:L13)&lt;3))</f>
        <v>0</v>
      </c>
      <c r="T13" s="0" t="n">
        <v>0.215009279566815</v>
      </c>
      <c r="U13" s="0" t="n">
        <v>5.15351991873367</v>
      </c>
      <c r="V13" s="0" t="n">
        <v>0.262238304621828</v>
      </c>
      <c r="W13" s="0" t="n">
        <f aca="false">Q13-V13</f>
        <v>0</v>
      </c>
    </row>
    <row r="14" customFormat="false" ht="15" hidden="false" customHeight="false" outlineLevel="0" collapsed="false">
      <c r="A14" s="0" t="s">
        <v>48</v>
      </c>
      <c r="B14" s="0" t="s">
        <v>3013</v>
      </c>
      <c r="C14" s="0" t="n">
        <v>55.0677207403352</v>
      </c>
      <c r="D14" s="0" t="n">
        <f aca="false">SUMPRODUCT(Risk_Inputs!B14:AJ14,Risk_Coefs!$B$2:$AJ$2)</f>
        <v>-1.10167825633039</v>
      </c>
      <c r="E14" s="0" t="n">
        <f aca="false">1/(1+EXP(-MAX(-25,MIN(25,D14))))</f>
        <v>0.249425571807864</v>
      </c>
      <c r="F14" s="0" t="n">
        <f aca="false">SUMPRODUCT(Risk_Inputs!B14:AJ14,Risk_Coefs!$B$3:$AJ$3)</f>
        <v>6.67205970037657</v>
      </c>
      <c r="G14" s="0" t="n">
        <f aca="false">MAX(0,F14)</f>
        <v>6.67205970037657</v>
      </c>
      <c r="H14" s="0" t="n">
        <f aca="false">(SUMPRODUCT(--ISNUMBER($E$2:$E$800),--($E$2:$E$800&lt;E14))+(SUMPRODUCT(--ISNUMBER($E$2:$E$800),--($E$2:$E$800=E14))+1)/2)/COUNT($E$2:$E$800)</f>
        <v>0.261576971214018</v>
      </c>
      <c r="I14" s="0" t="n">
        <f aca="false">(SUMPRODUCT(--ISNUMBER($G$2:$G$800),--($G$2:$G$800&lt;G14))+(SUMPRODUCT(--ISNUMBER($G$2:$G$800),--($G$2:$G$800=G14))+1)/2)/COUNT($G$2:$G$800)</f>
        <v>0.375469336670839</v>
      </c>
      <c r="J14" s="0" t="n">
        <v>8.42787459322605</v>
      </c>
      <c r="K14" s="0" t="n">
        <v>7.4086603518268</v>
      </c>
      <c r="L14" s="0" t="n">
        <v>0.473612990527733</v>
      </c>
      <c r="M14" s="0" t="n">
        <f aca="false">IF(OR(B14="NW",COUNT(Risk_Rank_Keys!B14)=0),0.5,(SUMPRODUCT(--ISNUMBER(Risk_Rank_Keys!$B$2:$B$800),--(Risk_Rank_Keys!$B$2:$B$800&lt;Risk_Rank_Keys!B14))+(SUMPRODUCT(--ISNUMBER(Risk_Rank_Keys!$B$2:$B$800),--(Risk_Rank_Keys!$B$2:$B$800=Risk_Rank_Keys!B14))+1)/2)/COUNT(Risk_Rank_Keys!$B$2:$B$800))</f>
        <v>0.411436541143654</v>
      </c>
      <c r="N14" s="0" t="n">
        <f aca="false">IF(OR(B14="NW",COUNT(Risk_Rank_Keys!C14)=0),0.5,(SUMPRODUCT(--ISNUMBER(Risk_Rank_Keys!$C$2:$C$800),--(Risk_Rank_Keys!$C$2:$C$800&lt;Risk_Rank_Keys!C14))+(SUMPRODUCT(--ISNUMBER(Risk_Rank_Keys!$C$2:$C$800),--(Risk_Rank_Keys!$C$2:$C$800=Risk_Rank_Keys!C14))+1)/2)/COUNT(Risk_Rank_Keys!$C$2:$C$800))</f>
        <v>0.801952580195258</v>
      </c>
      <c r="O14" s="0" t="n">
        <f aca="false">IF(OR(B14="NW",COUNT(Risk_Rank_Keys!D14)=0),0.5,(SUMPRODUCT(--ISNUMBER(Risk_Rank_Keys!$D$2:$D$800),--(Risk_Rank_Keys!$D$2:$D$800&lt;Risk_Rank_Keys!D14))+(SUMPRODUCT(--ISNUMBER(Risk_Rank_Keys!$D$2:$D$800),--(Risk_Rank_Keys!$D$2:$D$800=Risk_Rank_Keys!D14))+1)/2)/COUNT(Risk_Rank_Keys!$D$2:$D$800))</f>
        <v>0.941422594142259</v>
      </c>
      <c r="P14" s="0" t="n">
        <f aca="false">AVERAGE(M14:O14)</f>
        <v>0.718270571827057</v>
      </c>
      <c r="Q14" s="0" t="n">
        <f aca="false">0.4*H14+0.4*I14+0.2*P14</f>
        <v>0.398472637519354</v>
      </c>
      <c r="R14" s="0" t="n">
        <f aca="false">PERCENTILE($Q$2:$Q$800,0.75)</f>
        <v>0.667715717403612</v>
      </c>
      <c r="S14" s="1" t="b">
        <f aca="false">OR(Q14&gt;=R14,AND(B14="CW",COUNT(J14:L14)&lt;3))</f>
        <v>0</v>
      </c>
      <c r="T14" s="0" t="n">
        <v>0.249425571807864</v>
      </c>
      <c r="U14" s="0" t="n">
        <v>6.67205970037657</v>
      </c>
      <c r="V14" s="0" t="n">
        <v>0.398472637519354</v>
      </c>
      <c r="W14" s="0" t="n">
        <f aca="false">Q14-V14</f>
        <v>0</v>
      </c>
    </row>
    <row r="15" customFormat="false" ht="15" hidden="false" customHeight="false" outlineLevel="0" collapsed="false">
      <c r="A15" s="0" t="s">
        <v>49</v>
      </c>
      <c r="B15" s="0" t="s">
        <v>3013</v>
      </c>
      <c r="C15" s="0" t="n">
        <v>36.437410528576</v>
      </c>
      <c r="D15" s="0" t="n">
        <f aca="false">SUMPRODUCT(Risk_Inputs!B15:AJ15,Risk_Coefs!$B$2:$AJ$2)</f>
        <v>-0.339646023331087</v>
      </c>
      <c r="E15" s="0" t="n">
        <f aca="false">1/(1+EXP(-MAX(-25,MIN(25,D15))))</f>
        <v>0.415895464791227</v>
      </c>
      <c r="F15" s="0" t="n">
        <f aca="false">SUMPRODUCT(Risk_Inputs!B15:AJ15,Risk_Coefs!$B$3:$AJ$3)</f>
        <v>13.5434769046065</v>
      </c>
      <c r="G15" s="0" t="n">
        <f aca="false">MAX(0,F15)</f>
        <v>13.5434769046065</v>
      </c>
      <c r="H15" s="0" t="n">
        <f aca="false">(SUMPRODUCT(--ISNUMBER($E$2:$E$800),--($E$2:$E$800&lt;E15))+(SUMPRODUCT(--ISNUMBER($E$2:$E$800),--($E$2:$E$800=E15))+1)/2)/COUNT($E$2:$E$800)</f>
        <v>0.962453066332916</v>
      </c>
      <c r="I15" s="0" t="n">
        <f aca="false">(SUMPRODUCT(--ISNUMBER($G$2:$G$800),--($G$2:$G$800&lt;G15))+(SUMPRODUCT(--ISNUMBER($G$2:$G$800),--($G$2:$G$800=G15))+1)/2)/COUNT($G$2:$G$800)</f>
        <v>0.963704630788486</v>
      </c>
      <c r="M15" s="0" t="n">
        <f aca="false">IF(OR(B15="NW",COUNT(Risk_Rank_Keys!B15)=0),0.5,(SUMPRODUCT(--ISNUMBER(Risk_Rank_Keys!$B$2:$B$800),--(Risk_Rank_Keys!$B$2:$B$800&lt;Risk_Rank_Keys!B15))+(SUMPRODUCT(--ISNUMBER(Risk_Rank_Keys!$B$2:$B$800),--(Risk_Rank_Keys!$B$2:$B$800=Risk_Rank_Keys!B15))+1)/2)/COUNT(Risk_Rank_Keys!$B$2:$B$800))</f>
        <v>0.5</v>
      </c>
      <c r="N15" s="0" t="n">
        <f aca="false">IF(OR(B15="NW",COUNT(Risk_Rank_Keys!C15)=0),0.5,(SUMPRODUCT(--ISNUMBER(Risk_Rank_Keys!$C$2:$C$800),--(Risk_Rank_Keys!$C$2:$C$800&lt;Risk_Rank_Keys!C15))+(SUMPRODUCT(--ISNUMBER(Risk_Rank_Keys!$C$2:$C$800),--(Risk_Rank_Keys!$C$2:$C$800=Risk_Rank_Keys!C15))+1)/2)/COUNT(Risk_Rank_Keys!$C$2:$C$800))</f>
        <v>0.5</v>
      </c>
      <c r="O15" s="0" t="n">
        <f aca="false">IF(OR(B15="NW",COUNT(Risk_Rank_Keys!D15)=0),0.5,(SUMPRODUCT(--ISNUMBER(Risk_Rank_Keys!$D$2:$D$800),--(Risk_Rank_Keys!$D$2:$D$800&lt;Risk_Rank_Keys!D15))+(SUMPRODUCT(--ISNUMBER(Risk_Rank_Keys!$D$2:$D$800),--(Risk_Rank_Keys!$D$2:$D$800=Risk_Rank_Keys!D15))+1)/2)/COUNT(Risk_Rank_Keys!$D$2:$D$800))</f>
        <v>0.5</v>
      </c>
      <c r="P15" s="0" t="n">
        <f aca="false">AVERAGE(M15:O15)</f>
        <v>0.5</v>
      </c>
      <c r="Q15" s="0" t="n">
        <f aca="false">0.4*H15+0.4*I15+0.2*P15</f>
        <v>0.870463078848561</v>
      </c>
      <c r="R15" s="0" t="n">
        <f aca="false">PERCENTILE($Q$2:$Q$800,0.75)</f>
        <v>0.667715717403612</v>
      </c>
      <c r="S15" s="1" t="b">
        <f aca="false">OR(Q15&gt;=R15,AND(B15="CW",COUNT(J15:L15)&lt;3))</f>
        <v>1</v>
      </c>
      <c r="T15" s="0" t="n">
        <v>0.415895464791227</v>
      </c>
      <c r="U15" s="0" t="n">
        <v>13.5434769046065</v>
      </c>
      <c r="V15" s="0" t="n">
        <v>0.870463078848561</v>
      </c>
      <c r="W15" s="0" t="n">
        <f aca="false">Q15-V15</f>
        <v>0</v>
      </c>
    </row>
    <row r="16" customFormat="false" ht="15" hidden="false" customHeight="false" outlineLevel="0" collapsed="false">
      <c r="A16" s="0" t="s">
        <v>50</v>
      </c>
      <c r="B16" s="0" t="s">
        <v>3013</v>
      </c>
      <c r="C16" s="0" t="n">
        <v>-40.9149503190211</v>
      </c>
      <c r="D16" s="0" t="n">
        <f aca="false">SUMPRODUCT(Risk_Inputs!B16:AJ16,Risk_Coefs!$B$2:$AJ$2)</f>
        <v>-0.539086707368159</v>
      </c>
      <c r="E16" s="0" t="n">
        <f aca="false">1/(1+EXP(-MAX(-25,MIN(25,D16))))</f>
        <v>0.368400062971087</v>
      </c>
      <c r="F16" s="0" t="n">
        <f aca="false">SUMPRODUCT(Risk_Inputs!B16:AJ16,Risk_Coefs!$B$3:$AJ$3)</f>
        <v>13.782778188743</v>
      </c>
      <c r="G16" s="0" t="n">
        <f aca="false">MAX(0,F16)</f>
        <v>13.782778188743</v>
      </c>
      <c r="H16" s="0" t="n">
        <f aca="false">(SUMPRODUCT(--ISNUMBER($E$2:$E$800),--($E$2:$E$800&lt;E16))+(SUMPRODUCT(--ISNUMBER($E$2:$E$800),--($E$2:$E$800=E16))+1)/2)/COUNT($E$2:$E$800)</f>
        <v>0.866082603254068</v>
      </c>
      <c r="I16" s="0" t="n">
        <f aca="false">(SUMPRODUCT(--ISNUMBER($G$2:$G$800),--($G$2:$G$800&lt;G16))+(SUMPRODUCT(--ISNUMBER($G$2:$G$800),--($G$2:$G$800=G16))+1)/2)/COUNT($G$2:$G$800)</f>
        <v>0.966207759699625</v>
      </c>
      <c r="J16" s="0" t="n">
        <v>7.45833175073929</v>
      </c>
      <c r="K16" s="0" t="n">
        <v>1.63547462485246</v>
      </c>
      <c r="L16" s="0" t="n">
        <v>0.286629573427751</v>
      </c>
      <c r="M16" s="0" t="n">
        <f aca="false">IF(OR(B16="NW",COUNT(Risk_Rank_Keys!B16)=0),0.5,(SUMPRODUCT(--ISNUMBER(Risk_Rank_Keys!$B$2:$B$800),--(Risk_Rank_Keys!$B$2:$B$800&lt;Risk_Rank_Keys!B16))+(SUMPRODUCT(--ISNUMBER(Risk_Rank_Keys!$B$2:$B$800),--(Risk_Rank_Keys!$B$2:$B$800=Risk_Rank_Keys!B16))+1)/2)/COUNT(Risk_Rank_Keys!$B$2:$B$800))</f>
        <v>0.352859135285914</v>
      </c>
      <c r="N16" s="0" t="n">
        <f aca="false">IF(OR(B16="NW",COUNT(Risk_Rank_Keys!C16)=0),0.5,(SUMPRODUCT(--ISNUMBER(Risk_Rank_Keys!$C$2:$C$800),--(Risk_Rank_Keys!$C$2:$C$800&lt;Risk_Rank_Keys!C16))+(SUMPRODUCT(--ISNUMBER(Risk_Rank_Keys!$C$2:$C$800),--(Risk_Rank_Keys!$C$2:$C$800=Risk_Rank_Keys!C16))+1)/2)/COUNT(Risk_Rank_Keys!$C$2:$C$800))</f>
        <v>0.171548117154812</v>
      </c>
      <c r="O16" s="0" t="n">
        <f aca="false">IF(OR(B16="NW",COUNT(Risk_Rank_Keys!D16)=0),0.5,(SUMPRODUCT(--ISNUMBER(Risk_Rank_Keys!$D$2:$D$800),--(Risk_Rank_Keys!$D$2:$D$800&lt;Risk_Rank_Keys!D16))+(SUMPRODUCT(--ISNUMBER(Risk_Rank_Keys!$D$2:$D$800),--(Risk_Rank_Keys!$D$2:$D$800=Risk_Rank_Keys!D16))+1)/2)/COUNT(Risk_Rank_Keys!$D$2:$D$800))</f>
        <v>0.716875871687587</v>
      </c>
      <c r="P16" s="0" t="n">
        <f aca="false">AVERAGE(M16:O16)</f>
        <v>0.413761041376104</v>
      </c>
      <c r="Q16" s="0" t="n">
        <f aca="false">0.4*H16+0.4*I16+0.2*P16</f>
        <v>0.815668353456698</v>
      </c>
      <c r="R16" s="0" t="n">
        <f aca="false">PERCENTILE($Q$2:$Q$800,0.75)</f>
        <v>0.667715717403612</v>
      </c>
      <c r="S16" s="1" t="b">
        <f aca="false">OR(Q16&gt;=R16,AND(B16="CW",COUNT(J16:L16)&lt;3))</f>
        <v>1</v>
      </c>
      <c r="T16" s="0" t="n">
        <v>0.368400062971087</v>
      </c>
      <c r="U16" s="0" t="n">
        <v>13.782778188743</v>
      </c>
      <c r="V16" s="0" t="n">
        <v>0.815668353456698</v>
      </c>
      <c r="W16" s="0" t="n">
        <f aca="false">Q16-V16</f>
        <v>0</v>
      </c>
    </row>
    <row r="17" customFormat="false" ht="15" hidden="false" customHeight="false" outlineLevel="0" collapsed="false">
      <c r="A17" s="0" t="s">
        <v>51</v>
      </c>
      <c r="B17" s="0" t="s">
        <v>3013</v>
      </c>
      <c r="C17" s="0" t="n">
        <v>-38.6839274435492</v>
      </c>
      <c r="D17" s="0" t="n">
        <f aca="false">SUMPRODUCT(Risk_Inputs!B17:AJ17,Risk_Coefs!$B$2:$AJ$2)</f>
        <v>-0.618908301572035</v>
      </c>
      <c r="E17" s="0" t="n">
        <f aca="false">1/(1+EXP(-MAX(-25,MIN(25,D17))))</f>
        <v>0.350029781889533</v>
      </c>
      <c r="F17" s="0" t="n">
        <f aca="false">SUMPRODUCT(Risk_Inputs!B17:AJ17,Risk_Coefs!$B$3:$AJ$3)</f>
        <v>12.1856860010869</v>
      </c>
      <c r="G17" s="0" t="n">
        <f aca="false">MAX(0,F17)</f>
        <v>12.1856860010869</v>
      </c>
      <c r="H17" s="0" t="n">
        <f aca="false">(SUMPRODUCT(--ISNUMBER($E$2:$E$800),--($E$2:$E$800&lt;E17))+(SUMPRODUCT(--ISNUMBER($E$2:$E$800),--($E$2:$E$800=E17))+1)/2)/COUNT($E$2:$E$800)</f>
        <v>0.816020025031289</v>
      </c>
      <c r="I17" s="0" t="n">
        <f aca="false">(SUMPRODUCT(--ISNUMBER($G$2:$G$800),--($G$2:$G$800&lt;G17))+(SUMPRODUCT(--ISNUMBER($G$2:$G$800),--($G$2:$G$800=G17))+1)/2)/COUNT($G$2:$G$800)</f>
        <v>0.928660826032541</v>
      </c>
      <c r="J17" s="0" t="n">
        <v>16.7288503253786</v>
      </c>
      <c r="K17" s="0" t="n">
        <v>2.26862075888375</v>
      </c>
      <c r="L17" s="0" t="n">
        <v>0.321220638426018</v>
      </c>
      <c r="M17" s="0" t="n">
        <f aca="false">IF(OR(B17="NW",COUNT(Risk_Rank_Keys!B17)=0),0.5,(SUMPRODUCT(--ISNUMBER(Risk_Rank_Keys!$B$2:$B$800),--(Risk_Rank_Keys!$B$2:$B$800&lt;Risk_Rank_Keys!B17))+(SUMPRODUCT(--ISNUMBER(Risk_Rank_Keys!$B$2:$B$800),--(Risk_Rank_Keys!$B$2:$B$800=Risk_Rank_Keys!B17))+1)/2)/COUNT(Risk_Rank_Keys!$B$2:$B$800))</f>
        <v>0.740585774058577</v>
      </c>
      <c r="N17" s="0" t="n">
        <f aca="false">IF(OR(B17="NW",COUNT(Risk_Rank_Keys!C17)=0),0.5,(SUMPRODUCT(--ISNUMBER(Risk_Rank_Keys!$C$2:$C$800),--(Risk_Rank_Keys!$C$2:$C$800&lt;Risk_Rank_Keys!C17))+(SUMPRODUCT(--ISNUMBER(Risk_Rank_Keys!$C$2:$C$800),--(Risk_Rank_Keys!$C$2:$C$800=Risk_Rank_Keys!C17))+1)/2)/COUNT(Risk_Rank_Keys!$C$2:$C$800))</f>
        <v>0.327754532775453</v>
      </c>
      <c r="O17" s="0" t="n">
        <f aca="false">IF(OR(B17="NW",COUNT(Risk_Rank_Keys!D17)=0),0.5,(SUMPRODUCT(--ISNUMBER(Risk_Rank_Keys!$D$2:$D$800),--(Risk_Rank_Keys!$D$2:$D$800&lt;Risk_Rank_Keys!D17))+(SUMPRODUCT(--ISNUMBER(Risk_Rank_Keys!$D$2:$D$800),--(Risk_Rank_Keys!$D$2:$D$800=Risk_Rank_Keys!D17))+1)/2)/COUNT(Risk_Rank_Keys!$D$2:$D$800))</f>
        <v>0.778242677824268</v>
      </c>
      <c r="P17" s="0" t="n">
        <f aca="false">AVERAGE(M17:O17)</f>
        <v>0.615527661552766</v>
      </c>
      <c r="Q17" s="0" t="n">
        <f aca="false">0.4*H17+0.4*I17+0.2*P17</f>
        <v>0.820977872736085</v>
      </c>
      <c r="R17" s="0" t="n">
        <f aca="false">PERCENTILE($Q$2:$Q$800,0.75)</f>
        <v>0.667715717403612</v>
      </c>
      <c r="S17" s="1" t="b">
        <f aca="false">OR(Q17&gt;=R17,AND(B17="CW",COUNT(J17:L17)&lt;3))</f>
        <v>1</v>
      </c>
      <c r="T17" s="0" t="n">
        <v>0.350029781889533</v>
      </c>
      <c r="U17" s="0" t="n">
        <v>12.1856860010869</v>
      </c>
      <c r="V17" s="0" t="n">
        <v>0.820977872736085</v>
      </c>
      <c r="W17" s="0" t="n">
        <f aca="false">Q17-V17</f>
        <v>0</v>
      </c>
    </row>
    <row r="18" customFormat="false" ht="15" hidden="false" customHeight="false" outlineLevel="0" collapsed="false">
      <c r="A18" s="0" t="s">
        <v>52</v>
      </c>
      <c r="B18" s="0" t="s">
        <v>3013</v>
      </c>
      <c r="C18" s="0" t="n">
        <v>48.260157215037</v>
      </c>
      <c r="D18" s="0" t="n">
        <f aca="false">SUMPRODUCT(Risk_Inputs!B18:AJ18,Risk_Coefs!$B$2:$AJ$2)</f>
        <v>-1.47211722939605</v>
      </c>
      <c r="E18" s="0" t="n">
        <f aca="false">1/(1+EXP(-MAX(-25,MIN(25,D18))))</f>
        <v>0.186621018809332</v>
      </c>
      <c r="F18" s="0" t="n">
        <f aca="false">SUMPRODUCT(Risk_Inputs!B18:AJ18,Risk_Coefs!$B$3:$AJ$3)</f>
        <v>5.84282665191977</v>
      </c>
      <c r="G18" s="0" t="n">
        <f aca="false">MAX(0,F18)</f>
        <v>5.84282665191977</v>
      </c>
      <c r="H18" s="0" t="n">
        <f aca="false">(SUMPRODUCT(--ISNUMBER($E$2:$E$800),--($E$2:$E$800&lt;E18))+(SUMPRODUCT(--ISNUMBER($E$2:$E$800),--($E$2:$E$800=E18))+1)/2)/COUNT($E$2:$E$800)</f>
        <v>0.0750938673341677</v>
      </c>
      <c r="I18" s="0" t="n">
        <f aca="false">(SUMPRODUCT(--ISNUMBER($G$2:$G$800),--($G$2:$G$800&lt;G18))+(SUMPRODUCT(--ISNUMBER($G$2:$G$800),--($G$2:$G$800=G18))+1)/2)/COUNT($G$2:$G$800)</f>
        <v>0.245306633291615</v>
      </c>
      <c r="J18" s="0" t="n">
        <v>37.4352116800691</v>
      </c>
      <c r="K18" s="0" t="n">
        <v>9.68253968253967</v>
      </c>
      <c r="L18" s="0" t="n">
        <v>1.37566137566137</v>
      </c>
      <c r="M18" s="0" t="n">
        <f aca="false">IF(OR(B18="NW",COUNT(Risk_Rank_Keys!B18)=0),0.5,(SUMPRODUCT(--ISNUMBER(Risk_Rank_Keys!$B$2:$B$800),--(Risk_Rank_Keys!$B$2:$B$800&lt;Risk_Rank_Keys!B18))+(SUMPRODUCT(--ISNUMBER(Risk_Rank_Keys!$B$2:$B$800),--(Risk_Rank_Keys!$B$2:$B$800=Risk_Rank_Keys!B18))+1)/2)/COUNT(Risk_Rank_Keys!$B$2:$B$800))</f>
        <v>0.941422594142259</v>
      </c>
      <c r="N18" s="0" t="n">
        <f aca="false">IF(OR(B18="NW",COUNT(Risk_Rank_Keys!C18)=0),0.5,(SUMPRODUCT(--ISNUMBER(Risk_Rank_Keys!$C$2:$C$800),--(Risk_Rank_Keys!$C$2:$C$800&lt;Risk_Rank_Keys!C18))+(SUMPRODUCT(--ISNUMBER(Risk_Rank_Keys!$C$2:$C$800),--(Risk_Rank_Keys!$C$2:$C$800=Risk_Rank_Keys!C18))+1)/2)/COUNT(Risk_Rank_Keys!$C$2:$C$800))</f>
        <v>0.874476987447699</v>
      </c>
      <c r="O18" s="0" t="n">
        <f aca="false">IF(OR(B18="NW",COUNT(Risk_Rank_Keys!D18)=0),0.5,(SUMPRODUCT(--ISNUMBER(Risk_Rank_Keys!$D$2:$D$800),--(Risk_Rank_Keys!$D$2:$D$800&lt;Risk_Rank_Keys!D18))+(SUMPRODUCT(--ISNUMBER(Risk_Rank_Keys!$D$2:$D$800),--(Risk_Rank_Keys!$D$2:$D$800=Risk_Rank_Keys!D18))+1)/2)/COUNT(Risk_Rank_Keys!$D$2:$D$800))</f>
        <v>1</v>
      </c>
      <c r="P18" s="0" t="n">
        <f aca="false">AVERAGE(M18:O18)</f>
        <v>0.938633193863319</v>
      </c>
      <c r="Q18" s="0" t="n">
        <f aca="false">0.4*H18+0.4*I18+0.2*P18</f>
        <v>0.315886839022977</v>
      </c>
      <c r="R18" s="0" t="n">
        <f aca="false">PERCENTILE($Q$2:$Q$800,0.75)</f>
        <v>0.667715717403612</v>
      </c>
      <c r="S18" s="1" t="b">
        <f aca="false">OR(Q18&gt;=R18,AND(B18="CW",COUNT(J18:L18)&lt;3))</f>
        <v>0</v>
      </c>
      <c r="T18" s="0" t="n">
        <v>0.186621018809332</v>
      </c>
      <c r="U18" s="0" t="n">
        <v>5.84282665191977</v>
      </c>
      <c r="V18" s="0" t="n">
        <v>0.315886839022977</v>
      </c>
      <c r="W18" s="0" t="n">
        <f aca="false">Q18-V18</f>
        <v>0</v>
      </c>
    </row>
    <row r="19" customFormat="false" ht="15" hidden="false" customHeight="false" outlineLevel="0" collapsed="false">
      <c r="A19" s="0" t="s">
        <v>53</v>
      </c>
      <c r="B19" s="0" t="s">
        <v>3013</v>
      </c>
      <c r="C19" s="0" t="n">
        <v>-12.8813049448372</v>
      </c>
      <c r="D19" s="0" t="n">
        <f aca="false">SUMPRODUCT(Risk_Inputs!B19:AJ19,Risk_Coefs!$B$2:$AJ$2)</f>
        <v>-1.0926530206985</v>
      </c>
      <c r="E19" s="0" t="n">
        <f aca="false">1/(1+EXP(-MAX(-25,MIN(25,D19))))</f>
        <v>0.251119026577459</v>
      </c>
      <c r="F19" s="0" t="n">
        <f aca="false">SUMPRODUCT(Risk_Inputs!B19:AJ19,Risk_Coefs!$B$3:$AJ$3)</f>
        <v>7.1241507868198</v>
      </c>
      <c r="G19" s="0" t="n">
        <f aca="false">MAX(0,F19)</f>
        <v>7.1241507868198</v>
      </c>
      <c r="H19" s="0" t="n">
        <f aca="false">(SUMPRODUCT(--ISNUMBER($E$2:$E$800),--($E$2:$E$800&lt;E19))+(SUMPRODUCT(--ISNUMBER($E$2:$E$800),--($E$2:$E$800=E19))+1)/2)/COUNT($E$2:$E$800)</f>
        <v>0.271589486858573</v>
      </c>
      <c r="I19" s="0" t="n">
        <f aca="false">(SUMPRODUCT(--ISNUMBER($G$2:$G$800),--($G$2:$G$800&lt;G19))+(SUMPRODUCT(--ISNUMBER($G$2:$G$800),--($G$2:$G$800=G19))+1)/2)/COUNT($G$2:$G$800)</f>
        <v>0.431789737171464</v>
      </c>
      <c r="J19" s="0" t="n">
        <v>24.5601001157687</v>
      </c>
      <c r="K19" s="0" t="n">
        <v>4.78796169630643</v>
      </c>
      <c r="L19" s="0" t="n">
        <v>0.455996352029184</v>
      </c>
      <c r="M19" s="0" t="n">
        <f aca="false">IF(OR(B19="NW",COUNT(Risk_Rank_Keys!B19)=0),0.5,(SUMPRODUCT(--ISNUMBER(Risk_Rank_Keys!$B$2:$B$800),--(Risk_Rank_Keys!$B$2:$B$800&lt;Risk_Rank_Keys!B19))+(SUMPRODUCT(--ISNUMBER(Risk_Rank_Keys!$B$2:$B$800),--(Risk_Rank_Keys!$B$2:$B$800=Risk_Rank_Keys!B19))+1)/2)/COUNT(Risk_Rank_Keys!$B$2:$B$800))</f>
        <v>0.850767085076709</v>
      </c>
      <c r="N19" s="0" t="n">
        <f aca="false">IF(OR(B19="NW",COUNT(Risk_Rank_Keys!C19)=0),0.5,(SUMPRODUCT(--ISNUMBER(Risk_Rank_Keys!$C$2:$C$800),--(Risk_Rank_Keys!$C$2:$C$800&lt;Risk_Rank_Keys!C19))+(SUMPRODUCT(--ISNUMBER(Risk_Rank_Keys!$C$2:$C$800),--(Risk_Rank_Keys!$C$2:$C$800=Risk_Rank_Keys!C19))+1)/2)/COUNT(Risk_Rank_Keys!$C$2:$C$800))</f>
        <v>0.670850767085077</v>
      </c>
      <c r="O19" s="0" t="n">
        <f aca="false">IF(OR(B19="NW",COUNT(Risk_Rank_Keys!D19)=0),0.5,(SUMPRODUCT(--ISNUMBER(Risk_Rank_Keys!$D$2:$D$800),--(Risk_Rank_Keys!$D$2:$D$800&lt;Risk_Rank_Keys!D19))+(SUMPRODUCT(--ISNUMBER(Risk_Rank_Keys!$D$2:$D$800),--(Risk_Rank_Keys!$D$2:$D$800=Risk_Rank_Keys!D19))+1)/2)/COUNT(Risk_Rank_Keys!$D$2:$D$800))</f>
        <v>0.930264993026499</v>
      </c>
      <c r="P19" s="0" t="n">
        <f aca="false">AVERAGE(M19:O19)</f>
        <v>0.817294281729428</v>
      </c>
      <c r="Q19" s="0" t="n">
        <f aca="false">0.4*H19+0.4*I19+0.2*P19</f>
        <v>0.444810545957901</v>
      </c>
      <c r="R19" s="0" t="n">
        <f aca="false">PERCENTILE($Q$2:$Q$800,0.75)</f>
        <v>0.667715717403612</v>
      </c>
      <c r="S19" s="1" t="b">
        <f aca="false">OR(Q19&gt;=R19,AND(B19="CW",COUNT(J19:L19)&lt;3))</f>
        <v>0</v>
      </c>
      <c r="T19" s="0" t="n">
        <v>0.251119026577459</v>
      </c>
      <c r="U19" s="0" t="n">
        <v>7.1241507868198</v>
      </c>
      <c r="V19" s="0" t="n">
        <v>0.444810545957901</v>
      </c>
      <c r="W19" s="0" t="n">
        <f aca="false">Q19-V19</f>
        <v>0</v>
      </c>
    </row>
    <row r="20" customFormat="false" ht="15" hidden="false" customHeight="false" outlineLevel="0" collapsed="false">
      <c r="A20" s="0" t="s">
        <v>54</v>
      </c>
      <c r="B20" s="0" t="s">
        <v>3013</v>
      </c>
      <c r="C20" s="0" t="n">
        <v>-42.9942281854246</v>
      </c>
      <c r="D20" s="0" t="n">
        <f aca="false">SUMPRODUCT(Risk_Inputs!B20:AJ20,Risk_Coefs!$B$2:$AJ$2)</f>
        <v>-1.53540631275588</v>
      </c>
      <c r="E20" s="0" t="n">
        <f aca="false">1/(1+EXP(-MAX(-25,MIN(25,D20))))</f>
        <v>0.177204054279853</v>
      </c>
      <c r="F20" s="0" t="n">
        <f aca="false">SUMPRODUCT(Risk_Inputs!B20:AJ20,Risk_Coefs!$B$3:$AJ$3)</f>
        <v>9.74579643583842</v>
      </c>
      <c r="G20" s="0" t="n">
        <f aca="false">MAX(0,F20)</f>
        <v>9.74579643583842</v>
      </c>
      <c r="H20" s="0" t="n">
        <f aca="false">(SUMPRODUCT(--ISNUMBER($E$2:$E$800),--($E$2:$E$800&lt;E20))+(SUMPRODUCT(--ISNUMBER($E$2:$E$800),--($E$2:$E$800=E20))+1)/2)/COUNT($E$2:$E$800)</f>
        <v>0.0588235294117647</v>
      </c>
      <c r="I20" s="0" t="n">
        <f aca="false">(SUMPRODUCT(--ISNUMBER($G$2:$G$800),--($G$2:$G$800&lt;G20))+(SUMPRODUCT(--ISNUMBER($G$2:$G$800),--($G$2:$G$800=G20))+1)/2)/COUNT($G$2:$G$800)</f>
        <v>0.757196495619524</v>
      </c>
      <c r="J20" s="0" t="n">
        <v>59.8081827651855</v>
      </c>
      <c r="K20" s="0" t="n">
        <v>8.05191821732139</v>
      </c>
      <c r="L20" s="0" t="n">
        <v>0.321617275442225</v>
      </c>
      <c r="M20" s="0" t="n">
        <f aca="false">IF(OR(B20="NW",COUNT(Risk_Rank_Keys!B20)=0),0.5,(SUMPRODUCT(--ISNUMBER(Risk_Rank_Keys!$B$2:$B$800),--(Risk_Rank_Keys!$B$2:$B$800&lt;Risk_Rank_Keys!B20))+(SUMPRODUCT(--ISNUMBER(Risk_Rank_Keys!$B$2:$B$800),--(Risk_Rank_Keys!$B$2:$B$800=Risk_Rank_Keys!B20))+1)/2)/COUNT(Risk_Rank_Keys!$B$2:$B$800))</f>
        <v>0.99023709902371</v>
      </c>
      <c r="N20" s="0" t="n">
        <f aca="false">IF(OR(B20="NW",COUNT(Risk_Rank_Keys!C20)=0),0.5,(SUMPRODUCT(--ISNUMBER(Risk_Rank_Keys!$C$2:$C$800),--(Risk_Rank_Keys!$C$2:$C$800&lt;Risk_Rank_Keys!C20))+(SUMPRODUCT(--ISNUMBER(Risk_Rank_Keys!$C$2:$C$800),--(Risk_Rank_Keys!$C$2:$C$800=Risk_Rank_Keys!C20))+1)/2)/COUNT(Risk_Rank_Keys!$C$2:$C$800))</f>
        <v>0.822873082287308</v>
      </c>
      <c r="O20" s="0" t="n">
        <f aca="false">IF(OR(B20="NW",COUNT(Risk_Rank_Keys!D20)=0),0.5,(SUMPRODUCT(--ISNUMBER(Risk_Rank_Keys!$D$2:$D$800),--(Risk_Rank_Keys!$D$2:$D$800&lt;Risk_Rank_Keys!D20))+(SUMPRODUCT(--ISNUMBER(Risk_Rank_Keys!$D$2:$D$800),--(Risk_Rank_Keys!$D$2:$D$800=Risk_Rank_Keys!D20))+1)/2)/COUNT(Risk_Rank_Keys!$D$2:$D$800))</f>
        <v>0.781032078103208</v>
      </c>
      <c r="P20" s="0" t="n">
        <f aca="false">AVERAGE(M20:O20)</f>
        <v>0.864714086471409</v>
      </c>
      <c r="Q20" s="0" t="n">
        <f aca="false">0.4*H20+0.4*I20+0.2*P20</f>
        <v>0.499350827306797</v>
      </c>
      <c r="R20" s="0" t="n">
        <f aca="false">PERCENTILE($Q$2:$Q$800,0.75)</f>
        <v>0.667715717403612</v>
      </c>
      <c r="S20" s="1" t="b">
        <f aca="false">OR(Q20&gt;=R20,AND(B20="CW",COUNT(J20:L20)&lt;3))</f>
        <v>0</v>
      </c>
      <c r="T20" s="0" t="n">
        <v>0.177204054279853</v>
      </c>
      <c r="U20" s="0" t="n">
        <v>9.74579643583842</v>
      </c>
      <c r="V20" s="0" t="n">
        <v>0.499350827306797</v>
      </c>
      <c r="W20" s="0" t="n">
        <f aca="false">Q20-V20</f>
        <v>0</v>
      </c>
    </row>
    <row r="21" customFormat="false" ht="15" hidden="false" customHeight="false" outlineLevel="0" collapsed="false">
      <c r="A21" s="0" t="s">
        <v>55</v>
      </c>
      <c r="B21" s="0" t="s">
        <v>3013</v>
      </c>
      <c r="C21" s="0" t="n">
        <v>31.5383925681348</v>
      </c>
      <c r="D21" s="0" t="n">
        <f aca="false">SUMPRODUCT(Risk_Inputs!B21:AJ21,Risk_Coefs!$B$2:$AJ$2)</f>
        <v>-0.531362782649819</v>
      </c>
      <c r="E21" s="0" t="n">
        <f aca="false">1/(1+EXP(-MAX(-25,MIN(25,D21))))</f>
        <v>0.370199096741249</v>
      </c>
      <c r="F21" s="0" t="n">
        <f aca="false">SUMPRODUCT(Risk_Inputs!B21:AJ21,Risk_Coefs!$B$3:$AJ$3)</f>
        <v>9.74791556647192</v>
      </c>
      <c r="G21" s="0" t="n">
        <f aca="false">MAX(0,F21)</f>
        <v>9.74791556647192</v>
      </c>
      <c r="H21" s="0" t="n">
        <f aca="false">(SUMPRODUCT(--ISNUMBER($E$2:$E$800),--($E$2:$E$800&lt;E21))+(SUMPRODUCT(--ISNUMBER($E$2:$E$800),--($E$2:$E$800=E21))+1)/2)/COUNT($E$2:$E$800)</f>
        <v>0.873591989987484</v>
      </c>
      <c r="I21" s="0" t="n">
        <f aca="false">(SUMPRODUCT(--ISNUMBER($G$2:$G$800),--($G$2:$G$800&lt;G21))+(SUMPRODUCT(--ISNUMBER($G$2:$G$800),--($G$2:$G$800=G21))+1)/2)/COUNT($G$2:$G$800)</f>
        <v>0.759699624530663</v>
      </c>
      <c r="J21" s="0" t="n">
        <v>11.3833083603682</v>
      </c>
      <c r="K21" s="0" t="n">
        <v>1.62307333021952</v>
      </c>
      <c r="L21" s="0" t="n">
        <v>0.455394675385331</v>
      </c>
      <c r="M21" s="0" t="n">
        <f aca="false">IF(OR(B21="NW",COUNT(Risk_Rank_Keys!B21)=0),0.5,(SUMPRODUCT(--ISNUMBER(Risk_Rank_Keys!$B$2:$B$800),--(Risk_Rank_Keys!$B$2:$B$800&lt;Risk_Rank_Keys!B21))+(SUMPRODUCT(--ISNUMBER(Risk_Rank_Keys!$B$2:$B$800),--(Risk_Rank_Keys!$B$2:$B$800=Risk_Rank_Keys!B21))+1)/2)/COUNT(Risk_Rank_Keys!$B$2:$B$800))</f>
        <v>0.564853556485356</v>
      </c>
      <c r="N21" s="0" t="n">
        <f aca="false">IF(OR(B21="NW",COUNT(Risk_Rank_Keys!C21)=0),0.5,(SUMPRODUCT(--ISNUMBER(Risk_Rank_Keys!$C$2:$C$800),--(Risk_Rank_Keys!$C$2:$C$800&lt;Risk_Rank_Keys!C21))+(SUMPRODUCT(--ISNUMBER(Risk_Rank_Keys!$C$2:$C$800),--(Risk_Rank_Keys!$C$2:$C$800=Risk_Rank_Keys!C21))+1)/2)/COUNT(Risk_Rank_Keys!$C$2:$C$800))</f>
        <v>0.165969316596932</v>
      </c>
      <c r="O21" s="0" t="n">
        <f aca="false">IF(OR(B21="NW",COUNT(Risk_Rank_Keys!D21)=0),0.5,(SUMPRODUCT(--ISNUMBER(Risk_Rank_Keys!$D$2:$D$800),--(Risk_Rank_Keys!$D$2:$D$800&lt;Risk_Rank_Keys!D21))+(SUMPRODUCT(--ISNUMBER(Risk_Rank_Keys!$D$2:$D$800),--(Risk_Rank_Keys!$D$2:$D$800=Risk_Rank_Keys!D21))+1)/2)/COUNT(Risk_Rank_Keys!$D$2:$D$800))</f>
        <v>0.926080892608089</v>
      </c>
      <c r="P21" s="0" t="n">
        <f aca="false">AVERAGE(M21:O21)</f>
        <v>0.552301255230126</v>
      </c>
      <c r="Q21" s="0" t="n">
        <f aca="false">0.4*H21+0.4*I21+0.2*P21</f>
        <v>0.763776896853284</v>
      </c>
      <c r="R21" s="0" t="n">
        <f aca="false">PERCENTILE($Q$2:$Q$800,0.75)</f>
        <v>0.667715717403612</v>
      </c>
      <c r="S21" s="1" t="b">
        <f aca="false">OR(Q21&gt;=R21,AND(B21="CW",COUNT(J21:L21)&lt;3))</f>
        <v>1</v>
      </c>
      <c r="T21" s="0" t="n">
        <v>0.370199096741249</v>
      </c>
      <c r="U21" s="0" t="n">
        <v>9.74791556647192</v>
      </c>
      <c r="V21" s="0" t="n">
        <v>0.763776896853284</v>
      </c>
      <c r="W21" s="0" t="n">
        <f aca="false">Q21-V21</f>
        <v>0</v>
      </c>
    </row>
    <row r="22" customFormat="false" ht="15" hidden="false" customHeight="false" outlineLevel="0" collapsed="false">
      <c r="A22" s="0" t="s">
        <v>56</v>
      </c>
      <c r="B22" s="0" t="s">
        <v>3013</v>
      </c>
      <c r="C22" s="0" t="n">
        <v>54.1129662970881</v>
      </c>
      <c r="D22" s="0" t="n">
        <f aca="false">SUMPRODUCT(Risk_Inputs!B22:AJ22,Risk_Coefs!$B$2:$AJ$2)</f>
        <v>-1.31982778609149</v>
      </c>
      <c r="E22" s="0" t="n">
        <f aca="false">1/(1+EXP(-MAX(-25,MIN(25,D22))))</f>
        <v>0.210846946811232</v>
      </c>
      <c r="F22" s="0" t="n">
        <f aca="false">SUMPRODUCT(Risk_Inputs!B22:AJ22,Risk_Coefs!$B$3:$AJ$3)</f>
        <v>5.30596218912004</v>
      </c>
      <c r="G22" s="0" t="n">
        <f aca="false">MAX(0,F22)</f>
        <v>5.30596218912004</v>
      </c>
      <c r="H22" s="0" t="n">
        <f aca="false">(SUMPRODUCT(--ISNUMBER($E$2:$E$800),--($E$2:$E$800&lt;E22))+(SUMPRODUCT(--ISNUMBER($E$2:$E$800),--($E$2:$E$800=E22))+1)/2)/COUNT($E$2:$E$800)</f>
        <v>0.123904881101377</v>
      </c>
      <c r="I22" s="0" t="n">
        <f aca="false">(SUMPRODUCT(--ISNUMBER($G$2:$G$800),--($G$2:$G$800&lt;G22))+(SUMPRODUCT(--ISNUMBER($G$2:$G$800),--($G$2:$G$800=G22))+1)/2)/COUNT($G$2:$G$800)</f>
        <v>0.173967459324155</v>
      </c>
      <c r="J22" s="0" t="n">
        <v>35.667553800269</v>
      </c>
      <c r="K22" s="0" t="n">
        <v>3.15441363520732</v>
      </c>
      <c r="L22" s="0" t="n">
        <v>0.635970490969226</v>
      </c>
      <c r="M22" s="0" t="n">
        <f aca="false">IF(OR(B22="NW",COUNT(Risk_Rank_Keys!B22)=0),0.5,(SUMPRODUCT(--ISNUMBER(Risk_Rank_Keys!$B$2:$B$800),--(Risk_Rank_Keys!$B$2:$B$800&lt;Risk_Rank_Keys!B22))+(SUMPRODUCT(--ISNUMBER(Risk_Rank_Keys!$B$2:$B$800),--(Risk_Rank_Keys!$B$2:$B$800=Risk_Rank_Keys!B22))+1)/2)/COUNT(Risk_Rank_Keys!$B$2:$B$800))</f>
        <v>0.933054393305439</v>
      </c>
      <c r="N22" s="0" t="n">
        <f aca="false">IF(OR(B22="NW",COUNT(Risk_Rank_Keys!C22)=0),0.5,(SUMPRODUCT(--ISNUMBER(Risk_Rank_Keys!$C$2:$C$800),--(Risk_Rank_Keys!$C$2:$C$800&lt;Risk_Rank_Keys!C22))+(SUMPRODUCT(--ISNUMBER(Risk_Rank_Keys!$C$2:$C$800),--(Risk_Rank_Keys!$C$2:$C$800=Risk_Rank_Keys!C22))+1)/2)/COUNT(Risk_Rank_Keys!$C$2:$C$800))</f>
        <v>0.488145048814505</v>
      </c>
      <c r="O22" s="0" t="n">
        <f aca="false">IF(OR(B22="NW",COUNT(Risk_Rank_Keys!D22)=0),0.5,(SUMPRODUCT(--ISNUMBER(Risk_Rank_Keys!$D$2:$D$800),--(Risk_Rank_Keys!$D$2:$D$800&lt;Risk_Rank_Keys!D22))+(SUMPRODUCT(--ISNUMBER(Risk_Rank_Keys!$D$2:$D$800),--(Risk_Rank_Keys!$D$2:$D$800=Risk_Rank_Keys!D22))+1)/2)/COUNT(Risk_Rank_Keys!$D$2:$D$800))</f>
        <v>0.98186889818689</v>
      </c>
      <c r="P22" s="0" t="n">
        <f aca="false">AVERAGE(M22:O22)</f>
        <v>0.801022780102278</v>
      </c>
      <c r="Q22" s="0" t="n">
        <f aca="false">0.4*H22+0.4*I22+0.2*P22</f>
        <v>0.279353492190668</v>
      </c>
      <c r="R22" s="0" t="n">
        <f aca="false">PERCENTILE($Q$2:$Q$800,0.75)</f>
        <v>0.667715717403612</v>
      </c>
      <c r="S22" s="1" t="b">
        <f aca="false">OR(Q22&gt;=R22,AND(B22="CW",COUNT(J22:L22)&lt;3))</f>
        <v>0</v>
      </c>
      <c r="T22" s="0" t="n">
        <v>0.210846946811232</v>
      </c>
      <c r="U22" s="0" t="n">
        <v>5.30596218912004</v>
      </c>
      <c r="V22" s="0" t="n">
        <v>0.279353492190668</v>
      </c>
      <c r="W22" s="0" t="n">
        <f aca="false">Q22-V22</f>
        <v>0</v>
      </c>
    </row>
    <row r="23" customFormat="false" ht="15" hidden="false" customHeight="false" outlineLevel="0" collapsed="false">
      <c r="A23" s="0" t="s">
        <v>57</v>
      </c>
      <c r="B23" s="0" t="s">
        <v>3013</v>
      </c>
      <c r="C23" s="0" t="n">
        <v>47.128968809346</v>
      </c>
      <c r="D23" s="0" t="n">
        <f aca="false">SUMPRODUCT(Risk_Inputs!B23:AJ23,Risk_Coefs!$B$2:$AJ$2)</f>
        <v>-0.903748209534439</v>
      </c>
      <c r="E23" s="0" t="n">
        <f aca="false">1/(1+EXP(-MAX(-25,MIN(25,D23))))</f>
        <v>0.2882808486129</v>
      </c>
      <c r="F23" s="0" t="n">
        <f aca="false">SUMPRODUCT(Risk_Inputs!B23:AJ23,Risk_Coefs!$B$3:$AJ$3)</f>
        <v>9.79783012982124</v>
      </c>
      <c r="G23" s="0" t="n">
        <f aca="false">MAX(0,F23)</f>
        <v>9.79783012982124</v>
      </c>
      <c r="H23" s="0" t="n">
        <f aca="false">(SUMPRODUCT(--ISNUMBER($E$2:$E$800),--($E$2:$E$800&lt;E23))+(SUMPRODUCT(--ISNUMBER($E$2:$E$800),--($E$2:$E$800=E23))+1)/2)/COUNT($E$2:$E$800)</f>
        <v>0.51063829787234</v>
      </c>
      <c r="I23" s="0" t="n">
        <f aca="false">(SUMPRODUCT(--ISNUMBER($G$2:$G$800),--($G$2:$G$800&lt;G23))+(SUMPRODUCT(--ISNUMBER($G$2:$G$800),--($G$2:$G$800=G23))+1)/2)/COUNT($G$2:$G$800)</f>
        <v>0.764705882352941</v>
      </c>
      <c r="J23" s="0" t="n">
        <v>26.1009758167154</v>
      </c>
      <c r="K23" s="0" t="n">
        <v>12.2528111671191</v>
      </c>
      <c r="L23" s="0" t="n">
        <v>0.387747188832892</v>
      </c>
      <c r="M23" s="0" t="n">
        <f aca="false">IF(OR(B23="NW",COUNT(Risk_Rank_Keys!B23)=0),0.5,(SUMPRODUCT(--ISNUMBER(Risk_Rank_Keys!$B$2:$B$800),--(Risk_Rank_Keys!$B$2:$B$800&lt;Risk_Rank_Keys!B23))+(SUMPRODUCT(--ISNUMBER(Risk_Rank_Keys!$B$2:$B$800),--(Risk_Rank_Keys!$B$2:$B$800=Risk_Rank_Keys!B23))+1)/2)/COUNT(Risk_Rank_Keys!$B$2:$B$800))</f>
        <v>0.870292887029289</v>
      </c>
      <c r="N23" s="0" t="n">
        <f aca="false">IF(OR(B23="NW",COUNT(Risk_Rank_Keys!C23)=0),0.5,(SUMPRODUCT(--ISNUMBER(Risk_Rank_Keys!$C$2:$C$800),--(Risk_Rank_Keys!$C$2:$C$800&lt;Risk_Rank_Keys!C23))+(SUMPRODUCT(--ISNUMBER(Risk_Rank_Keys!$C$2:$C$800),--(Risk_Rank_Keys!$C$2:$C$800=Risk_Rank_Keys!C23))+1)/2)/COUNT(Risk_Rank_Keys!$C$2:$C$800))</f>
        <v>0.905160390516039</v>
      </c>
      <c r="O23" s="0" t="n">
        <f aca="false">IF(OR(B23="NW",COUNT(Risk_Rank_Keys!D23)=0),0.5,(SUMPRODUCT(--ISNUMBER(Risk_Rank_Keys!$D$2:$D$800),--(Risk_Rank_Keys!$D$2:$D$800&lt;Risk_Rank_Keys!D23))+(SUMPRODUCT(--ISNUMBER(Risk_Rank_Keys!$D$2:$D$800),--(Risk_Rank_Keys!$D$2:$D$800=Risk_Rank_Keys!D23))+1)/2)/COUNT(Risk_Rank_Keys!$D$2:$D$800))</f>
        <v>0.871687587168759</v>
      </c>
      <c r="P23" s="0" t="n">
        <f aca="false">AVERAGE(M23:O23)</f>
        <v>0.882380288238029</v>
      </c>
      <c r="Q23" s="0" t="n">
        <f aca="false">0.4*H23+0.4*I23+0.2*P23</f>
        <v>0.686613729737718</v>
      </c>
      <c r="R23" s="0" t="n">
        <f aca="false">PERCENTILE($Q$2:$Q$800,0.75)</f>
        <v>0.667715717403612</v>
      </c>
      <c r="S23" s="1" t="b">
        <f aca="false">OR(Q23&gt;=R23,AND(B23="CW",COUNT(J23:L23)&lt;3))</f>
        <v>1</v>
      </c>
      <c r="T23" s="0" t="n">
        <v>0.2882808486129</v>
      </c>
      <c r="U23" s="0" t="n">
        <v>9.79783012982124</v>
      </c>
      <c r="V23" s="0" t="n">
        <v>0.686613729737718</v>
      </c>
      <c r="W23" s="0" t="n">
        <f aca="false">Q23-V23</f>
        <v>0</v>
      </c>
    </row>
    <row r="24" customFormat="false" ht="15" hidden="false" customHeight="false" outlineLevel="0" collapsed="false">
      <c r="A24" s="0" t="s">
        <v>58</v>
      </c>
      <c r="B24" s="0" t="s">
        <v>3013</v>
      </c>
      <c r="C24" s="0" t="n">
        <v>-33.6631031768242</v>
      </c>
      <c r="D24" s="0" t="n">
        <f aca="false">SUMPRODUCT(Risk_Inputs!B24:AJ24,Risk_Coefs!$B$2:$AJ$2)</f>
        <v>-1.46791313937363</v>
      </c>
      <c r="E24" s="0" t="n">
        <f aca="false">1/(1+EXP(-MAX(-25,MIN(25,D24))))</f>
        <v>0.187260013745748</v>
      </c>
      <c r="F24" s="0" t="n">
        <f aca="false">SUMPRODUCT(Risk_Inputs!B24:AJ24,Risk_Coefs!$B$3:$AJ$3)</f>
        <v>7.57894642120676</v>
      </c>
      <c r="G24" s="0" t="n">
        <f aca="false">MAX(0,F24)</f>
        <v>7.57894642120676</v>
      </c>
      <c r="H24" s="0" t="n">
        <f aca="false">(SUMPRODUCT(--ISNUMBER($E$2:$E$800),--($E$2:$E$800&lt;E24))+(SUMPRODUCT(--ISNUMBER($E$2:$E$800),--($E$2:$E$800=E24))+1)/2)/COUNT($E$2:$E$800)</f>
        <v>0.0788485607008761</v>
      </c>
      <c r="I24" s="0" t="n">
        <f aca="false">(SUMPRODUCT(--ISNUMBER($G$2:$G$800),--($G$2:$G$800&lt;G24))+(SUMPRODUCT(--ISNUMBER($G$2:$G$800),--($G$2:$G$800=G24))+1)/2)/COUNT($G$2:$G$800)</f>
        <v>0.495619524405507</v>
      </c>
      <c r="J24" s="0" t="n">
        <v>18.3714035216881</v>
      </c>
      <c r="K24" s="0" t="n">
        <v>8.58734333900665</v>
      </c>
      <c r="L24" s="0" t="n">
        <v>0.618907628036516</v>
      </c>
      <c r="M24" s="0" t="n">
        <f aca="false">IF(OR(B24="NW",COUNT(Risk_Rank_Keys!B24)=0),0.5,(SUMPRODUCT(--ISNUMBER(Risk_Rank_Keys!$B$2:$B$800),--(Risk_Rank_Keys!$B$2:$B$800&lt;Risk_Rank_Keys!B24))+(SUMPRODUCT(--ISNUMBER(Risk_Rank_Keys!$B$2:$B$800),--(Risk_Rank_Keys!$B$2:$B$800=Risk_Rank_Keys!B24))+1)/2)/COUNT(Risk_Rank_Keys!$B$2:$B$800))</f>
        <v>0.771269177126918</v>
      </c>
      <c r="N24" s="0" t="n">
        <f aca="false">IF(OR(B24="NW",COUNT(Risk_Rank_Keys!C24)=0),0.5,(SUMPRODUCT(--ISNUMBER(Risk_Rank_Keys!$C$2:$C$800),--(Risk_Rank_Keys!$C$2:$C$800&lt;Risk_Rank_Keys!C24))+(SUMPRODUCT(--ISNUMBER(Risk_Rank_Keys!$C$2:$C$800),--(Risk_Rank_Keys!$C$2:$C$800=Risk_Rank_Keys!C24))+1)/2)/COUNT(Risk_Rank_Keys!$C$2:$C$800))</f>
        <v>0.841004184100418</v>
      </c>
      <c r="O24" s="0" t="n">
        <f aca="false">IF(OR(B24="NW",COUNT(Risk_Rank_Keys!D24)=0),0.5,(SUMPRODUCT(--ISNUMBER(Risk_Rank_Keys!$D$2:$D$800),--(Risk_Rank_Keys!$D$2:$D$800&lt;Risk_Rank_Keys!D24))+(SUMPRODUCT(--ISNUMBER(Risk_Rank_Keys!$D$2:$D$800),--(Risk_Rank_Keys!$D$2:$D$800=Risk_Rank_Keys!D24))+1)/2)/COUNT(Risk_Rank_Keys!$D$2:$D$800))</f>
        <v>0.98047419804742</v>
      </c>
      <c r="P24" s="0" t="n">
        <f aca="false">AVERAGE(M24:O24)</f>
        <v>0.864249186424919</v>
      </c>
      <c r="Q24" s="0" t="n">
        <f aca="false">0.4*H24+0.4*I24+0.2*P24</f>
        <v>0.402637071327537</v>
      </c>
      <c r="R24" s="0" t="n">
        <f aca="false">PERCENTILE($Q$2:$Q$800,0.75)</f>
        <v>0.667715717403612</v>
      </c>
      <c r="S24" s="1" t="b">
        <f aca="false">OR(Q24&gt;=R24,AND(B24="CW",COUNT(J24:L24)&lt;3))</f>
        <v>0</v>
      </c>
      <c r="T24" s="0" t="n">
        <v>0.187260013745748</v>
      </c>
      <c r="U24" s="0" t="n">
        <v>7.57894642120676</v>
      </c>
      <c r="V24" s="0" t="n">
        <v>0.402637071327537</v>
      </c>
      <c r="W24" s="0" t="n">
        <f aca="false">Q24-V24</f>
        <v>0</v>
      </c>
    </row>
    <row r="25" customFormat="false" ht="15" hidden="false" customHeight="false" outlineLevel="0" collapsed="false">
      <c r="A25" s="0" t="s">
        <v>59</v>
      </c>
      <c r="B25" s="0" t="s">
        <v>3013</v>
      </c>
      <c r="C25" s="0" t="n">
        <v>57.1293490803808</v>
      </c>
      <c r="D25" s="0" t="n">
        <f aca="false">SUMPRODUCT(Risk_Inputs!B25:AJ25,Risk_Coefs!$B$2:$AJ$2)</f>
        <v>-1.13635172069262</v>
      </c>
      <c r="E25" s="0" t="n">
        <f aca="false">1/(1+EXP(-MAX(-25,MIN(25,D25))))</f>
        <v>0.242990819013773</v>
      </c>
      <c r="F25" s="0" t="n">
        <f aca="false">SUMPRODUCT(Risk_Inputs!B25:AJ25,Risk_Coefs!$B$3:$AJ$3)</f>
        <v>9.19537126495935</v>
      </c>
      <c r="G25" s="0" t="n">
        <f aca="false">MAX(0,F25)</f>
        <v>9.19537126495935</v>
      </c>
      <c r="H25" s="0" t="n">
        <f aca="false">(SUMPRODUCT(--ISNUMBER($E$2:$E$800),--($E$2:$E$800&lt;E25))+(SUMPRODUCT(--ISNUMBER($E$2:$E$800),--($E$2:$E$800=E25))+1)/2)/COUNT($E$2:$E$800)</f>
        <v>0.235294117647059</v>
      </c>
      <c r="I25" s="0" t="n">
        <f aca="false">(SUMPRODUCT(--ISNUMBER($G$2:$G$800),--($G$2:$G$800&lt;G25))+(SUMPRODUCT(--ISNUMBER($G$2:$G$800),--($G$2:$G$800=G25))+1)/2)/COUNT($G$2:$G$800)</f>
        <v>0.702127659574468</v>
      </c>
      <c r="J25" s="0" t="n">
        <v>27.1135980010362</v>
      </c>
      <c r="K25" s="0" t="n">
        <v>6.00652136605459</v>
      </c>
      <c r="L25" s="0" t="n">
        <v>0.514844688518954</v>
      </c>
      <c r="M25" s="0" t="n">
        <f aca="false">IF(OR(B25="NW",COUNT(Risk_Rank_Keys!B25)=0),0.5,(SUMPRODUCT(--ISNUMBER(Risk_Rank_Keys!$B$2:$B$800),--(Risk_Rank_Keys!$B$2:$B$800&lt;Risk_Rank_Keys!B25))+(SUMPRODUCT(--ISNUMBER(Risk_Rank_Keys!$B$2:$B$800),--(Risk_Rank_Keys!$B$2:$B$800=Risk_Rank_Keys!B25))+1)/2)/COUNT(Risk_Rank_Keys!$B$2:$B$800))</f>
        <v>0.885634588563459</v>
      </c>
      <c r="N25" s="0" t="n">
        <f aca="false">IF(OR(B25="NW",COUNT(Risk_Rank_Keys!C25)=0),0.5,(SUMPRODUCT(--ISNUMBER(Risk_Rank_Keys!$C$2:$C$800),--(Risk_Rank_Keys!$C$2:$C$800&lt;Risk_Rank_Keys!C25))+(SUMPRODUCT(--ISNUMBER(Risk_Rank_Keys!$C$2:$C$800),--(Risk_Rank_Keys!$C$2:$C$800=Risk_Rank_Keys!C25))+1)/2)/COUNT(Risk_Rank_Keys!$C$2:$C$800))</f>
        <v>0.744769874476987</v>
      </c>
      <c r="O25" s="0" t="n">
        <f aca="false">IF(OR(B25="NW",COUNT(Risk_Rank_Keys!D25)=0),0.5,(SUMPRODUCT(--ISNUMBER(Risk_Rank_Keys!$D$2:$D$800),--(Risk_Rank_Keys!$D$2:$D$800&lt;Risk_Rank_Keys!D25))+(SUMPRODUCT(--ISNUMBER(Risk_Rank_Keys!$D$2:$D$800),--(Risk_Rank_Keys!$D$2:$D$800=Risk_Rank_Keys!D25))+1)/2)/COUNT(Risk_Rank_Keys!$D$2:$D$800))</f>
        <v>0.95955369595537</v>
      </c>
      <c r="P25" s="0" t="n">
        <f aca="false">AVERAGE(M25:O25)</f>
        <v>0.863319386331939</v>
      </c>
      <c r="Q25" s="0" t="n">
        <f aca="false">0.4*H25+0.4*I25+0.2*P25</f>
        <v>0.547632588154999</v>
      </c>
      <c r="R25" s="0" t="n">
        <f aca="false">PERCENTILE($Q$2:$Q$800,0.75)</f>
        <v>0.667715717403612</v>
      </c>
      <c r="S25" s="1" t="b">
        <f aca="false">OR(Q25&gt;=R25,AND(B25="CW",COUNT(J25:L25)&lt;3))</f>
        <v>0</v>
      </c>
      <c r="T25" s="0" t="n">
        <v>0.242990819013773</v>
      </c>
      <c r="U25" s="0" t="n">
        <v>9.19537126495934</v>
      </c>
      <c r="V25" s="0" t="n">
        <v>0.547632588154999</v>
      </c>
      <c r="W25" s="0" t="n">
        <f aca="false">Q25-V25</f>
        <v>0</v>
      </c>
    </row>
    <row r="26" customFormat="false" ht="15" hidden="false" customHeight="false" outlineLevel="0" collapsed="false">
      <c r="A26" s="0" t="s">
        <v>60</v>
      </c>
      <c r="B26" s="0" t="s">
        <v>3013</v>
      </c>
      <c r="C26" s="0" t="n">
        <v>24.5892835866587</v>
      </c>
      <c r="D26" s="0" t="n">
        <f aca="false">SUMPRODUCT(Risk_Inputs!B26:AJ26,Risk_Coefs!$B$2:$AJ$2)</f>
        <v>-1.31812060614145</v>
      </c>
      <c r="E26" s="0" t="n">
        <f aca="false">1/(1+EXP(-MAX(-25,MIN(25,D26))))</f>
        <v>0.211131145578711</v>
      </c>
      <c r="F26" s="0" t="n">
        <f aca="false">SUMPRODUCT(Risk_Inputs!B26:AJ26,Risk_Coefs!$B$3:$AJ$3)</f>
        <v>5.06039101017865</v>
      </c>
      <c r="G26" s="0" t="n">
        <f aca="false">MAX(0,F26)</f>
        <v>5.06039101017865</v>
      </c>
      <c r="H26" s="0" t="n">
        <f aca="false">(SUMPRODUCT(--ISNUMBER($E$2:$E$800),--($E$2:$E$800&lt;E26))+(SUMPRODUCT(--ISNUMBER($E$2:$E$800),--($E$2:$E$800=E26))+1)/2)/COUNT($E$2:$E$800)</f>
        <v>0.125156445556946</v>
      </c>
      <c r="I26" s="0" t="n">
        <f aca="false">(SUMPRODUCT(--ISNUMBER($G$2:$G$800),--($G$2:$G$800&lt;G26))+(SUMPRODUCT(--ISNUMBER($G$2:$G$800),--($G$2:$G$800=G26))+1)/2)/COUNT($G$2:$G$800)</f>
        <v>0.143929912390488</v>
      </c>
      <c r="J26" s="0" t="n">
        <v>12.9522550801258</v>
      </c>
      <c r="K26" s="0" t="n">
        <v>9.41840277777777</v>
      </c>
      <c r="L26" s="0" t="n">
        <v>0.41232638888889</v>
      </c>
      <c r="M26" s="0" t="n">
        <f aca="false">IF(OR(B26="NW",COUNT(Risk_Rank_Keys!B26)=0),0.5,(SUMPRODUCT(--ISNUMBER(Risk_Rank_Keys!$B$2:$B$800),--(Risk_Rank_Keys!$B$2:$B$800&lt;Risk_Rank_Keys!B26))+(SUMPRODUCT(--ISNUMBER(Risk_Rank_Keys!$B$2:$B$800),--(Risk_Rank_Keys!$B$2:$B$800=Risk_Rank_Keys!B26))+1)/2)/COUNT(Risk_Rank_Keys!$B$2:$B$800))</f>
        <v>0.637377963737796</v>
      </c>
      <c r="N26" s="0" t="n">
        <f aca="false">IF(OR(B26="NW",COUNT(Risk_Rank_Keys!C26)=0),0.5,(SUMPRODUCT(--ISNUMBER(Risk_Rank_Keys!$C$2:$C$800),--(Risk_Rank_Keys!$C$2:$C$800&lt;Risk_Rank_Keys!C26))+(SUMPRODUCT(--ISNUMBER(Risk_Rank_Keys!$C$2:$C$800),--(Risk_Rank_Keys!$C$2:$C$800=Risk_Rank_Keys!C26))+1)/2)/COUNT(Risk_Rank_Keys!$C$2:$C$800))</f>
        <v>0.863319386331939</v>
      </c>
      <c r="O26" s="0" t="n">
        <f aca="false">IF(OR(B26="NW",COUNT(Risk_Rank_Keys!D26)=0),0.5,(SUMPRODUCT(--ISNUMBER(Risk_Rank_Keys!$D$2:$D$800),--(Risk_Rank_Keys!$D$2:$D$800&lt;Risk_Rank_Keys!D26))+(SUMPRODUCT(--ISNUMBER(Risk_Rank_Keys!$D$2:$D$800),--(Risk_Rank_Keys!$D$2:$D$800=Risk_Rank_Keys!D26))+1)/2)/COUNT(Risk_Rank_Keys!$D$2:$D$800))</f>
        <v>0.888423988842399</v>
      </c>
      <c r="P26" s="0" t="n">
        <f aca="false">AVERAGE(M26:O26)</f>
        <v>0.796373779637378</v>
      </c>
      <c r="Q26" s="0" t="n">
        <f aca="false">0.4*H26+0.4*I26+0.2*P26</f>
        <v>0.266909299106449</v>
      </c>
      <c r="R26" s="0" t="n">
        <f aca="false">PERCENTILE($Q$2:$Q$800,0.75)</f>
        <v>0.667715717403612</v>
      </c>
      <c r="S26" s="1" t="b">
        <f aca="false">OR(Q26&gt;=R26,AND(B26="CW",COUNT(J26:L26)&lt;3))</f>
        <v>0</v>
      </c>
      <c r="T26" s="0" t="n">
        <v>0.211131145578711</v>
      </c>
      <c r="U26" s="0" t="n">
        <v>5.06039101017865</v>
      </c>
      <c r="V26" s="0" t="n">
        <v>0.266909299106449</v>
      </c>
      <c r="W26" s="0" t="n">
        <f aca="false">Q26-V26</f>
        <v>0</v>
      </c>
    </row>
    <row r="27" customFormat="false" ht="15" hidden="false" customHeight="false" outlineLevel="0" collapsed="false">
      <c r="A27" s="0" t="s">
        <v>61</v>
      </c>
      <c r="B27" s="0" t="s">
        <v>33</v>
      </c>
      <c r="C27" s="0" t="n">
        <v>48.6873143915053</v>
      </c>
      <c r="D27" s="0" t="n">
        <f aca="false">SUMPRODUCT(Risk_Inputs!B27:AJ27,Risk_Coefs!$B$2:$AJ$2)</f>
        <v>-0.423783124835015</v>
      </c>
      <c r="E27" s="0" t="n">
        <f aca="false">1/(1+EXP(-MAX(-25,MIN(25,D27))))</f>
        <v>0.395611836933229</v>
      </c>
      <c r="F27" s="0" t="n">
        <f aca="false">SUMPRODUCT(Risk_Inputs!B27:AJ27,Risk_Coefs!$B$3:$AJ$3)</f>
        <v>13.9231906666968</v>
      </c>
      <c r="G27" s="0" t="n">
        <f aca="false">MAX(0,F27)</f>
        <v>13.9231906666968</v>
      </c>
      <c r="H27" s="0" t="n">
        <f aca="false">(SUMPRODUCT(--ISNUMBER($E$2:$E$800),--($E$2:$E$800&lt;E27))+(SUMPRODUCT(--ISNUMBER($E$2:$E$800),--($E$2:$E$800=E27))+1)/2)/COUNT($E$2:$E$800)</f>
        <v>0.932415519399249</v>
      </c>
      <c r="I27" s="0" t="n">
        <f aca="false">(SUMPRODUCT(--ISNUMBER($G$2:$G$800),--($G$2:$G$800&lt;G27))+(SUMPRODUCT(--ISNUMBER($G$2:$G$800),--($G$2:$G$800=G27))+1)/2)/COUNT($G$2:$G$800)</f>
        <v>0.972465581977472</v>
      </c>
      <c r="M27" s="0" t="n">
        <f aca="false">IF(OR(B27="NW",COUNT(Risk_Rank_Keys!B27)=0),0.5,(SUMPRODUCT(--ISNUMBER(Risk_Rank_Keys!$B$2:$B$800),--(Risk_Rank_Keys!$B$2:$B$800&lt;Risk_Rank_Keys!B27))+(SUMPRODUCT(--ISNUMBER(Risk_Rank_Keys!$B$2:$B$800),--(Risk_Rank_Keys!$B$2:$B$800=Risk_Rank_Keys!B27))+1)/2)/COUNT(Risk_Rank_Keys!$B$2:$B$800))</f>
        <v>0.5</v>
      </c>
      <c r="N27" s="0" t="n">
        <f aca="false">IF(OR(B27="NW",COUNT(Risk_Rank_Keys!C27)=0),0.5,(SUMPRODUCT(--ISNUMBER(Risk_Rank_Keys!$C$2:$C$800),--(Risk_Rank_Keys!$C$2:$C$800&lt;Risk_Rank_Keys!C27))+(SUMPRODUCT(--ISNUMBER(Risk_Rank_Keys!$C$2:$C$800),--(Risk_Rank_Keys!$C$2:$C$800=Risk_Rank_Keys!C27))+1)/2)/COUNT(Risk_Rank_Keys!$C$2:$C$800))</f>
        <v>0.5</v>
      </c>
      <c r="O27" s="0" t="n">
        <f aca="false">IF(OR(B27="NW",COUNT(Risk_Rank_Keys!D27)=0),0.5,(SUMPRODUCT(--ISNUMBER(Risk_Rank_Keys!$D$2:$D$800),--(Risk_Rank_Keys!$D$2:$D$800&lt;Risk_Rank_Keys!D27))+(SUMPRODUCT(--ISNUMBER(Risk_Rank_Keys!$D$2:$D$800),--(Risk_Rank_Keys!$D$2:$D$800=Risk_Rank_Keys!D27))+1)/2)/COUNT(Risk_Rank_Keys!$D$2:$D$800))</f>
        <v>0.5</v>
      </c>
      <c r="P27" s="0" t="n">
        <f aca="false">AVERAGE(M27:O27)</f>
        <v>0.5</v>
      </c>
      <c r="Q27" s="0" t="n">
        <f aca="false">0.4*H27+0.4*I27+0.2*P27</f>
        <v>0.861952440550688</v>
      </c>
      <c r="R27" s="0" t="n">
        <f aca="false">PERCENTILE($Q$2:$Q$800,0.75)</f>
        <v>0.667715717403612</v>
      </c>
      <c r="S27" s="1" t="b">
        <f aca="false">OR(Q27&gt;=R27,AND(B27="CW",COUNT(J27:L27)&lt;3))</f>
        <v>1</v>
      </c>
      <c r="T27" s="0" t="n">
        <v>0.395611836933229</v>
      </c>
      <c r="U27" s="0" t="n">
        <v>13.9231906666968</v>
      </c>
      <c r="V27" s="0" t="n">
        <v>0.861952440550688</v>
      </c>
      <c r="W27" s="0" t="n">
        <f aca="false">Q27-V27</f>
        <v>0</v>
      </c>
    </row>
    <row r="28" customFormat="false" ht="15" hidden="false" customHeight="false" outlineLevel="0" collapsed="false">
      <c r="A28" s="0" t="s">
        <v>62</v>
      </c>
      <c r="B28" s="0" t="s">
        <v>3013</v>
      </c>
      <c r="C28" s="0" t="n">
        <v>73.8744819493889</v>
      </c>
      <c r="D28" s="0" t="n">
        <f aca="false">SUMPRODUCT(Risk_Inputs!B28:AJ28,Risk_Coefs!$B$2:$AJ$2)</f>
        <v>-0.991163108766911</v>
      </c>
      <c r="E28" s="0" t="n">
        <f aca="false">1/(1+EXP(-MAX(-25,MIN(25,D28))))</f>
        <v>0.270682403115004</v>
      </c>
      <c r="F28" s="0" t="n">
        <f aca="false">SUMPRODUCT(Risk_Inputs!B28:AJ28,Risk_Coefs!$B$3:$AJ$3)</f>
        <v>8.49714838743852</v>
      </c>
      <c r="G28" s="0" t="n">
        <f aca="false">MAX(0,F28)</f>
        <v>8.49714838743852</v>
      </c>
      <c r="H28" s="0" t="n">
        <f aca="false">(SUMPRODUCT(--ISNUMBER($E$2:$E$800),--($E$2:$E$800&lt;E28))+(SUMPRODUCT(--ISNUMBER($E$2:$E$800),--($E$2:$E$800=E28))+1)/2)/COUNT($E$2:$E$800)</f>
        <v>0.39549436795995</v>
      </c>
      <c r="I28" s="0" t="n">
        <f aca="false">(SUMPRODUCT(--ISNUMBER($G$2:$G$800),--($G$2:$G$800&lt;G28))+(SUMPRODUCT(--ISNUMBER($G$2:$G$800),--($G$2:$G$800=G28))+1)/2)/COUNT($G$2:$G$800)</f>
        <v>0.602002503128911</v>
      </c>
      <c r="J28" s="0" t="n">
        <v>10.214775606585</v>
      </c>
      <c r="K28" s="0" t="n">
        <v>4.78813559322034</v>
      </c>
      <c r="L28" s="0" t="n">
        <v>0.381355932203404</v>
      </c>
      <c r="M28" s="0" t="n">
        <f aca="false">IF(OR(B28="NW",COUNT(Risk_Rank_Keys!B28)=0),0.5,(SUMPRODUCT(--ISNUMBER(Risk_Rank_Keys!$B$2:$B$800),--(Risk_Rank_Keys!$B$2:$B$800&lt;Risk_Rank_Keys!B28))+(SUMPRODUCT(--ISNUMBER(Risk_Rank_Keys!$B$2:$B$800),--(Risk_Rank_Keys!$B$2:$B$800=Risk_Rank_Keys!B28))+1)/2)/COUNT(Risk_Rank_Keys!$B$2:$B$800))</f>
        <v>0.516039051603905</v>
      </c>
      <c r="N28" s="0" t="n">
        <f aca="false">IF(OR(B28="NW",COUNT(Risk_Rank_Keys!C28)=0),0.5,(SUMPRODUCT(--ISNUMBER(Risk_Rank_Keys!$C$2:$C$800),--(Risk_Rank_Keys!$C$2:$C$800&lt;Risk_Rank_Keys!C28))+(SUMPRODUCT(--ISNUMBER(Risk_Rank_Keys!$C$2:$C$800),--(Risk_Rank_Keys!$C$2:$C$800=Risk_Rank_Keys!C28))+1)/2)/COUNT(Risk_Rank_Keys!$C$2:$C$800))</f>
        <v>0.672245467224547</v>
      </c>
      <c r="O28" s="0" t="n">
        <f aca="false">IF(OR(B28="NW",COUNT(Risk_Rank_Keys!D28)=0),0.5,(SUMPRODUCT(--ISNUMBER(Risk_Rank_Keys!$D$2:$D$800),--(Risk_Rank_Keys!$D$2:$D$800&lt;Risk_Rank_Keys!D28))+(SUMPRODUCT(--ISNUMBER(Risk_Rank_Keys!$D$2:$D$800),--(Risk_Rank_Keys!$D$2:$D$800=Risk_Rank_Keys!D28))+1)/2)/COUNT(Risk_Rank_Keys!$D$2:$D$800))</f>
        <v>0.868898186889819</v>
      </c>
      <c r="P28" s="0" t="n">
        <f aca="false">AVERAGE(M28:O28)</f>
        <v>0.685727568572757</v>
      </c>
      <c r="Q28" s="0" t="n">
        <f aca="false">0.4*H28+0.4*I28+0.2*P28</f>
        <v>0.536144262150096</v>
      </c>
      <c r="R28" s="0" t="n">
        <f aca="false">PERCENTILE($Q$2:$Q$800,0.75)</f>
        <v>0.667715717403612</v>
      </c>
      <c r="S28" s="1" t="b">
        <f aca="false">OR(Q28&gt;=R28,AND(B28="CW",COUNT(J28:L28)&lt;3))</f>
        <v>0</v>
      </c>
      <c r="T28" s="0" t="n">
        <v>0.270682403115004</v>
      </c>
      <c r="U28" s="0" t="n">
        <v>8.49714838743852</v>
      </c>
      <c r="V28" s="0" t="n">
        <v>0.536144262150096</v>
      </c>
      <c r="W28" s="0" t="n">
        <f aca="false">Q28-V28</f>
        <v>0</v>
      </c>
    </row>
    <row r="29" customFormat="false" ht="15" hidden="false" customHeight="false" outlineLevel="0" collapsed="false">
      <c r="A29" s="0" t="s">
        <v>63</v>
      </c>
      <c r="B29" s="0" t="s">
        <v>3013</v>
      </c>
      <c r="C29" s="0" t="n">
        <v>34.5872469899707</v>
      </c>
      <c r="D29" s="0" t="n">
        <f aca="false">SUMPRODUCT(Risk_Inputs!B29:AJ29,Risk_Coefs!$B$2:$AJ$2)</f>
        <v>-1.33140497974095</v>
      </c>
      <c r="E29" s="0" t="n">
        <f aca="false">1/(1+EXP(-MAX(-25,MIN(25,D29))))</f>
        <v>0.208927060054258</v>
      </c>
      <c r="F29" s="0" t="n">
        <f aca="false">SUMPRODUCT(Risk_Inputs!B29:AJ29,Risk_Coefs!$B$3:$AJ$3)</f>
        <v>6.55764197309293</v>
      </c>
      <c r="G29" s="0" t="n">
        <f aca="false">MAX(0,F29)</f>
        <v>6.55764197309293</v>
      </c>
      <c r="H29" s="0" t="n">
        <f aca="false">(SUMPRODUCT(--ISNUMBER($E$2:$E$800),--($E$2:$E$800&lt;E29))+(SUMPRODUCT(--ISNUMBER($E$2:$E$800),--($E$2:$E$800=E29))+1)/2)/COUNT($E$2:$E$800)</f>
        <v>0.120150187734668</v>
      </c>
      <c r="I29" s="0" t="n">
        <f aca="false">(SUMPRODUCT(--ISNUMBER($G$2:$G$800),--($G$2:$G$800&lt;G29))+(SUMPRODUCT(--ISNUMBER($G$2:$G$800),--($G$2:$G$800=G29))+1)/2)/COUNT($G$2:$G$800)</f>
        <v>0.354192740926158</v>
      </c>
      <c r="J29" s="0" t="n">
        <v>5.88635713416548</v>
      </c>
      <c r="K29" s="0" t="n">
        <v>1.44482571789778</v>
      </c>
      <c r="L29" s="0" t="n">
        <v>0.505689001264214</v>
      </c>
      <c r="M29" s="0" t="n">
        <f aca="false">IF(OR(B29="NW",COUNT(Risk_Rank_Keys!B29)=0),0.5,(SUMPRODUCT(--ISNUMBER(Risk_Rank_Keys!$B$2:$B$800),--(Risk_Rank_Keys!$B$2:$B$800&lt;Risk_Rank_Keys!B29))+(SUMPRODUCT(--ISNUMBER(Risk_Rank_Keys!$B$2:$B$800),--(Risk_Rank_Keys!$B$2:$B$800=Risk_Rank_Keys!B29))+1)/2)/COUNT(Risk_Rank_Keys!$B$2:$B$800))</f>
        <v>0.217573221757322</v>
      </c>
      <c r="N29" s="0" t="n">
        <f aca="false">IF(OR(B29="NW",COUNT(Risk_Rank_Keys!C29)=0),0.5,(SUMPRODUCT(--ISNUMBER(Risk_Rank_Keys!$C$2:$C$800),--(Risk_Rank_Keys!$C$2:$C$800&lt;Risk_Rank_Keys!C29))+(SUMPRODUCT(--ISNUMBER(Risk_Rank_Keys!$C$2:$C$800),--(Risk_Rank_Keys!$C$2:$C$800=Risk_Rank_Keys!C29))+1)/2)/COUNT(Risk_Rank_Keys!$C$2:$C$800))</f>
        <v>0.118549511854951</v>
      </c>
      <c r="O29" s="0" t="n">
        <f aca="false">IF(OR(B29="NW",COUNT(Risk_Rank_Keys!D29)=0),0.5,(SUMPRODUCT(--ISNUMBER(Risk_Rank_Keys!$D$2:$D$800),--(Risk_Rank_Keys!$D$2:$D$800&lt;Risk_Rank_Keys!D29))+(SUMPRODUCT(--ISNUMBER(Risk_Rank_Keys!$D$2:$D$800),--(Risk_Rank_Keys!$D$2:$D$800=Risk_Rank_Keys!D29))+1)/2)/COUNT(Risk_Rank_Keys!$D$2:$D$800))</f>
        <v>0.95397489539749</v>
      </c>
      <c r="P29" s="0" t="n">
        <f aca="false">AVERAGE(M29:O29)</f>
        <v>0.430032543003254</v>
      </c>
      <c r="Q29" s="0" t="n">
        <f aca="false">0.4*H29+0.4*I29+0.2*P29</f>
        <v>0.275743680064981</v>
      </c>
      <c r="R29" s="0" t="n">
        <f aca="false">PERCENTILE($Q$2:$Q$800,0.75)</f>
        <v>0.667715717403612</v>
      </c>
      <c r="S29" s="1" t="b">
        <f aca="false">OR(Q29&gt;=R29,AND(B29="CW",COUNT(J29:L29)&lt;3))</f>
        <v>0</v>
      </c>
      <c r="T29" s="0" t="n">
        <v>0.208927060054258</v>
      </c>
      <c r="U29" s="0" t="n">
        <v>6.55764197309293</v>
      </c>
      <c r="V29" s="0" t="n">
        <v>0.275743680064981</v>
      </c>
      <c r="W29" s="0" t="n">
        <f aca="false">Q29-V29</f>
        <v>0</v>
      </c>
    </row>
    <row r="30" customFormat="false" ht="15" hidden="false" customHeight="false" outlineLevel="0" collapsed="false">
      <c r="A30" s="0" t="s">
        <v>64</v>
      </c>
      <c r="B30" s="0" t="s">
        <v>3013</v>
      </c>
      <c r="C30" s="0" t="n">
        <v>17.7592225556536</v>
      </c>
      <c r="D30" s="0" t="n">
        <f aca="false">SUMPRODUCT(Risk_Inputs!B30:AJ30,Risk_Coefs!$B$2:$AJ$2)</f>
        <v>-1.06761907255762</v>
      </c>
      <c r="E30" s="0" t="n">
        <f aca="false">1/(1+EXP(-MAX(-25,MIN(25,D30))))</f>
        <v>0.255856134364178</v>
      </c>
      <c r="F30" s="0" t="n">
        <f aca="false">SUMPRODUCT(Risk_Inputs!B30:AJ30,Risk_Coefs!$B$3:$AJ$3)</f>
        <v>5.04790093245879</v>
      </c>
      <c r="G30" s="0" t="n">
        <f aca="false">MAX(0,F30)</f>
        <v>5.04790093245879</v>
      </c>
      <c r="H30" s="0" t="n">
        <f aca="false">(SUMPRODUCT(--ISNUMBER($E$2:$E$800),--($E$2:$E$800&lt;E30))+(SUMPRODUCT(--ISNUMBER($E$2:$E$800),--($E$2:$E$800=E30))+1)/2)/COUNT($E$2:$E$800)</f>
        <v>0.30162703379224</v>
      </c>
      <c r="I30" s="0" t="n">
        <f aca="false">(SUMPRODUCT(--ISNUMBER($G$2:$G$800),--($G$2:$G$800&lt;G30))+(SUMPRODUCT(--ISNUMBER($G$2:$G$800),--($G$2:$G$800=G30))+1)/2)/COUNT($G$2:$G$800)</f>
        <v>0.14017521902378</v>
      </c>
      <c r="J30" s="0" t="n">
        <v>7.27773662391044</v>
      </c>
      <c r="K30" s="0" t="n">
        <v>2.28384991843394</v>
      </c>
      <c r="L30" s="0" t="n">
        <v>0.299075584556823</v>
      </c>
      <c r="M30" s="0" t="n">
        <f aca="false">IF(OR(B30="NW",COUNT(Risk_Rank_Keys!B30)=0),0.5,(SUMPRODUCT(--ISNUMBER(Risk_Rank_Keys!$B$2:$B$800),--(Risk_Rank_Keys!$B$2:$B$800&lt;Risk_Rank_Keys!B30))+(SUMPRODUCT(--ISNUMBER(Risk_Rank_Keys!$B$2:$B$800),--(Risk_Rank_Keys!$B$2:$B$800=Risk_Rank_Keys!B30))+1)/2)/COUNT(Risk_Rank_Keys!$B$2:$B$800))</f>
        <v>0.334728033472803</v>
      </c>
      <c r="N30" s="0" t="n">
        <f aca="false">IF(OR(B30="NW",COUNT(Risk_Rank_Keys!C30)=0),0.5,(SUMPRODUCT(--ISNUMBER(Risk_Rank_Keys!$C$2:$C$800),--(Risk_Rank_Keys!$C$2:$C$800&lt;Risk_Rank_Keys!C30))+(SUMPRODUCT(--ISNUMBER(Risk_Rank_Keys!$C$2:$C$800),--(Risk_Rank_Keys!$C$2:$C$800=Risk_Rank_Keys!C30))+1)/2)/COUNT(Risk_Rank_Keys!$C$2:$C$800))</f>
        <v>0.336122733612273</v>
      </c>
      <c r="O30" s="0" t="n">
        <f aca="false">IF(OR(B30="NW",COUNT(Risk_Rank_Keys!D30)=0),0.5,(SUMPRODUCT(--ISNUMBER(Risk_Rank_Keys!$D$2:$D$800),--(Risk_Rank_Keys!$D$2:$D$800&lt;Risk_Rank_Keys!D30))+(SUMPRODUCT(--ISNUMBER(Risk_Rank_Keys!$D$2:$D$800),--(Risk_Rank_Keys!$D$2:$D$800=Risk_Rank_Keys!D30))+1)/2)/COUNT(Risk_Rank_Keys!$D$2:$D$800))</f>
        <v>0.744769874476987</v>
      </c>
      <c r="P30" s="0" t="n">
        <f aca="false">AVERAGE(M30:O30)</f>
        <v>0.471873547187355</v>
      </c>
      <c r="Q30" s="0" t="n">
        <f aca="false">0.4*H30+0.4*I30+0.2*P30</f>
        <v>0.271095610563879</v>
      </c>
      <c r="R30" s="0" t="n">
        <f aca="false">PERCENTILE($Q$2:$Q$800,0.75)</f>
        <v>0.667715717403612</v>
      </c>
      <c r="S30" s="1" t="b">
        <f aca="false">OR(Q30&gt;=R30,AND(B30="CW",COUNT(J30:L30)&lt;3))</f>
        <v>0</v>
      </c>
      <c r="T30" s="0" t="n">
        <v>0.255856134364178</v>
      </c>
      <c r="U30" s="0" t="n">
        <v>5.04790093245879</v>
      </c>
      <c r="V30" s="0" t="n">
        <v>0.271095610563879</v>
      </c>
      <c r="W30" s="0" t="n">
        <f aca="false">Q30-V30</f>
        <v>0</v>
      </c>
    </row>
    <row r="31" customFormat="false" ht="15" hidden="false" customHeight="false" outlineLevel="0" collapsed="false">
      <c r="A31" s="0" t="s">
        <v>65</v>
      </c>
      <c r="B31" s="0" t="s">
        <v>3013</v>
      </c>
      <c r="C31" s="0" t="n">
        <v>-40.839714444965</v>
      </c>
      <c r="D31" s="0" t="n">
        <f aca="false">SUMPRODUCT(Risk_Inputs!B31:AJ31,Risk_Coefs!$B$2:$AJ$2)</f>
        <v>-0.931971158893737</v>
      </c>
      <c r="E31" s="0" t="n">
        <f aca="false">1/(1+EXP(-MAX(-25,MIN(25,D31))))</f>
        <v>0.282524980273032</v>
      </c>
      <c r="F31" s="0" t="n">
        <f aca="false">SUMPRODUCT(Risk_Inputs!B31:AJ31,Risk_Coefs!$B$3:$AJ$3)</f>
        <v>6.77523544210287</v>
      </c>
      <c r="G31" s="0" t="n">
        <f aca="false">MAX(0,F31)</f>
        <v>6.77523544210287</v>
      </c>
      <c r="H31" s="0" t="n">
        <f aca="false">(SUMPRODUCT(--ISNUMBER($E$2:$E$800),--($E$2:$E$800&lt;E31))+(SUMPRODUCT(--ISNUMBER($E$2:$E$800),--($E$2:$E$800=E31))+1)/2)/COUNT($E$2:$E$800)</f>
        <v>0.473091364205257</v>
      </c>
      <c r="I31" s="0" t="n">
        <f aca="false">(SUMPRODUCT(--ISNUMBER($G$2:$G$800),--($G$2:$G$800&lt;G31))+(SUMPRODUCT(--ISNUMBER($G$2:$G$800),--($G$2:$G$800=G31))+1)/2)/COUNT($G$2:$G$800)</f>
        <v>0.390488110137672</v>
      </c>
      <c r="J31" s="0" t="n">
        <v>9.23225001718794</v>
      </c>
      <c r="K31" s="0" t="n">
        <v>2.34995236583045</v>
      </c>
      <c r="L31" s="0" t="n">
        <v>0.476341695776437</v>
      </c>
      <c r="M31" s="0" t="n">
        <f aca="false">IF(OR(B31="NW",COUNT(Risk_Rank_Keys!B31)=0),0.5,(SUMPRODUCT(--ISNUMBER(Risk_Rank_Keys!$B$2:$B$800),--(Risk_Rank_Keys!$B$2:$B$800&lt;Risk_Rank_Keys!B31))+(SUMPRODUCT(--ISNUMBER(Risk_Rank_Keys!$B$2:$B$800),--(Risk_Rank_Keys!$B$2:$B$800=Risk_Rank_Keys!B31))+1)/2)/COUNT(Risk_Rank_Keys!$B$2:$B$800))</f>
        <v>0.458856345885635</v>
      </c>
      <c r="N31" s="0" t="n">
        <f aca="false">IF(OR(B31="NW",COUNT(Risk_Rank_Keys!C31)=0),0.5,(SUMPRODUCT(--ISNUMBER(Risk_Rank_Keys!$C$2:$C$800),--(Risk_Rank_Keys!$C$2:$C$800&lt;Risk_Rank_Keys!C31))+(SUMPRODUCT(--ISNUMBER(Risk_Rank_Keys!$C$2:$C$800),--(Risk_Rank_Keys!$C$2:$C$800=Risk_Rank_Keys!C31))+1)/2)/COUNT(Risk_Rank_Keys!$C$2:$C$800))</f>
        <v>0.351464435146444</v>
      </c>
      <c r="O31" s="0" t="n">
        <f aca="false">IF(OR(B31="NW",COUNT(Risk_Rank_Keys!D31)=0),0.5,(SUMPRODUCT(--ISNUMBER(Risk_Rank_Keys!$D$2:$D$800),--(Risk_Rank_Keys!$D$2:$D$800&lt;Risk_Rank_Keys!D31))+(SUMPRODUCT(--ISNUMBER(Risk_Rank_Keys!$D$2:$D$800),--(Risk_Rank_Keys!$D$2:$D$800=Risk_Rank_Keys!D31))+1)/2)/COUNT(Risk_Rank_Keys!$D$2:$D$800))</f>
        <v>0.944211994421199</v>
      </c>
      <c r="P31" s="0" t="n">
        <f aca="false">AVERAGE(M31:O31)</f>
        <v>0.584844258484426</v>
      </c>
      <c r="Q31" s="0" t="n">
        <f aca="false">0.4*H31+0.4*I31+0.2*P31</f>
        <v>0.462400641434057</v>
      </c>
      <c r="R31" s="0" t="n">
        <f aca="false">PERCENTILE($Q$2:$Q$800,0.75)</f>
        <v>0.667715717403612</v>
      </c>
      <c r="S31" s="1" t="b">
        <f aca="false">OR(Q31&gt;=R31,AND(B31="CW",COUNT(J31:L31)&lt;3))</f>
        <v>0</v>
      </c>
      <c r="T31" s="0" t="n">
        <v>0.282524980273032</v>
      </c>
      <c r="U31" s="0" t="n">
        <v>6.77523544210287</v>
      </c>
      <c r="V31" s="0" t="n">
        <v>0.462400641434057</v>
      </c>
      <c r="W31" s="0" t="n">
        <f aca="false">Q31-V31</f>
        <v>0</v>
      </c>
    </row>
    <row r="32" customFormat="false" ht="15" hidden="false" customHeight="false" outlineLevel="0" collapsed="false">
      <c r="A32" s="0" t="s">
        <v>66</v>
      </c>
      <c r="B32" s="0" t="s">
        <v>3013</v>
      </c>
      <c r="C32" s="0" t="n">
        <v>31.6849925045525</v>
      </c>
      <c r="D32" s="0" t="n">
        <f aca="false">SUMPRODUCT(Risk_Inputs!B32:AJ32,Risk_Coefs!$B$2:$AJ$2)</f>
        <v>-0.967968508735315</v>
      </c>
      <c r="E32" s="0" t="n">
        <f aca="false">1/(1+EXP(-MAX(-25,MIN(25,D32))))</f>
        <v>0.275285606637038</v>
      </c>
      <c r="F32" s="0" t="n">
        <f aca="false">SUMPRODUCT(Risk_Inputs!B32:AJ32,Risk_Coefs!$B$3:$AJ$3)</f>
        <v>8.29891687115817</v>
      </c>
      <c r="G32" s="0" t="n">
        <f aca="false">MAX(0,F32)</f>
        <v>8.29891687115817</v>
      </c>
      <c r="H32" s="0" t="n">
        <f aca="false">(SUMPRODUCT(--ISNUMBER($E$2:$E$800),--($E$2:$E$800&lt;E32))+(SUMPRODUCT(--ISNUMBER($E$2:$E$800),--($E$2:$E$800=E32))+1)/2)/COUNT($E$2:$E$800)</f>
        <v>0.426783479349187</v>
      </c>
      <c r="I32" s="0" t="n">
        <f aca="false">(SUMPRODUCT(--ISNUMBER($G$2:$G$800),--($G$2:$G$800&lt;G32))+(SUMPRODUCT(--ISNUMBER($G$2:$G$800),--($G$2:$G$800=G32))+1)/2)/COUNT($G$2:$G$800)</f>
        <v>0.579474342928661</v>
      </c>
      <c r="J32" s="0" t="n">
        <v>13.2777682832245</v>
      </c>
      <c r="K32" s="0" t="n">
        <v>4.67836257309941</v>
      </c>
      <c r="L32" s="0" t="n">
        <v>0.438596491228066</v>
      </c>
      <c r="M32" s="0" t="n">
        <f aca="false">IF(OR(B32="NW",COUNT(Risk_Rank_Keys!B32)=0),0.5,(SUMPRODUCT(--ISNUMBER(Risk_Rank_Keys!$B$2:$B$800),--(Risk_Rank_Keys!$B$2:$B$800&lt;Risk_Rank_Keys!B32))+(SUMPRODUCT(--ISNUMBER(Risk_Rank_Keys!$B$2:$B$800),--(Risk_Rank_Keys!$B$2:$B$800=Risk_Rank_Keys!B32))+1)/2)/COUNT(Risk_Rank_Keys!$B$2:$B$800))</f>
        <v>0.652719665271967</v>
      </c>
      <c r="N32" s="0" t="n">
        <f aca="false">IF(OR(B32="NW",COUNT(Risk_Rank_Keys!C32)=0),0.5,(SUMPRODUCT(--ISNUMBER(Risk_Rank_Keys!$C$2:$C$800),--(Risk_Rank_Keys!$C$2:$C$800&lt;Risk_Rank_Keys!C32))+(SUMPRODUCT(--ISNUMBER(Risk_Rank_Keys!$C$2:$C$800),--(Risk_Rank_Keys!$C$2:$C$800=Risk_Rank_Keys!C32))+1)/2)/COUNT(Risk_Rank_Keys!$C$2:$C$800))</f>
        <v>0.662482566248257</v>
      </c>
      <c r="O32" s="0" t="n">
        <f aca="false">IF(OR(B32="NW",COUNT(Risk_Rank_Keys!D32)=0),0.5,(SUMPRODUCT(--ISNUMBER(Risk_Rank_Keys!$D$2:$D$800),--(Risk_Rank_Keys!$D$2:$D$800&lt;Risk_Rank_Keys!D32))+(SUMPRODUCT(--ISNUMBER(Risk_Rank_Keys!$D$2:$D$800),--(Risk_Rank_Keys!$D$2:$D$800=Risk_Rank_Keys!D32))+1)/2)/COUNT(Risk_Rank_Keys!$D$2:$D$800))</f>
        <v>0.912133891213389</v>
      </c>
      <c r="P32" s="0" t="n">
        <f aca="false">AVERAGE(M32:O32)</f>
        <v>0.742445374244538</v>
      </c>
      <c r="Q32" s="0" t="n">
        <f aca="false">0.4*H32+0.4*I32+0.2*P32</f>
        <v>0.550992203760046</v>
      </c>
      <c r="R32" s="0" t="n">
        <f aca="false">PERCENTILE($Q$2:$Q$800,0.75)</f>
        <v>0.667715717403612</v>
      </c>
      <c r="S32" s="1" t="b">
        <f aca="false">OR(Q32&gt;=R32,AND(B32="CW",COUNT(J32:L32)&lt;3))</f>
        <v>0</v>
      </c>
      <c r="T32" s="0" t="n">
        <v>0.275285606637038</v>
      </c>
      <c r="U32" s="0" t="n">
        <v>8.29891687115817</v>
      </c>
      <c r="V32" s="0" t="n">
        <v>0.550992203760046</v>
      </c>
      <c r="W32" s="0" t="n">
        <f aca="false">Q32-V32</f>
        <v>0</v>
      </c>
    </row>
    <row r="33" customFormat="false" ht="15" hidden="false" customHeight="false" outlineLevel="0" collapsed="false">
      <c r="A33" s="0" t="s">
        <v>67</v>
      </c>
      <c r="B33" s="0" t="s">
        <v>3013</v>
      </c>
      <c r="C33" s="0" t="n">
        <v>-43.1523144791767</v>
      </c>
      <c r="D33" s="0" t="n">
        <f aca="false">SUMPRODUCT(Risk_Inputs!B33:AJ33,Risk_Coefs!$B$2:$AJ$2)</f>
        <v>-1.44221338394101</v>
      </c>
      <c r="E33" s="0" t="n">
        <f aca="false">1/(1+EXP(-MAX(-25,MIN(25,D33))))</f>
        <v>0.191202827368767</v>
      </c>
      <c r="F33" s="0" t="n">
        <f aca="false">SUMPRODUCT(Risk_Inputs!B33:AJ33,Risk_Coefs!$B$3:$AJ$3)</f>
        <v>4.58331006444336</v>
      </c>
      <c r="G33" s="0" t="n">
        <f aca="false">MAX(0,F33)</f>
        <v>4.58331006444336</v>
      </c>
      <c r="H33" s="0" t="n">
        <f aca="false">(SUMPRODUCT(--ISNUMBER($E$2:$E$800),--($E$2:$E$800&lt;E33))+(SUMPRODUCT(--ISNUMBER($E$2:$E$800),--($E$2:$E$800=E33))+1)/2)/COUNT($E$2:$E$800)</f>
        <v>0.0913642052565707</v>
      </c>
      <c r="I33" s="0" t="n">
        <f aca="false">(SUMPRODUCT(--ISNUMBER($G$2:$G$800),--($G$2:$G$800&lt;G33))+(SUMPRODUCT(--ISNUMBER($G$2:$G$800),--($G$2:$G$800=G33))+1)/2)/COUNT($G$2:$G$800)</f>
        <v>0.0901126408010013</v>
      </c>
      <c r="J33" s="0" t="n">
        <v>24.5916620972712</v>
      </c>
      <c r="K33" s="0" t="n">
        <v>3.94215871922878</v>
      </c>
      <c r="L33" s="0" t="n">
        <v>0.912377345498367</v>
      </c>
      <c r="M33" s="0" t="n">
        <f aca="false">IF(OR(B33="NW",COUNT(Risk_Rank_Keys!B33)=0),0.5,(SUMPRODUCT(--ISNUMBER(Risk_Rank_Keys!$B$2:$B$800),--(Risk_Rank_Keys!$B$2:$B$800&lt;Risk_Rank_Keys!B33))+(SUMPRODUCT(--ISNUMBER(Risk_Rank_Keys!$B$2:$B$800),--(Risk_Rank_Keys!$B$2:$B$800=Risk_Rank_Keys!B33))+1)/2)/COUNT(Risk_Rank_Keys!$B$2:$B$800))</f>
        <v>0.853556485355649</v>
      </c>
      <c r="N33" s="0" t="n">
        <f aca="false">IF(OR(B33="NW",COUNT(Risk_Rank_Keys!C33)=0),0.5,(SUMPRODUCT(--ISNUMBER(Risk_Rank_Keys!$C$2:$C$800),--(Risk_Rank_Keys!$C$2:$C$800&lt;Risk_Rank_Keys!C33))+(SUMPRODUCT(--ISNUMBER(Risk_Rank_Keys!$C$2:$C$800),--(Risk_Rank_Keys!$C$2:$C$800=Risk_Rank_Keys!C33))+1)/2)/COUNT(Risk_Rank_Keys!$C$2:$C$800))</f>
        <v>0.588563458856346</v>
      </c>
      <c r="O33" s="0" t="n">
        <f aca="false">IF(OR(B33="NW",COUNT(Risk_Rank_Keys!D33)=0),0.5,(SUMPRODUCT(--ISNUMBER(Risk_Rank_Keys!$D$2:$D$800),--(Risk_Rank_Keys!$D$2:$D$800&lt;Risk_Rank_Keys!D33))+(SUMPRODUCT(--ISNUMBER(Risk_Rank_Keys!$D$2:$D$800),--(Risk_Rank_Keys!$D$2:$D$800=Risk_Rank_Keys!D33))+1)/2)/COUNT(Risk_Rank_Keys!$D$2:$D$800))</f>
        <v>0.99721059972106</v>
      </c>
      <c r="P33" s="0" t="n">
        <f aca="false">AVERAGE(M33:O33)</f>
        <v>0.813110181311018</v>
      </c>
      <c r="Q33" s="0" t="n">
        <f aca="false">0.4*H33+0.4*I33+0.2*P33</f>
        <v>0.235212774685232</v>
      </c>
      <c r="R33" s="0" t="n">
        <f aca="false">PERCENTILE($Q$2:$Q$800,0.75)</f>
        <v>0.667715717403612</v>
      </c>
      <c r="S33" s="1" t="b">
        <f aca="false">OR(Q33&gt;=R33,AND(B33="CW",COUNT(J33:L33)&lt;3))</f>
        <v>0</v>
      </c>
      <c r="T33" s="0" t="n">
        <v>0.191202827368768</v>
      </c>
      <c r="U33" s="0" t="n">
        <v>4.58331006444336</v>
      </c>
      <c r="V33" s="0" t="n">
        <v>0.235212774685232</v>
      </c>
      <c r="W33" s="0" t="n">
        <f aca="false">Q33-V33</f>
        <v>0</v>
      </c>
    </row>
    <row r="34" customFormat="false" ht="15" hidden="false" customHeight="false" outlineLevel="0" collapsed="false">
      <c r="A34" s="0" t="s">
        <v>68</v>
      </c>
      <c r="B34" s="0" t="s">
        <v>3013</v>
      </c>
      <c r="C34" s="0" t="n">
        <v>-26.6858728968714</v>
      </c>
      <c r="D34" s="0" t="n">
        <f aca="false">SUMPRODUCT(Risk_Inputs!B34:AJ34,Risk_Coefs!$B$2:$AJ$2)</f>
        <v>-1.21225582008435</v>
      </c>
      <c r="E34" s="0" t="n">
        <f aca="false">1/(1+EXP(-MAX(-25,MIN(25,D34))))</f>
        <v>0.229302152976228</v>
      </c>
      <c r="F34" s="0" t="n">
        <f aca="false">SUMPRODUCT(Risk_Inputs!B34:AJ34,Risk_Coefs!$B$3:$AJ$3)</f>
        <v>5.14772669326708</v>
      </c>
      <c r="G34" s="0" t="n">
        <f aca="false">MAX(0,F34)</f>
        <v>5.14772669326708</v>
      </c>
      <c r="H34" s="0" t="n">
        <f aca="false">(SUMPRODUCT(--ISNUMBER($E$2:$E$800),--($E$2:$E$800&lt;E34))+(SUMPRODUCT(--ISNUMBER($E$2:$E$800),--($E$2:$E$800=E34))+1)/2)/COUNT($E$2:$E$800)</f>
        <v>0.168961201501877</v>
      </c>
      <c r="I34" s="0" t="n">
        <f aca="false">(SUMPRODUCT(--ISNUMBER($G$2:$G$800),--($G$2:$G$800&lt;G34))+(SUMPRODUCT(--ISNUMBER($G$2:$G$800),--($G$2:$G$800=G34))+1)/2)/COUNT($G$2:$G$800)</f>
        <v>0.153942428035044</v>
      </c>
      <c r="J34" s="0" t="n">
        <v>23.9280021120814</v>
      </c>
      <c r="K34" s="0" t="n">
        <v>4.45290199809705</v>
      </c>
      <c r="L34" s="0" t="n">
        <v>0.608943862987634</v>
      </c>
      <c r="M34" s="0" t="n">
        <f aca="false">IF(OR(B34="NW",COUNT(Risk_Rank_Keys!B34)=0),0.5,(SUMPRODUCT(--ISNUMBER(Risk_Rank_Keys!$B$2:$B$800),--(Risk_Rank_Keys!$B$2:$B$800&lt;Risk_Rank_Keys!B34))+(SUMPRODUCT(--ISNUMBER(Risk_Rank_Keys!$B$2:$B$800),--(Risk_Rank_Keys!$B$2:$B$800=Risk_Rank_Keys!B34))+1)/2)/COUNT(Risk_Rank_Keys!$B$2:$B$800))</f>
        <v>0.843793584379359</v>
      </c>
      <c r="N34" s="0" t="n">
        <f aca="false">IF(OR(B34="NW",COUNT(Risk_Rank_Keys!C34)=0),0.5,(SUMPRODUCT(--ISNUMBER(Risk_Rank_Keys!$C$2:$C$800),--(Risk_Rank_Keys!$C$2:$C$800&lt;Risk_Rank_Keys!C34))+(SUMPRODUCT(--ISNUMBER(Risk_Rank_Keys!$C$2:$C$800),--(Risk_Rank_Keys!$C$2:$C$800=Risk_Rank_Keys!C34))+1)/2)/COUNT(Risk_Rank_Keys!$C$2:$C$800))</f>
        <v>0.641562064156206</v>
      </c>
      <c r="O34" s="0" t="n">
        <f aca="false">IF(OR(B34="NW",COUNT(Risk_Rank_Keys!D34)=0),0.5,(SUMPRODUCT(--ISNUMBER(Risk_Rank_Keys!$D$2:$D$800),--(Risk_Rank_Keys!$D$2:$D$800&lt;Risk_Rank_Keys!D34))+(SUMPRODUCT(--ISNUMBER(Risk_Rank_Keys!$D$2:$D$800),--(Risk_Rank_Keys!$D$2:$D$800=Risk_Rank_Keys!D34))+1)/2)/COUNT(Risk_Rank_Keys!$D$2:$D$800))</f>
        <v>0.97907949790795</v>
      </c>
      <c r="P34" s="0" t="n">
        <f aca="false">AVERAGE(M34:O34)</f>
        <v>0.821478382147838</v>
      </c>
      <c r="Q34" s="0" t="n">
        <f aca="false">0.4*H34+0.4*I34+0.2*P34</f>
        <v>0.293457128244336</v>
      </c>
      <c r="R34" s="0" t="n">
        <f aca="false">PERCENTILE($Q$2:$Q$800,0.75)</f>
        <v>0.667715717403612</v>
      </c>
      <c r="S34" s="1" t="b">
        <f aca="false">OR(Q34&gt;=R34,AND(B34="CW",COUNT(J34:L34)&lt;3))</f>
        <v>0</v>
      </c>
      <c r="T34" s="0" t="n">
        <v>0.229302152976228</v>
      </c>
      <c r="U34" s="0" t="n">
        <v>5.14772669326708</v>
      </c>
      <c r="V34" s="0" t="n">
        <v>0.293457128244336</v>
      </c>
      <c r="W34" s="0" t="n">
        <f aca="false">Q34-V34</f>
        <v>0</v>
      </c>
    </row>
    <row r="35" customFormat="false" ht="15" hidden="false" customHeight="false" outlineLevel="0" collapsed="false">
      <c r="A35" s="0" t="s">
        <v>69</v>
      </c>
      <c r="B35" s="0" t="s">
        <v>3013</v>
      </c>
      <c r="C35" s="0" t="n">
        <v>32.4216883868959</v>
      </c>
      <c r="D35" s="0" t="n">
        <f aca="false">SUMPRODUCT(Risk_Inputs!B35:AJ35,Risk_Coefs!$B$2:$AJ$2)</f>
        <v>-0.820788993919966</v>
      </c>
      <c r="E35" s="0" t="n">
        <f aca="false">1/(1+EXP(-MAX(-25,MIN(25,D35))))</f>
        <v>0.305596204053443</v>
      </c>
      <c r="F35" s="0" t="n">
        <f aca="false">SUMPRODUCT(Risk_Inputs!B35:AJ35,Risk_Coefs!$B$3:$AJ$3)</f>
        <v>9.07145247444691</v>
      </c>
      <c r="G35" s="0" t="n">
        <f aca="false">MAX(0,F35)</f>
        <v>9.07145247444691</v>
      </c>
      <c r="H35" s="0" t="n">
        <f aca="false">(SUMPRODUCT(--ISNUMBER($E$2:$E$800),--($E$2:$E$800&lt;E35))+(SUMPRODUCT(--ISNUMBER($E$2:$E$800),--($E$2:$E$800=E35))+1)/2)/COUNT($E$2:$E$800)</f>
        <v>0.594493116395494</v>
      </c>
      <c r="I35" s="0" t="n">
        <f aca="false">(SUMPRODUCT(--ISNUMBER($G$2:$G$800),--($G$2:$G$800&lt;G35))+(SUMPRODUCT(--ISNUMBER($G$2:$G$800),--($G$2:$G$800=G35))+1)/2)/COUNT($G$2:$G$800)</f>
        <v>0.688360450563204</v>
      </c>
      <c r="J35" s="0" t="n">
        <v>9.40794698826343</v>
      </c>
      <c r="K35" s="0" t="n">
        <v>1.68456517161508</v>
      </c>
      <c r="L35" s="0" t="n">
        <v>0.421141292903769</v>
      </c>
      <c r="M35" s="0" t="n">
        <f aca="false">IF(OR(B35="NW",COUNT(Risk_Rank_Keys!B35)=0),0.5,(SUMPRODUCT(--ISNUMBER(Risk_Rank_Keys!$B$2:$B$800),--(Risk_Rank_Keys!$B$2:$B$800&lt;Risk_Rank_Keys!B35))+(SUMPRODUCT(--ISNUMBER(Risk_Rank_Keys!$B$2:$B$800),--(Risk_Rank_Keys!$B$2:$B$800=Risk_Rank_Keys!B35))+1)/2)/COUNT(Risk_Rank_Keys!$B$2:$B$800))</f>
        <v>0.471408647140865</v>
      </c>
      <c r="N35" s="0" t="n">
        <f aca="false">IF(OR(B35="NW",COUNT(Risk_Rank_Keys!C35)=0),0.5,(SUMPRODUCT(--ISNUMBER(Risk_Rank_Keys!$C$2:$C$800),--(Risk_Rank_Keys!$C$2:$C$800&lt;Risk_Rank_Keys!C35))+(SUMPRODUCT(--ISNUMBER(Risk_Rank_Keys!$C$2:$C$800),--(Risk_Rank_Keys!$C$2:$C$800=Risk_Rank_Keys!C35))+1)/2)/COUNT(Risk_Rank_Keys!$C$2:$C$800))</f>
        <v>0.184100418410042</v>
      </c>
      <c r="O35" s="0" t="n">
        <f aca="false">IF(OR(B35="NW",COUNT(Risk_Rank_Keys!D35)=0),0.5,(SUMPRODUCT(--ISNUMBER(Risk_Rank_Keys!$D$2:$D$800),--(Risk_Rank_Keys!$D$2:$D$800&lt;Risk_Rank_Keys!D35))+(SUMPRODUCT(--ISNUMBER(Risk_Rank_Keys!$D$2:$D$800),--(Risk_Rank_Keys!$D$2:$D$800=Risk_Rank_Keys!D35))+1)/2)/COUNT(Risk_Rank_Keys!$D$2:$D$800))</f>
        <v>0.898186889818689</v>
      </c>
      <c r="P35" s="0" t="n">
        <f aca="false">AVERAGE(M35:O35)</f>
        <v>0.517898651789865</v>
      </c>
      <c r="Q35" s="0" t="n">
        <f aca="false">0.4*H35+0.4*I35+0.2*P35</f>
        <v>0.616721157141453</v>
      </c>
      <c r="R35" s="0" t="n">
        <f aca="false">PERCENTILE($Q$2:$Q$800,0.75)</f>
        <v>0.667715717403612</v>
      </c>
      <c r="S35" s="1" t="b">
        <f aca="false">OR(Q35&gt;=R35,AND(B35="CW",COUNT(J35:L35)&lt;3))</f>
        <v>0</v>
      </c>
      <c r="T35" s="0" t="n">
        <v>0.305596204053443</v>
      </c>
      <c r="U35" s="0" t="n">
        <v>9.07145247444691</v>
      </c>
      <c r="V35" s="0" t="n">
        <v>0.616721157141453</v>
      </c>
      <c r="W35" s="0" t="n">
        <f aca="false">Q35-V35</f>
        <v>0</v>
      </c>
    </row>
    <row r="36" customFormat="false" ht="15" hidden="false" customHeight="false" outlineLevel="0" collapsed="false">
      <c r="A36" s="0" t="s">
        <v>70</v>
      </c>
      <c r="B36" s="0" t="s">
        <v>3013</v>
      </c>
      <c r="C36" s="0" t="n">
        <v>279.436836970576</v>
      </c>
      <c r="D36" s="0" t="n">
        <f aca="false">SUMPRODUCT(Risk_Inputs!B36:AJ36,Risk_Coefs!$B$2:$AJ$2)</f>
        <v>-1.36791378900928</v>
      </c>
      <c r="E36" s="0" t="n">
        <f aca="false">1/(1+EXP(-MAX(-25,MIN(25,D36))))</f>
        <v>0.202957114320102</v>
      </c>
      <c r="F36" s="0" t="n">
        <f aca="false">SUMPRODUCT(Risk_Inputs!B36:AJ36,Risk_Coefs!$B$3:$AJ$3)</f>
        <v>4.11210119985135</v>
      </c>
      <c r="G36" s="0" t="n">
        <f aca="false">MAX(0,F36)</f>
        <v>4.11210119985135</v>
      </c>
      <c r="H36" s="0" t="n">
        <f aca="false">(SUMPRODUCT(--ISNUMBER($E$2:$E$800),--($E$2:$E$800&lt;E36))+(SUMPRODUCT(--ISNUMBER($E$2:$E$800),--($E$2:$E$800=E36))+1)/2)/COUNT($E$2:$E$800)</f>
        <v>0.107634543178974</v>
      </c>
      <c r="I36" s="0" t="n">
        <f aca="false">(SUMPRODUCT(--ISNUMBER($G$2:$G$800),--($G$2:$G$800&lt;G36))+(SUMPRODUCT(--ISNUMBER($G$2:$G$800),--($G$2:$G$800=G36))+1)/2)/COUNT($G$2:$G$800)</f>
        <v>0.0588235294117647</v>
      </c>
      <c r="J36" s="0" t="n">
        <v>18.3637585624002</v>
      </c>
      <c r="K36" s="0" t="n">
        <v>10.0777345918934</v>
      </c>
      <c r="L36" s="0" t="n">
        <v>0.444197667962249</v>
      </c>
      <c r="M36" s="0" t="n">
        <f aca="false">IF(OR(B36="NW",COUNT(Risk_Rank_Keys!B36)=0),0.5,(SUMPRODUCT(--ISNUMBER(Risk_Rank_Keys!$B$2:$B$800),--(Risk_Rank_Keys!$B$2:$B$800&lt;Risk_Rank_Keys!B36))+(SUMPRODUCT(--ISNUMBER(Risk_Rank_Keys!$B$2:$B$800),--(Risk_Rank_Keys!$B$2:$B$800=Risk_Rank_Keys!B36))+1)/2)/COUNT(Risk_Rank_Keys!$B$2:$B$800))</f>
        <v>0.769874476987448</v>
      </c>
      <c r="N36" s="0" t="n">
        <f aca="false">IF(OR(B36="NW",COUNT(Risk_Rank_Keys!C36)=0),0.5,(SUMPRODUCT(--ISNUMBER(Risk_Rank_Keys!$C$2:$C$800),--(Risk_Rank_Keys!$C$2:$C$800&lt;Risk_Rank_Keys!C36))+(SUMPRODUCT(--ISNUMBER(Risk_Rank_Keys!$C$2:$C$800),--(Risk_Rank_Keys!$C$2:$C$800=Risk_Rank_Keys!C36))+1)/2)/COUNT(Risk_Rank_Keys!$C$2:$C$800))</f>
        <v>0.885634588563459</v>
      </c>
      <c r="O36" s="0" t="n">
        <f aca="false">IF(OR(B36="NW",COUNT(Risk_Rank_Keys!D36)=0),0.5,(SUMPRODUCT(--ISNUMBER(Risk_Rank_Keys!$D$2:$D$800),--(Risk_Rank_Keys!$D$2:$D$800&lt;Risk_Rank_Keys!D36))+(SUMPRODUCT(--ISNUMBER(Risk_Rank_Keys!$D$2:$D$800),--(Risk_Rank_Keys!$D$2:$D$800=Risk_Rank_Keys!D36))+1)/2)/COUNT(Risk_Rank_Keys!$D$2:$D$800))</f>
        <v>0.917712691771269</v>
      </c>
      <c r="P36" s="0" t="n">
        <f aca="false">AVERAGE(M36:O36)</f>
        <v>0.857740585774059</v>
      </c>
      <c r="Q36" s="0" t="n">
        <f aca="false">0.4*H36+0.4*I36+0.2*P36</f>
        <v>0.238131346191107</v>
      </c>
      <c r="R36" s="0" t="n">
        <f aca="false">PERCENTILE($Q$2:$Q$800,0.75)</f>
        <v>0.667715717403612</v>
      </c>
      <c r="S36" s="1" t="b">
        <f aca="false">OR(Q36&gt;=R36,AND(B36="CW",COUNT(J36:L36)&lt;3))</f>
        <v>0</v>
      </c>
      <c r="T36" s="0" t="n">
        <v>0.202957114320102</v>
      </c>
      <c r="U36" s="0" t="n">
        <v>4.11210119985135</v>
      </c>
      <c r="V36" s="0" t="n">
        <v>0.238131346191107</v>
      </c>
      <c r="W36" s="0" t="n">
        <f aca="false">Q36-V36</f>
        <v>0</v>
      </c>
    </row>
    <row r="37" customFormat="false" ht="15" hidden="false" customHeight="false" outlineLevel="0" collapsed="false">
      <c r="A37" s="0" t="s">
        <v>71</v>
      </c>
      <c r="B37" s="0" t="s">
        <v>3013</v>
      </c>
      <c r="C37" s="0" t="n">
        <v>64.4383204430389</v>
      </c>
      <c r="D37" s="0" t="n">
        <f aca="false">SUMPRODUCT(Risk_Inputs!B37:AJ37,Risk_Coefs!$B$2:$AJ$2)</f>
        <v>-1.41129461130526</v>
      </c>
      <c r="E37" s="0" t="n">
        <f aca="false">1/(1+EXP(-MAX(-25,MIN(25,D37))))</f>
        <v>0.196029942475563</v>
      </c>
      <c r="F37" s="0" t="n">
        <f aca="false">SUMPRODUCT(Risk_Inputs!B37:AJ37,Risk_Coefs!$B$3:$AJ$3)</f>
        <v>7.20514586750986</v>
      </c>
      <c r="G37" s="0" t="n">
        <f aca="false">MAX(0,F37)</f>
        <v>7.20514586750986</v>
      </c>
      <c r="H37" s="0" t="n">
        <f aca="false">(SUMPRODUCT(--ISNUMBER($E$2:$E$800),--($E$2:$E$800&lt;E37))+(SUMPRODUCT(--ISNUMBER($E$2:$E$800),--($E$2:$E$800=E37))+1)/2)/COUNT($E$2:$E$800)</f>
        <v>0.0963704630788486</v>
      </c>
      <c r="I37" s="0" t="n">
        <f aca="false">(SUMPRODUCT(--ISNUMBER($G$2:$G$800),--($G$2:$G$800&lt;G37))+(SUMPRODUCT(--ISNUMBER($G$2:$G$800),--($G$2:$G$800=G37))+1)/2)/COUNT($G$2:$G$800)</f>
        <v>0.445556946182728</v>
      </c>
      <c r="J37" s="0" t="n">
        <v>30.7373659169269</v>
      </c>
      <c r="K37" s="0" t="n">
        <v>23.6915887850467</v>
      </c>
      <c r="L37" s="0" t="n">
        <v>0.467289719626162</v>
      </c>
      <c r="M37" s="0" t="n">
        <f aca="false">IF(OR(B37="NW",COUNT(Risk_Rank_Keys!B37)=0),0.5,(SUMPRODUCT(--ISNUMBER(Risk_Rank_Keys!$B$2:$B$800),--(Risk_Rank_Keys!$B$2:$B$800&lt;Risk_Rank_Keys!B37))+(SUMPRODUCT(--ISNUMBER(Risk_Rank_Keys!$B$2:$B$800),--(Risk_Rank_Keys!$B$2:$B$800=Risk_Rank_Keys!B37))+1)/2)/COUNT(Risk_Rank_Keys!$B$2:$B$800))</f>
        <v>0.906555090655509</v>
      </c>
      <c r="N37" s="0" t="n">
        <f aca="false">IF(OR(B37="NW",COUNT(Risk_Rank_Keys!C37)=0),0.5,(SUMPRODUCT(--ISNUMBER(Risk_Rank_Keys!$C$2:$C$800),--(Risk_Rank_Keys!$C$2:$C$800&lt;Risk_Rank_Keys!C37))+(SUMPRODUCT(--ISNUMBER(Risk_Rank_Keys!$C$2:$C$800),--(Risk_Rank_Keys!$C$2:$C$800=Risk_Rank_Keys!C37))+1)/2)/COUNT(Risk_Rank_Keys!$C$2:$C$800))</f>
        <v>0.97489539748954</v>
      </c>
      <c r="O37" s="0" t="n">
        <f aca="false">IF(OR(B37="NW",COUNT(Risk_Rank_Keys!D37)=0),0.5,(SUMPRODUCT(--ISNUMBER(Risk_Rank_Keys!$D$2:$D$800),--(Risk_Rank_Keys!$D$2:$D$800&lt;Risk_Rank_Keys!D37))+(SUMPRODUCT(--ISNUMBER(Risk_Rank_Keys!$D$2:$D$800),--(Risk_Rank_Keys!$D$2:$D$800=Risk_Rank_Keys!D37))+1)/2)/COUNT(Risk_Rank_Keys!$D$2:$D$800))</f>
        <v>0.935843793584379</v>
      </c>
      <c r="P37" s="0" t="n">
        <f aca="false">AVERAGE(M37:O37)</f>
        <v>0.939098093909809</v>
      </c>
      <c r="Q37" s="0" t="n">
        <f aca="false">0.4*H37+0.4*I37+0.2*P37</f>
        <v>0.404590582486593</v>
      </c>
      <c r="R37" s="0" t="n">
        <f aca="false">PERCENTILE($Q$2:$Q$800,0.75)</f>
        <v>0.667715717403612</v>
      </c>
      <c r="S37" s="1" t="b">
        <f aca="false">OR(Q37&gt;=R37,AND(B37="CW",COUNT(J37:L37)&lt;3))</f>
        <v>0</v>
      </c>
      <c r="T37" s="0" t="n">
        <v>0.196029942475563</v>
      </c>
      <c r="U37" s="0" t="n">
        <v>7.20514586750986</v>
      </c>
      <c r="V37" s="0" t="n">
        <v>0.404590582486593</v>
      </c>
      <c r="W37" s="0" t="n">
        <f aca="false">Q37-V37</f>
        <v>0</v>
      </c>
    </row>
    <row r="38" customFormat="false" ht="15" hidden="false" customHeight="false" outlineLevel="0" collapsed="false">
      <c r="A38" s="0" t="s">
        <v>72</v>
      </c>
      <c r="B38" s="0" t="s">
        <v>3013</v>
      </c>
      <c r="C38" s="0" t="n">
        <v>-37.3008961397111</v>
      </c>
      <c r="D38" s="0" t="n">
        <f aca="false">SUMPRODUCT(Risk_Inputs!B38:AJ38,Risk_Coefs!$B$2:$AJ$2)</f>
        <v>-1.19610270691568</v>
      </c>
      <c r="E38" s="0" t="n">
        <f aca="false">1/(1+EXP(-MAX(-25,MIN(25,D38))))</f>
        <v>0.232169248714229</v>
      </c>
      <c r="F38" s="0" t="n">
        <f aca="false">SUMPRODUCT(Risk_Inputs!B38:AJ38,Risk_Coefs!$B$3:$AJ$3)</f>
        <v>4.75902292228407</v>
      </c>
      <c r="G38" s="0" t="n">
        <f aca="false">MAX(0,F38)</f>
        <v>4.75902292228407</v>
      </c>
      <c r="H38" s="0" t="n">
        <f aca="false">(SUMPRODUCT(--ISNUMBER($E$2:$E$800),--($E$2:$E$800&lt;E38))+(SUMPRODUCT(--ISNUMBER($E$2:$E$800),--($E$2:$E$800=E38))+1)/2)/COUNT($E$2:$E$800)</f>
        <v>0.18523153942428</v>
      </c>
      <c r="I38" s="0" t="n">
        <f aca="false">(SUMPRODUCT(--ISNUMBER($G$2:$G$800),--($G$2:$G$800&lt;G38))+(SUMPRODUCT(--ISNUMBER($G$2:$G$800),--($G$2:$G$800=G38))+1)/2)/COUNT($G$2:$G$800)</f>
        <v>0.105131414267835</v>
      </c>
      <c r="J38" s="0" t="n">
        <v>19.7382405636027</v>
      </c>
      <c r="K38" s="0" t="n">
        <v>3.49044936100042</v>
      </c>
      <c r="L38" s="0" t="n">
        <v>0.398515871925249</v>
      </c>
      <c r="M38" s="0" t="n">
        <f aca="false">IF(OR(B38="NW",COUNT(Risk_Rank_Keys!B38)=0),0.5,(SUMPRODUCT(--ISNUMBER(Risk_Rank_Keys!$B$2:$B$800),--(Risk_Rank_Keys!$B$2:$B$800&lt;Risk_Rank_Keys!B38))+(SUMPRODUCT(--ISNUMBER(Risk_Rank_Keys!$B$2:$B$800),--(Risk_Rank_Keys!$B$2:$B$800=Risk_Rank_Keys!B38))+1)/2)/COUNT(Risk_Rank_Keys!$B$2:$B$800))</f>
        <v>0.783821478382148</v>
      </c>
      <c r="N38" s="0" t="n">
        <f aca="false">IF(OR(B38="NW",COUNT(Risk_Rank_Keys!C38)=0),0.5,(SUMPRODUCT(--ISNUMBER(Risk_Rank_Keys!$C$2:$C$800),--(Risk_Rank_Keys!$C$2:$C$800&lt;Risk_Rank_Keys!C38))+(SUMPRODUCT(--ISNUMBER(Risk_Rank_Keys!$C$2:$C$800),--(Risk_Rank_Keys!$C$2:$C$800=Risk_Rank_Keys!C38))+1)/2)/COUNT(Risk_Rank_Keys!$C$2:$C$800))</f>
        <v>0.525801952580195</v>
      </c>
      <c r="O38" s="0" t="n">
        <f aca="false">IF(OR(B38="NW",COUNT(Risk_Rank_Keys!D38)=0),0.5,(SUMPRODUCT(--ISNUMBER(Risk_Rank_Keys!$D$2:$D$800),--(Risk_Rank_Keys!$D$2:$D$800&lt;Risk_Rank_Keys!D38))+(SUMPRODUCT(--ISNUMBER(Risk_Rank_Keys!$D$2:$D$800),--(Risk_Rank_Keys!$D$2:$D$800=Risk_Rank_Keys!D38))+1)/2)/COUNT(Risk_Rank_Keys!$D$2:$D$800))</f>
        <v>0.882845188284519</v>
      </c>
      <c r="P38" s="0" t="n">
        <f aca="false">AVERAGE(M38:O38)</f>
        <v>0.730822873082287</v>
      </c>
      <c r="Q38" s="0" t="n">
        <f aca="false">0.4*H38+0.4*I38+0.2*P38</f>
        <v>0.262309756093304</v>
      </c>
      <c r="R38" s="0" t="n">
        <f aca="false">PERCENTILE($Q$2:$Q$800,0.75)</f>
        <v>0.667715717403612</v>
      </c>
      <c r="S38" s="1" t="b">
        <f aca="false">OR(Q38&gt;=R38,AND(B38="CW",COUNT(J38:L38)&lt;3))</f>
        <v>0</v>
      </c>
      <c r="T38" s="0" t="n">
        <v>0.232169248714229</v>
      </c>
      <c r="U38" s="0" t="n">
        <v>4.75902292228407</v>
      </c>
      <c r="V38" s="0" t="n">
        <v>0.262309756093304</v>
      </c>
      <c r="W38" s="0" t="n">
        <f aca="false">Q38-V38</f>
        <v>0</v>
      </c>
    </row>
    <row r="39" customFormat="false" ht="15" hidden="false" customHeight="false" outlineLevel="0" collapsed="false">
      <c r="A39" s="0" t="s">
        <v>73</v>
      </c>
      <c r="B39" s="0" t="s">
        <v>3013</v>
      </c>
      <c r="C39" s="0" t="n">
        <v>78.6241043282669</v>
      </c>
      <c r="D39" s="0" t="n">
        <f aca="false">SUMPRODUCT(Risk_Inputs!B39:AJ39,Risk_Coefs!$B$2:$AJ$2)</f>
        <v>-1.16897267425863</v>
      </c>
      <c r="E39" s="0" t="n">
        <f aca="false">1/(1+EXP(-MAX(-25,MIN(25,D39))))</f>
        <v>0.237040728426975</v>
      </c>
      <c r="F39" s="0" t="n">
        <f aca="false">SUMPRODUCT(Risk_Inputs!B39:AJ39,Risk_Coefs!$B$3:$AJ$3)</f>
        <v>5.95110047123436</v>
      </c>
      <c r="G39" s="0" t="n">
        <f aca="false">MAX(0,F39)</f>
        <v>5.95110047123436</v>
      </c>
      <c r="H39" s="0" t="n">
        <f aca="false">(SUMPRODUCT(--ISNUMBER($E$2:$E$800),--($E$2:$E$800&lt;E39))+(SUMPRODUCT(--ISNUMBER($E$2:$E$800),--($E$2:$E$800=E39))+1)/2)/COUNT($E$2:$E$800)</f>
        <v>0.2090112640801</v>
      </c>
      <c r="I39" s="0" t="n">
        <f aca="false">(SUMPRODUCT(--ISNUMBER($G$2:$G$800),--($G$2:$G$800&lt;G39))+(SUMPRODUCT(--ISNUMBER($G$2:$G$800),--($G$2:$G$800=G39))+1)/2)/COUNT($G$2:$G$800)</f>
        <v>0.260325406758448</v>
      </c>
      <c r="J39" s="0" t="n">
        <v>20.5636951170515</v>
      </c>
      <c r="K39" s="0" t="n">
        <v>6.88346883468835</v>
      </c>
      <c r="L39" s="0" t="n">
        <v>0.415537488708222</v>
      </c>
      <c r="M39" s="0" t="n">
        <f aca="false">IF(OR(B39="NW",COUNT(Risk_Rank_Keys!B39)=0),0.5,(SUMPRODUCT(--ISNUMBER(Risk_Rank_Keys!$B$2:$B$800),--(Risk_Rank_Keys!$B$2:$B$800&lt;Risk_Rank_Keys!B39))+(SUMPRODUCT(--ISNUMBER(Risk_Rank_Keys!$B$2:$B$800),--(Risk_Rank_Keys!$B$2:$B$800=Risk_Rank_Keys!B39))+1)/2)/COUNT(Risk_Rank_Keys!$B$2:$B$800))</f>
        <v>0.796373779637378</v>
      </c>
      <c r="N39" s="0" t="n">
        <f aca="false">IF(OR(B39="NW",COUNT(Risk_Rank_Keys!C39)=0),0.5,(SUMPRODUCT(--ISNUMBER(Risk_Rank_Keys!$C$2:$C$800),--(Risk_Rank_Keys!$C$2:$C$800&lt;Risk_Rank_Keys!C39))+(SUMPRODUCT(--ISNUMBER(Risk_Rank_Keys!$C$2:$C$800),--(Risk_Rank_Keys!$C$2:$C$800=Risk_Rank_Keys!C39))+1)/2)/COUNT(Risk_Rank_Keys!$C$2:$C$800))</f>
        <v>0.781032078103208</v>
      </c>
      <c r="O39" s="0" t="n">
        <f aca="false">IF(OR(B39="NW",COUNT(Risk_Rank_Keys!D39)=0),0.5,(SUMPRODUCT(--ISNUMBER(Risk_Rank_Keys!$D$2:$D$800),--(Risk_Rank_Keys!$D$2:$D$800&lt;Risk_Rank_Keys!D39))+(SUMPRODUCT(--ISNUMBER(Risk_Rank_Keys!$D$2:$D$800),--(Risk_Rank_Keys!$D$2:$D$800=Risk_Rank_Keys!D39))+1)/2)/COUNT(Risk_Rank_Keys!$D$2:$D$800))</f>
        <v>0.892608089260809</v>
      </c>
      <c r="P39" s="0" t="n">
        <f aca="false">AVERAGE(M39:O39)</f>
        <v>0.823337982333798</v>
      </c>
      <c r="Q39" s="0" t="n">
        <f aca="false">0.4*H39+0.4*I39+0.2*P39</f>
        <v>0.352402264802179</v>
      </c>
      <c r="R39" s="0" t="n">
        <f aca="false">PERCENTILE($Q$2:$Q$800,0.75)</f>
        <v>0.667715717403612</v>
      </c>
      <c r="S39" s="1" t="b">
        <f aca="false">OR(Q39&gt;=R39,AND(B39="CW",COUNT(J39:L39)&lt;3))</f>
        <v>0</v>
      </c>
      <c r="T39" s="0" t="n">
        <v>0.237040728426975</v>
      </c>
      <c r="U39" s="0" t="n">
        <v>5.95110047123436</v>
      </c>
      <c r="V39" s="0" t="n">
        <v>0.352402264802179</v>
      </c>
      <c r="W39" s="0" t="n">
        <f aca="false">Q39-V39</f>
        <v>0</v>
      </c>
    </row>
    <row r="40" customFormat="false" ht="15" hidden="false" customHeight="false" outlineLevel="0" collapsed="false">
      <c r="A40" s="0" t="s">
        <v>74</v>
      </c>
      <c r="B40" s="0" t="s">
        <v>33</v>
      </c>
      <c r="C40" s="0" t="n">
        <v>-40.5661624625899</v>
      </c>
      <c r="D40" s="0" t="n">
        <f aca="false">SUMPRODUCT(Risk_Inputs!B40:AJ40,Risk_Coefs!$B$2:$AJ$2)</f>
        <v>-0.211681398765657</v>
      </c>
      <c r="E40" s="0" t="n">
        <f aca="false">1/(1+EXP(-MAX(-25,MIN(25,D40))))</f>
        <v>0.44727637789873</v>
      </c>
      <c r="F40" s="0" t="n">
        <f aca="false">SUMPRODUCT(Risk_Inputs!B40:AJ40,Risk_Coefs!$B$3:$AJ$3)</f>
        <v>14.9499193147055</v>
      </c>
      <c r="G40" s="0" t="n">
        <f aca="false">MAX(0,F40)</f>
        <v>14.9499193147055</v>
      </c>
      <c r="H40" s="0" t="n">
        <f aca="false">(SUMPRODUCT(--ISNUMBER($E$2:$E$800),--($E$2:$E$800&lt;E40))+(SUMPRODUCT(--ISNUMBER($E$2:$E$800),--($E$2:$E$800=E40))+1)/2)/COUNT($E$2:$E$800)</f>
        <v>0.979974968710889</v>
      </c>
      <c r="I40" s="0" t="n">
        <f aca="false">(SUMPRODUCT(--ISNUMBER($G$2:$G$800),--($G$2:$G$800&lt;G40))+(SUMPRODUCT(--ISNUMBER($G$2:$G$800),--($G$2:$G$800=G40))+1)/2)/COUNT($G$2:$G$800)</f>
        <v>0.983729662077597</v>
      </c>
      <c r="M40" s="0" t="n">
        <f aca="false">IF(OR(B40="NW",COUNT(Risk_Rank_Keys!B40)=0),0.5,(SUMPRODUCT(--ISNUMBER(Risk_Rank_Keys!$B$2:$B$800),--(Risk_Rank_Keys!$B$2:$B$800&lt;Risk_Rank_Keys!B40))+(SUMPRODUCT(--ISNUMBER(Risk_Rank_Keys!$B$2:$B$800),--(Risk_Rank_Keys!$B$2:$B$800=Risk_Rank_Keys!B40))+1)/2)/COUNT(Risk_Rank_Keys!$B$2:$B$800))</f>
        <v>0.5</v>
      </c>
      <c r="N40" s="0" t="n">
        <f aca="false">IF(OR(B40="NW",COUNT(Risk_Rank_Keys!C40)=0),0.5,(SUMPRODUCT(--ISNUMBER(Risk_Rank_Keys!$C$2:$C$800),--(Risk_Rank_Keys!$C$2:$C$800&lt;Risk_Rank_Keys!C40))+(SUMPRODUCT(--ISNUMBER(Risk_Rank_Keys!$C$2:$C$800),--(Risk_Rank_Keys!$C$2:$C$800=Risk_Rank_Keys!C40))+1)/2)/COUNT(Risk_Rank_Keys!$C$2:$C$800))</f>
        <v>0.5</v>
      </c>
      <c r="O40" s="0" t="n">
        <f aca="false">IF(OR(B40="NW",COUNT(Risk_Rank_Keys!D40)=0),0.5,(SUMPRODUCT(--ISNUMBER(Risk_Rank_Keys!$D$2:$D$800),--(Risk_Rank_Keys!$D$2:$D$800&lt;Risk_Rank_Keys!D40))+(SUMPRODUCT(--ISNUMBER(Risk_Rank_Keys!$D$2:$D$800),--(Risk_Rank_Keys!$D$2:$D$800=Risk_Rank_Keys!D40))+1)/2)/COUNT(Risk_Rank_Keys!$D$2:$D$800))</f>
        <v>0.5</v>
      </c>
      <c r="P40" s="0" t="n">
        <f aca="false">AVERAGE(M40:O40)</f>
        <v>0.5</v>
      </c>
      <c r="Q40" s="0" t="n">
        <f aca="false">0.4*H40+0.4*I40+0.2*P40</f>
        <v>0.885481852315394</v>
      </c>
      <c r="R40" s="0" t="n">
        <f aca="false">PERCENTILE($Q$2:$Q$800,0.75)</f>
        <v>0.667715717403612</v>
      </c>
      <c r="S40" s="1" t="b">
        <f aca="false">OR(Q40&gt;=R40,AND(B40="CW",COUNT(J40:L40)&lt;3))</f>
        <v>1</v>
      </c>
      <c r="T40" s="0" t="n">
        <v>0.44727637789873</v>
      </c>
      <c r="U40" s="0" t="n">
        <v>14.9499193147055</v>
      </c>
      <c r="V40" s="0" t="n">
        <v>0.885481852315394</v>
      </c>
      <c r="W40" s="0" t="n">
        <f aca="false">Q40-V40</f>
        <v>0</v>
      </c>
    </row>
    <row r="41" customFormat="false" ht="15" hidden="false" customHeight="false" outlineLevel="0" collapsed="false">
      <c r="A41" s="0" t="s">
        <v>75</v>
      </c>
      <c r="B41" s="0" t="s">
        <v>3013</v>
      </c>
      <c r="C41" s="0" t="n">
        <v>44.0984163766705</v>
      </c>
      <c r="D41" s="0" t="n">
        <f aca="false">SUMPRODUCT(Risk_Inputs!B41:AJ41,Risk_Coefs!$B$2:$AJ$2)</f>
        <v>-0.826938918831199</v>
      </c>
      <c r="E41" s="0" t="n">
        <f aca="false">1/(1+EXP(-MAX(-25,MIN(25,D41))))</f>
        <v>0.304292708455422</v>
      </c>
      <c r="F41" s="0" t="n">
        <f aca="false">SUMPRODUCT(Risk_Inputs!B41:AJ41,Risk_Coefs!$B$3:$AJ$3)</f>
        <v>7.9293592582534</v>
      </c>
      <c r="G41" s="0" t="n">
        <f aca="false">MAX(0,F41)</f>
        <v>7.9293592582534</v>
      </c>
      <c r="H41" s="0" t="n">
        <f aca="false">(SUMPRODUCT(--ISNUMBER($E$2:$E$800),--($E$2:$E$800&lt;E41))+(SUMPRODUCT(--ISNUMBER($E$2:$E$800),--($E$2:$E$800=E41))+1)/2)/COUNT($E$2:$E$800)</f>
        <v>0.586983729662078</v>
      </c>
      <c r="I41" s="0" t="n">
        <f aca="false">(SUMPRODUCT(--ISNUMBER($G$2:$G$800),--($G$2:$G$800&lt;G41))+(SUMPRODUCT(--ISNUMBER($G$2:$G$800),--($G$2:$G$800=G41))+1)/2)/COUNT($G$2:$G$800)</f>
        <v>0.528160200250313</v>
      </c>
      <c r="J41" s="0" t="n">
        <v>14.2490359480916</v>
      </c>
      <c r="K41" s="0" t="n">
        <v>5.54431404289761</v>
      </c>
      <c r="L41" s="0" t="n">
        <v>0.48563334682315</v>
      </c>
      <c r="M41" s="0" t="n">
        <f aca="false">IF(OR(B41="NW",COUNT(Risk_Rank_Keys!B41)=0),0.5,(SUMPRODUCT(--ISNUMBER(Risk_Rank_Keys!$B$2:$B$800),--(Risk_Rank_Keys!$B$2:$B$800&lt;Risk_Rank_Keys!B41))+(SUMPRODUCT(--ISNUMBER(Risk_Rank_Keys!$B$2:$B$800),--(Risk_Rank_Keys!$B$2:$B$800=Risk_Rank_Keys!B41))+1)/2)/COUNT(Risk_Rank_Keys!$B$2:$B$800))</f>
        <v>0.682008368200837</v>
      </c>
      <c r="N41" s="0" t="n">
        <f aca="false">IF(OR(B41="NW",COUNT(Risk_Rank_Keys!C41)=0),0.5,(SUMPRODUCT(--ISNUMBER(Risk_Rank_Keys!$C$2:$C$800),--(Risk_Rank_Keys!$C$2:$C$800&lt;Risk_Rank_Keys!C41))+(SUMPRODUCT(--ISNUMBER(Risk_Rank_Keys!$C$2:$C$800),--(Risk_Rank_Keys!$C$2:$C$800=Risk_Rank_Keys!C41))+1)/2)/COUNT(Risk_Rank_Keys!$C$2:$C$800))</f>
        <v>0.722454672245467</v>
      </c>
      <c r="O41" s="0" t="n">
        <f aca="false">IF(OR(B41="NW",COUNT(Risk_Rank_Keys!D41)=0),0.5,(SUMPRODUCT(--ISNUMBER(Risk_Rank_Keys!$D$2:$D$800),--(Risk_Rank_Keys!$D$2:$D$800&lt;Risk_Rank_Keys!D41))+(SUMPRODUCT(--ISNUMBER(Risk_Rank_Keys!$D$2:$D$800),--(Risk_Rank_Keys!$D$2:$D$800=Risk_Rank_Keys!D41))+1)/2)/COUNT(Risk_Rank_Keys!$D$2:$D$800))</f>
        <v>0.94560669456067</v>
      </c>
      <c r="P41" s="0" t="n">
        <f aca="false">AVERAGE(M41:O41)</f>
        <v>0.783356578335658</v>
      </c>
      <c r="Q41" s="0" t="n">
        <f aca="false">0.4*H41+0.4*I41+0.2*P41</f>
        <v>0.602728887632088</v>
      </c>
      <c r="R41" s="0" t="n">
        <f aca="false">PERCENTILE($Q$2:$Q$800,0.75)</f>
        <v>0.667715717403612</v>
      </c>
      <c r="S41" s="1" t="b">
        <f aca="false">OR(Q41&gt;=R41,AND(B41="CW",COUNT(J41:L41)&lt;3))</f>
        <v>0</v>
      </c>
      <c r="T41" s="0" t="n">
        <v>0.304292708455422</v>
      </c>
      <c r="U41" s="0" t="n">
        <v>7.92935925825341</v>
      </c>
      <c r="V41" s="0" t="n">
        <v>0.602728887632088</v>
      </c>
      <c r="W41" s="0" t="n">
        <f aca="false">Q41-V41</f>
        <v>0</v>
      </c>
    </row>
    <row r="42" customFormat="false" ht="15" hidden="false" customHeight="false" outlineLevel="0" collapsed="false">
      <c r="A42" s="0" t="s">
        <v>76</v>
      </c>
      <c r="B42" s="0" t="s">
        <v>3013</v>
      </c>
      <c r="C42" s="0" t="n">
        <v>52.4966806645451</v>
      </c>
      <c r="D42" s="0" t="n">
        <f aca="false">SUMPRODUCT(Risk_Inputs!B42:AJ42,Risk_Coefs!$B$2:$AJ$2)</f>
        <v>-1.7228228087953</v>
      </c>
      <c r="E42" s="0" t="n">
        <f aca="false">1/(1+EXP(-MAX(-25,MIN(25,D42))))</f>
        <v>0.151507925258555</v>
      </c>
      <c r="F42" s="0" t="n">
        <f aca="false">SUMPRODUCT(Risk_Inputs!B42:AJ42,Risk_Coefs!$B$3:$AJ$3)</f>
        <v>7.2413661222594</v>
      </c>
      <c r="G42" s="0" t="n">
        <f aca="false">MAX(0,F42)</f>
        <v>7.2413661222594</v>
      </c>
      <c r="H42" s="0" t="n">
        <f aca="false">(SUMPRODUCT(--ISNUMBER($E$2:$E$800),--($E$2:$E$800&lt;E42))+(SUMPRODUCT(--ISNUMBER($E$2:$E$800),--($E$2:$E$800=E42))+1)/2)/COUNT($E$2:$E$800)</f>
        <v>0.0237797246558198</v>
      </c>
      <c r="I42" s="0" t="n">
        <f aca="false">(SUMPRODUCT(--ISNUMBER($G$2:$G$800),--($G$2:$G$800&lt;G42))+(SUMPRODUCT(--ISNUMBER($G$2:$G$800),--($G$2:$G$800=G42))+1)/2)/COUNT($G$2:$G$800)</f>
        <v>0.448060075093867</v>
      </c>
      <c r="J42" s="0" t="n">
        <v>52.1520241546215</v>
      </c>
      <c r="K42" s="0" t="n">
        <v>9.97492020063839</v>
      </c>
      <c r="L42" s="0" t="n">
        <v>0.752393980848149</v>
      </c>
      <c r="M42" s="0" t="n">
        <f aca="false">IF(OR(B42="NW",COUNT(Risk_Rank_Keys!B42)=0),0.5,(SUMPRODUCT(--ISNUMBER(Risk_Rank_Keys!$B$2:$B$800),--(Risk_Rank_Keys!$B$2:$B$800&lt;Risk_Rank_Keys!B42))+(SUMPRODUCT(--ISNUMBER(Risk_Rank_Keys!$B$2:$B$800),--(Risk_Rank_Keys!$B$2:$B$800=Risk_Rank_Keys!B42))+1)/2)/COUNT(Risk_Rank_Keys!$B$2:$B$800))</f>
        <v>0.97768479776848</v>
      </c>
      <c r="N42" s="0" t="n">
        <f aca="false">IF(OR(B42="NW",COUNT(Risk_Rank_Keys!C42)=0),0.5,(SUMPRODUCT(--ISNUMBER(Risk_Rank_Keys!$C$2:$C$800),--(Risk_Rank_Keys!$C$2:$C$800&lt;Risk_Rank_Keys!C42))+(SUMPRODUCT(--ISNUMBER(Risk_Rank_Keys!$C$2:$C$800),--(Risk_Rank_Keys!$C$2:$C$800=Risk_Rank_Keys!C42))+1)/2)/COUNT(Risk_Rank_Keys!$C$2:$C$800))</f>
        <v>0.881450488145049</v>
      </c>
      <c r="O42" s="0" t="n">
        <f aca="false">IF(OR(B42="NW",COUNT(Risk_Rank_Keys!D42)=0),0.5,(SUMPRODUCT(--ISNUMBER(Risk_Rank_Keys!$D$2:$D$800),--(Risk_Rank_Keys!$D$2:$D$800&lt;Risk_Rank_Keys!D42))+(SUMPRODUCT(--ISNUMBER(Risk_Rank_Keys!$D$2:$D$800),--(Risk_Rank_Keys!$D$2:$D$800=Risk_Rank_Keys!D42))+1)/2)/COUNT(Risk_Rank_Keys!$D$2:$D$800))</f>
        <v>0.98884239888424</v>
      </c>
      <c r="P42" s="0" t="n">
        <f aca="false">AVERAGE(M42:O42)</f>
        <v>0.94932589493259</v>
      </c>
      <c r="Q42" s="0" t="n">
        <f aca="false">0.4*H42+0.4*I42+0.2*P42</f>
        <v>0.378601098886393</v>
      </c>
      <c r="R42" s="0" t="n">
        <f aca="false">PERCENTILE($Q$2:$Q$800,0.75)</f>
        <v>0.667715717403612</v>
      </c>
      <c r="S42" s="1" t="b">
        <f aca="false">OR(Q42&gt;=R42,AND(B42="CW",COUNT(J42:L42)&lt;3))</f>
        <v>0</v>
      </c>
      <c r="T42" s="0" t="n">
        <v>0.151507925258555</v>
      </c>
      <c r="U42" s="0" t="n">
        <v>7.2413661222594</v>
      </c>
      <c r="V42" s="0" t="n">
        <v>0.378601098886393</v>
      </c>
      <c r="W42" s="0" t="n">
        <f aca="false">Q42-V42</f>
        <v>0</v>
      </c>
    </row>
    <row r="43" customFormat="false" ht="15" hidden="false" customHeight="false" outlineLevel="0" collapsed="false">
      <c r="A43" s="0" t="s">
        <v>77</v>
      </c>
      <c r="B43" s="0" t="s">
        <v>3013</v>
      </c>
      <c r="C43" s="0" t="n">
        <v>49.8777174865609</v>
      </c>
      <c r="D43" s="0" t="n">
        <f aca="false">SUMPRODUCT(Risk_Inputs!B43:AJ43,Risk_Coefs!$B$2:$AJ$2)</f>
        <v>-0.921721953878323</v>
      </c>
      <c r="E43" s="0" t="n">
        <f aca="false">1/(1+EXP(-MAX(-25,MIN(25,D43))))</f>
        <v>0.284607164286647</v>
      </c>
      <c r="F43" s="0" t="n">
        <f aca="false">SUMPRODUCT(Risk_Inputs!B43:AJ43,Risk_Coefs!$B$3:$AJ$3)</f>
        <v>10.5784839615178</v>
      </c>
      <c r="G43" s="0" t="n">
        <f aca="false">MAX(0,F43)</f>
        <v>10.5784839615178</v>
      </c>
      <c r="H43" s="0" t="n">
        <f aca="false">(SUMPRODUCT(--ISNUMBER($E$2:$E$800),--($E$2:$E$800&lt;E43))+(SUMPRODUCT(--ISNUMBER($E$2:$E$800),--($E$2:$E$800=E43))+1)/2)/COUNT($E$2:$E$800)</f>
        <v>0.48936170212766</v>
      </c>
      <c r="I43" s="0" t="n">
        <f aca="false">(SUMPRODUCT(--ISNUMBER($G$2:$G$800),--($G$2:$G$800&lt;G43))+(SUMPRODUCT(--ISNUMBER($G$2:$G$800),--($G$2:$G$800=G43))+1)/2)/COUNT($G$2:$G$800)</f>
        <v>0.847309136420526</v>
      </c>
      <c r="J43" s="0" t="n">
        <v>34.6255776478579</v>
      </c>
      <c r="K43" s="0" t="n">
        <v>3.30578512396696</v>
      </c>
      <c r="L43" s="0" t="n">
        <v>0.260177532904804</v>
      </c>
      <c r="M43" s="0" t="n">
        <f aca="false">IF(OR(B43="NW",COUNT(Risk_Rank_Keys!B43)=0),0.5,(SUMPRODUCT(--ISNUMBER(Risk_Rank_Keys!$B$2:$B$800),--(Risk_Rank_Keys!$B$2:$B$800&lt;Risk_Rank_Keys!B43))+(SUMPRODUCT(--ISNUMBER(Risk_Rank_Keys!$B$2:$B$800),--(Risk_Rank_Keys!$B$2:$B$800=Risk_Rank_Keys!B43))+1)/2)/COUNT(Risk_Rank_Keys!$B$2:$B$800))</f>
        <v>0.923291492329149</v>
      </c>
      <c r="N43" s="0" t="n">
        <f aca="false">IF(OR(B43="NW",COUNT(Risk_Rank_Keys!C43)=0),0.5,(SUMPRODUCT(--ISNUMBER(Risk_Rank_Keys!$C$2:$C$800),--(Risk_Rank_Keys!$C$2:$C$800&lt;Risk_Rank_Keys!C43))+(SUMPRODUCT(--ISNUMBER(Risk_Rank_Keys!$C$2:$C$800),--(Risk_Rank_Keys!$C$2:$C$800=Risk_Rank_Keys!C43))+1)/2)/COUNT(Risk_Rank_Keys!$C$2:$C$800))</f>
        <v>0.509065550906555</v>
      </c>
      <c r="O43" s="0" t="n">
        <f aca="false">IF(OR(B43="NW",COUNT(Risk_Rank_Keys!D43)=0),0.5,(SUMPRODUCT(--ISNUMBER(Risk_Rank_Keys!$D$2:$D$800),--(Risk_Rank_Keys!$D$2:$D$800&lt;Risk_Rank_Keys!D43))+(SUMPRODUCT(--ISNUMBER(Risk_Rank_Keys!$D$2:$D$800),--(Risk_Rank_Keys!$D$2:$D$800=Risk_Rank_Keys!D43))+1)/2)/COUNT(Risk_Rank_Keys!$D$2:$D$800))</f>
        <v>0.633193863319386</v>
      </c>
      <c r="P43" s="0" t="n">
        <f aca="false">AVERAGE(M43:O43)</f>
        <v>0.688516968851697</v>
      </c>
      <c r="Q43" s="0" t="n">
        <f aca="false">0.4*H43+0.4*I43+0.2*P43</f>
        <v>0.672371729189613</v>
      </c>
      <c r="R43" s="0" t="n">
        <f aca="false">PERCENTILE($Q$2:$Q$800,0.75)</f>
        <v>0.667715717403612</v>
      </c>
      <c r="S43" s="1" t="b">
        <f aca="false">OR(Q43&gt;=R43,AND(B43="CW",COUNT(J43:L43)&lt;3))</f>
        <v>1</v>
      </c>
      <c r="T43" s="0" t="n">
        <v>0.284607164286647</v>
      </c>
      <c r="U43" s="0" t="n">
        <v>10.5784839615178</v>
      </c>
      <c r="V43" s="0" t="n">
        <v>0.672371729189613</v>
      </c>
      <c r="W43" s="0" t="n">
        <f aca="false">Q43-V43</f>
        <v>0</v>
      </c>
    </row>
    <row r="44" customFormat="false" ht="15" hidden="false" customHeight="false" outlineLevel="0" collapsed="false">
      <c r="A44" s="0" t="s">
        <v>78</v>
      </c>
      <c r="B44" s="0" t="s">
        <v>3013</v>
      </c>
      <c r="C44" s="0" t="n">
        <v>50.9468203419864</v>
      </c>
      <c r="D44" s="0" t="n">
        <f aca="false">SUMPRODUCT(Risk_Inputs!B44:AJ44,Risk_Coefs!$B$2:$AJ$2)</f>
        <v>-0.912769693264088</v>
      </c>
      <c r="E44" s="0" t="n">
        <f aca="false">1/(1+EXP(-MAX(-25,MIN(25,D44))))</f>
        <v>0.286433406862364</v>
      </c>
      <c r="F44" s="0" t="n">
        <f aca="false">SUMPRODUCT(Risk_Inputs!B44:AJ44,Risk_Coefs!$B$3:$AJ$3)</f>
        <v>8.979521066959</v>
      </c>
      <c r="G44" s="0" t="n">
        <f aca="false">MAX(0,F44)</f>
        <v>8.979521066959</v>
      </c>
      <c r="H44" s="0" t="n">
        <f aca="false">(SUMPRODUCT(--ISNUMBER($E$2:$E$800),--($E$2:$E$800&lt;E44))+(SUMPRODUCT(--ISNUMBER($E$2:$E$800),--($E$2:$E$800=E44))+1)/2)/COUNT($E$2:$E$800)</f>
        <v>0.503128911138924</v>
      </c>
      <c r="I44" s="0" t="n">
        <f aca="false">(SUMPRODUCT(--ISNUMBER($G$2:$G$800),--($G$2:$G$800&lt;G44))+(SUMPRODUCT(--ISNUMBER($G$2:$G$800),--($G$2:$G$800=G44))+1)/2)/COUNT($G$2:$G$800)</f>
        <v>0.678347934918648</v>
      </c>
      <c r="J44" s="0" t="n">
        <v>11.663082698546</v>
      </c>
      <c r="K44" s="0" t="n">
        <v>2.7582869586257</v>
      </c>
      <c r="L44" s="0" t="n">
        <v>0.290345995644814</v>
      </c>
      <c r="M44" s="0" t="n">
        <f aca="false">IF(OR(B44="NW",COUNT(Risk_Rank_Keys!B44)=0),0.5,(SUMPRODUCT(--ISNUMBER(Risk_Rank_Keys!$B$2:$B$800),--(Risk_Rank_Keys!$B$2:$B$800&lt;Risk_Rank_Keys!B44))+(SUMPRODUCT(--ISNUMBER(Risk_Rank_Keys!$B$2:$B$800),--(Risk_Rank_Keys!$B$2:$B$800=Risk_Rank_Keys!B44))+1)/2)/COUNT(Risk_Rank_Keys!$B$2:$B$800))</f>
        <v>0.585774058577406</v>
      </c>
      <c r="N44" s="0" t="n">
        <f aca="false">IF(OR(B44="NW",COUNT(Risk_Rank_Keys!C44)=0),0.5,(SUMPRODUCT(--ISNUMBER(Risk_Rank_Keys!$C$2:$C$800),--(Risk_Rank_Keys!$C$2:$C$800&lt;Risk_Rank_Keys!C44))+(SUMPRODUCT(--ISNUMBER(Risk_Rank_Keys!$C$2:$C$800),--(Risk_Rank_Keys!$C$2:$C$800=Risk_Rank_Keys!C44))+1)/2)/COUNT(Risk_Rank_Keys!$C$2:$C$800))</f>
        <v>0.436541143654114</v>
      </c>
      <c r="O44" s="0" t="n">
        <f aca="false">IF(OR(B44="NW",COUNT(Risk_Rank_Keys!D44)=0),0.5,(SUMPRODUCT(--ISNUMBER(Risk_Rank_Keys!$D$2:$D$800),--(Risk_Rank_Keys!$D$2:$D$800&lt;Risk_Rank_Keys!D44))+(SUMPRODUCT(--ISNUMBER(Risk_Rank_Keys!$D$2:$D$800),--(Risk_Rank_Keys!$D$2:$D$800=Risk_Rank_Keys!D44))+1)/2)/COUNT(Risk_Rank_Keys!$D$2:$D$800))</f>
        <v>0.725244072524407</v>
      </c>
      <c r="P44" s="0" t="n">
        <f aca="false">AVERAGE(M44:O44)</f>
        <v>0.582519758251976</v>
      </c>
      <c r="Q44" s="0" t="n">
        <f aca="false">0.4*H44+0.4*I44+0.2*P44</f>
        <v>0.589094690073424</v>
      </c>
      <c r="R44" s="0" t="n">
        <f aca="false">PERCENTILE($Q$2:$Q$800,0.75)</f>
        <v>0.667715717403612</v>
      </c>
      <c r="S44" s="1" t="b">
        <f aca="false">OR(Q44&gt;=R44,AND(B44="CW",COUNT(J44:L44)&lt;3))</f>
        <v>0</v>
      </c>
      <c r="T44" s="0" t="n">
        <v>0.286433406862364</v>
      </c>
      <c r="U44" s="0" t="n">
        <v>8.979521066959</v>
      </c>
      <c r="V44" s="0" t="n">
        <v>0.589094690073424</v>
      </c>
      <c r="W44" s="0" t="n">
        <f aca="false">Q44-V44</f>
        <v>0</v>
      </c>
    </row>
    <row r="45" customFormat="false" ht="15" hidden="false" customHeight="false" outlineLevel="0" collapsed="false">
      <c r="A45" s="0" t="s">
        <v>79</v>
      </c>
      <c r="B45" s="0" t="s">
        <v>3013</v>
      </c>
      <c r="C45" s="0" t="n">
        <v>49.7544146630488</v>
      </c>
      <c r="D45" s="0" t="n">
        <f aca="false">SUMPRODUCT(Risk_Inputs!B45:AJ45,Risk_Coefs!$B$2:$AJ$2)</f>
        <v>-0.975502841549516</v>
      </c>
      <c r="E45" s="0" t="n">
        <f aca="false">1/(1+EXP(-MAX(-25,MIN(25,D45))))</f>
        <v>0.273785028997859</v>
      </c>
      <c r="F45" s="0" t="n">
        <f aca="false">SUMPRODUCT(Risk_Inputs!B45:AJ45,Risk_Coefs!$B$3:$AJ$3)</f>
        <v>6.32612408143489</v>
      </c>
      <c r="G45" s="0" t="n">
        <f aca="false">MAX(0,F45)</f>
        <v>6.32612408143489</v>
      </c>
      <c r="H45" s="0" t="n">
        <f aca="false">(SUMPRODUCT(--ISNUMBER($E$2:$E$800),--($E$2:$E$800&lt;E45))+(SUMPRODUCT(--ISNUMBER($E$2:$E$800),--($E$2:$E$800=E45))+1)/2)/COUNT($E$2:$E$800)</f>
        <v>0.414267834793492</v>
      </c>
      <c r="I45" s="0" t="n">
        <f aca="false">(SUMPRODUCT(--ISNUMBER($G$2:$G$800),--($G$2:$G$800&lt;G45))+(SUMPRODUCT(--ISNUMBER($G$2:$G$800),--($G$2:$G$800=G45))+1)/2)/COUNT($G$2:$G$800)</f>
        <v>0.315394242803504</v>
      </c>
      <c r="J45" s="0" t="n">
        <v>4.47364006276326</v>
      </c>
      <c r="K45" s="0" t="n">
        <v>3.21899736147757</v>
      </c>
      <c r="L45" s="0" t="n">
        <v>0.369393139841683</v>
      </c>
      <c r="M45" s="0" t="n">
        <f aca="false">IF(OR(B45="NW",COUNT(Risk_Rank_Keys!B45)=0),0.5,(SUMPRODUCT(--ISNUMBER(Risk_Rank_Keys!$B$2:$B$800),--(Risk_Rank_Keys!$B$2:$B$800&lt;Risk_Rank_Keys!B45))+(SUMPRODUCT(--ISNUMBER(Risk_Rank_Keys!$B$2:$B$800),--(Risk_Rank_Keys!$B$2:$B$800=Risk_Rank_Keys!B45))+1)/2)/COUNT(Risk_Rank_Keys!$B$2:$B$800))</f>
        <v>0.097629009762901</v>
      </c>
      <c r="N45" s="0" t="n">
        <f aca="false">IF(OR(B45="NW",COUNT(Risk_Rank_Keys!C45)=0),0.5,(SUMPRODUCT(--ISNUMBER(Risk_Rank_Keys!$C$2:$C$800),--(Risk_Rank_Keys!$C$2:$C$800&lt;Risk_Rank_Keys!C45))+(SUMPRODUCT(--ISNUMBER(Risk_Rank_Keys!$C$2:$C$800),--(Risk_Rank_Keys!$C$2:$C$800=Risk_Rank_Keys!C45))+1)/2)/COUNT(Risk_Rank_Keys!$C$2:$C$800))</f>
        <v>0.497907949790795</v>
      </c>
      <c r="O45" s="0" t="n">
        <f aca="false">IF(OR(B45="NW",COUNT(Risk_Rank_Keys!D45)=0),0.5,(SUMPRODUCT(--ISNUMBER(Risk_Rank_Keys!$D$2:$D$800),--(Risk_Rank_Keys!$D$2:$D$800&lt;Risk_Rank_Keys!D45))+(SUMPRODUCT(--ISNUMBER(Risk_Rank_Keys!$D$2:$D$800),--(Risk_Rank_Keys!$D$2:$D$800=Risk_Rank_Keys!D45))+1)/2)/COUNT(Risk_Rank_Keys!$D$2:$D$800))</f>
        <v>0.854951185495119</v>
      </c>
      <c r="P45" s="0" t="n">
        <f aca="false">AVERAGE(M45:O45)</f>
        <v>0.483496048349605</v>
      </c>
      <c r="Q45" s="0" t="n">
        <f aca="false">0.4*H45+0.4*I45+0.2*P45</f>
        <v>0.38856404070872</v>
      </c>
      <c r="R45" s="0" t="n">
        <f aca="false">PERCENTILE($Q$2:$Q$800,0.75)</f>
        <v>0.667715717403612</v>
      </c>
      <c r="S45" s="1" t="b">
        <f aca="false">OR(Q45&gt;=R45,AND(B45="CW",COUNT(J45:L45)&lt;3))</f>
        <v>0</v>
      </c>
      <c r="T45" s="0" t="n">
        <v>0.273785028997859</v>
      </c>
      <c r="U45" s="0" t="n">
        <v>6.32612408143488</v>
      </c>
      <c r="V45" s="0" t="n">
        <v>0.38856404070872</v>
      </c>
      <c r="W45" s="0" t="n">
        <f aca="false">Q45-V45</f>
        <v>0</v>
      </c>
    </row>
    <row r="46" customFormat="false" ht="15" hidden="false" customHeight="false" outlineLevel="0" collapsed="false">
      <c r="A46" s="0" t="s">
        <v>80</v>
      </c>
      <c r="B46" s="0" t="s">
        <v>3013</v>
      </c>
      <c r="C46" s="0" t="n">
        <v>27.1881487715677</v>
      </c>
      <c r="D46" s="0" t="n">
        <f aca="false">SUMPRODUCT(Risk_Inputs!B46:AJ46,Risk_Coefs!$B$2:$AJ$2)</f>
        <v>-1.1775950947263</v>
      </c>
      <c r="E46" s="0" t="n">
        <f aca="false">1/(1+EXP(-MAX(-25,MIN(25,D46))))</f>
        <v>0.2354848800911</v>
      </c>
      <c r="F46" s="0" t="n">
        <f aca="false">SUMPRODUCT(Risk_Inputs!B46:AJ46,Risk_Coefs!$B$3:$AJ$3)</f>
        <v>5.29712394530568</v>
      </c>
      <c r="G46" s="0" t="n">
        <f aca="false">MAX(0,F46)</f>
        <v>5.29712394530568</v>
      </c>
      <c r="H46" s="0" t="n">
        <f aca="false">(SUMPRODUCT(--ISNUMBER($E$2:$E$800),--($E$2:$E$800&lt;E46))+(SUMPRODUCT(--ISNUMBER($E$2:$E$800),--($E$2:$E$800=E46))+1)/2)/COUNT($E$2:$E$800)</f>
        <v>0.202753441802253</v>
      </c>
      <c r="I46" s="0" t="n">
        <f aca="false">(SUMPRODUCT(--ISNUMBER($G$2:$G$800),--($G$2:$G$800&lt;G46))+(SUMPRODUCT(--ISNUMBER($G$2:$G$800),--($G$2:$G$800=G46))+1)/2)/COUNT($G$2:$G$800)</f>
        <v>0.170212765957447</v>
      </c>
      <c r="J46" s="0" t="n">
        <v>12.8040973111401</v>
      </c>
      <c r="K46" s="0" t="n">
        <v>2.46071133167907</v>
      </c>
      <c r="L46" s="0" t="n">
        <v>0.372208436724562</v>
      </c>
      <c r="M46" s="0" t="n">
        <f aca="false">IF(OR(B46="NW",COUNT(Risk_Rank_Keys!B46)=0),0.5,(SUMPRODUCT(--ISNUMBER(Risk_Rank_Keys!$B$2:$B$800),--(Risk_Rank_Keys!$B$2:$B$800&lt;Risk_Rank_Keys!B46))+(SUMPRODUCT(--ISNUMBER(Risk_Rank_Keys!$B$2:$B$800),--(Risk_Rank_Keys!$B$2:$B$800=Risk_Rank_Keys!B46))+1)/2)/COUNT(Risk_Rank_Keys!$B$2:$B$800))</f>
        <v>0.629009762900976</v>
      </c>
      <c r="N46" s="0" t="n">
        <f aca="false">IF(OR(B46="NW",COUNT(Risk_Rank_Keys!C46)=0),0.5,(SUMPRODUCT(--ISNUMBER(Risk_Rank_Keys!$C$2:$C$800),--(Risk_Rank_Keys!$C$2:$C$800&lt;Risk_Rank_Keys!C46))+(SUMPRODUCT(--ISNUMBER(Risk_Rank_Keys!$C$2:$C$800),--(Risk_Rank_Keys!$C$2:$C$800=Risk_Rank_Keys!C46))+1)/2)/COUNT(Risk_Rank_Keys!$C$2:$C$800))</f>
        <v>0.380753138075314</v>
      </c>
      <c r="O46" s="0" t="n">
        <f aca="false">IF(OR(B46="NW",COUNT(Risk_Rank_Keys!D46)=0),0.5,(SUMPRODUCT(--ISNUMBER(Risk_Rank_Keys!$D$2:$D$800),--(Risk_Rank_Keys!$D$2:$D$800&lt;Risk_Rank_Keys!D46))+(SUMPRODUCT(--ISNUMBER(Risk_Rank_Keys!$D$2:$D$800),--(Risk_Rank_Keys!$D$2:$D$800=Risk_Rank_Keys!D46))+1)/2)/COUNT(Risk_Rank_Keys!$D$2:$D$800))</f>
        <v>0.857740585774059</v>
      </c>
      <c r="P46" s="0" t="n">
        <f aca="false">AVERAGE(M46:O46)</f>
        <v>0.622501162250116</v>
      </c>
      <c r="Q46" s="0" t="n">
        <f aca="false">0.4*H46+0.4*I46+0.2*P46</f>
        <v>0.273686715553903</v>
      </c>
      <c r="R46" s="0" t="n">
        <f aca="false">PERCENTILE($Q$2:$Q$800,0.75)</f>
        <v>0.667715717403612</v>
      </c>
      <c r="S46" s="1" t="b">
        <f aca="false">OR(Q46&gt;=R46,AND(B46="CW",COUNT(J46:L46)&lt;3))</f>
        <v>0</v>
      </c>
      <c r="T46" s="0" t="n">
        <v>0.2354848800911</v>
      </c>
      <c r="U46" s="0" t="n">
        <v>5.29712394530568</v>
      </c>
      <c r="V46" s="0" t="n">
        <v>0.273686715553903</v>
      </c>
      <c r="W46" s="0" t="n">
        <f aca="false">Q46-V46</f>
        <v>0</v>
      </c>
    </row>
    <row r="47" customFormat="false" ht="15" hidden="false" customHeight="false" outlineLevel="0" collapsed="false">
      <c r="A47" s="0" t="s">
        <v>81</v>
      </c>
      <c r="B47" s="0" t="s">
        <v>3013</v>
      </c>
      <c r="C47" s="0" t="n">
        <v>33.4539980302524</v>
      </c>
      <c r="D47" s="0" t="n">
        <f aca="false">SUMPRODUCT(Risk_Inputs!B47:AJ47,Risk_Coefs!$B$2:$AJ$2)</f>
        <v>-1.56623477099145</v>
      </c>
      <c r="E47" s="0" t="n">
        <f aca="false">1/(1+EXP(-MAX(-25,MIN(25,D47))))</f>
        <v>0.172753817542971</v>
      </c>
      <c r="F47" s="0" t="n">
        <f aca="false">SUMPRODUCT(Risk_Inputs!B47:AJ47,Risk_Coefs!$B$3:$AJ$3)</f>
        <v>5.09234992422127</v>
      </c>
      <c r="G47" s="0" t="n">
        <f aca="false">MAX(0,F47)</f>
        <v>5.09234992422127</v>
      </c>
      <c r="H47" s="0" t="n">
        <f aca="false">(SUMPRODUCT(--ISNUMBER($E$2:$E$800),--($E$2:$E$800&lt;E47))+(SUMPRODUCT(--ISNUMBER($E$2:$E$800),--($E$2:$E$800=E47))+1)/2)/COUNT($E$2:$E$800)</f>
        <v>0.0463078848560701</v>
      </c>
      <c r="I47" s="0" t="n">
        <f aca="false">(SUMPRODUCT(--ISNUMBER($G$2:$G$800),--($G$2:$G$800&lt;G47))+(SUMPRODUCT(--ISNUMBER($G$2:$G$800),--($G$2:$G$800=G47))+1)/2)/COUNT($G$2:$G$800)</f>
        <v>0.147684605757197</v>
      </c>
      <c r="J47" s="0" t="n">
        <v>53.0713223520573</v>
      </c>
      <c r="K47" s="0" t="n">
        <v>9.82658959537573</v>
      </c>
      <c r="L47" s="0" t="n">
        <v>0.452374968585067</v>
      </c>
      <c r="M47" s="0" t="n">
        <f aca="false">IF(OR(B47="NW",COUNT(Risk_Rank_Keys!B47)=0),0.5,(SUMPRODUCT(--ISNUMBER(Risk_Rank_Keys!$B$2:$B$800),--(Risk_Rank_Keys!$B$2:$B$800&lt;Risk_Rank_Keys!B47))+(SUMPRODUCT(--ISNUMBER(Risk_Rank_Keys!$B$2:$B$800),--(Risk_Rank_Keys!$B$2:$B$800=Risk_Rank_Keys!B47))+1)/2)/COUNT(Risk_Rank_Keys!$B$2:$B$800))</f>
        <v>0.98047419804742</v>
      </c>
      <c r="N47" s="0" t="n">
        <f aca="false">IF(OR(B47="NW",COUNT(Risk_Rank_Keys!C47)=0),0.5,(SUMPRODUCT(--ISNUMBER(Risk_Rank_Keys!$C$2:$C$800),--(Risk_Rank_Keys!$C$2:$C$800&lt;Risk_Rank_Keys!C47))+(SUMPRODUCT(--ISNUMBER(Risk_Rank_Keys!$C$2:$C$800),--(Risk_Rank_Keys!$C$2:$C$800=Risk_Rank_Keys!C47))+1)/2)/COUNT(Risk_Rank_Keys!$C$2:$C$800))</f>
        <v>0.875871687587169</v>
      </c>
      <c r="O47" s="0" t="n">
        <f aca="false">IF(OR(B47="NW",COUNT(Risk_Rank_Keys!D47)=0),0.5,(SUMPRODUCT(--ISNUMBER(Risk_Rank_Keys!$D$2:$D$800),--(Risk_Rank_Keys!$D$2:$D$800&lt;Risk_Rank_Keys!D47))+(SUMPRODUCT(--ISNUMBER(Risk_Rank_Keys!$D$2:$D$800),--(Risk_Rank_Keys!$D$2:$D$800=Risk_Rank_Keys!D47))+1)/2)/COUNT(Risk_Rank_Keys!$D$2:$D$800))</f>
        <v>0.923291492329149</v>
      </c>
      <c r="P47" s="0" t="n">
        <f aca="false">AVERAGE(M47:O47)</f>
        <v>0.926545792654579</v>
      </c>
      <c r="Q47" s="0" t="n">
        <f aca="false">0.4*H47+0.4*I47+0.2*P47</f>
        <v>0.262906154776223</v>
      </c>
      <c r="R47" s="0" t="n">
        <f aca="false">PERCENTILE($Q$2:$Q$800,0.75)</f>
        <v>0.667715717403612</v>
      </c>
      <c r="S47" s="1" t="b">
        <f aca="false">OR(Q47&gt;=R47,AND(B47="CW",COUNT(J47:L47)&lt;3))</f>
        <v>0</v>
      </c>
      <c r="T47" s="0" t="n">
        <v>0.172753817542971</v>
      </c>
      <c r="U47" s="0" t="n">
        <v>5.09234992422127</v>
      </c>
      <c r="V47" s="0" t="n">
        <v>0.262906154776223</v>
      </c>
      <c r="W47" s="0" t="n">
        <f aca="false">Q47-V47</f>
        <v>0</v>
      </c>
    </row>
    <row r="48" customFormat="false" ht="15" hidden="false" customHeight="false" outlineLevel="0" collapsed="false">
      <c r="A48" s="0" t="s">
        <v>82</v>
      </c>
      <c r="B48" s="0" t="s">
        <v>3013</v>
      </c>
      <c r="C48" s="0" t="n">
        <v>66.8581549768352</v>
      </c>
      <c r="D48" s="0" t="n">
        <f aca="false">SUMPRODUCT(Risk_Inputs!B48:AJ48,Risk_Coefs!$B$2:$AJ$2)</f>
        <v>-1.79186473729871</v>
      </c>
      <c r="E48" s="0" t="n">
        <f aca="false">1/(1+EXP(-MAX(-25,MIN(25,D48))))</f>
        <v>0.142844253373909</v>
      </c>
      <c r="F48" s="0" t="n">
        <f aca="false">SUMPRODUCT(Risk_Inputs!B48:AJ48,Risk_Coefs!$B$3:$AJ$3)</f>
        <v>4.90680248054197</v>
      </c>
      <c r="G48" s="0" t="n">
        <f aca="false">MAX(0,F48)</f>
        <v>4.90680248054197</v>
      </c>
      <c r="H48" s="0" t="n">
        <f aca="false">(SUMPRODUCT(--ISNUMBER($E$2:$E$800),--($E$2:$E$800&lt;E48))+(SUMPRODUCT(--ISNUMBER($E$2:$E$800),--($E$2:$E$800=E48))+1)/2)/COUNT($E$2:$E$800)</f>
        <v>0.016270337922403</v>
      </c>
      <c r="I48" s="0" t="n">
        <f aca="false">(SUMPRODUCT(--ISNUMBER($G$2:$G$800),--($G$2:$G$800&lt;G48))+(SUMPRODUCT(--ISNUMBER($G$2:$G$800),--($G$2:$G$800=G48))+1)/2)/COUNT($G$2:$G$800)</f>
        <v>0.125156445556946</v>
      </c>
      <c r="J48" s="0" t="n">
        <v>40.4472434580536</v>
      </c>
      <c r="K48" s="0" t="n">
        <v>19.0610328638498</v>
      </c>
      <c r="L48" s="0" t="n">
        <v>0.375586854460099</v>
      </c>
      <c r="M48" s="0" t="n">
        <f aca="false">IF(OR(B48="NW",COUNT(Risk_Rank_Keys!B48)=0),0.5,(SUMPRODUCT(--ISNUMBER(Risk_Rank_Keys!$B$2:$B$800),--(Risk_Rank_Keys!$B$2:$B$800&lt;Risk_Rank_Keys!B48))+(SUMPRODUCT(--ISNUMBER(Risk_Rank_Keys!$B$2:$B$800),--(Risk_Rank_Keys!$B$2:$B$800=Risk_Rank_Keys!B48))+1)/2)/COUNT(Risk_Rank_Keys!$B$2:$B$800))</f>
        <v>0.95536959553696</v>
      </c>
      <c r="N48" s="0" t="n">
        <f aca="false">IF(OR(B48="NW",COUNT(Risk_Rank_Keys!C48)=0),0.5,(SUMPRODUCT(--ISNUMBER(Risk_Rank_Keys!$C$2:$C$800),--(Risk_Rank_Keys!$C$2:$C$800&lt;Risk_Rank_Keys!C48))+(SUMPRODUCT(--ISNUMBER(Risk_Rank_Keys!$C$2:$C$800),--(Risk_Rank_Keys!$C$2:$C$800=Risk_Rank_Keys!C48))+1)/2)/COUNT(Risk_Rank_Keys!$C$2:$C$800))</f>
        <v>0.9581589958159</v>
      </c>
      <c r="O48" s="0" t="n">
        <f aca="false">IF(OR(B48="NW",COUNT(Risk_Rank_Keys!D48)=0),0.5,(SUMPRODUCT(--ISNUMBER(Risk_Rank_Keys!$D$2:$D$800),--(Risk_Rank_Keys!$D$2:$D$800&lt;Risk_Rank_Keys!D48))+(SUMPRODUCT(--ISNUMBER(Risk_Rank_Keys!$D$2:$D$800),--(Risk_Rank_Keys!$D$2:$D$800=Risk_Rank_Keys!D48))+1)/2)/COUNT(Risk_Rank_Keys!$D$2:$D$800))</f>
        <v>0.860529986052999</v>
      </c>
      <c r="P48" s="0" t="n">
        <f aca="false">AVERAGE(M48:O48)</f>
        <v>0.924686192468619</v>
      </c>
      <c r="Q48" s="0" t="n">
        <f aca="false">0.4*H48+0.4*I48+0.2*P48</f>
        <v>0.241507951885464</v>
      </c>
      <c r="R48" s="0" t="n">
        <f aca="false">PERCENTILE($Q$2:$Q$800,0.75)</f>
        <v>0.667715717403612</v>
      </c>
      <c r="S48" s="1" t="b">
        <f aca="false">OR(Q48&gt;=R48,AND(B48="CW",COUNT(J48:L48)&lt;3))</f>
        <v>0</v>
      </c>
      <c r="T48" s="0" t="n">
        <v>0.142844253373909</v>
      </c>
      <c r="U48" s="0" t="n">
        <v>4.90680248054197</v>
      </c>
      <c r="V48" s="0" t="n">
        <v>0.241507951885464</v>
      </c>
      <c r="W48" s="0" t="n">
        <f aca="false">Q48-V48</f>
        <v>0</v>
      </c>
    </row>
    <row r="49" customFormat="false" ht="15" hidden="false" customHeight="false" outlineLevel="0" collapsed="false">
      <c r="A49" s="0" t="s">
        <v>83</v>
      </c>
      <c r="B49" s="0" t="s">
        <v>3013</v>
      </c>
      <c r="C49" s="0" t="n">
        <v>-33.8458956893752</v>
      </c>
      <c r="D49" s="0" t="n">
        <f aca="false">SUMPRODUCT(Risk_Inputs!B49:AJ49,Risk_Coefs!$B$2:$AJ$2)</f>
        <v>-0.987618304281225</v>
      </c>
      <c r="E49" s="0" t="n">
        <f aca="false">1/(1+EXP(-MAX(-25,MIN(25,D49))))</f>
        <v>0.271382763741804</v>
      </c>
      <c r="F49" s="0" t="n">
        <f aca="false">SUMPRODUCT(Risk_Inputs!B49:AJ49,Risk_Coefs!$B$3:$AJ$3)</f>
        <v>7.94372729987101</v>
      </c>
      <c r="G49" s="0" t="n">
        <f aca="false">MAX(0,F49)</f>
        <v>7.94372729987101</v>
      </c>
      <c r="H49" s="0" t="n">
        <f aca="false">(SUMPRODUCT(--ISNUMBER($E$2:$E$800),--($E$2:$E$800&lt;E49))+(SUMPRODUCT(--ISNUMBER($E$2:$E$800),--($E$2:$E$800=E49))+1)/2)/COUNT($E$2:$E$800)</f>
        <v>0.396745932415519</v>
      </c>
      <c r="I49" s="0" t="n">
        <f aca="false">(SUMPRODUCT(--ISNUMBER($G$2:$G$800),--($G$2:$G$800&lt;G49))+(SUMPRODUCT(--ISNUMBER($G$2:$G$800),--($G$2:$G$800=G49))+1)/2)/COUNT($G$2:$G$800)</f>
        <v>0.531914893617021</v>
      </c>
      <c r="J49" s="0" t="n">
        <v>21.0810325910701</v>
      </c>
      <c r="K49" s="0" t="n">
        <v>5.37496800614282</v>
      </c>
      <c r="L49" s="0" t="n">
        <v>0.268748400307137</v>
      </c>
      <c r="M49" s="0" t="n">
        <f aca="false">IF(OR(B49="NW",COUNT(Risk_Rank_Keys!B49)=0),0.5,(SUMPRODUCT(--ISNUMBER(Risk_Rank_Keys!$B$2:$B$800),--(Risk_Rank_Keys!$B$2:$B$800&lt;Risk_Rank_Keys!B49))+(SUMPRODUCT(--ISNUMBER(Risk_Rank_Keys!$B$2:$B$800),--(Risk_Rank_Keys!$B$2:$B$800=Risk_Rank_Keys!B49))+1)/2)/COUNT(Risk_Rank_Keys!$B$2:$B$800))</f>
        <v>0.811715481171548</v>
      </c>
      <c r="N49" s="0" t="n">
        <f aca="false">IF(OR(B49="NW",COUNT(Risk_Rank_Keys!C49)=0),0.5,(SUMPRODUCT(--ISNUMBER(Risk_Rank_Keys!$C$2:$C$800),--(Risk_Rank_Keys!$C$2:$C$800&lt;Risk_Rank_Keys!C49))+(SUMPRODUCT(--ISNUMBER(Risk_Rank_Keys!$C$2:$C$800),--(Risk_Rank_Keys!$C$2:$C$800=Risk_Rank_Keys!C49))+1)/2)/COUNT(Risk_Rank_Keys!$C$2:$C$800))</f>
        <v>0.714086471408647</v>
      </c>
      <c r="O49" s="0" t="n">
        <f aca="false">IF(OR(B49="NW",COUNT(Risk_Rank_Keys!D49)=0),0.5,(SUMPRODUCT(--ISNUMBER(Risk_Rank_Keys!$D$2:$D$800),--(Risk_Rank_Keys!$D$2:$D$800&lt;Risk_Rank_Keys!D49))+(SUMPRODUCT(--ISNUMBER(Risk_Rank_Keys!$D$2:$D$800),--(Risk_Rank_Keys!$D$2:$D$800=Risk_Rank_Keys!D49))+1)/2)/COUNT(Risk_Rank_Keys!$D$2:$D$800))</f>
        <v>0.662482566248257</v>
      </c>
      <c r="P49" s="0" t="n">
        <f aca="false">AVERAGE(M49:O49)</f>
        <v>0.729428172942817</v>
      </c>
      <c r="Q49" s="0" t="n">
        <f aca="false">0.4*H49+0.4*I49+0.2*P49</f>
        <v>0.51734996500158</v>
      </c>
      <c r="R49" s="0" t="n">
        <f aca="false">PERCENTILE($Q$2:$Q$800,0.75)</f>
        <v>0.667715717403612</v>
      </c>
      <c r="S49" s="1" t="b">
        <f aca="false">OR(Q49&gt;=R49,AND(B49="CW",COUNT(J49:L49)&lt;3))</f>
        <v>0</v>
      </c>
      <c r="T49" s="0" t="n">
        <v>0.271382763741804</v>
      </c>
      <c r="U49" s="0" t="n">
        <v>7.94372729987101</v>
      </c>
      <c r="V49" s="0" t="n">
        <v>0.51734996500158</v>
      </c>
      <c r="W49" s="0" t="n">
        <f aca="false">Q49-V49</f>
        <v>0</v>
      </c>
    </row>
    <row r="50" customFormat="false" ht="15" hidden="false" customHeight="false" outlineLevel="0" collapsed="false">
      <c r="A50" s="0" t="s">
        <v>84</v>
      </c>
      <c r="B50" s="0" t="s">
        <v>3013</v>
      </c>
      <c r="C50" s="0" t="n">
        <v>57.521543602291</v>
      </c>
      <c r="D50" s="0" t="n">
        <f aca="false">SUMPRODUCT(Risk_Inputs!B50:AJ50,Risk_Coefs!$B$2:$AJ$2)</f>
        <v>-1.44422047911729</v>
      </c>
      <c r="E50" s="0" t="n">
        <f aca="false">1/(1+EXP(-MAX(-25,MIN(25,D50))))</f>
        <v>0.190892633885303</v>
      </c>
      <c r="F50" s="0" t="n">
        <f aca="false">SUMPRODUCT(Risk_Inputs!B50:AJ50,Risk_Coefs!$B$3:$AJ$3)</f>
        <v>4.01038632591173</v>
      </c>
      <c r="G50" s="0" t="n">
        <f aca="false">MAX(0,F50)</f>
        <v>4.01038632591173</v>
      </c>
      <c r="H50" s="0" t="n">
        <f aca="false">(SUMPRODUCT(--ISNUMBER($E$2:$E$800),--($E$2:$E$800&lt;E50))+(SUMPRODUCT(--ISNUMBER($E$2:$E$800),--($E$2:$E$800=E50))+1)/2)/COUNT($E$2:$E$800)</f>
        <v>0.0901126408010013</v>
      </c>
      <c r="I50" s="0" t="n">
        <f aca="false">(SUMPRODUCT(--ISNUMBER($G$2:$G$800),--($G$2:$G$800&lt;G50))+(SUMPRODUCT(--ISNUMBER($G$2:$G$800),--($G$2:$G$800=G50))+1)/2)/COUNT($G$2:$G$800)</f>
        <v>0.0525657071339174</v>
      </c>
      <c r="J50" s="0" t="n">
        <v>48.0126309628735</v>
      </c>
      <c r="K50" s="0" t="n">
        <v>7.39768339768339</v>
      </c>
      <c r="L50" s="0" t="n">
        <v>0.432432432432434</v>
      </c>
      <c r="M50" s="0" t="n">
        <f aca="false">IF(OR(B50="NW",COUNT(Risk_Rank_Keys!B50)=0),0.5,(SUMPRODUCT(--ISNUMBER(Risk_Rank_Keys!$B$2:$B$800),--(Risk_Rank_Keys!$B$2:$B$800&lt;Risk_Rank_Keys!B50))+(SUMPRODUCT(--ISNUMBER(Risk_Rank_Keys!$B$2:$B$800),--(Risk_Rank_Keys!$B$2:$B$800=Risk_Rank_Keys!B50))+1)/2)/COUNT(Risk_Rank_Keys!$B$2:$B$800))</f>
        <v>0.9721059972106</v>
      </c>
      <c r="N50" s="0" t="n">
        <f aca="false">IF(OR(B50="NW",COUNT(Risk_Rank_Keys!C50)=0),0.5,(SUMPRODUCT(--ISNUMBER(Risk_Rank_Keys!$C$2:$C$800),--(Risk_Rank_Keys!$C$2:$C$800&lt;Risk_Rank_Keys!C50))+(SUMPRODUCT(--ISNUMBER(Risk_Rank_Keys!$C$2:$C$800),--(Risk_Rank_Keys!$C$2:$C$800=Risk_Rank_Keys!C50))+1)/2)/COUNT(Risk_Rank_Keys!$C$2:$C$800))</f>
        <v>0.800557880055788</v>
      </c>
      <c r="O50" s="0" t="n">
        <f aca="false">IF(OR(B50="NW",COUNT(Risk_Rank_Keys!D50)=0),0.5,(SUMPRODUCT(--ISNUMBER(Risk_Rank_Keys!$D$2:$D$800),--(Risk_Rank_Keys!$D$2:$D$800&lt;Risk_Rank_Keys!D50))+(SUMPRODUCT(--ISNUMBER(Risk_Rank_Keys!$D$2:$D$800),--(Risk_Rank_Keys!$D$2:$D$800=Risk_Rank_Keys!D50))+1)/2)/COUNT(Risk_Rank_Keys!$D$2:$D$800))</f>
        <v>0.909344490934449</v>
      </c>
      <c r="P50" s="0" t="n">
        <f aca="false">AVERAGE(M50:O50)</f>
        <v>0.894002789400279</v>
      </c>
      <c r="Q50" s="0" t="n">
        <f aca="false">0.4*H50+0.4*I50+0.2*P50</f>
        <v>0.235871897054023</v>
      </c>
      <c r="R50" s="0" t="n">
        <f aca="false">PERCENTILE($Q$2:$Q$800,0.75)</f>
        <v>0.667715717403612</v>
      </c>
      <c r="S50" s="1" t="b">
        <f aca="false">OR(Q50&gt;=R50,AND(B50="CW",COUNT(J50:L50)&lt;3))</f>
        <v>0</v>
      </c>
      <c r="T50" s="0" t="n">
        <v>0.190892633885303</v>
      </c>
      <c r="U50" s="0" t="n">
        <v>4.01038632591173</v>
      </c>
      <c r="V50" s="0" t="n">
        <v>0.235871897054023</v>
      </c>
      <c r="W50" s="0" t="n">
        <f aca="false">Q50-V50</f>
        <v>0</v>
      </c>
    </row>
    <row r="51" customFormat="false" ht="15" hidden="false" customHeight="false" outlineLevel="0" collapsed="false">
      <c r="A51" s="0" t="s">
        <v>85</v>
      </c>
      <c r="B51" s="0" t="s">
        <v>3013</v>
      </c>
      <c r="C51" s="0" t="n">
        <v>50.1603221862066</v>
      </c>
      <c r="D51" s="0" t="n">
        <f aca="false">SUMPRODUCT(Risk_Inputs!B51:AJ51,Risk_Coefs!$B$2:$AJ$2)</f>
        <v>-1.53415042819455</v>
      </c>
      <c r="E51" s="0" t="n">
        <f aca="false">1/(1+EXP(-MAX(-25,MIN(25,D51))))</f>
        <v>0.177387239975408</v>
      </c>
      <c r="F51" s="0" t="n">
        <f aca="false">SUMPRODUCT(Risk_Inputs!B51:AJ51,Risk_Coefs!$B$3:$AJ$3)</f>
        <v>3.40203049440183</v>
      </c>
      <c r="G51" s="0" t="n">
        <f aca="false">MAX(0,F51)</f>
        <v>3.40203049440183</v>
      </c>
      <c r="H51" s="0" t="n">
        <f aca="false">(SUMPRODUCT(--ISNUMBER($E$2:$E$800),--($E$2:$E$800&lt;E51))+(SUMPRODUCT(--ISNUMBER($E$2:$E$800),--($E$2:$E$800=E51))+1)/2)/COUNT($E$2:$E$800)</f>
        <v>0.0600750938673342</v>
      </c>
      <c r="I51" s="0" t="n">
        <f aca="false">(SUMPRODUCT(--ISNUMBER($G$2:$G$800),--($G$2:$G$800&lt;G51))+(SUMPRODUCT(--ISNUMBER($G$2:$G$800),--($G$2:$G$800=G51))+1)/2)/COUNT($G$2:$G$800)</f>
        <v>0.0337922403003755</v>
      </c>
      <c r="J51" s="0" t="n">
        <v>34.4678142394744</v>
      </c>
      <c r="K51" s="0" t="n">
        <v>14.9207576343255</v>
      </c>
      <c r="L51" s="0" t="n">
        <v>0.34789331271743</v>
      </c>
      <c r="M51" s="0" t="n">
        <f aca="false">IF(OR(B51="NW",COUNT(Risk_Rank_Keys!B51)=0),0.5,(SUMPRODUCT(--ISNUMBER(Risk_Rank_Keys!$B$2:$B$800),--(Risk_Rank_Keys!$B$2:$B$800&lt;Risk_Rank_Keys!B51))+(SUMPRODUCT(--ISNUMBER(Risk_Rank_Keys!$B$2:$B$800),--(Risk_Rank_Keys!$B$2:$B$800=Risk_Rank_Keys!B51))+1)/2)/COUNT(Risk_Rank_Keys!$B$2:$B$800))</f>
        <v>0.921896792189679</v>
      </c>
      <c r="N51" s="0" t="n">
        <f aca="false">IF(OR(B51="NW",COUNT(Risk_Rank_Keys!C51)=0),0.5,(SUMPRODUCT(--ISNUMBER(Risk_Rank_Keys!$C$2:$C$800),--(Risk_Rank_Keys!$C$2:$C$800&lt;Risk_Rank_Keys!C51))+(SUMPRODUCT(--ISNUMBER(Risk_Rank_Keys!$C$2:$C$800),--(Risk_Rank_Keys!$C$2:$C$800=Risk_Rank_Keys!C51))+1)/2)/COUNT(Risk_Rank_Keys!$C$2:$C$800))</f>
        <v>0.927475592747559</v>
      </c>
      <c r="O51" s="0" t="n">
        <f aca="false">IF(OR(B51="NW",COUNT(Risk_Rank_Keys!D51)=0),0.5,(SUMPRODUCT(--ISNUMBER(Risk_Rank_Keys!$D$2:$D$800),--(Risk_Rank_Keys!$D$2:$D$800&lt;Risk_Rank_Keys!D51))+(SUMPRODUCT(--ISNUMBER(Risk_Rank_Keys!$D$2:$D$800),--(Risk_Rank_Keys!$D$2:$D$800=Risk_Rank_Keys!D51))+1)/2)/COUNT(Risk_Rank_Keys!$D$2:$D$800))</f>
        <v>0.831241283124128</v>
      </c>
      <c r="P51" s="0" t="n">
        <f aca="false">AVERAGE(M51:O51)</f>
        <v>0.893537889353789</v>
      </c>
      <c r="Q51" s="0" t="n">
        <f aca="false">0.4*H51+0.4*I51+0.2*P51</f>
        <v>0.216254511537842</v>
      </c>
      <c r="R51" s="0" t="n">
        <f aca="false">PERCENTILE($Q$2:$Q$800,0.75)</f>
        <v>0.667715717403612</v>
      </c>
      <c r="S51" s="1" t="b">
        <f aca="false">OR(Q51&gt;=R51,AND(B51="CW",COUNT(J51:L51)&lt;3))</f>
        <v>0</v>
      </c>
      <c r="T51" s="0" t="n">
        <v>0.177387239975408</v>
      </c>
      <c r="U51" s="0" t="n">
        <v>3.40203049440183</v>
      </c>
      <c r="V51" s="0" t="n">
        <v>0.216254511537842</v>
      </c>
      <c r="W51" s="0" t="n">
        <f aca="false">Q51-V51</f>
        <v>0</v>
      </c>
    </row>
    <row r="52" customFormat="false" ht="15" hidden="false" customHeight="false" outlineLevel="0" collapsed="false">
      <c r="A52" s="0" t="s">
        <v>86</v>
      </c>
      <c r="B52" s="0" t="s">
        <v>3013</v>
      </c>
      <c r="C52" s="0" t="n">
        <v>-37.2203930308804</v>
      </c>
      <c r="D52" s="0" t="n">
        <f aca="false">SUMPRODUCT(Risk_Inputs!B52:AJ52,Risk_Coefs!$B$2:$AJ$2)</f>
        <v>-1.15032894891797</v>
      </c>
      <c r="E52" s="0" t="n">
        <f aca="false">1/(1+EXP(-MAX(-25,MIN(25,D52))))</f>
        <v>0.240429004316812</v>
      </c>
      <c r="F52" s="0" t="n">
        <f aca="false">SUMPRODUCT(Risk_Inputs!B52:AJ52,Risk_Coefs!$B$3:$AJ$3)</f>
        <v>5.44703569006363</v>
      </c>
      <c r="G52" s="0" t="n">
        <f aca="false">MAX(0,F52)</f>
        <v>5.44703569006363</v>
      </c>
      <c r="H52" s="0" t="n">
        <f aca="false">(SUMPRODUCT(--ISNUMBER($E$2:$E$800),--($E$2:$E$800&lt;E52))+(SUMPRODUCT(--ISNUMBER($E$2:$E$800),--($E$2:$E$800=E52))+1)/2)/COUNT($E$2:$E$800)</f>
        <v>0.226533166458073</v>
      </c>
      <c r="I52" s="0" t="n">
        <f aca="false">(SUMPRODUCT(--ISNUMBER($G$2:$G$800),--($G$2:$G$800&lt;G52))+(SUMPRODUCT(--ISNUMBER($G$2:$G$800),--($G$2:$G$800=G52))+1)/2)/COUNT($G$2:$G$800)</f>
        <v>0.190237797246558</v>
      </c>
      <c r="J52" s="0" t="n">
        <v>24.0553204609135</v>
      </c>
      <c r="K52" s="0" t="n">
        <v>17.1823899371069</v>
      </c>
      <c r="L52" s="0" t="n">
        <v>0.301886792452834</v>
      </c>
      <c r="M52" s="0" t="n">
        <f aca="false">IF(OR(B52="NW",COUNT(Risk_Rank_Keys!B52)=0),0.5,(SUMPRODUCT(--ISNUMBER(Risk_Rank_Keys!$B$2:$B$800),--(Risk_Rank_Keys!$B$2:$B$800&lt;Risk_Rank_Keys!B52))+(SUMPRODUCT(--ISNUMBER(Risk_Rank_Keys!$B$2:$B$800),--(Risk_Rank_Keys!$B$2:$B$800=Risk_Rank_Keys!B52))+1)/2)/COUNT(Risk_Rank_Keys!$B$2:$B$800))</f>
        <v>0.845188284518828</v>
      </c>
      <c r="N52" s="0" t="n">
        <f aca="false">IF(OR(B52="NW",COUNT(Risk_Rank_Keys!C52)=0),0.5,(SUMPRODUCT(--ISNUMBER(Risk_Rank_Keys!$C$2:$C$800),--(Risk_Rank_Keys!$C$2:$C$800&lt;Risk_Rank_Keys!C52))+(SUMPRODUCT(--ISNUMBER(Risk_Rank_Keys!$C$2:$C$800),--(Risk_Rank_Keys!$C$2:$C$800=Risk_Rank_Keys!C52))+1)/2)/COUNT(Risk_Rank_Keys!$C$2:$C$800))</f>
        <v>0.94839609483961</v>
      </c>
      <c r="O52" s="0" t="n">
        <f aca="false">IF(OR(B52="NW",COUNT(Risk_Rank_Keys!D52)=0),0.5,(SUMPRODUCT(--ISNUMBER(Risk_Rank_Keys!$D$2:$D$800),--(Risk_Rank_Keys!$D$2:$D$800&lt;Risk_Rank_Keys!D52))+(SUMPRODUCT(--ISNUMBER(Risk_Rank_Keys!$D$2:$D$800),--(Risk_Rank_Keys!$D$2:$D$800=Risk_Rank_Keys!D52))+1)/2)/COUNT(Risk_Rank_Keys!$D$2:$D$800))</f>
        <v>0.750348675034868</v>
      </c>
      <c r="P52" s="0" t="n">
        <f aca="false">AVERAGE(M52:O52)</f>
        <v>0.847977684797769</v>
      </c>
      <c r="Q52" s="0" t="n">
        <f aca="false">0.4*H52+0.4*I52+0.2*P52</f>
        <v>0.336303922441406</v>
      </c>
      <c r="R52" s="0" t="n">
        <f aca="false">PERCENTILE($Q$2:$Q$800,0.75)</f>
        <v>0.667715717403612</v>
      </c>
      <c r="S52" s="1" t="b">
        <f aca="false">OR(Q52&gt;=R52,AND(B52="CW",COUNT(J52:L52)&lt;3))</f>
        <v>0</v>
      </c>
      <c r="T52" s="0" t="n">
        <v>0.240429004316812</v>
      </c>
      <c r="U52" s="0" t="n">
        <v>5.44703569006363</v>
      </c>
      <c r="V52" s="0" t="n">
        <v>0.336303922441406</v>
      </c>
      <c r="W52" s="0" t="n">
        <f aca="false">Q52-V52</f>
        <v>0</v>
      </c>
    </row>
    <row r="53" customFormat="false" ht="15" hidden="false" customHeight="false" outlineLevel="0" collapsed="false">
      <c r="A53" s="0" t="s">
        <v>87</v>
      </c>
      <c r="B53" s="0" t="s">
        <v>3013</v>
      </c>
      <c r="C53" s="0" t="n">
        <v>-56.2528464721974</v>
      </c>
      <c r="D53" s="0" t="n">
        <f aca="false">SUMPRODUCT(Risk_Inputs!B53:AJ53,Risk_Coefs!$B$2:$AJ$2)</f>
        <v>-1.10544914073757</v>
      </c>
      <c r="E53" s="0" t="n">
        <f aca="false">1/(1+EXP(-MAX(-25,MIN(25,D53))))</f>
        <v>0.248720282531499</v>
      </c>
      <c r="F53" s="0" t="n">
        <f aca="false">SUMPRODUCT(Risk_Inputs!B53:AJ53,Risk_Coefs!$B$3:$AJ$3)</f>
        <v>9.05328643146406</v>
      </c>
      <c r="G53" s="0" t="n">
        <f aca="false">MAX(0,F53)</f>
        <v>9.05328643146406</v>
      </c>
      <c r="H53" s="0" t="n">
        <f aca="false">(SUMPRODUCT(--ISNUMBER($E$2:$E$800),--($E$2:$E$800&lt;E53))+(SUMPRODUCT(--ISNUMBER($E$2:$E$800),--($E$2:$E$800=E53))+1)/2)/COUNT($E$2:$E$800)</f>
        <v>0.25657071339174</v>
      </c>
      <c r="I53" s="0" t="n">
        <f aca="false">(SUMPRODUCT(--ISNUMBER($G$2:$G$800),--($G$2:$G$800&lt;G53))+(SUMPRODUCT(--ISNUMBER($G$2:$G$800),--($G$2:$G$800=G53))+1)/2)/COUNT($G$2:$G$800)</f>
        <v>0.687108886107635</v>
      </c>
      <c r="J53" s="0" t="n">
        <v>39.3805233509619</v>
      </c>
      <c r="K53" s="0" t="n">
        <v>9.074540871444</v>
      </c>
      <c r="L53" s="0" t="n">
        <v>0.432120993878282</v>
      </c>
      <c r="M53" s="0" t="n">
        <f aca="false">IF(OR(B53="NW",COUNT(Risk_Rank_Keys!B53)=0),0.5,(SUMPRODUCT(--ISNUMBER(Risk_Rank_Keys!$B$2:$B$800),--(Risk_Rank_Keys!$B$2:$B$800&lt;Risk_Rank_Keys!B53))+(SUMPRODUCT(--ISNUMBER(Risk_Rank_Keys!$B$2:$B$800),--(Risk_Rank_Keys!$B$2:$B$800=Risk_Rank_Keys!B53))+1)/2)/COUNT(Risk_Rank_Keys!$B$2:$B$800))</f>
        <v>0.95118549511855</v>
      </c>
      <c r="N53" s="0" t="n">
        <f aca="false">IF(OR(B53="NW",COUNT(Risk_Rank_Keys!C53)=0),0.5,(SUMPRODUCT(--ISNUMBER(Risk_Rank_Keys!$C$2:$C$800),--(Risk_Rank_Keys!$C$2:$C$800&lt;Risk_Rank_Keys!C53))+(SUMPRODUCT(--ISNUMBER(Risk_Rank_Keys!$C$2:$C$800),--(Risk_Rank_Keys!$C$2:$C$800=Risk_Rank_Keys!C53))+1)/2)/COUNT(Risk_Rank_Keys!$C$2:$C$800))</f>
        <v>0.849372384937239</v>
      </c>
      <c r="O53" s="0" t="n">
        <f aca="false">IF(OR(B53="NW",COUNT(Risk_Rank_Keys!D53)=0),0.5,(SUMPRODUCT(--ISNUMBER(Risk_Rank_Keys!$D$2:$D$800),--(Risk_Rank_Keys!$D$2:$D$800&lt;Risk_Rank_Keys!D53))+(SUMPRODUCT(--ISNUMBER(Risk_Rank_Keys!$D$2:$D$800),--(Risk_Rank_Keys!$D$2:$D$800=Risk_Rank_Keys!D53))+1)/2)/COUNT(Risk_Rank_Keys!$D$2:$D$800))</f>
        <v>0.907949790794979</v>
      </c>
      <c r="P53" s="0" t="n">
        <f aca="false">AVERAGE(M53:O53)</f>
        <v>0.902835890283589</v>
      </c>
      <c r="Q53" s="0" t="n">
        <f aca="false">0.4*H53+0.4*I53+0.2*P53</f>
        <v>0.558039017856468</v>
      </c>
      <c r="R53" s="0" t="n">
        <f aca="false">PERCENTILE($Q$2:$Q$800,0.75)</f>
        <v>0.667715717403612</v>
      </c>
      <c r="S53" s="1" t="b">
        <f aca="false">OR(Q53&gt;=R53,AND(B53="CW",COUNT(J53:L53)&lt;3))</f>
        <v>0</v>
      </c>
      <c r="T53" s="0" t="n">
        <v>0.248720282531499</v>
      </c>
      <c r="U53" s="0" t="n">
        <v>9.05328643146406</v>
      </c>
      <c r="V53" s="0" t="n">
        <v>0.558039017856468</v>
      </c>
      <c r="W53" s="0" t="n">
        <f aca="false">Q53-V53</f>
        <v>0</v>
      </c>
    </row>
    <row r="54" customFormat="false" ht="15" hidden="false" customHeight="false" outlineLevel="0" collapsed="false">
      <c r="A54" s="0" t="s">
        <v>88</v>
      </c>
      <c r="B54" s="0" t="s">
        <v>3013</v>
      </c>
      <c r="C54" s="0" t="n">
        <v>41.6881001473572</v>
      </c>
      <c r="D54" s="0" t="n">
        <f aca="false">SUMPRODUCT(Risk_Inputs!B54:AJ54,Risk_Coefs!$B$2:$AJ$2)</f>
        <v>-1.74296075724624</v>
      </c>
      <c r="E54" s="0" t="n">
        <f aca="false">1/(1+EXP(-MAX(-25,MIN(25,D54))))</f>
        <v>0.14893725368703</v>
      </c>
      <c r="F54" s="0" t="n">
        <f aca="false">SUMPRODUCT(Risk_Inputs!B54:AJ54,Risk_Coefs!$B$3:$AJ$3)</f>
        <v>5.53139818698302</v>
      </c>
      <c r="G54" s="0" t="n">
        <f aca="false">MAX(0,F54)</f>
        <v>5.53139818698302</v>
      </c>
      <c r="H54" s="0" t="n">
        <f aca="false">(SUMPRODUCT(--ISNUMBER($E$2:$E$800),--($E$2:$E$800&lt;E54))+(SUMPRODUCT(--ISNUMBER($E$2:$E$800),--($E$2:$E$800=E54))+1)/2)/COUNT($E$2:$E$800)</f>
        <v>0.0212765957446809</v>
      </c>
      <c r="I54" s="0" t="n">
        <f aca="false">(SUMPRODUCT(--ISNUMBER($G$2:$G$800),--($G$2:$G$800&lt;G54))+(SUMPRODUCT(--ISNUMBER($G$2:$G$800),--($G$2:$G$800=G54))+1)/2)/COUNT($G$2:$G$800)</f>
        <v>0.205256570713392</v>
      </c>
      <c r="J54" s="0" t="n">
        <v>31.7778719854956</v>
      </c>
      <c r="K54" s="0" t="n">
        <v>9.61351987809947</v>
      </c>
      <c r="L54" s="0" t="n">
        <v>0.470979360022161</v>
      </c>
      <c r="M54" s="0" t="n">
        <f aca="false">IF(OR(B54="NW",COUNT(Risk_Rank_Keys!B54)=0),0.5,(SUMPRODUCT(--ISNUMBER(Risk_Rank_Keys!$B$2:$B$800),--(Risk_Rank_Keys!$B$2:$B$800&lt;Risk_Rank_Keys!B54))+(SUMPRODUCT(--ISNUMBER(Risk_Rank_Keys!$B$2:$B$800),--(Risk_Rank_Keys!$B$2:$B$800=Risk_Rank_Keys!B54))+1)/2)/COUNT(Risk_Rank_Keys!$B$2:$B$800))</f>
        <v>0.916317991631799</v>
      </c>
      <c r="N54" s="0" t="n">
        <f aca="false">IF(OR(B54="NW",COUNT(Risk_Rank_Keys!C54)=0),0.5,(SUMPRODUCT(--ISNUMBER(Risk_Rank_Keys!$C$2:$C$800),--(Risk_Rank_Keys!$C$2:$C$800&lt;Risk_Rank_Keys!C54))+(SUMPRODUCT(--ISNUMBER(Risk_Rank_Keys!$C$2:$C$800),--(Risk_Rank_Keys!$C$2:$C$800=Risk_Rank_Keys!C54))+1)/2)/COUNT(Risk_Rank_Keys!$C$2:$C$800))</f>
        <v>0.870292887029289</v>
      </c>
      <c r="O54" s="0" t="n">
        <f aca="false">IF(OR(B54="NW",COUNT(Risk_Rank_Keys!D54)=0),0.5,(SUMPRODUCT(--ISNUMBER(Risk_Rank_Keys!$D$2:$D$800),--(Risk_Rank_Keys!$D$2:$D$800&lt;Risk_Rank_Keys!D54))+(SUMPRODUCT(--ISNUMBER(Risk_Rank_Keys!$D$2:$D$800),--(Risk_Rank_Keys!$D$2:$D$800=Risk_Rank_Keys!D54))+1)/2)/COUNT(Risk_Rank_Keys!$D$2:$D$800))</f>
        <v>0.938633193863319</v>
      </c>
      <c r="P54" s="0" t="n">
        <f aca="false">AVERAGE(M54:O54)</f>
        <v>0.908414690841469</v>
      </c>
      <c r="Q54" s="0" t="n">
        <f aca="false">0.4*H54+0.4*I54+0.2*P54</f>
        <v>0.272296204751523</v>
      </c>
      <c r="R54" s="0" t="n">
        <f aca="false">PERCENTILE($Q$2:$Q$800,0.75)</f>
        <v>0.667715717403612</v>
      </c>
      <c r="S54" s="1" t="b">
        <f aca="false">OR(Q54&gt;=R54,AND(B54="CW",COUNT(J54:L54)&lt;3))</f>
        <v>0</v>
      </c>
      <c r="T54" s="0" t="n">
        <v>0.148937253687031</v>
      </c>
      <c r="U54" s="0" t="n">
        <v>5.53139818698302</v>
      </c>
      <c r="V54" s="0" t="n">
        <v>0.272296204751523</v>
      </c>
      <c r="W54" s="0" t="n">
        <f aca="false">Q54-V54</f>
        <v>0</v>
      </c>
    </row>
    <row r="55" customFormat="false" ht="15" hidden="false" customHeight="false" outlineLevel="0" collapsed="false">
      <c r="A55" s="0" t="s">
        <v>89</v>
      </c>
      <c r="B55" s="0" t="s">
        <v>3013</v>
      </c>
      <c r="C55" s="0" t="n">
        <v>44.7849391604509</v>
      </c>
      <c r="D55" s="0" t="n">
        <f aca="false">SUMPRODUCT(Risk_Inputs!B55:AJ55,Risk_Coefs!$B$2:$AJ$2)</f>
        <v>-0.920916323787573</v>
      </c>
      <c r="E55" s="0" t="n">
        <f aca="false">1/(1+EXP(-MAX(-25,MIN(25,D55))))</f>
        <v>0.284771223807423</v>
      </c>
      <c r="F55" s="0" t="n">
        <f aca="false">SUMPRODUCT(Risk_Inputs!B55:AJ55,Risk_Coefs!$B$3:$AJ$3)</f>
        <v>7.68394519272318</v>
      </c>
      <c r="G55" s="0" t="n">
        <f aca="false">MAX(0,F55)</f>
        <v>7.68394519272318</v>
      </c>
      <c r="H55" s="0" t="n">
        <f aca="false">(SUMPRODUCT(--ISNUMBER($E$2:$E$800),--($E$2:$E$800&lt;E55))+(SUMPRODUCT(--ISNUMBER($E$2:$E$800),--($E$2:$E$800=E55))+1)/2)/COUNT($E$2:$E$800)</f>
        <v>0.491864831038799</v>
      </c>
      <c r="I55" s="0" t="n">
        <f aca="false">(SUMPRODUCT(--ISNUMBER($G$2:$G$800),--($G$2:$G$800&lt;G55))+(SUMPRODUCT(--ISNUMBER($G$2:$G$800),--($G$2:$G$800=G55))+1)/2)/COUNT($G$2:$G$800)</f>
        <v>0.513141426783479</v>
      </c>
      <c r="J55" s="0" t="n">
        <v>27.8926353299952</v>
      </c>
      <c r="K55" s="0" t="n">
        <v>5.14945993468978</v>
      </c>
      <c r="L55" s="0" t="n">
        <v>0.276312484300433</v>
      </c>
      <c r="M55" s="0" t="n">
        <f aca="false">IF(OR(B55="NW",COUNT(Risk_Rank_Keys!B55)=0),0.5,(SUMPRODUCT(--ISNUMBER(Risk_Rank_Keys!$B$2:$B$800),--(Risk_Rank_Keys!$B$2:$B$800&lt;Risk_Rank_Keys!B55))+(SUMPRODUCT(--ISNUMBER(Risk_Rank_Keys!$B$2:$B$800),--(Risk_Rank_Keys!$B$2:$B$800=Risk_Rank_Keys!B55))+1)/2)/COUNT(Risk_Rank_Keys!$B$2:$B$800))</f>
        <v>0.894002789400279</v>
      </c>
      <c r="N55" s="0" t="n">
        <f aca="false">IF(OR(B55="NW",COUNT(Risk_Rank_Keys!C55)=0),0.5,(SUMPRODUCT(--ISNUMBER(Risk_Rank_Keys!$C$2:$C$800),--(Risk_Rank_Keys!$C$2:$C$800&lt;Risk_Rank_Keys!C55))+(SUMPRODUCT(--ISNUMBER(Risk_Rank_Keys!$C$2:$C$800),--(Risk_Rank_Keys!$C$2:$C$800=Risk_Rank_Keys!C55))+1)/2)/COUNT(Risk_Rank_Keys!$C$2:$C$800))</f>
        <v>0.698744769874477</v>
      </c>
      <c r="O55" s="0" t="n">
        <f aca="false">IF(OR(B55="NW",COUNT(Risk_Rank_Keys!D55)=0),0.5,(SUMPRODUCT(--ISNUMBER(Risk_Rank_Keys!$D$2:$D$800),--(Risk_Rank_Keys!$D$2:$D$800&lt;Risk_Rank_Keys!D55))+(SUMPRODUCT(--ISNUMBER(Risk_Rank_Keys!$D$2:$D$800),--(Risk_Rank_Keys!$D$2:$D$800=Risk_Rank_Keys!D55))+1)/2)/COUNT(Risk_Rank_Keys!$D$2:$D$800))</f>
        <v>0.683403068340307</v>
      </c>
      <c r="P55" s="0" t="n">
        <f aca="false">AVERAGE(M55:O55)</f>
        <v>0.758716875871688</v>
      </c>
      <c r="Q55" s="0" t="n">
        <f aca="false">0.4*H55+0.4*I55+0.2*P55</f>
        <v>0.553745878303249</v>
      </c>
      <c r="R55" s="0" t="n">
        <f aca="false">PERCENTILE($Q$2:$Q$800,0.75)</f>
        <v>0.667715717403612</v>
      </c>
      <c r="S55" s="1" t="b">
        <f aca="false">OR(Q55&gt;=R55,AND(B55="CW",COUNT(J55:L55)&lt;3))</f>
        <v>0</v>
      </c>
      <c r="T55" s="0" t="n">
        <v>0.284771223807423</v>
      </c>
      <c r="U55" s="0" t="n">
        <v>7.68394519272318</v>
      </c>
      <c r="V55" s="0" t="n">
        <v>0.553745878303249</v>
      </c>
      <c r="W55" s="0" t="n">
        <f aca="false">Q55-V55</f>
        <v>0</v>
      </c>
    </row>
    <row r="56" customFormat="false" ht="15" hidden="false" customHeight="false" outlineLevel="0" collapsed="false">
      <c r="A56" s="0" t="s">
        <v>90</v>
      </c>
      <c r="B56" s="0" t="s">
        <v>3013</v>
      </c>
      <c r="C56" s="0" t="n">
        <v>63.5476490007597</v>
      </c>
      <c r="D56" s="0" t="n">
        <f aca="false">SUMPRODUCT(Risk_Inputs!B56:AJ56,Risk_Coefs!$B$2:$AJ$2)</f>
        <v>-1.06013827504615</v>
      </c>
      <c r="E56" s="0" t="n">
        <f aca="false">1/(1+EXP(-MAX(-25,MIN(25,D56))))</f>
        <v>0.257283031043114</v>
      </c>
      <c r="F56" s="0" t="n">
        <f aca="false">SUMPRODUCT(Risk_Inputs!B56:AJ56,Risk_Coefs!$B$3:$AJ$3)</f>
        <v>9.12716879968249</v>
      </c>
      <c r="G56" s="0" t="n">
        <f aca="false">MAX(0,F56)</f>
        <v>9.12716879968249</v>
      </c>
      <c r="H56" s="0" t="n">
        <f aca="false">(SUMPRODUCT(--ISNUMBER($E$2:$E$800),--($E$2:$E$800&lt;E56))+(SUMPRODUCT(--ISNUMBER($E$2:$E$800),--($E$2:$E$800=E56))+1)/2)/COUNT($E$2:$E$800)</f>
        <v>0.314142678347935</v>
      </c>
      <c r="I56" s="0" t="n">
        <f aca="false">(SUMPRODUCT(--ISNUMBER($G$2:$G$800),--($G$2:$G$800&lt;G56))+(SUMPRODUCT(--ISNUMBER($G$2:$G$800),--($G$2:$G$800=G56))+1)/2)/COUNT($G$2:$G$800)</f>
        <v>0.694618272841051</v>
      </c>
      <c r="J56" s="0" t="n">
        <v>12.0439129184506</v>
      </c>
      <c r="K56" s="0" t="n">
        <v>10.5578607653297</v>
      </c>
      <c r="L56" s="0" t="n">
        <v>0.507146150299662</v>
      </c>
      <c r="M56" s="0" t="n">
        <f aca="false">IF(OR(B56="NW",COUNT(Risk_Rank_Keys!B56)=0),0.5,(SUMPRODUCT(--ISNUMBER(Risk_Rank_Keys!$B$2:$B$800),--(Risk_Rank_Keys!$B$2:$B$800&lt;Risk_Rank_Keys!B56))+(SUMPRODUCT(--ISNUMBER(Risk_Rank_Keys!$B$2:$B$800),--(Risk_Rank_Keys!$B$2:$B$800=Risk_Rank_Keys!B56))+1)/2)/COUNT(Risk_Rank_Keys!$B$2:$B$800))</f>
        <v>0.602510460251046</v>
      </c>
      <c r="N56" s="0" t="n">
        <f aca="false">IF(OR(B56="NW",COUNT(Risk_Rank_Keys!C56)=0),0.5,(SUMPRODUCT(--ISNUMBER(Risk_Rank_Keys!$C$2:$C$800),--(Risk_Rank_Keys!$C$2:$C$800&lt;Risk_Rank_Keys!C56))+(SUMPRODUCT(--ISNUMBER(Risk_Rank_Keys!$C$2:$C$800),--(Risk_Rank_Keys!$C$2:$C$800=Risk_Rank_Keys!C56))+1)/2)/COUNT(Risk_Rank_Keys!$C$2:$C$800))</f>
        <v>0.889818688981869</v>
      </c>
      <c r="O56" s="0" t="n">
        <f aca="false">IF(OR(B56="NW",COUNT(Risk_Rank_Keys!D56)=0),0.5,(SUMPRODUCT(--ISNUMBER(Risk_Rank_Keys!$D$2:$D$800),--(Risk_Rank_Keys!$D$2:$D$800&lt;Risk_Rank_Keys!D56))+(SUMPRODUCT(--ISNUMBER(Risk_Rank_Keys!$D$2:$D$800),--(Risk_Rank_Keys!$D$2:$D$800=Risk_Rank_Keys!D56))+1)/2)/COUNT(Risk_Rank_Keys!$D$2:$D$800))</f>
        <v>0.95536959553696</v>
      </c>
      <c r="P56" s="0" t="n">
        <f aca="false">AVERAGE(M56:O56)</f>
        <v>0.815899581589958</v>
      </c>
      <c r="Q56" s="0" t="n">
        <f aca="false">0.4*H56+0.4*I56+0.2*P56</f>
        <v>0.566684296793586</v>
      </c>
      <c r="R56" s="0" t="n">
        <f aca="false">PERCENTILE($Q$2:$Q$800,0.75)</f>
        <v>0.667715717403612</v>
      </c>
      <c r="S56" s="1" t="b">
        <f aca="false">OR(Q56&gt;=R56,AND(B56="CW",COUNT(J56:L56)&lt;3))</f>
        <v>0</v>
      </c>
      <c r="T56" s="0" t="n">
        <v>0.257283031043114</v>
      </c>
      <c r="U56" s="0" t="n">
        <v>9.12716879968249</v>
      </c>
      <c r="V56" s="0" t="n">
        <v>0.566684296793586</v>
      </c>
      <c r="W56" s="0" t="n">
        <f aca="false">Q56-V56</f>
        <v>0</v>
      </c>
    </row>
    <row r="57" customFormat="false" ht="15" hidden="false" customHeight="false" outlineLevel="0" collapsed="false">
      <c r="A57" s="0" t="s">
        <v>91</v>
      </c>
      <c r="B57" s="0" t="s">
        <v>3013</v>
      </c>
      <c r="C57" s="0" t="n">
        <v>-33.91412644035</v>
      </c>
      <c r="D57" s="0" t="n">
        <f aca="false">SUMPRODUCT(Risk_Inputs!B57:AJ57,Risk_Coefs!$B$2:$AJ$2)</f>
        <v>-1.5105134200282</v>
      </c>
      <c r="E57" s="0" t="n">
        <f aca="false">1/(1+EXP(-MAX(-25,MIN(25,D57))))</f>
        <v>0.180862716795464</v>
      </c>
      <c r="F57" s="0" t="n">
        <f aca="false">SUMPRODUCT(Risk_Inputs!B57:AJ57,Risk_Coefs!$B$3:$AJ$3)</f>
        <v>3.72555182095214</v>
      </c>
      <c r="G57" s="0" t="n">
        <f aca="false">MAX(0,F57)</f>
        <v>3.72555182095214</v>
      </c>
      <c r="H57" s="0" t="n">
        <f aca="false">(SUMPRODUCT(--ISNUMBER($E$2:$E$800),--($E$2:$E$800&lt;E57))+(SUMPRODUCT(--ISNUMBER($E$2:$E$800),--($E$2:$E$800=E57))+1)/2)/COUNT($E$2:$E$800)</f>
        <v>0.0663329161451815</v>
      </c>
      <c r="I57" s="0" t="n">
        <f aca="false">(SUMPRODUCT(--ISNUMBER($G$2:$G$800),--($G$2:$G$800&lt;G57))+(SUMPRODUCT(--ISNUMBER($G$2:$G$800),--($G$2:$G$800=G57))+1)/2)/COUNT($G$2:$G$800)</f>
        <v>0.0375469336670839</v>
      </c>
      <c r="J57" s="0" t="n">
        <v>61.7978477184795</v>
      </c>
      <c r="K57" s="0" t="n">
        <v>14.2167844218508</v>
      </c>
      <c r="L57" s="0" t="n">
        <v>0.241254523522312</v>
      </c>
      <c r="M57" s="0" t="n">
        <f aca="false">IF(OR(B57="NW",COUNT(Risk_Rank_Keys!B57)=0),0.5,(SUMPRODUCT(--ISNUMBER(Risk_Rank_Keys!$B$2:$B$800),--(Risk_Rank_Keys!$B$2:$B$800&lt;Risk_Rank_Keys!B57))+(SUMPRODUCT(--ISNUMBER(Risk_Rank_Keys!$B$2:$B$800),--(Risk_Rank_Keys!$B$2:$B$800=Risk_Rank_Keys!B57))+1)/2)/COUNT(Risk_Rank_Keys!$B$2:$B$800))</f>
        <v>0.99442119944212</v>
      </c>
      <c r="N57" s="0" t="n">
        <f aca="false">IF(OR(B57="NW",COUNT(Risk_Rank_Keys!C57)=0),0.5,(SUMPRODUCT(--ISNUMBER(Risk_Rank_Keys!$C$2:$C$800),--(Risk_Rank_Keys!$C$2:$C$800&lt;Risk_Rank_Keys!C57))+(SUMPRODUCT(--ISNUMBER(Risk_Rank_Keys!$C$2:$C$800),--(Risk_Rank_Keys!$C$2:$C$800=Risk_Rank_Keys!C57))+1)/2)/COUNT(Risk_Rank_Keys!$C$2:$C$800))</f>
        <v>0.921896792189679</v>
      </c>
      <c r="O57" s="0" t="n">
        <f aca="false">IF(OR(B57="NW",COUNT(Risk_Rank_Keys!D57)=0),0.5,(SUMPRODUCT(--ISNUMBER(Risk_Rank_Keys!$D$2:$D$800),--(Risk_Rank_Keys!$D$2:$D$800&lt;Risk_Rank_Keys!D57))+(SUMPRODUCT(--ISNUMBER(Risk_Rank_Keys!$D$2:$D$800),--(Risk_Rank_Keys!$D$2:$D$800=Risk_Rank_Keys!D57))+1)/2)/COUNT(Risk_Rank_Keys!$D$2:$D$800))</f>
        <v>0.549511854951186</v>
      </c>
      <c r="P57" s="0" t="n">
        <f aca="false">AVERAGE(M57:O57)</f>
        <v>0.821943282194328</v>
      </c>
      <c r="Q57" s="0" t="n">
        <f aca="false">0.4*H57+0.4*I57+0.2*P57</f>
        <v>0.205940596363772</v>
      </c>
      <c r="R57" s="0" t="n">
        <f aca="false">PERCENTILE($Q$2:$Q$800,0.75)</f>
        <v>0.667715717403612</v>
      </c>
      <c r="S57" s="1" t="b">
        <f aca="false">OR(Q57&gt;=R57,AND(B57="CW",COUNT(J57:L57)&lt;3))</f>
        <v>0</v>
      </c>
      <c r="T57" s="0" t="n">
        <v>0.180862716795464</v>
      </c>
      <c r="U57" s="0" t="n">
        <v>3.72555182095214</v>
      </c>
      <c r="V57" s="0" t="n">
        <v>0.205940596363772</v>
      </c>
      <c r="W57" s="0" t="n">
        <f aca="false">Q57-V57</f>
        <v>0</v>
      </c>
    </row>
    <row r="58" customFormat="false" ht="15" hidden="false" customHeight="false" outlineLevel="0" collapsed="false">
      <c r="A58" s="0" t="s">
        <v>92</v>
      </c>
      <c r="B58" s="0" t="s">
        <v>3013</v>
      </c>
      <c r="C58" s="0" t="n">
        <v>18.1497383603493</v>
      </c>
      <c r="D58" s="0" t="n">
        <f aca="false">SUMPRODUCT(Risk_Inputs!B58:AJ58,Risk_Coefs!$B$2:$AJ$2)</f>
        <v>-1.08205023348717</v>
      </c>
      <c r="E58" s="0" t="n">
        <f aca="false">1/(1+EXP(-MAX(-25,MIN(25,D58))))</f>
        <v>0.253118225123026</v>
      </c>
      <c r="F58" s="0" t="n">
        <f aca="false">SUMPRODUCT(Risk_Inputs!B58:AJ58,Risk_Coefs!$B$3:$AJ$3)</f>
        <v>6.07643697197774</v>
      </c>
      <c r="G58" s="0" t="n">
        <f aca="false">MAX(0,F58)</f>
        <v>6.07643697197774</v>
      </c>
      <c r="H58" s="0" t="n">
        <f aca="false">(SUMPRODUCT(--ISNUMBER($E$2:$E$800),--($E$2:$E$800&lt;E58))+(SUMPRODUCT(--ISNUMBER($E$2:$E$800),--($E$2:$E$800=E58))+1)/2)/COUNT($E$2:$E$800)</f>
        <v>0.286608260325407</v>
      </c>
      <c r="I58" s="0" t="n">
        <f aca="false">(SUMPRODUCT(--ISNUMBER($G$2:$G$800),--($G$2:$G$800&lt;G58))+(SUMPRODUCT(--ISNUMBER($G$2:$G$800),--($G$2:$G$800=G58))+1)/2)/COUNT($G$2:$G$800)</f>
        <v>0.275344180225282</v>
      </c>
      <c r="J58" s="0" t="n">
        <v>18.1834339346617</v>
      </c>
      <c r="K58" s="0" t="n">
        <v>2.13592233009709</v>
      </c>
      <c r="L58" s="0" t="n">
        <v>0.446601941747575</v>
      </c>
      <c r="M58" s="0" t="n">
        <f aca="false">IF(OR(B58="NW",COUNT(Risk_Rank_Keys!B58)=0),0.5,(SUMPRODUCT(--ISNUMBER(Risk_Rank_Keys!$B$2:$B$800),--(Risk_Rank_Keys!$B$2:$B$800&lt;Risk_Rank_Keys!B58))+(SUMPRODUCT(--ISNUMBER(Risk_Rank_Keys!$B$2:$B$800),--(Risk_Rank_Keys!$B$2:$B$800=Risk_Rank_Keys!B58))+1)/2)/COUNT(Risk_Rank_Keys!$B$2:$B$800))</f>
        <v>0.762900976290098</v>
      </c>
      <c r="N58" s="0" t="n">
        <f aca="false">IF(OR(B58="NW",COUNT(Risk_Rank_Keys!C58)=0),0.5,(SUMPRODUCT(--ISNUMBER(Risk_Rank_Keys!$C$2:$C$800),--(Risk_Rank_Keys!$C$2:$C$800&lt;Risk_Rank_Keys!C58))+(SUMPRODUCT(--ISNUMBER(Risk_Rank_Keys!$C$2:$C$800),--(Risk_Rank_Keys!$C$2:$C$800=Risk_Rank_Keys!C58))+1)/2)/COUNT(Risk_Rank_Keys!$C$2:$C$800))</f>
        <v>0.302649930264993</v>
      </c>
      <c r="O58" s="0" t="n">
        <f aca="false">IF(OR(B58="NW",COUNT(Risk_Rank_Keys!D58)=0),0.5,(SUMPRODUCT(--ISNUMBER(Risk_Rank_Keys!$D$2:$D$800),--(Risk_Rank_Keys!$D$2:$D$800&lt;Risk_Rank_Keys!D58))+(SUMPRODUCT(--ISNUMBER(Risk_Rank_Keys!$D$2:$D$800),--(Risk_Rank_Keys!$D$2:$D$800=Risk_Rank_Keys!D58))+1)/2)/COUNT(Risk_Rank_Keys!$D$2:$D$800))</f>
        <v>0.920502092050209</v>
      </c>
      <c r="P58" s="0" t="n">
        <f aca="false">AVERAGE(M58:O58)</f>
        <v>0.662017666201767</v>
      </c>
      <c r="Q58" s="0" t="n">
        <f aca="false">0.4*H58+0.4*I58+0.2*P58</f>
        <v>0.357184509460629</v>
      </c>
      <c r="R58" s="0" t="n">
        <f aca="false">PERCENTILE($Q$2:$Q$800,0.75)</f>
        <v>0.667715717403612</v>
      </c>
      <c r="S58" s="1" t="b">
        <f aca="false">OR(Q58&gt;=R58,AND(B58="CW",COUNT(J58:L58)&lt;3))</f>
        <v>0</v>
      </c>
      <c r="T58" s="0" t="n">
        <v>0.253118225123026</v>
      </c>
      <c r="U58" s="0" t="n">
        <v>6.07643697197774</v>
      </c>
      <c r="V58" s="0" t="n">
        <v>0.357184509460629</v>
      </c>
      <c r="W58" s="0" t="n">
        <f aca="false">Q58-V58</f>
        <v>0</v>
      </c>
    </row>
    <row r="59" customFormat="false" ht="15" hidden="false" customHeight="false" outlineLevel="0" collapsed="false">
      <c r="A59" s="0" t="s">
        <v>93</v>
      </c>
      <c r="B59" s="0" t="s">
        <v>3013</v>
      </c>
      <c r="C59" s="0" t="n">
        <v>63.2362510070583</v>
      </c>
      <c r="D59" s="0" t="n">
        <f aca="false">SUMPRODUCT(Risk_Inputs!B59:AJ59,Risk_Coefs!$B$2:$AJ$2)</f>
        <v>-1.57524106648804</v>
      </c>
      <c r="E59" s="0" t="n">
        <f aca="false">1/(1+EXP(-MAX(-25,MIN(25,D59))))</f>
        <v>0.171470519337495</v>
      </c>
      <c r="F59" s="0" t="n">
        <f aca="false">SUMPRODUCT(Risk_Inputs!B59:AJ59,Risk_Coefs!$B$3:$AJ$3)</f>
        <v>6.29262298393101</v>
      </c>
      <c r="G59" s="0" t="n">
        <f aca="false">MAX(0,F59)</f>
        <v>6.29262298393101</v>
      </c>
      <c r="H59" s="0" t="n">
        <f aca="false">(SUMPRODUCT(--ISNUMBER($E$2:$E$800),--($E$2:$E$800&lt;E59))+(SUMPRODUCT(--ISNUMBER($E$2:$E$800),--($E$2:$E$800=E59))+1)/2)/COUNT($E$2:$E$800)</f>
        <v>0.0450563204005006</v>
      </c>
      <c r="I59" s="0" t="n">
        <f aca="false">(SUMPRODUCT(--ISNUMBER($G$2:$G$800),--($G$2:$G$800&lt;G59))+(SUMPRODUCT(--ISNUMBER($G$2:$G$800),--($G$2:$G$800=G59))+1)/2)/COUNT($G$2:$G$800)</f>
        <v>0.310387984981227</v>
      </c>
      <c r="J59" s="0" t="n">
        <v>45.6030492785189</v>
      </c>
      <c r="K59" s="0" t="n">
        <v>9.09309021113243</v>
      </c>
      <c r="L59" s="0" t="n">
        <v>0.887715930902115</v>
      </c>
      <c r="M59" s="0" t="n">
        <f aca="false">IF(OR(B59="NW",COUNT(Risk_Rank_Keys!B59)=0),0.5,(SUMPRODUCT(--ISNUMBER(Risk_Rank_Keys!$B$2:$B$800),--(Risk_Rank_Keys!$B$2:$B$800&lt;Risk_Rank_Keys!B59))+(SUMPRODUCT(--ISNUMBER(Risk_Rank_Keys!$B$2:$B$800),--(Risk_Rank_Keys!$B$2:$B$800=Risk_Rank_Keys!B59))+1)/2)/COUNT(Risk_Rank_Keys!$B$2:$B$800))</f>
        <v>0.96931659693166</v>
      </c>
      <c r="N59" s="0" t="n">
        <f aca="false">IF(OR(B59="NW",COUNT(Risk_Rank_Keys!C59)=0),0.5,(SUMPRODUCT(--ISNUMBER(Risk_Rank_Keys!$C$2:$C$800),--(Risk_Rank_Keys!$C$2:$C$800&lt;Risk_Rank_Keys!C59))+(SUMPRODUCT(--ISNUMBER(Risk_Rank_Keys!$C$2:$C$800),--(Risk_Rank_Keys!$C$2:$C$800=Risk_Rank_Keys!C59))+1)/2)/COUNT(Risk_Rank_Keys!$C$2:$C$800))</f>
        <v>0.850767085076709</v>
      </c>
      <c r="O59" s="0" t="n">
        <f aca="false">IF(OR(B59="NW",COUNT(Risk_Rank_Keys!D59)=0),0.5,(SUMPRODUCT(--ISNUMBER(Risk_Rank_Keys!$D$2:$D$800),--(Risk_Rank_Keys!$D$2:$D$800&lt;Risk_Rank_Keys!D59))+(SUMPRODUCT(--ISNUMBER(Risk_Rank_Keys!$D$2:$D$800),--(Risk_Rank_Keys!$D$2:$D$800=Risk_Rank_Keys!D59))+1)/2)/COUNT(Risk_Rank_Keys!$D$2:$D$800))</f>
        <v>0.99442119944212</v>
      </c>
      <c r="P59" s="0" t="n">
        <f aca="false">AVERAGE(M59:O59)</f>
        <v>0.938168293816829</v>
      </c>
      <c r="Q59" s="0" t="n">
        <f aca="false">0.4*H59+0.4*I59+0.2*P59</f>
        <v>0.329811380916057</v>
      </c>
      <c r="R59" s="0" t="n">
        <f aca="false">PERCENTILE($Q$2:$Q$800,0.75)</f>
        <v>0.667715717403612</v>
      </c>
      <c r="S59" s="1" t="b">
        <f aca="false">OR(Q59&gt;=R59,AND(B59="CW",COUNT(J59:L59)&lt;3))</f>
        <v>0</v>
      </c>
      <c r="T59" s="0" t="n">
        <v>0.171470519337495</v>
      </c>
      <c r="U59" s="0" t="n">
        <v>6.29262298393101</v>
      </c>
      <c r="V59" s="0" t="n">
        <v>0.329811380916057</v>
      </c>
      <c r="W59" s="0" t="n">
        <f aca="false">Q59-V59</f>
        <v>0</v>
      </c>
    </row>
    <row r="60" customFormat="false" ht="15" hidden="false" customHeight="false" outlineLevel="0" collapsed="false">
      <c r="A60" s="0" t="s">
        <v>94</v>
      </c>
      <c r="B60" s="0" t="s">
        <v>3013</v>
      </c>
      <c r="C60" s="0" t="n">
        <v>12.3741028277889</v>
      </c>
      <c r="D60" s="0" t="n">
        <f aca="false">SUMPRODUCT(Risk_Inputs!B60:AJ60,Risk_Coefs!$B$2:$AJ$2)</f>
        <v>-1.42096252982503</v>
      </c>
      <c r="E60" s="0" t="n">
        <f aca="false">1/(1+EXP(-MAX(-25,MIN(25,D60))))</f>
        <v>0.194510733627468</v>
      </c>
      <c r="F60" s="0" t="n">
        <f aca="false">SUMPRODUCT(Risk_Inputs!B60:AJ60,Risk_Coefs!$B$3:$AJ$3)</f>
        <v>8.26217380100205</v>
      </c>
      <c r="G60" s="0" t="n">
        <f aca="false">MAX(0,F60)</f>
        <v>8.26217380100205</v>
      </c>
      <c r="H60" s="0" t="n">
        <f aca="false">(SUMPRODUCT(--ISNUMBER($E$2:$E$800),--($E$2:$E$800&lt;E60))+(SUMPRODUCT(--ISNUMBER($E$2:$E$800),--($E$2:$E$800=E60))+1)/2)/COUNT($E$2:$E$800)</f>
        <v>0.0938673341677096</v>
      </c>
      <c r="I60" s="0" t="n">
        <f aca="false">(SUMPRODUCT(--ISNUMBER($G$2:$G$800),--($G$2:$G$800&lt;G60))+(SUMPRODUCT(--ISNUMBER($G$2:$G$800),--($G$2:$G$800=G60))+1)/2)/COUNT($G$2:$G$800)</f>
        <v>0.574468085106383</v>
      </c>
      <c r="J60" s="0" t="n">
        <v>42.891807262074</v>
      </c>
      <c r="K60" s="0" t="n">
        <v>7.9492003762935</v>
      </c>
      <c r="L60" s="0" t="n">
        <v>0.564440263405451</v>
      </c>
      <c r="M60" s="0" t="n">
        <f aca="false">IF(OR(B60="NW",COUNT(Risk_Rank_Keys!B60)=0),0.5,(SUMPRODUCT(--ISNUMBER(Risk_Rank_Keys!$B$2:$B$800),--(Risk_Rank_Keys!$B$2:$B$800&lt;Risk_Rank_Keys!B60))+(SUMPRODUCT(--ISNUMBER(Risk_Rank_Keys!$B$2:$B$800),--(Risk_Rank_Keys!$B$2:$B$800=Risk_Rank_Keys!B60))+1)/2)/COUNT(Risk_Rank_Keys!$B$2:$B$800))</f>
        <v>0.96234309623431</v>
      </c>
      <c r="N60" s="0" t="n">
        <f aca="false">IF(OR(B60="NW",COUNT(Risk_Rank_Keys!C60)=0),0.5,(SUMPRODUCT(--ISNUMBER(Risk_Rank_Keys!$C$2:$C$800),--(Risk_Rank_Keys!$C$2:$C$800&lt;Risk_Rank_Keys!C60))+(SUMPRODUCT(--ISNUMBER(Risk_Rank_Keys!$C$2:$C$800),--(Risk_Rank_Keys!$C$2:$C$800=Risk_Rank_Keys!C60))+1)/2)/COUNT(Risk_Rank_Keys!$C$2:$C$800))</f>
        <v>0.821478382147838</v>
      </c>
      <c r="O60" s="0" t="n">
        <f aca="false">IF(OR(B60="NW",COUNT(Risk_Rank_Keys!D60)=0),0.5,(SUMPRODUCT(--ISNUMBER(Risk_Rank_Keys!$D$2:$D$800),--(Risk_Rank_Keys!$D$2:$D$800&lt;Risk_Rank_Keys!D60))+(SUMPRODUCT(--ISNUMBER(Risk_Rank_Keys!$D$2:$D$800),--(Risk_Rank_Keys!$D$2:$D$800=Risk_Rank_Keys!D60))+1)/2)/COUNT(Risk_Rank_Keys!$D$2:$D$800))</f>
        <v>0.96652719665272</v>
      </c>
      <c r="P60" s="0" t="n">
        <f aca="false">AVERAGE(M60:O60)</f>
        <v>0.916782891678289</v>
      </c>
      <c r="Q60" s="0" t="n">
        <f aca="false">0.4*H60+0.4*I60+0.2*P60</f>
        <v>0.450690746045295</v>
      </c>
      <c r="R60" s="0" t="n">
        <f aca="false">PERCENTILE($Q$2:$Q$800,0.75)</f>
        <v>0.667715717403612</v>
      </c>
      <c r="S60" s="1" t="b">
        <f aca="false">OR(Q60&gt;=R60,AND(B60="CW",COUNT(J60:L60)&lt;3))</f>
        <v>0</v>
      </c>
      <c r="T60" s="0" t="n">
        <v>0.194510733627468</v>
      </c>
      <c r="U60" s="0" t="n">
        <v>8.26217380100205</v>
      </c>
      <c r="V60" s="0" t="n">
        <v>0.450690746045295</v>
      </c>
      <c r="W60" s="0" t="n">
        <f aca="false">Q60-V60</f>
        <v>0</v>
      </c>
    </row>
    <row r="61" customFormat="false" ht="15" hidden="false" customHeight="false" outlineLevel="0" collapsed="false">
      <c r="A61" s="0" t="s">
        <v>95</v>
      </c>
      <c r="B61" s="0" t="s">
        <v>3013</v>
      </c>
      <c r="C61" s="0" t="n">
        <v>40.2559828971751</v>
      </c>
      <c r="D61" s="0" t="n">
        <f aca="false">SUMPRODUCT(Risk_Inputs!B61:AJ61,Risk_Coefs!$B$2:$AJ$2)</f>
        <v>-1.55521101054105</v>
      </c>
      <c r="E61" s="0" t="n">
        <f aca="false">1/(1+EXP(-MAX(-25,MIN(25,D61))))</f>
        <v>0.174334910198263</v>
      </c>
      <c r="F61" s="0" t="n">
        <f aca="false">SUMPRODUCT(Risk_Inputs!B61:AJ61,Risk_Coefs!$B$3:$AJ$3)</f>
        <v>6.24256693948758</v>
      </c>
      <c r="G61" s="0" t="n">
        <f aca="false">MAX(0,F61)</f>
        <v>6.24256693948758</v>
      </c>
      <c r="H61" s="0" t="n">
        <f aca="false">(SUMPRODUCT(--ISNUMBER($E$2:$E$800),--($E$2:$E$800&lt;E61))+(SUMPRODUCT(--ISNUMBER($E$2:$E$800),--($E$2:$E$800=E61))+1)/2)/COUNT($E$2:$E$800)</f>
        <v>0.048811013767209</v>
      </c>
      <c r="I61" s="0" t="n">
        <f aca="false">(SUMPRODUCT(--ISNUMBER($G$2:$G$800),--($G$2:$G$800&lt;G61))+(SUMPRODUCT(--ISNUMBER($G$2:$G$800),--($G$2:$G$800=G61))+1)/2)/COUNT($G$2:$G$800)</f>
        <v>0.30162703379224</v>
      </c>
      <c r="J61" s="0" t="n">
        <v>35.041567595824</v>
      </c>
      <c r="K61" s="0" t="n">
        <v>4.99701670644391</v>
      </c>
      <c r="L61" s="0" t="n">
        <v>0.522076372315036</v>
      </c>
      <c r="M61" s="0" t="n">
        <f aca="false">IF(OR(B61="NW",COUNT(Risk_Rank_Keys!B61)=0),0.5,(SUMPRODUCT(--ISNUMBER(Risk_Rank_Keys!$B$2:$B$800),--(Risk_Rank_Keys!$B$2:$B$800&lt;Risk_Rank_Keys!B61))+(SUMPRODUCT(--ISNUMBER(Risk_Rank_Keys!$B$2:$B$800),--(Risk_Rank_Keys!$B$2:$B$800=Risk_Rank_Keys!B61))+1)/2)/COUNT(Risk_Rank_Keys!$B$2:$B$800))</f>
        <v>0.924686192468619</v>
      </c>
      <c r="N61" s="0" t="n">
        <f aca="false">IF(OR(B61="NW",COUNT(Risk_Rank_Keys!C61)=0),0.5,(SUMPRODUCT(--ISNUMBER(Risk_Rank_Keys!$C$2:$C$800),--(Risk_Rank_Keys!$C$2:$C$800&lt;Risk_Rank_Keys!C61))+(SUMPRODUCT(--ISNUMBER(Risk_Rank_Keys!$C$2:$C$800),--(Risk_Rank_Keys!$C$2:$C$800=Risk_Rank_Keys!C61))+1)/2)/COUNT(Risk_Rank_Keys!$C$2:$C$800))</f>
        <v>0.688981868898187</v>
      </c>
      <c r="O61" s="0" t="n">
        <f aca="false">IF(OR(B61="NW",COUNT(Risk_Rank_Keys!D61)=0),0.5,(SUMPRODUCT(--ISNUMBER(Risk_Rank_Keys!$D$2:$D$800),--(Risk_Rank_Keys!$D$2:$D$800&lt;Risk_Rank_Keys!D61))+(SUMPRODUCT(--ISNUMBER(Risk_Rank_Keys!$D$2:$D$800),--(Risk_Rank_Keys!$D$2:$D$800=Risk_Rank_Keys!D61))+1)/2)/COUNT(Risk_Rank_Keys!$D$2:$D$800))</f>
        <v>0.96234309623431</v>
      </c>
      <c r="P61" s="0" t="n">
        <f aca="false">AVERAGE(M61:O61)</f>
        <v>0.858670385867039</v>
      </c>
      <c r="Q61" s="0" t="n">
        <f aca="false">0.4*H61+0.4*I61+0.2*P61</f>
        <v>0.311909296197187</v>
      </c>
      <c r="R61" s="0" t="n">
        <f aca="false">PERCENTILE($Q$2:$Q$800,0.75)</f>
        <v>0.667715717403612</v>
      </c>
      <c r="S61" s="1" t="b">
        <f aca="false">OR(Q61&gt;=R61,AND(B61="CW",COUNT(J61:L61)&lt;3))</f>
        <v>0</v>
      </c>
      <c r="T61" s="0" t="n">
        <v>0.174334910198263</v>
      </c>
      <c r="U61" s="0" t="n">
        <v>6.24256693948759</v>
      </c>
      <c r="V61" s="0" t="n">
        <v>0.311909296197187</v>
      </c>
      <c r="W61" s="0" t="n">
        <f aca="false">Q61-V61</f>
        <v>0</v>
      </c>
    </row>
    <row r="62" customFormat="false" ht="15" hidden="false" customHeight="false" outlineLevel="0" collapsed="false">
      <c r="A62" s="0" t="s">
        <v>96</v>
      </c>
      <c r="B62" s="0" t="s">
        <v>3013</v>
      </c>
      <c r="C62" s="0" t="n">
        <v>-31.2690814497119</v>
      </c>
      <c r="D62" s="0" t="n">
        <f aca="false">SUMPRODUCT(Risk_Inputs!B62:AJ62,Risk_Coefs!$B$2:$AJ$2)</f>
        <v>-0.704497871360427</v>
      </c>
      <c r="E62" s="0" t="n">
        <f aca="false">1/(1+EXP(-MAX(-25,MIN(25,D62))))</f>
        <v>0.330815747353272</v>
      </c>
      <c r="F62" s="0" t="n">
        <f aca="false">SUMPRODUCT(Risk_Inputs!B62:AJ62,Risk_Coefs!$B$3:$AJ$3)</f>
        <v>6.19782752397806</v>
      </c>
      <c r="G62" s="0" t="n">
        <f aca="false">MAX(0,F62)</f>
        <v>6.19782752397806</v>
      </c>
      <c r="H62" s="0" t="n">
        <f aca="false">(SUMPRODUCT(--ISNUMBER($E$2:$E$800),--($E$2:$E$800&lt;E62))+(SUMPRODUCT(--ISNUMBER($E$2:$E$800),--($E$2:$E$800=E62))+1)/2)/COUNT($E$2:$E$800)</f>
        <v>0.739674593241552</v>
      </c>
      <c r="I62" s="0" t="n">
        <f aca="false">(SUMPRODUCT(--ISNUMBER($G$2:$G$800),--($G$2:$G$800&lt;G62))+(SUMPRODUCT(--ISNUMBER($G$2:$G$800),--($G$2:$G$800=G62))+1)/2)/COUNT($G$2:$G$800)</f>
        <v>0.295369211514393</v>
      </c>
      <c r="J62" s="0" t="n">
        <v>3.4613816053266</v>
      </c>
      <c r="K62" s="0" t="n">
        <v>3.39256865912762</v>
      </c>
      <c r="L62" s="0" t="n">
        <v>0.269251480883145</v>
      </c>
      <c r="M62" s="0" t="n">
        <f aca="false">IF(OR(B62="NW",COUNT(Risk_Rank_Keys!B62)=0),0.5,(SUMPRODUCT(--ISNUMBER(Risk_Rank_Keys!$B$2:$B$800),--(Risk_Rank_Keys!$B$2:$B$800&lt;Risk_Rank_Keys!B62))+(SUMPRODUCT(--ISNUMBER(Risk_Rank_Keys!$B$2:$B$800),--(Risk_Rank_Keys!$B$2:$B$800=Risk_Rank_Keys!B62))+1)/2)/COUNT(Risk_Rank_Keys!$B$2:$B$800))</f>
        <v>0.0404463040446304</v>
      </c>
      <c r="N62" s="0" t="n">
        <f aca="false">IF(OR(B62="NW",COUNT(Risk_Rank_Keys!C62)=0),0.5,(SUMPRODUCT(--ISNUMBER(Risk_Rank_Keys!$C$2:$C$800),--(Risk_Rank_Keys!$C$2:$C$800&lt;Risk_Rank_Keys!C62))+(SUMPRODUCT(--ISNUMBER(Risk_Rank_Keys!$C$2:$C$800),--(Risk_Rank_Keys!$C$2:$C$800=Risk_Rank_Keys!C62))+1)/2)/COUNT(Risk_Rank_Keys!$C$2:$C$800))</f>
        <v>0.516039051603905</v>
      </c>
      <c r="O62" s="0" t="n">
        <f aca="false">IF(OR(B62="NW",COUNT(Risk_Rank_Keys!D62)=0),0.5,(SUMPRODUCT(--ISNUMBER(Risk_Rank_Keys!$D$2:$D$800),--(Risk_Rank_Keys!$D$2:$D$800&lt;Risk_Rank_Keys!D62))+(SUMPRODUCT(--ISNUMBER(Risk_Rank_Keys!$D$2:$D$800),--(Risk_Rank_Keys!$D$2:$D$800=Risk_Rank_Keys!D62))+1)/2)/COUNT(Risk_Rank_Keys!$D$2:$D$800))</f>
        <v>0.665271966527197</v>
      </c>
      <c r="P62" s="0" t="n">
        <f aca="false">AVERAGE(M62:O62)</f>
        <v>0.407252440725244</v>
      </c>
      <c r="Q62" s="0" t="n">
        <f aca="false">0.4*H62+0.4*I62+0.2*P62</f>
        <v>0.495468010047427</v>
      </c>
      <c r="R62" s="0" t="n">
        <f aca="false">PERCENTILE($Q$2:$Q$800,0.75)</f>
        <v>0.667715717403612</v>
      </c>
      <c r="S62" s="1" t="b">
        <f aca="false">OR(Q62&gt;=R62,AND(B62="CW",COUNT(J62:L62)&lt;3))</f>
        <v>0</v>
      </c>
      <c r="T62" s="0" t="n">
        <v>0.330815747353272</v>
      </c>
      <c r="U62" s="0" t="n">
        <v>6.19782752397806</v>
      </c>
      <c r="V62" s="0" t="n">
        <v>0.495468010047427</v>
      </c>
      <c r="W62" s="0" t="n">
        <f aca="false">Q62-V62</f>
        <v>0</v>
      </c>
    </row>
    <row r="63" customFormat="false" ht="15" hidden="false" customHeight="false" outlineLevel="0" collapsed="false">
      <c r="A63" s="0" t="s">
        <v>97</v>
      </c>
      <c r="B63" s="0" t="s">
        <v>3013</v>
      </c>
      <c r="C63" s="0" t="n">
        <v>53.0454594974811</v>
      </c>
      <c r="D63" s="0" t="n">
        <f aca="false">SUMPRODUCT(Risk_Inputs!B63:AJ63,Risk_Coefs!$B$2:$AJ$2)</f>
        <v>-1.40057851196555</v>
      </c>
      <c r="E63" s="0" t="n">
        <f aca="false">1/(1+EXP(-MAX(-25,MIN(25,D63))))</f>
        <v>0.197724326377614</v>
      </c>
      <c r="F63" s="0" t="n">
        <f aca="false">SUMPRODUCT(Risk_Inputs!B63:AJ63,Risk_Coefs!$B$3:$AJ$3)</f>
        <v>6.33916066102089</v>
      </c>
      <c r="G63" s="0" t="n">
        <f aca="false">MAX(0,F63)</f>
        <v>6.33916066102089</v>
      </c>
      <c r="H63" s="0" t="n">
        <f aca="false">(SUMPRODUCT(--ISNUMBER($E$2:$E$800),--($E$2:$E$800&lt;E63))+(SUMPRODUCT(--ISNUMBER($E$2:$E$800),--($E$2:$E$800=E63))+1)/2)/COUNT($E$2:$E$800)</f>
        <v>0.0988735919899875</v>
      </c>
      <c r="I63" s="0" t="n">
        <f aca="false">(SUMPRODUCT(--ISNUMBER($G$2:$G$800),--($G$2:$G$800&lt;G63))+(SUMPRODUCT(--ISNUMBER($G$2:$G$800),--($G$2:$G$800=G63))+1)/2)/COUNT($G$2:$G$800)</f>
        <v>0.320400500625782</v>
      </c>
      <c r="J63" s="0" t="n">
        <v>25.7004757688606</v>
      </c>
      <c r="K63" s="0" t="n">
        <v>26.5767284991568</v>
      </c>
      <c r="L63" s="0" t="n">
        <v>0.438448566610459</v>
      </c>
      <c r="M63" s="0" t="n">
        <f aca="false">IF(OR(B63="NW",COUNT(Risk_Rank_Keys!B63)=0),0.5,(SUMPRODUCT(--ISNUMBER(Risk_Rank_Keys!$B$2:$B$800),--(Risk_Rank_Keys!$B$2:$B$800&lt;Risk_Rank_Keys!B63))+(SUMPRODUCT(--ISNUMBER(Risk_Rank_Keys!$B$2:$B$800),--(Risk_Rank_Keys!$B$2:$B$800=Risk_Rank_Keys!B63))+1)/2)/COUNT(Risk_Rank_Keys!$B$2:$B$800))</f>
        <v>0.866108786610879</v>
      </c>
      <c r="N63" s="0" t="n">
        <f aca="false">IF(OR(B63="NW",COUNT(Risk_Rank_Keys!C63)=0),0.5,(SUMPRODUCT(--ISNUMBER(Risk_Rank_Keys!$C$2:$C$800),--(Risk_Rank_Keys!$C$2:$C$800&lt;Risk_Rank_Keys!C63))+(SUMPRODUCT(--ISNUMBER(Risk_Rank_Keys!$C$2:$C$800),--(Risk_Rank_Keys!$C$2:$C$800=Risk_Rank_Keys!C63))+1)/2)/COUNT(Risk_Rank_Keys!$C$2:$C$800))</f>
        <v>0.97907949790795</v>
      </c>
      <c r="O63" s="0" t="n">
        <f aca="false">IF(OR(B63="NW",COUNT(Risk_Rank_Keys!D63)=0),0.5,(SUMPRODUCT(--ISNUMBER(Risk_Rank_Keys!$D$2:$D$800),--(Risk_Rank_Keys!$D$2:$D$800&lt;Risk_Rank_Keys!D63))+(SUMPRODUCT(--ISNUMBER(Risk_Rank_Keys!$D$2:$D$800),--(Risk_Rank_Keys!$D$2:$D$800=Risk_Rank_Keys!D63))+1)/2)/COUNT(Risk_Rank_Keys!$D$2:$D$800))</f>
        <v>0.910739191073919</v>
      </c>
      <c r="P63" s="0" t="n">
        <f aca="false">AVERAGE(M63:O63)</f>
        <v>0.918642491864249</v>
      </c>
      <c r="Q63" s="0" t="n">
        <f aca="false">0.4*H63+0.4*I63+0.2*P63</f>
        <v>0.351438135419158</v>
      </c>
      <c r="R63" s="0" t="n">
        <f aca="false">PERCENTILE($Q$2:$Q$800,0.75)</f>
        <v>0.667715717403612</v>
      </c>
      <c r="S63" s="1" t="b">
        <f aca="false">OR(Q63&gt;=R63,AND(B63="CW",COUNT(J63:L63)&lt;3))</f>
        <v>0</v>
      </c>
      <c r="T63" s="0" t="n">
        <v>0.197724326377614</v>
      </c>
      <c r="U63" s="0" t="n">
        <v>6.33916066102089</v>
      </c>
      <c r="V63" s="0" t="n">
        <v>0.351438135419158</v>
      </c>
      <c r="W63" s="0" t="n">
        <f aca="false">Q63-V63</f>
        <v>0</v>
      </c>
    </row>
    <row r="64" customFormat="false" ht="15" hidden="false" customHeight="false" outlineLevel="0" collapsed="false">
      <c r="A64" s="0" t="s">
        <v>98</v>
      </c>
      <c r="B64" s="0" t="s">
        <v>3013</v>
      </c>
      <c r="C64" s="0" t="n">
        <v>39.720532399371</v>
      </c>
      <c r="D64" s="0" t="n">
        <f aca="false">SUMPRODUCT(Risk_Inputs!B64:AJ64,Risk_Coefs!$B$2:$AJ$2)</f>
        <v>-1.4856318637744</v>
      </c>
      <c r="E64" s="0" t="n">
        <f aca="false">1/(1+EXP(-MAX(-25,MIN(25,D64))))</f>
        <v>0.184578266175425</v>
      </c>
      <c r="F64" s="0" t="n">
        <f aca="false">SUMPRODUCT(Risk_Inputs!B64:AJ64,Risk_Coefs!$B$3:$AJ$3)</f>
        <v>7.42773600724032</v>
      </c>
      <c r="G64" s="0" t="n">
        <f aca="false">MAX(0,F64)</f>
        <v>7.42773600724032</v>
      </c>
      <c r="H64" s="0" t="n">
        <f aca="false">(SUMPRODUCT(--ISNUMBER($E$2:$E$800),--($E$2:$E$800&lt;E64))+(SUMPRODUCT(--ISNUMBER($E$2:$E$800),--($E$2:$E$800=E64))+1)/2)/COUNT($E$2:$E$800)</f>
        <v>0.0713391739674593</v>
      </c>
      <c r="I64" s="0" t="n">
        <f aca="false">(SUMPRODUCT(--ISNUMBER($G$2:$G$800),--($G$2:$G$800&lt;G64))+(SUMPRODUCT(--ISNUMBER($G$2:$G$800),--($G$2:$G$800=G64))+1)/2)/COUNT($G$2:$G$800)</f>
        <v>0.468085106382979</v>
      </c>
      <c r="J64" s="0" t="n">
        <v>43.2690169895026</v>
      </c>
      <c r="K64" s="0" t="n">
        <v>3.6055808120395</v>
      </c>
      <c r="L64" s="0" t="n">
        <v>0.42326383445681</v>
      </c>
      <c r="M64" s="0" t="n">
        <f aca="false">IF(OR(B64="NW",COUNT(Risk_Rank_Keys!B64)=0),0.5,(SUMPRODUCT(--ISNUMBER(Risk_Rank_Keys!$B$2:$B$800),--(Risk_Rank_Keys!$B$2:$B$800&lt;Risk_Rank_Keys!B64))+(SUMPRODUCT(--ISNUMBER(Risk_Rank_Keys!$B$2:$B$800),--(Risk_Rank_Keys!$B$2:$B$800=Risk_Rank_Keys!B64))+1)/2)/COUNT(Risk_Rank_Keys!$B$2:$B$800))</f>
        <v>0.96373779637378</v>
      </c>
      <c r="N64" s="0" t="n">
        <f aca="false">IF(OR(B64="NW",COUNT(Risk_Rank_Keys!C64)=0),0.5,(SUMPRODUCT(--ISNUMBER(Risk_Rank_Keys!$C$2:$C$800),--(Risk_Rank_Keys!$C$2:$C$800&lt;Risk_Rank_Keys!C64))+(SUMPRODUCT(--ISNUMBER(Risk_Rank_Keys!$C$2:$C$800),--(Risk_Rank_Keys!$C$2:$C$800=Risk_Rank_Keys!C64))+1)/2)/COUNT(Risk_Rank_Keys!$C$2:$C$800))</f>
        <v>0.541143654114365</v>
      </c>
      <c r="O64" s="0" t="n">
        <f aca="false">IF(OR(B64="NW",COUNT(Risk_Rank_Keys!D64)=0),0.5,(SUMPRODUCT(--ISNUMBER(Risk_Rank_Keys!$D$2:$D$800),--(Risk_Rank_Keys!$D$2:$D$800&lt;Risk_Rank_Keys!D64))+(SUMPRODUCT(--ISNUMBER(Risk_Rank_Keys!$D$2:$D$800),--(Risk_Rank_Keys!$D$2:$D$800=Risk_Rank_Keys!D64))+1)/2)/COUNT(Risk_Rank_Keys!$D$2:$D$800))</f>
        <v>0.902370990237099</v>
      </c>
      <c r="P64" s="0" t="n">
        <f aca="false">AVERAGE(M64:O64)</f>
        <v>0.802417480241748</v>
      </c>
      <c r="Q64" s="0" t="n">
        <f aca="false">0.4*H64+0.4*I64+0.2*P64</f>
        <v>0.376253208188525</v>
      </c>
      <c r="R64" s="0" t="n">
        <f aca="false">PERCENTILE($Q$2:$Q$800,0.75)</f>
        <v>0.667715717403612</v>
      </c>
      <c r="S64" s="1" t="b">
        <f aca="false">OR(Q64&gt;=R64,AND(B64="CW",COUNT(J64:L64)&lt;3))</f>
        <v>0</v>
      </c>
      <c r="T64" s="0" t="n">
        <v>0.184578266175425</v>
      </c>
      <c r="U64" s="0" t="n">
        <v>7.42773600724032</v>
      </c>
      <c r="V64" s="0" t="n">
        <v>0.376253208188525</v>
      </c>
      <c r="W64" s="0" t="n">
        <f aca="false">Q64-V64</f>
        <v>0</v>
      </c>
    </row>
    <row r="65" customFormat="false" ht="15" hidden="false" customHeight="false" outlineLevel="0" collapsed="false">
      <c r="A65" s="0" t="s">
        <v>99</v>
      </c>
      <c r="B65" s="0" t="s">
        <v>3013</v>
      </c>
      <c r="C65" s="0" t="n">
        <v>58.9782833223342</v>
      </c>
      <c r="D65" s="0" t="n">
        <f aca="false">SUMPRODUCT(Risk_Inputs!B65:AJ65,Risk_Coefs!$B$2:$AJ$2)</f>
        <v>-1.53268950710582</v>
      </c>
      <c r="E65" s="0" t="n">
        <f aca="false">1/(1+EXP(-MAX(-25,MIN(25,D65))))</f>
        <v>0.177600519535161</v>
      </c>
      <c r="F65" s="0" t="n">
        <f aca="false">SUMPRODUCT(Risk_Inputs!B65:AJ65,Risk_Coefs!$B$3:$AJ$3)</f>
        <v>2.51838516101881</v>
      </c>
      <c r="G65" s="0" t="n">
        <f aca="false">MAX(0,F65)</f>
        <v>2.51838516101881</v>
      </c>
      <c r="H65" s="0" t="n">
        <f aca="false">(SUMPRODUCT(--ISNUMBER($E$2:$E$800),--($E$2:$E$800&lt;E65))+(SUMPRODUCT(--ISNUMBER($E$2:$E$800),--($E$2:$E$800=E65))+1)/2)/COUNT($E$2:$E$800)</f>
        <v>0.0613266583229036</v>
      </c>
      <c r="I65" s="0" t="n">
        <f aca="false">(SUMPRODUCT(--ISNUMBER($G$2:$G$800),--($G$2:$G$800&lt;G65))+(SUMPRODUCT(--ISNUMBER($G$2:$G$800),--($G$2:$G$800=G65))+1)/2)/COUNT($G$2:$G$800)</f>
        <v>0.016270337922403</v>
      </c>
      <c r="J65" s="0" t="n">
        <v>37.3248869788456</v>
      </c>
      <c r="K65" s="0" t="n">
        <v>9.14922349763674</v>
      </c>
      <c r="L65" s="0" t="n">
        <v>0.894665766374073</v>
      </c>
      <c r="M65" s="0" t="n">
        <f aca="false">IF(OR(B65="NW",COUNT(Risk_Rank_Keys!B65)=0),0.5,(SUMPRODUCT(--ISNUMBER(Risk_Rank_Keys!$B$2:$B$800),--(Risk_Rank_Keys!$B$2:$B$800&lt;Risk_Rank_Keys!B65))+(SUMPRODUCT(--ISNUMBER(Risk_Rank_Keys!$B$2:$B$800),--(Risk_Rank_Keys!$B$2:$B$800=Risk_Rank_Keys!B65))+1)/2)/COUNT(Risk_Rank_Keys!$B$2:$B$800))</f>
        <v>0.940027894002789</v>
      </c>
      <c r="N65" s="0" t="n">
        <f aca="false">IF(OR(B65="NW",COUNT(Risk_Rank_Keys!C65)=0),0.5,(SUMPRODUCT(--ISNUMBER(Risk_Rank_Keys!$C$2:$C$800),--(Risk_Rank_Keys!$C$2:$C$800&lt;Risk_Rank_Keys!C65))+(SUMPRODUCT(--ISNUMBER(Risk_Rank_Keys!$C$2:$C$800),--(Risk_Rank_Keys!$C$2:$C$800=Risk_Rank_Keys!C65))+1)/2)/COUNT(Risk_Rank_Keys!$C$2:$C$800))</f>
        <v>0.854951185495119</v>
      </c>
      <c r="O65" s="0" t="n">
        <f aca="false">IF(OR(B65="NW",COUNT(Risk_Rank_Keys!D65)=0),0.5,(SUMPRODUCT(--ISNUMBER(Risk_Rank_Keys!$D$2:$D$800),--(Risk_Rank_Keys!$D$2:$D$800&lt;Risk_Rank_Keys!D65))+(SUMPRODUCT(--ISNUMBER(Risk_Rank_Keys!$D$2:$D$800),--(Risk_Rank_Keys!$D$2:$D$800=Risk_Rank_Keys!D65))+1)/2)/COUNT(Risk_Rank_Keys!$D$2:$D$800))</f>
        <v>0.99581589958159</v>
      </c>
      <c r="P65" s="0" t="n">
        <f aca="false">AVERAGE(M65:O65)</f>
        <v>0.930264993026499</v>
      </c>
      <c r="Q65" s="0" t="n">
        <f aca="false">0.4*H65+0.4*I65+0.2*P65</f>
        <v>0.217091797103423</v>
      </c>
      <c r="R65" s="0" t="n">
        <f aca="false">PERCENTILE($Q$2:$Q$800,0.75)</f>
        <v>0.667715717403612</v>
      </c>
      <c r="S65" s="1" t="b">
        <f aca="false">OR(Q65&gt;=R65,AND(B65="CW",COUNT(J65:L65)&lt;3))</f>
        <v>0</v>
      </c>
      <c r="T65" s="0" t="n">
        <v>0.177600519535161</v>
      </c>
      <c r="U65" s="0" t="n">
        <v>2.51838516101882</v>
      </c>
      <c r="V65" s="0" t="n">
        <v>0.217091797103423</v>
      </c>
      <c r="W65" s="0" t="n">
        <f aca="false">Q65-V65</f>
        <v>0</v>
      </c>
    </row>
    <row r="66" customFormat="false" ht="15" hidden="false" customHeight="false" outlineLevel="0" collapsed="false">
      <c r="A66" s="0" t="s">
        <v>100</v>
      </c>
      <c r="B66" s="0" t="s">
        <v>3013</v>
      </c>
      <c r="C66" s="0" t="n">
        <v>-8.27250568892567</v>
      </c>
      <c r="D66" s="0" t="n">
        <f aca="false">SUMPRODUCT(Risk_Inputs!B66:AJ66,Risk_Coefs!$B$2:$AJ$2)</f>
        <v>-1.54432129018825</v>
      </c>
      <c r="E66" s="0" t="n">
        <f aca="false">1/(1+EXP(-MAX(-25,MIN(25,D66))))</f>
        <v>0.175907964176162</v>
      </c>
      <c r="F66" s="0" t="n">
        <f aca="false">SUMPRODUCT(Risk_Inputs!B66:AJ66,Risk_Coefs!$B$3:$AJ$3)</f>
        <v>5.24947383155723</v>
      </c>
      <c r="G66" s="0" t="n">
        <f aca="false">MAX(0,F66)</f>
        <v>5.24947383155723</v>
      </c>
      <c r="H66" s="0" t="n">
        <f aca="false">(SUMPRODUCT(--ISNUMBER($E$2:$E$800),--($E$2:$E$800&lt;E66))+(SUMPRODUCT(--ISNUMBER($E$2:$E$800),--($E$2:$E$800=E66))+1)/2)/COUNT($E$2:$E$800)</f>
        <v>0.0563204005006258</v>
      </c>
      <c r="I66" s="0" t="n">
        <f aca="false">(SUMPRODUCT(--ISNUMBER($G$2:$G$800),--($G$2:$G$800&lt;G66))+(SUMPRODUCT(--ISNUMBER($G$2:$G$800),--($G$2:$G$800=G66))+1)/2)/COUNT($G$2:$G$800)</f>
        <v>0.1639549436796</v>
      </c>
      <c r="J66" s="0" t="n">
        <v>31.4235577822749</v>
      </c>
      <c r="K66" s="0" t="n">
        <v>15.8458961474037</v>
      </c>
      <c r="L66" s="0" t="n">
        <v>0.737018425460623</v>
      </c>
      <c r="M66" s="0" t="n">
        <f aca="false">IF(OR(B66="NW",COUNT(Risk_Rank_Keys!B66)=0),0.5,(SUMPRODUCT(--ISNUMBER(Risk_Rank_Keys!$B$2:$B$800),--(Risk_Rank_Keys!$B$2:$B$800&lt;Risk_Rank_Keys!B66))+(SUMPRODUCT(--ISNUMBER(Risk_Rank_Keys!$B$2:$B$800),--(Risk_Rank_Keys!$B$2:$B$800=Risk_Rank_Keys!B66))+1)/2)/COUNT(Risk_Rank_Keys!$B$2:$B$800))</f>
        <v>0.910739191073919</v>
      </c>
      <c r="N66" s="0" t="n">
        <f aca="false">IF(OR(B66="NW",COUNT(Risk_Rank_Keys!C66)=0),0.5,(SUMPRODUCT(--ISNUMBER(Risk_Rank_Keys!$C$2:$C$800),--(Risk_Rank_Keys!$C$2:$C$800&lt;Risk_Rank_Keys!C66))+(SUMPRODUCT(--ISNUMBER(Risk_Rank_Keys!$C$2:$C$800),--(Risk_Rank_Keys!$C$2:$C$800=Risk_Rank_Keys!C66))+1)/2)/COUNT(Risk_Rank_Keys!$C$2:$C$800))</f>
        <v>0.941422594142259</v>
      </c>
      <c r="O66" s="0" t="n">
        <f aca="false">IF(OR(B66="NW",COUNT(Risk_Rank_Keys!D66)=0),0.5,(SUMPRODUCT(--ISNUMBER(Risk_Rank_Keys!$D$2:$D$800),--(Risk_Rank_Keys!$D$2:$D$800&lt;Risk_Rank_Keys!D66))+(SUMPRODUCT(--ISNUMBER(Risk_Rank_Keys!$D$2:$D$800),--(Risk_Rank_Keys!$D$2:$D$800=Risk_Rank_Keys!D66))+1)/2)/COUNT(Risk_Rank_Keys!$D$2:$D$800))</f>
        <v>0.98744769874477</v>
      </c>
      <c r="P66" s="0" t="n">
        <f aca="false">AVERAGE(M66:O66)</f>
        <v>0.94653649465365</v>
      </c>
      <c r="Q66" s="0" t="n">
        <f aca="false">0.4*H66+0.4*I66+0.2*P66</f>
        <v>0.27741743660282</v>
      </c>
      <c r="R66" s="0" t="n">
        <f aca="false">PERCENTILE($Q$2:$Q$800,0.75)</f>
        <v>0.667715717403612</v>
      </c>
      <c r="S66" s="1" t="b">
        <f aca="false">OR(Q66&gt;=R66,AND(B66="CW",COUNT(J66:L66)&lt;3))</f>
        <v>0</v>
      </c>
      <c r="T66" s="0" t="n">
        <v>0.175907964176162</v>
      </c>
      <c r="U66" s="0" t="n">
        <v>5.24947383155723</v>
      </c>
      <c r="V66" s="0" t="n">
        <v>0.27741743660282</v>
      </c>
      <c r="W66" s="0" t="n">
        <f aca="false">Q66-V66</f>
        <v>0</v>
      </c>
    </row>
    <row r="67" customFormat="false" ht="15" hidden="false" customHeight="false" outlineLevel="0" collapsed="false">
      <c r="A67" s="0" t="s">
        <v>101</v>
      </c>
      <c r="B67" s="0" t="s">
        <v>3013</v>
      </c>
      <c r="C67" s="0" t="n">
        <v>47.7221725053262</v>
      </c>
      <c r="D67" s="0" t="n">
        <f aca="false">SUMPRODUCT(Risk_Inputs!B67:AJ67,Risk_Coefs!$B$2:$AJ$2)</f>
        <v>-1.46060097343667</v>
      </c>
      <c r="E67" s="0" t="n">
        <f aca="false">1/(1+EXP(-MAX(-25,MIN(25,D67))))</f>
        <v>0.188375425102263</v>
      </c>
      <c r="F67" s="0" t="n">
        <f aca="false">SUMPRODUCT(Risk_Inputs!B67:AJ67,Risk_Coefs!$B$3:$AJ$3)</f>
        <v>6.61172183528365</v>
      </c>
      <c r="G67" s="0" t="n">
        <f aca="false">MAX(0,F67)</f>
        <v>6.61172183528365</v>
      </c>
      <c r="H67" s="0" t="n">
        <f aca="false">(SUMPRODUCT(--ISNUMBER($E$2:$E$800),--($E$2:$E$800&lt;E67))+(SUMPRODUCT(--ISNUMBER($E$2:$E$800),--($E$2:$E$800=E67))+1)/2)/COUNT($E$2:$E$800)</f>
        <v>0.0826032540675845</v>
      </c>
      <c r="I67" s="0" t="n">
        <f aca="false">(SUMPRODUCT(--ISNUMBER($G$2:$G$800),--($G$2:$G$800&lt;G67))+(SUMPRODUCT(--ISNUMBER($G$2:$G$800),--($G$2:$G$800=G67))+1)/2)/COUNT($G$2:$G$800)</f>
        <v>0.364205256570713</v>
      </c>
      <c r="J67" s="0" t="n">
        <v>35.5016392071874</v>
      </c>
      <c r="K67" s="0" t="n">
        <v>4.62372881355931</v>
      </c>
      <c r="L67" s="0" t="n">
        <v>0.366101694915253</v>
      </c>
      <c r="M67" s="0" t="n">
        <f aca="false">IF(OR(B67="NW",COUNT(Risk_Rank_Keys!B67)=0),0.5,(SUMPRODUCT(--ISNUMBER(Risk_Rank_Keys!$B$2:$B$800),--(Risk_Rank_Keys!$B$2:$B$800&lt;Risk_Rank_Keys!B67))+(SUMPRODUCT(--ISNUMBER(Risk_Rank_Keys!$B$2:$B$800),--(Risk_Rank_Keys!$B$2:$B$800=Risk_Rank_Keys!B67))+1)/2)/COUNT(Risk_Rank_Keys!$B$2:$B$800))</f>
        <v>0.931659693165969</v>
      </c>
      <c r="N67" s="0" t="n">
        <f aca="false">IF(OR(B67="NW",COUNT(Risk_Rank_Keys!C67)=0),0.5,(SUMPRODUCT(--ISNUMBER(Risk_Rank_Keys!$C$2:$C$800),--(Risk_Rank_Keys!$C$2:$C$800&lt;Risk_Rank_Keys!C67))+(SUMPRODUCT(--ISNUMBER(Risk_Rank_Keys!$C$2:$C$800),--(Risk_Rank_Keys!$C$2:$C$800=Risk_Rank_Keys!C67))+1)/2)/COUNT(Risk_Rank_Keys!$C$2:$C$800))</f>
        <v>0.656903765690377</v>
      </c>
      <c r="O67" s="0" t="n">
        <f aca="false">IF(OR(B67="NW",COUNT(Risk_Rank_Keys!D67)=0),0.5,(SUMPRODUCT(--ISNUMBER(Risk_Rank_Keys!$D$2:$D$800),--(Risk_Rank_Keys!$D$2:$D$800&lt;Risk_Rank_Keys!D67))+(SUMPRODUCT(--ISNUMBER(Risk_Rank_Keys!$D$2:$D$800),--(Risk_Rank_Keys!$D$2:$D$800=Risk_Rank_Keys!D67))+1)/2)/COUNT(Risk_Rank_Keys!$D$2:$D$800))</f>
        <v>0.853556485355649</v>
      </c>
      <c r="P67" s="0" t="n">
        <f aca="false">AVERAGE(M67:O67)</f>
        <v>0.814039981403998</v>
      </c>
      <c r="Q67" s="0" t="n">
        <f aca="false">0.4*H67+0.4*I67+0.2*P67</f>
        <v>0.341531400536119</v>
      </c>
      <c r="R67" s="0" t="n">
        <f aca="false">PERCENTILE($Q$2:$Q$800,0.75)</f>
        <v>0.667715717403612</v>
      </c>
      <c r="S67" s="1" t="b">
        <f aca="false">OR(Q67&gt;=R67,AND(B67="CW",COUNT(J67:L67)&lt;3))</f>
        <v>0</v>
      </c>
      <c r="T67" s="0" t="n">
        <v>0.188375425102263</v>
      </c>
      <c r="U67" s="0" t="n">
        <v>6.61172183528365</v>
      </c>
      <c r="V67" s="0" t="n">
        <v>0.341531400536119</v>
      </c>
      <c r="W67" s="0" t="n">
        <f aca="false">Q67-V67</f>
        <v>0</v>
      </c>
    </row>
    <row r="68" customFormat="false" ht="15" hidden="false" customHeight="false" outlineLevel="0" collapsed="false">
      <c r="A68" s="0" t="s">
        <v>102</v>
      </c>
      <c r="B68" s="0" t="s">
        <v>3013</v>
      </c>
      <c r="C68" s="0" t="n">
        <v>-38.0992787903321</v>
      </c>
      <c r="D68" s="0" t="n">
        <f aca="false">SUMPRODUCT(Risk_Inputs!B68:AJ68,Risk_Coefs!$B$2:$AJ$2)</f>
        <v>-0.771247084463131</v>
      </c>
      <c r="E68" s="0" t="n">
        <f aca="false">1/(1+EXP(-MAX(-25,MIN(25,D68))))</f>
        <v>0.316209398612786</v>
      </c>
      <c r="F68" s="0" t="n">
        <f aca="false">SUMPRODUCT(Risk_Inputs!B68:AJ68,Risk_Coefs!$B$3:$AJ$3)</f>
        <v>8.4818287001724</v>
      </c>
      <c r="G68" s="0" t="n">
        <f aca="false">MAX(0,F68)</f>
        <v>8.4818287001724</v>
      </c>
      <c r="H68" s="0" t="n">
        <f aca="false">(SUMPRODUCT(--ISNUMBER($E$2:$E$800),--($E$2:$E$800&lt;E68))+(SUMPRODUCT(--ISNUMBER($E$2:$E$800),--($E$2:$E$800=E68))+1)/2)/COUNT($E$2:$E$800)</f>
        <v>0.645807259073842</v>
      </c>
      <c r="I68" s="0" t="n">
        <f aca="false">(SUMPRODUCT(--ISNUMBER($G$2:$G$800),--($G$2:$G$800&lt;G68))+(SUMPRODUCT(--ISNUMBER($G$2:$G$800),--($G$2:$G$800=G68))+1)/2)/COUNT($G$2:$G$800)</f>
        <v>0.599499374217772</v>
      </c>
      <c r="J68" s="0" t="n">
        <v>13.0864676231095</v>
      </c>
      <c r="K68" s="0" t="n">
        <v>2.74232493963435</v>
      </c>
      <c r="L68" s="0" t="n">
        <v>0.396688513280434</v>
      </c>
      <c r="M68" s="0" t="n">
        <f aca="false">IF(OR(B68="NW",COUNT(Risk_Rank_Keys!B68)=0),0.5,(SUMPRODUCT(--ISNUMBER(Risk_Rank_Keys!$B$2:$B$800),--(Risk_Rank_Keys!$B$2:$B$800&lt;Risk_Rank_Keys!B68))+(SUMPRODUCT(--ISNUMBER(Risk_Rank_Keys!$B$2:$B$800),--(Risk_Rank_Keys!$B$2:$B$800=Risk_Rank_Keys!B68))+1)/2)/COUNT(Risk_Rank_Keys!$B$2:$B$800))</f>
        <v>0.645746164574616</v>
      </c>
      <c r="N68" s="0" t="n">
        <f aca="false">IF(OR(B68="NW",COUNT(Risk_Rank_Keys!C68)=0),0.5,(SUMPRODUCT(--ISNUMBER(Risk_Rank_Keys!$C$2:$C$800),--(Risk_Rank_Keys!$C$2:$C$800&lt;Risk_Rank_Keys!C68))+(SUMPRODUCT(--ISNUMBER(Risk_Rank_Keys!$C$2:$C$800),--(Risk_Rank_Keys!$C$2:$C$800=Risk_Rank_Keys!C68))+1)/2)/COUNT(Risk_Rank_Keys!$C$2:$C$800))</f>
        <v>0.433751743375174</v>
      </c>
      <c r="O68" s="0" t="n">
        <f aca="false">IF(OR(B68="NW",COUNT(Risk_Rank_Keys!D68)=0),0.5,(SUMPRODUCT(--ISNUMBER(Risk_Rank_Keys!$D$2:$D$800),--(Risk_Rank_Keys!$D$2:$D$800&lt;Risk_Rank_Keys!D68))+(SUMPRODUCT(--ISNUMBER(Risk_Rank_Keys!$D$2:$D$800),--(Risk_Rank_Keys!$D$2:$D$800=Risk_Rank_Keys!D68))+1)/2)/COUNT(Risk_Rank_Keys!$D$2:$D$800))</f>
        <v>0.878661087866109</v>
      </c>
      <c r="P68" s="0" t="n">
        <f aca="false">AVERAGE(M68:O68)</f>
        <v>0.652719665271967</v>
      </c>
      <c r="Q68" s="0" t="n">
        <f aca="false">0.4*H68+0.4*I68+0.2*P68</f>
        <v>0.628666586371039</v>
      </c>
      <c r="R68" s="0" t="n">
        <f aca="false">PERCENTILE($Q$2:$Q$800,0.75)</f>
        <v>0.667715717403612</v>
      </c>
      <c r="S68" s="1" t="b">
        <f aca="false">OR(Q68&gt;=R68,AND(B68="CW",COUNT(J68:L68)&lt;3))</f>
        <v>0</v>
      </c>
      <c r="T68" s="0" t="n">
        <v>0.316209398612786</v>
      </c>
      <c r="U68" s="0" t="n">
        <v>8.4818287001724</v>
      </c>
      <c r="V68" s="0" t="n">
        <v>0.628666586371039</v>
      </c>
      <c r="W68" s="0" t="n">
        <f aca="false">Q68-V68</f>
        <v>0</v>
      </c>
    </row>
    <row r="69" customFormat="false" ht="15" hidden="false" customHeight="false" outlineLevel="0" collapsed="false">
      <c r="A69" s="0" t="s">
        <v>103</v>
      </c>
      <c r="B69" s="0" t="s">
        <v>3013</v>
      </c>
      <c r="C69" s="0" t="n">
        <v>32.9611956335186</v>
      </c>
      <c r="D69" s="0" t="n">
        <f aca="false">SUMPRODUCT(Risk_Inputs!B69:AJ69,Risk_Coefs!$B$2:$AJ$2)</f>
        <v>-1.53060856345616</v>
      </c>
      <c r="E69" s="0" t="n">
        <f aca="false">1/(1+EXP(-MAX(-25,MIN(25,D69))))</f>
        <v>0.177904663137993</v>
      </c>
      <c r="F69" s="0" t="n">
        <f aca="false">SUMPRODUCT(Risk_Inputs!B69:AJ69,Risk_Coefs!$B$3:$AJ$3)</f>
        <v>4.56509597484896</v>
      </c>
      <c r="G69" s="0" t="n">
        <f aca="false">MAX(0,F69)</f>
        <v>4.56509597484896</v>
      </c>
      <c r="H69" s="0" t="n">
        <f aca="false">(SUMPRODUCT(--ISNUMBER($E$2:$E$800),--($E$2:$E$800&lt;E69))+(SUMPRODUCT(--ISNUMBER($E$2:$E$800),--($E$2:$E$800=E69))+1)/2)/COUNT($E$2:$E$800)</f>
        <v>0.0638297872340426</v>
      </c>
      <c r="I69" s="0" t="n">
        <f aca="false">(SUMPRODUCT(--ISNUMBER($G$2:$G$800),--($G$2:$G$800&lt;G69))+(SUMPRODUCT(--ISNUMBER($G$2:$G$800),--($G$2:$G$800=G69))+1)/2)/COUNT($G$2:$G$800)</f>
        <v>0.0888610763454318</v>
      </c>
      <c r="J69" s="0" t="n">
        <v>39.3077431435183</v>
      </c>
      <c r="K69" s="0" t="n">
        <v>5.81542351453856</v>
      </c>
      <c r="L69" s="0" t="n">
        <v>0.4424778761062</v>
      </c>
      <c r="M69" s="0" t="n">
        <f aca="false">IF(OR(B69="NW",COUNT(Risk_Rank_Keys!B69)=0),0.5,(SUMPRODUCT(--ISNUMBER(Risk_Rank_Keys!$B$2:$B$800),--(Risk_Rank_Keys!$B$2:$B$800&lt;Risk_Rank_Keys!B69))+(SUMPRODUCT(--ISNUMBER(Risk_Rank_Keys!$B$2:$B$800),--(Risk_Rank_Keys!$B$2:$B$800=Risk_Rank_Keys!B69))+1)/2)/COUNT(Risk_Rank_Keys!$B$2:$B$800))</f>
        <v>0.94979079497908</v>
      </c>
      <c r="N69" s="0" t="n">
        <f aca="false">IF(OR(B69="NW",COUNT(Risk_Rank_Keys!C69)=0),0.5,(SUMPRODUCT(--ISNUMBER(Risk_Rank_Keys!$C$2:$C$800),--(Risk_Rank_Keys!$C$2:$C$800&lt;Risk_Rank_Keys!C69))+(SUMPRODUCT(--ISNUMBER(Risk_Rank_Keys!$C$2:$C$800),--(Risk_Rank_Keys!$C$2:$C$800=Risk_Rank_Keys!C69))+1)/2)/COUNT(Risk_Rank_Keys!$C$2:$C$800))</f>
        <v>0.737796373779637</v>
      </c>
      <c r="O69" s="0" t="n">
        <f aca="false">IF(OR(B69="NW",COUNT(Risk_Rank_Keys!D69)=0),0.5,(SUMPRODUCT(--ISNUMBER(Risk_Rank_Keys!$D$2:$D$800),--(Risk_Rank_Keys!$D$2:$D$800&lt;Risk_Rank_Keys!D69))+(SUMPRODUCT(--ISNUMBER(Risk_Rank_Keys!$D$2:$D$800),--(Risk_Rank_Keys!$D$2:$D$800=Risk_Rank_Keys!D69))+1)/2)/COUNT(Risk_Rank_Keys!$D$2:$D$800))</f>
        <v>0.914923291492329</v>
      </c>
      <c r="P69" s="0" t="n">
        <f aca="false">AVERAGE(M69:O69)</f>
        <v>0.867503486750349</v>
      </c>
      <c r="Q69" s="0" t="n">
        <f aca="false">0.4*H69+0.4*I69+0.2*P69</f>
        <v>0.234577042781859</v>
      </c>
      <c r="R69" s="0" t="n">
        <f aca="false">PERCENTILE($Q$2:$Q$800,0.75)</f>
        <v>0.667715717403612</v>
      </c>
      <c r="S69" s="1" t="b">
        <f aca="false">OR(Q69&gt;=R69,AND(B69="CW",COUNT(J69:L69)&lt;3))</f>
        <v>0</v>
      </c>
      <c r="T69" s="0" t="n">
        <v>0.177904663137993</v>
      </c>
      <c r="U69" s="0" t="n">
        <v>4.56509597484896</v>
      </c>
      <c r="V69" s="0" t="n">
        <v>0.23457704278186</v>
      </c>
      <c r="W69" s="0" t="n">
        <f aca="false">Q69-V69</f>
        <v>0</v>
      </c>
    </row>
    <row r="70" customFormat="false" ht="15" hidden="false" customHeight="false" outlineLevel="0" collapsed="false">
      <c r="A70" s="0" t="s">
        <v>104</v>
      </c>
      <c r="B70" s="0" t="s">
        <v>3013</v>
      </c>
      <c r="C70" s="0" t="n">
        <v>2.05386414328832</v>
      </c>
      <c r="D70" s="0" t="n">
        <f aca="false">SUMPRODUCT(Risk_Inputs!B70:AJ70,Risk_Coefs!$B$2:$AJ$2)</f>
        <v>-0.937047726966471</v>
      </c>
      <c r="E70" s="0" t="n">
        <f aca="false">1/(1+EXP(-MAX(-25,MIN(25,D70))))</f>
        <v>0.281497073536379</v>
      </c>
      <c r="F70" s="0" t="n">
        <f aca="false">SUMPRODUCT(Risk_Inputs!B70:AJ70,Risk_Coefs!$B$3:$AJ$3)</f>
        <v>9.2315499742942</v>
      </c>
      <c r="G70" s="0" t="n">
        <f aca="false">MAX(0,F70)</f>
        <v>9.2315499742942</v>
      </c>
      <c r="H70" s="0" t="n">
        <f aca="false">(SUMPRODUCT(--ISNUMBER($E$2:$E$800),--($E$2:$E$800&lt;E70))+(SUMPRODUCT(--ISNUMBER($E$2:$E$800),--($E$2:$E$800=E70))+1)/2)/COUNT($E$2:$E$800)</f>
        <v>0.468085106382979</v>
      </c>
      <c r="I70" s="0" t="n">
        <f aca="false">(SUMPRODUCT(--ISNUMBER($G$2:$G$800),--($G$2:$G$800&lt;G70))+(SUMPRODUCT(--ISNUMBER($G$2:$G$800),--($G$2:$G$800=G70))+1)/2)/COUNT($G$2:$G$800)</f>
        <v>0.709637046307885</v>
      </c>
      <c r="J70" s="0" t="n">
        <v>10.6956592600653</v>
      </c>
      <c r="K70" s="0" t="n">
        <v>2.60947810437914</v>
      </c>
      <c r="L70" s="0" t="n">
        <v>0.389922015596884</v>
      </c>
      <c r="M70" s="0" t="n">
        <f aca="false">IF(OR(B70="NW",COUNT(Risk_Rank_Keys!B70)=0),0.5,(SUMPRODUCT(--ISNUMBER(Risk_Rank_Keys!$B$2:$B$800),--(Risk_Rank_Keys!$B$2:$B$800&lt;Risk_Rank_Keys!B70))+(SUMPRODUCT(--ISNUMBER(Risk_Rank_Keys!$B$2:$B$800),--(Risk_Rank_Keys!$B$2:$B$800=Risk_Rank_Keys!B70))+1)/2)/COUNT(Risk_Rank_Keys!$B$2:$B$800))</f>
        <v>0.535564853556485</v>
      </c>
      <c r="N70" s="0" t="n">
        <f aca="false">IF(OR(B70="NW",COUNT(Risk_Rank_Keys!C70)=0),0.5,(SUMPRODUCT(--ISNUMBER(Risk_Rank_Keys!$C$2:$C$800),--(Risk_Rank_Keys!$C$2:$C$800&lt;Risk_Rank_Keys!C70))+(SUMPRODUCT(--ISNUMBER(Risk_Rank_Keys!$C$2:$C$800),--(Risk_Rank_Keys!$C$2:$C$800=Risk_Rank_Keys!C70))+1)/2)/COUNT(Risk_Rank_Keys!$C$2:$C$800))</f>
        <v>0.410041841004184</v>
      </c>
      <c r="O70" s="0" t="n">
        <f aca="false">IF(OR(B70="NW",COUNT(Risk_Rank_Keys!D70)=0),0.5,(SUMPRODUCT(--ISNUMBER(Risk_Rank_Keys!$D$2:$D$800),--(Risk_Rank_Keys!$D$2:$D$800&lt;Risk_Rank_Keys!D70))+(SUMPRODUCT(--ISNUMBER(Risk_Rank_Keys!$D$2:$D$800),--(Risk_Rank_Keys!$D$2:$D$800=Risk_Rank_Keys!D70))+1)/2)/COUNT(Risk_Rank_Keys!$D$2:$D$800))</f>
        <v>0.874476987447699</v>
      </c>
      <c r="P70" s="0" t="n">
        <f aca="false">AVERAGE(M70:O70)</f>
        <v>0.606694560669456</v>
      </c>
      <c r="Q70" s="0" t="n">
        <f aca="false">0.4*H70+0.4*I70+0.2*P70</f>
        <v>0.592427773210237</v>
      </c>
      <c r="R70" s="0" t="n">
        <f aca="false">PERCENTILE($Q$2:$Q$800,0.75)</f>
        <v>0.667715717403612</v>
      </c>
      <c r="S70" s="1" t="b">
        <f aca="false">OR(Q70&gt;=R70,AND(B70="CW",COUNT(J70:L70)&lt;3))</f>
        <v>0</v>
      </c>
      <c r="T70" s="0" t="n">
        <v>0.281497073536379</v>
      </c>
      <c r="U70" s="0" t="n">
        <v>9.2315499742942</v>
      </c>
      <c r="V70" s="0" t="n">
        <v>0.592427773210237</v>
      </c>
      <c r="W70" s="0" t="n">
        <f aca="false">Q70-V70</f>
        <v>0</v>
      </c>
    </row>
    <row r="71" customFormat="false" ht="15" hidden="false" customHeight="false" outlineLevel="0" collapsed="false">
      <c r="A71" s="0" t="s">
        <v>105</v>
      </c>
      <c r="B71" s="0" t="s">
        <v>3013</v>
      </c>
      <c r="C71" s="0" t="n">
        <v>46.2180044421276</v>
      </c>
      <c r="D71" s="0" t="n">
        <f aca="false">SUMPRODUCT(Risk_Inputs!B71:AJ71,Risk_Coefs!$B$2:$AJ$2)</f>
        <v>-1.18697185865096</v>
      </c>
      <c r="E71" s="0" t="n">
        <f aca="false">1/(1+EXP(-MAX(-25,MIN(25,D71))))</f>
        <v>0.233800953833194</v>
      </c>
      <c r="F71" s="0" t="n">
        <f aca="false">SUMPRODUCT(Risk_Inputs!B71:AJ71,Risk_Coefs!$B$3:$AJ$3)</f>
        <v>5.50549279121328</v>
      </c>
      <c r="G71" s="0" t="n">
        <f aca="false">MAX(0,F71)</f>
        <v>5.50549279121328</v>
      </c>
      <c r="H71" s="0" t="n">
        <f aca="false">(SUMPRODUCT(--ISNUMBER($E$2:$E$800),--($E$2:$E$800&lt;E71))+(SUMPRODUCT(--ISNUMBER($E$2:$E$800),--($E$2:$E$800=E71))+1)/2)/COUNT($E$2:$E$800)</f>
        <v>0.192740926157697</v>
      </c>
      <c r="I71" s="0" t="n">
        <f aca="false">(SUMPRODUCT(--ISNUMBER($G$2:$G$800),--($G$2:$G$800&lt;G71))+(SUMPRODUCT(--ISNUMBER($G$2:$G$800),--($G$2:$G$800=G71))+1)/2)/COUNT($G$2:$G$800)</f>
        <v>0.201501877346683</v>
      </c>
      <c r="J71" s="0" t="n">
        <v>22.2430621620801</v>
      </c>
      <c r="K71" s="0" t="n">
        <v>2.20774039100945</v>
      </c>
      <c r="L71" s="0" t="n">
        <v>0.425588509110253</v>
      </c>
      <c r="M71" s="0" t="n">
        <f aca="false">IF(OR(B71="NW",COUNT(Risk_Rank_Keys!B71)=0),0.5,(SUMPRODUCT(--ISNUMBER(Risk_Rank_Keys!$B$2:$B$800),--(Risk_Rank_Keys!$B$2:$B$800&lt;Risk_Rank_Keys!B71))+(SUMPRODUCT(--ISNUMBER(Risk_Rank_Keys!$B$2:$B$800),--(Risk_Rank_Keys!$B$2:$B$800=Risk_Rank_Keys!B71))+1)/2)/COUNT(Risk_Rank_Keys!$B$2:$B$800))</f>
        <v>0.824267782426778</v>
      </c>
      <c r="N71" s="0" t="n">
        <f aca="false">IF(OR(B71="NW",COUNT(Risk_Rank_Keys!C71)=0),0.5,(SUMPRODUCT(--ISNUMBER(Risk_Rank_Keys!$C$2:$C$800),--(Risk_Rank_Keys!$C$2:$C$800&lt;Risk_Rank_Keys!C71))+(SUMPRODUCT(--ISNUMBER(Risk_Rank_Keys!$C$2:$C$800),--(Risk_Rank_Keys!$C$2:$C$800=Risk_Rank_Keys!C71))+1)/2)/COUNT(Risk_Rank_Keys!$C$2:$C$800))</f>
        <v>0.315202231520223</v>
      </c>
      <c r="O71" s="0" t="n">
        <f aca="false">IF(OR(B71="NW",COUNT(Risk_Rank_Keys!D71)=0),0.5,(SUMPRODUCT(--ISNUMBER(Risk_Rank_Keys!$D$2:$D$800),--(Risk_Rank_Keys!$D$2:$D$800&lt;Risk_Rank_Keys!D71))+(SUMPRODUCT(--ISNUMBER(Risk_Rank_Keys!$D$2:$D$800),--(Risk_Rank_Keys!$D$2:$D$800=Risk_Rank_Keys!D71))+1)/2)/COUNT(Risk_Rank_Keys!$D$2:$D$800))</f>
        <v>0.905160390516039</v>
      </c>
      <c r="P71" s="0" t="n">
        <f aca="false">AVERAGE(M71:O71)</f>
        <v>0.681543468154347</v>
      </c>
      <c r="Q71" s="0" t="n">
        <f aca="false">0.4*H71+0.4*I71+0.2*P71</f>
        <v>0.294005815032622</v>
      </c>
      <c r="R71" s="0" t="n">
        <f aca="false">PERCENTILE($Q$2:$Q$800,0.75)</f>
        <v>0.667715717403612</v>
      </c>
      <c r="S71" s="1" t="b">
        <f aca="false">OR(Q71&gt;=R71,AND(B71="CW",COUNT(J71:L71)&lt;3))</f>
        <v>0</v>
      </c>
      <c r="T71" s="0" t="n">
        <v>0.233800953833194</v>
      </c>
      <c r="U71" s="0" t="n">
        <v>5.50549279121328</v>
      </c>
      <c r="V71" s="0" t="n">
        <v>0.294005815032622</v>
      </c>
      <c r="W71" s="0" t="n">
        <f aca="false">Q71-V71</f>
        <v>0</v>
      </c>
    </row>
    <row r="72" customFormat="false" ht="15" hidden="false" customHeight="false" outlineLevel="0" collapsed="false">
      <c r="A72" s="0" t="s">
        <v>106</v>
      </c>
      <c r="B72" s="0" t="s">
        <v>3013</v>
      </c>
      <c r="C72" s="0" t="n">
        <v>29.1817978967542</v>
      </c>
      <c r="D72" s="0" t="n">
        <f aca="false">SUMPRODUCT(Risk_Inputs!B72:AJ72,Risk_Coefs!$B$2:$AJ$2)</f>
        <v>-1.45654110349847</v>
      </c>
      <c r="E72" s="0" t="n">
        <f aca="false">1/(1+EXP(-MAX(-25,MIN(25,D72))))</f>
        <v>0.188996924561478</v>
      </c>
      <c r="F72" s="0" t="n">
        <f aca="false">SUMPRODUCT(Risk_Inputs!B72:AJ72,Risk_Coefs!$B$3:$AJ$3)</f>
        <v>5.91217425856891</v>
      </c>
      <c r="G72" s="0" t="n">
        <f aca="false">MAX(0,F72)</f>
        <v>5.91217425856891</v>
      </c>
      <c r="H72" s="0" t="n">
        <f aca="false">(SUMPRODUCT(--ISNUMBER($E$2:$E$800),--($E$2:$E$800&lt;E72))+(SUMPRODUCT(--ISNUMBER($E$2:$E$800),--($E$2:$E$800=E72))+1)/2)/COUNT($E$2:$E$800)</f>
        <v>0.0863579474342929</v>
      </c>
      <c r="I72" s="0" t="n">
        <f aca="false">(SUMPRODUCT(--ISNUMBER($G$2:$G$800),--($G$2:$G$800&lt;G72))+(SUMPRODUCT(--ISNUMBER($G$2:$G$800),--($G$2:$G$800=G72))+1)/2)/COUNT($G$2:$G$800)</f>
        <v>0.252816020025031</v>
      </c>
      <c r="J72" s="0" t="n">
        <v>20.3994024417472</v>
      </c>
      <c r="K72" s="0" t="n">
        <v>13.8895955227677</v>
      </c>
      <c r="L72" s="0" t="n">
        <v>0.585092851691677</v>
      </c>
      <c r="M72" s="0" t="n">
        <f aca="false">IF(OR(B72="NW",COUNT(Risk_Rank_Keys!B72)=0),0.5,(SUMPRODUCT(--ISNUMBER(Risk_Rank_Keys!$B$2:$B$800),--(Risk_Rank_Keys!$B$2:$B$800&lt;Risk_Rank_Keys!B72))+(SUMPRODUCT(--ISNUMBER(Risk_Rank_Keys!$B$2:$B$800),--(Risk_Rank_Keys!$B$2:$B$800=Risk_Rank_Keys!B72))+1)/2)/COUNT(Risk_Rank_Keys!$B$2:$B$800))</f>
        <v>0.794979079497908</v>
      </c>
      <c r="N72" s="0" t="n">
        <f aca="false">IF(OR(B72="NW",COUNT(Risk_Rank_Keys!C72)=0),0.5,(SUMPRODUCT(--ISNUMBER(Risk_Rank_Keys!$C$2:$C$800),--(Risk_Rank_Keys!$C$2:$C$800&lt;Risk_Rank_Keys!C72))+(SUMPRODUCT(--ISNUMBER(Risk_Rank_Keys!$C$2:$C$800),--(Risk_Rank_Keys!$C$2:$C$800=Risk_Rank_Keys!C72))+1)/2)/COUNT(Risk_Rank_Keys!$C$2:$C$800))</f>
        <v>0.917712691771269</v>
      </c>
      <c r="O72" s="0" t="n">
        <f aca="false">IF(OR(B72="NW",COUNT(Risk_Rank_Keys!D72)=0),0.5,(SUMPRODUCT(--ISNUMBER(Risk_Rank_Keys!$D$2:$D$800),--(Risk_Rank_Keys!$D$2:$D$800&lt;Risk_Rank_Keys!D72))+(SUMPRODUCT(--ISNUMBER(Risk_Rank_Keys!$D$2:$D$800),--(Risk_Rank_Keys!$D$2:$D$800=Risk_Rank_Keys!D72))+1)/2)/COUNT(Risk_Rank_Keys!$D$2:$D$800))</f>
        <v>0.97071129707113</v>
      </c>
      <c r="P72" s="0" t="n">
        <f aca="false">AVERAGE(M72:O72)</f>
        <v>0.894467689446769</v>
      </c>
      <c r="Q72" s="0" t="n">
        <f aca="false">0.4*H72+0.4*I72+0.2*P72</f>
        <v>0.314563124873083</v>
      </c>
      <c r="R72" s="0" t="n">
        <f aca="false">PERCENTILE($Q$2:$Q$800,0.75)</f>
        <v>0.667715717403612</v>
      </c>
      <c r="S72" s="1" t="b">
        <f aca="false">OR(Q72&gt;=R72,AND(B72="CW",COUNT(J72:L72)&lt;3))</f>
        <v>0</v>
      </c>
      <c r="T72" s="0" t="n">
        <v>0.188996924561478</v>
      </c>
      <c r="U72" s="0" t="n">
        <v>5.91217425856891</v>
      </c>
      <c r="V72" s="0" t="n">
        <v>0.314563124873084</v>
      </c>
      <c r="W72" s="0" t="n">
        <f aca="false">Q72-V72</f>
        <v>0</v>
      </c>
    </row>
    <row r="73" customFormat="false" ht="15" hidden="false" customHeight="false" outlineLevel="0" collapsed="false">
      <c r="A73" s="0" t="s">
        <v>107</v>
      </c>
      <c r="B73" s="0" t="s">
        <v>3013</v>
      </c>
      <c r="C73" s="0" t="n">
        <v>62.0135161631353</v>
      </c>
      <c r="D73" s="0" t="n">
        <f aca="false">SUMPRODUCT(Risk_Inputs!B73:AJ73,Risk_Coefs!$B$2:$AJ$2)</f>
        <v>-1.8362449653531</v>
      </c>
      <c r="E73" s="0" t="n">
        <f aca="false">1/(1+EXP(-MAX(-25,MIN(25,D73))))</f>
        <v>0.137495999460226</v>
      </c>
      <c r="F73" s="0" t="n">
        <f aca="false">SUMPRODUCT(Risk_Inputs!B73:AJ73,Risk_Coefs!$B$3:$AJ$3)</f>
        <v>3.51622651363979</v>
      </c>
      <c r="G73" s="0" t="n">
        <f aca="false">MAX(0,F73)</f>
        <v>3.51622651363979</v>
      </c>
      <c r="H73" s="0" t="n">
        <f aca="false">(SUMPRODUCT(--ISNUMBER($E$2:$E$800),--($E$2:$E$800&lt;E73))+(SUMPRODUCT(--ISNUMBER($E$2:$E$800),--($E$2:$E$800=E73))+1)/2)/COUNT($E$2:$E$800)</f>
        <v>0.0137672090112641</v>
      </c>
      <c r="I73" s="0" t="n">
        <f aca="false">(SUMPRODUCT(--ISNUMBER($G$2:$G$800),--($G$2:$G$800&lt;G73))+(SUMPRODUCT(--ISNUMBER($G$2:$G$800),--($G$2:$G$800=G73))+1)/2)/COUNT($G$2:$G$800)</f>
        <v>0.0350438047559449</v>
      </c>
      <c r="J73" s="0" t="n">
        <v>24.8794369749331</v>
      </c>
      <c r="K73" s="0" t="n">
        <v>26.3656884875847</v>
      </c>
      <c r="L73" s="0" t="n">
        <v>0.586907449209931</v>
      </c>
      <c r="M73" s="0" t="n">
        <f aca="false">IF(OR(B73="NW",COUNT(Risk_Rank_Keys!B73)=0),0.5,(SUMPRODUCT(--ISNUMBER(Risk_Rank_Keys!$B$2:$B$800),--(Risk_Rank_Keys!$B$2:$B$800&lt;Risk_Rank_Keys!B73))+(SUMPRODUCT(--ISNUMBER(Risk_Rank_Keys!$B$2:$B$800),--(Risk_Rank_Keys!$B$2:$B$800=Risk_Rank_Keys!B73))+1)/2)/COUNT(Risk_Rank_Keys!$B$2:$B$800))</f>
        <v>0.856345885634589</v>
      </c>
      <c r="N73" s="0" t="n">
        <f aca="false">IF(OR(B73="NW",COUNT(Risk_Rank_Keys!C73)=0),0.5,(SUMPRODUCT(--ISNUMBER(Risk_Rank_Keys!$C$2:$C$800),--(Risk_Rank_Keys!$C$2:$C$800&lt;Risk_Rank_Keys!C73))+(SUMPRODUCT(--ISNUMBER(Risk_Rank_Keys!$C$2:$C$800),--(Risk_Rank_Keys!$C$2:$C$800=Risk_Rank_Keys!C73))+1)/2)/COUNT(Risk_Rank_Keys!$C$2:$C$800))</f>
        <v>0.97768479776848</v>
      </c>
      <c r="O73" s="0" t="n">
        <f aca="false">IF(OR(B73="NW",COUNT(Risk_Rank_Keys!D73)=0),0.5,(SUMPRODUCT(--ISNUMBER(Risk_Rank_Keys!$D$2:$D$800),--(Risk_Rank_Keys!$D$2:$D$800&lt;Risk_Rank_Keys!D73))+(SUMPRODUCT(--ISNUMBER(Risk_Rank_Keys!$D$2:$D$800),--(Risk_Rank_Keys!$D$2:$D$800=Risk_Rank_Keys!D73))+1)/2)/COUNT(Risk_Rank_Keys!$D$2:$D$800))</f>
        <v>0.97350069735007</v>
      </c>
      <c r="P73" s="0" t="n">
        <f aca="false">AVERAGE(M73:O73)</f>
        <v>0.935843793584379</v>
      </c>
      <c r="Q73" s="0" t="n">
        <f aca="false">0.4*H73+0.4*I73+0.2*P73</f>
        <v>0.20669316422376</v>
      </c>
      <c r="R73" s="0" t="n">
        <f aca="false">PERCENTILE($Q$2:$Q$800,0.75)</f>
        <v>0.667715717403612</v>
      </c>
      <c r="S73" s="1" t="b">
        <f aca="false">OR(Q73&gt;=R73,AND(B73="CW",COUNT(J73:L73)&lt;3))</f>
        <v>0</v>
      </c>
      <c r="T73" s="0" t="n">
        <v>0.137495999460226</v>
      </c>
      <c r="U73" s="0" t="n">
        <v>3.51622651363979</v>
      </c>
      <c r="V73" s="0" t="n">
        <v>0.20669316422376</v>
      </c>
      <c r="W73" s="0" t="n">
        <f aca="false">Q73-V73</f>
        <v>0</v>
      </c>
    </row>
    <row r="74" customFormat="false" ht="15" hidden="false" customHeight="false" outlineLevel="0" collapsed="false">
      <c r="A74" s="0" t="s">
        <v>108</v>
      </c>
      <c r="B74" s="0" t="s">
        <v>3013</v>
      </c>
      <c r="C74" s="0" t="n">
        <v>20.398439797487</v>
      </c>
      <c r="D74" s="0" t="n">
        <f aca="false">SUMPRODUCT(Risk_Inputs!B74:AJ74,Risk_Coefs!$B$2:$AJ$2)</f>
        <v>-1.10006517270716</v>
      </c>
      <c r="E74" s="0" t="n">
        <f aca="false">1/(1+EXP(-MAX(-25,MIN(25,D74))))</f>
        <v>0.249727683201762</v>
      </c>
      <c r="F74" s="0" t="n">
        <f aca="false">SUMPRODUCT(Risk_Inputs!B74:AJ74,Risk_Coefs!$B$3:$AJ$3)</f>
        <v>8.91860532764518</v>
      </c>
      <c r="G74" s="0" t="n">
        <f aca="false">MAX(0,F74)</f>
        <v>8.91860532764518</v>
      </c>
      <c r="H74" s="0" t="n">
        <f aca="false">(SUMPRODUCT(--ISNUMBER($E$2:$E$800),--($E$2:$E$800&lt;E74))+(SUMPRODUCT(--ISNUMBER($E$2:$E$800),--($E$2:$E$800=E74))+1)/2)/COUNT($E$2:$E$800)</f>
        <v>0.264080100125156</v>
      </c>
      <c r="I74" s="0" t="n">
        <f aca="false">(SUMPRODUCT(--ISNUMBER($G$2:$G$800),--($G$2:$G$800&lt;G74))+(SUMPRODUCT(--ISNUMBER($G$2:$G$800),--($G$2:$G$800=G74))+1)/2)/COUNT($G$2:$G$800)</f>
        <v>0.668335419274093</v>
      </c>
      <c r="J74" s="0" t="n">
        <v>7.51902515670354</v>
      </c>
      <c r="K74" s="0" t="n">
        <v>1.46812860063185</v>
      </c>
      <c r="L74" s="0" t="n">
        <v>0.334510314068019</v>
      </c>
      <c r="M74" s="0" t="n">
        <f aca="false">IF(OR(B74="NW",COUNT(Risk_Rank_Keys!B74)=0),0.5,(SUMPRODUCT(--ISNUMBER(Risk_Rank_Keys!$B$2:$B$800),--(Risk_Rank_Keys!$B$2:$B$800&lt;Risk_Rank_Keys!B74))+(SUMPRODUCT(--ISNUMBER(Risk_Rank_Keys!$B$2:$B$800),--(Risk_Rank_Keys!$B$2:$B$800=Risk_Rank_Keys!B74))+1)/2)/COUNT(Risk_Rank_Keys!$B$2:$B$800))</f>
        <v>0.355648535564854</v>
      </c>
      <c r="N74" s="0" t="n">
        <f aca="false">IF(OR(B74="NW",COUNT(Risk_Rank_Keys!C74)=0),0.5,(SUMPRODUCT(--ISNUMBER(Risk_Rank_Keys!$C$2:$C$800),--(Risk_Rank_Keys!$C$2:$C$800&lt;Risk_Rank_Keys!C74))+(SUMPRODUCT(--ISNUMBER(Risk_Rank_Keys!$C$2:$C$800),--(Risk_Rank_Keys!$C$2:$C$800=Risk_Rank_Keys!C74))+1)/2)/COUNT(Risk_Rank_Keys!$C$2:$C$800))</f>
        <v>0.126917712691771</v>
      </c>
      <c r="O74" s="0" t="n">
        <f aca="false">IF(OR(B74="NW",COUNT(Risk_Rank_Keys!D74)=0),0.5,(SUMPRODUCT(--ISNUMBER(Risk_Rank_Keys!$D$2:$D$800),--(Risk_Rank_Keys!$D$2:$D$800&lt;Risk_Rank_Keys!D74))+(SUMPRODUCT(--ISNUMBER(Risk_Rank_Keys!$D$2:$D$800),--(Risk_Rank_Keys!$D$2:$D$800=Risk_Rank_Keys!D74))+1)/2)/COUNT(Risk_Rank_Keys!$D$2:$D$800))</f>
        <v>0.804741980474198</v>
      </c>
      <c r="P74" s="0" t="n">
        <f aca="false">AVERAGE(M74:O74)</f>
        <v>0.429102742910274</v>
      </c>
      <c r="Q74" s="0" t="n">
        <f aca="false">0.4*H74+0.4*I74+0.2*P74</f>
        <v>0.458786756341754</v>
      </c>
      <c r="R74" s="0" t="n">
        <f aca="false">PERCENTILE($Q$2:$Q$800,0.75)</f>
        <v>0.667715717403612</v>
      </c>
      <c r="S74" s="1" t="b">
        <f aca="false">OR(Q74&gt;=R74,AND(B74="CW",COUNT(J74:L74)&lt;3))</f>
        <v>0</v>
      </c>
      <c r="T74" s="0" t="n">
        <v>0.249727683201762</v>
      </c>
      <c r="U74" s="0" t="n">
        <v>8.91860532764517</v>
      </c>
      <c r="V74" s="0" t="n">
        <v>0.458786756341754</v>
      </c>
      <c r="W74" s="0" t="n">
        <f aca="false">Q74-V74</f>
        <v>0</v>
      </c>
    </row>
    <row r="75" customFormat="false" ht="15" hidden="false" customHeight="false" outlineLevel="0" collapsed="false">
      <c r="A75" s="0" t="s">
        <v>109</v>
      </c>
      <c r="B75" s="0" t="s">
        <v>3013</v>
      </c>
      <c r="C75" s="0" t="n">
        <v>43.4604543539104</v>
      </c>
      <c r="D75" s="0" t="n">
        <f aca="false">SUMPRODUCT(Risk_Inputs!B75:AJ75,Risk_Coefs!$B$2:$AJ$2)</f>
        <v>-1.05393835637957</v>
      </c>
      <c r="E75" s="0" t="n">
        <f aca="false">1/(1+EXP(-MAX(-25,MIN(25,D75))))</f>
        <v>0.258469545730531</v>
      </c>
      <c r="F75" s="0" t="n">
        <f aca="false">SUMPRODUCT(Risk_Inputs!B75:AJ75,Risk_Coefs!$B$3:$AJ$3)</f>
        <v>7.1725874596268</v>
      </c>
      <c r="G75" s="0" t="n">
        <f aca="false">MAX(0,F75)</f>
        <v>7.1725874596268</v>
      </c>
      <c r="H75" s="0" t="n">
        <f aca="false">(SUMPRODUCT(--ISNUMBER($E$2:$E$800),--($E$2:$E$800&lt;E75))+(SUMPRODUCT(--ISNUMBER($E$2:$E$800),--($E$2:$E$800=E75))+1)/2)/COUNT($E$2:$E$800)</f>
        <v>0.321652065081352</v>
      </c>
      <c r="I75" s="0" t="n">
        <f aca="false">(SUMPRODUCT(--ISNUMBER($G$2:$G$800),--($G$2:$G$800&lt;G75))+(SUMPRODUCT(--ISNUMBER($G$2:$G$800),--($G$2:$G$800=G75))+1)/2)/COUNT($G$2:$G$800)</f>
        <v>0.438047559449312</v>
      </c>
      <c r="J75" s="0" t="n">
        <v>6.86709655807721</v>
      </c>
      <c r="K75" s="0" t="n">
        <v>1.81687783887162</v>
      </c>
      <c r="L75" s="0" t="n">
        <v>0.334688022950037</v>
      </c>
      <c r="M75" s="0" t="n">
        <f aca="false">IF(OR(B75="NW",COUNT(Risk_Rank_Keys!B75)=0),0.5,(SUMPRODUCT(--ISNUMBER(Risk_Rank_Keys!$B$2:$B$800),--(Risk_Rank_Keys!$B$2:$B$800&lt;Risk_Rank_Keys!B75))+(SUMPRODUCT(--ISNUMBER(Risk_Rank_Keys!$B$2:$B$800),--(Risk_Rank_Keys!$B$2:$B$800=Risk_Rank_Keys!B75))+1)/2)/COUNT(Risk_Rank_Keys!$B$2:$B$800))</f>
        <v>0.298465829846583</v>
      </c>
      <c r="N75" s="0" t="n">
        <f aca="false">IF(OR(B75="NW",COUNT(Risk_Rank_Keys!C75)=0),0.5,(SUMPRODUCT(--ISNUMBER(Risk_Rank_Keys!$C$2:$C$800),--(Risk_Rank_Keys!$C$2:$C$800&lt;Risk_Rank_Keys!C75))+(SUMPRODUCT(--ISNUMBER(Risk_Rank_Keys!$C$2:$C$800),--(Risk_Rank_Keys!$C$2:$C$800=Risk_Rank_Keys!C75))+1)/2)/COUNT(Risk_Rank_Keys!$C$2:$C$800))</f>
        <v>0.220362622036262</v>
      </c>
      <c r="O75" s="0" t="n">
        <f aca="false">IF(OR(B75="NW",COUNT(Risk_Rank_Keys!D75)=0),0.5,(SUMPRODUCT(--ISNUMBER(Risk_Rank_Keys!$D$2:$D$800),--(Risk_Rank_Keys!$D$2:$D$800&lt;Risk_Rank_Keys!D75))+(SUMPRODUCT(--ISNUMBER(Risk_Rank_Keys!$D$2:$D$800),--(Risk_Rank_Keys!$D$2:$D$800=Risk_Rank_Keys!D75))+1)/2)/COUNT(Risk_Rank_Keys!$D$2:$D$800))</f>
        <v>0.806136680613668</v>
      </c>
      <c r="P75" s="0" t="n">
        <f aca="false">AVERAGE(M75:O75)</f>
        <v>0.441655044165504</v>
      </c>
      <c r="Q75" s="0" t="n">
        <f aca="false">0.4*H75+0.4*I75+0.2*P75</f>
        <v>0.392210858645366</v>
      </c>
      <c r="R75" s="0" t="n">
        <f aca="false">PERCENTILE($Q$2:$Q$800,0.75)</f>
        <v>0.667715717403612</v>
      </c>
      <c r="S75" s="1" t="b">
        <f aca="false">OR(Q75&gt;=R75,AND(B75="CW",COUNT(J75:L75)&lt;3))</f>
        <v>0</v>
      </c>
      <c r="T75" s="0" t="n">
        <v>0.258469545730531</v>
      </c>
      <c r="U75" s="0" t="n">
        <v>7.1725874596268</v>
      </c>
      <c r="V75" s="0" t="n">
        <v>0.392210858645366</v>
      </c>
      <c r="W75" s="0" t="n">
        <f aca="false">Q75-V75</f>
        <v>0</v>
      </c>
    </row>
    <row r="76" customFormat="false" ht="15" hidden="false" customHeight="false" outlineLevel="0" collapsed="false">
      <c r="A76" s="0" t="s">
        <v>110</v>
      </c>
      <c r="B76" s="0" t="s">
        <v>3013</v>
      </c>
      <c r="C76" s="0" t="n">
        <v>35.9797792076973</v>
      </c>
      <c r="D76" s="0" t="n">
        <f aca="false">SUMPRODUCT(Risk_Inputs!B76:AJ76,Risk_Coefs!$B$2:$AJ$2)</f>
        <v>-1.9554714703938</v>
      </c>
      <c r="E76" s="0" t="n">
        <f aca="false">1/(1+EXP(-MAX(-25,MIN(25,D76))))</f>
        <v>0.123957974594394</v>
      </c>
      <c r="F76" s="0" t="n">
        <f aca="false">SUMPRODUCT(Risk_Inputs!B76:AJ76,Risk_Coefs!$B$3:$AJ$3)</f>
        <v>0.760730681957037</v>
      </c>
      <c r="G76" s="0" t="n">
        <f aca="false">MAX(0,F76)</f>
        <v>0.760730681957037</v>
      </c>
      <c r="H76" s="0" t="n">
        <f aca="false">(SUMPRODUCT(--ISNUMBER($E$2:$E$800),--($E$2:$E$800&lt;E76))+(SUMPRODUCT(--ISNUMBER($E$2:$E$800),--($E$2:$E$800=E76))+1)/2)/COUNT($E$2:$E$800)</f>
        <v>0.00625782227784731</v>
      </c>
      <c r="I76" s="0" t="n">
        <f aca="false">(SUMPRODUCT(--ISNUMBER($G$2:$G$800),--($G$2:$G$800&lt;G76))+(SUMPRODUCT(--ISNUMBER($G$2:$G$800),--($G$2:$G$800=G76))+1)/2)/COUNT($G$2:$G$800)</f>
        <v>0.00500625782227785</v>
      </c>
      <c r="J76" s="0" t="n">
        <v>24.7120588762275</v>
      </c>
      <c r="K76" s="0" t="n">
        <v>22.2556390977444</v>
      </c>
      <c r="L76" s="0" t="n">
        <v>0.451127819548875</v>
      </c>
      <c r="M76" s="0" t="n">
        <f aca="false">IF(OR(B76="NW",COUNT(Risk_Rank_Keys!B76)=0),0.5,(SUMPRODUCT(--ISNUMBER(Risk_Rank_Keys!$B$2:$B$800),--(Risk_Rank_Keys!$B$2:$B$800&lt;Risk_Rank_Keys!B76))+(SUMPRODUCT(--ISNUMBER(Risk_Rank_Keys!$B$2:$B$800),--(Risk_Rank_Keys!$B$2:$B$800=Risk_Rank_Keys!B76))+1)/2)/COUNT(Risk_Rank_Keys!$B$2:$B$800))</f>
        <v>0.854951185495119</v>
      </c>
      <c r="N76" s="0" t="n">
        <f aca="false">IF(OR(B76="NW",COUNT(Risk_Rank_Keys!C76)=0),0.5,(SUMPRODUCT(--ISNUMBER(Risk_Rank_Keys!$C$2:$C$800),--(Risk_Rank_Keys!$C$2:$C$800&lt;Risk_Rank_Keys!C76))+(SUMPRODUCT(--ISNUMBER(Risk_Rank_Keys!$C$2:$C$800),--(Risk_Rank_Keys!$C$2:$C$800=Risk_Rank_Keys!C76))+1)/2)/COUNT(Risk_Rank_Keys!$C$2:$C$800))</f>
        <v>0.97071129707113</v>
      </c>
      <c r="O76" s="0" t="n">
        <f aca="false">IF(OR(B76="NW",COUNT(Risk_Rank_Keys!D76)=0),0.5,(SUMPRODUCT(--ISNUMBER(Risk_Rank_Keys!$D$2:$D$800),--(Risk_Rank_Keys!$D$2:$D$800&lt;Risk_Rank_Keys!D76))+(SUMPRODUCT(--ISNUMBER(Risk_Rank_Keys!$D$2:$D$800),--(Risk_Rank_Keys!$D$2:$D$800=Risk_Rank_Keys!D76))+1)/2)/COUNT(Risk_Rank_Keys!$D$2:$D$800))</f>
        <v>0.921896792189679</v>
      </c>
      <c r="P76" s="0" t="n">
        <f aca="false">AVERAGE(M76:O76)</f>
        <v>0.915853091585309</v>
      </c>
      <c r="Q76" s="0" t="n">
        <f aca="false">0.4*H76+0.4*I76+0.2*P76</f>
        <v>0.187676250357112</v>
      </c>
      <c r="R76" s="0" t="n">
        <f aca="false">PERCENTILE($Q$2:$Q$800,0.75)</f>
        <v>0.667715717403612</v>
      </c>
      <c r="S76" s="1" t="b">
        <f aca="false">OR(Q76&gt;=R76,AND(B76="CW",COUNT(J76:L76)&lt;3))</f>
        <v>0</v>
      </c>
      <c r="T76" s="0" t="n">
        <v>0.123957974594394</v>
      </c>
      <c r="U76" s="0" t="n">
        <v>0.760730681957035</v>
      </c>
      <c r="V76" s="0" t="n">
        <v>0.187676250357112</v>
      </c>
      <c r="W76" s="0" t="n">
        <f aca="false">Q76-V76</f>
        <v>0</v>
      </c>
    </row>
    <row r="77" customFormat="false" ht="15" hidden="false" customHeight="false" outlineLevel="0" collapsed="false">
      <c r="A77" s="0" t="s">
        <v>111</v>
      </c>
      <c r="B77" s="0" t="s">
        <v>3013</v>
      </c>
      <c r="C77" s="0" t="n">
        <v>15.8608266708923</v>
      </c>
      <c r="D77" s="0" t="n">
        <f aca="false">SUMPRODUCT(Risk_Inputs!B77:AJ77,Risk_Coefs!$B$2:$AJ$2)</f>
        <v>-1.37901277595777</v>
      </c>
      <c r="E77" s="0" t="n">
        <f aca="false">1/(1+EXP(-MAX(-25,MIN(25,D77))))</f>
        <v>0.201167599058552</v>
      </c>
      <c r="F77" s="0" t="n">
        <f aca="false">SUMPRODUCT(Risk_Inputs!B77:AJ77,Risk_Coefs!$B$3:$AJ$3)</f>
        <v>6.98160542290871</v>
      </c>
      <c r="G77" s="0" t="n">
        <f aca="false">MAX(0,F77)</f>
        <v>6.98160542290871</v>
      </c>
      <c r="H77" s="0" t="n">
        <f aca="false">(SUMPRODUCT(--ISNUMBER($E$2:$E$800),--($E$2:$E$800&lt;E77))+(SUMPRODUCT(--ISNUMBER($E$2:$E$800),--($E$2:$E$800=E77))+1)/2)/COUNT($E$2:$E$800)</f>
        <v>0.103879849812265</v>
      </c>
      <c r="I77" s="0" t="n">
        <f aca="false">(SUMPRODUCT(--ISNUMBER($G$2:$G$800),--($G$2:$G$800&lt;G77))+(SUMPRODUCT(--ISNUMBER($G$2:$G$800),--($G$2:$G$800=G77))+1)/2)/COUNT($G$2:$G$800)</f>
        <v>0.414267834793492</v>
      </c>
      <c r="J77" s="0" t="n">
        <v>17.991350573347</v>
      </c>
      <c r="K77" s="0" t="n">
        <v>2.49007578491518</v>
      </c>
      <c r="L77" s="0" t="n">
        <v>0.37892457596536</v>
      </c>
      <c r="M77" s="0" t="n">
        <f aca="false">IF(OR(B77="NW",COUNT(Risk_Rank_Keys!B77)=0),0.5,(SUMPRODUCT(--ISNUMBER(Risk_Rank_Keys!$B$2:$B$800),--(Risk_Rank_Keys!$B$2:$B$800&lt;Risk_Rank_Keys!B77))+(SUMPRODUCT(--ISNUMBER(Risk_Rank_Keys!$B$2:$B$800),--(Risk_Rank_Keys!$B$2:$B$800=Risk_Rank_Keys!B77))+1)/2)/COUNT(Risk_Rank_Keys!$B$2:$B$800))</f>
        <v>0.758716875871688</v>
      </c>
      <c r="N77" s="0" t="n">
        <f aca="false">IF(OR(B77="NW",COUNT(Risk_Rank_Keys!C77)=0),0.5,(SUMPRODUCT(--ISNUMBER(Risk_Rank_Keys!$C$2:$C$800),--(Risk_Rank_Keys!$C$2:$C$800&lt;Risk_Rank_Keys!C77))+(SUMPRODUCT(--ISNUMBER(Risk_Rank_Keys!$C$2:$C$800),--(Risk_Rank_Keys!$C$2:$C$800=Risk_Rank_Keys!C77))+1)/2)/COUNT(Risk_Rank_Keys!$C$2:$C$800))</f>
        <v>0.387726638772664</v>
      </c>
      <c r="O77" s="0" t="n">
        <f aca="false">IF(OR(B77="NW",COUNT(Risk_Rank_Keys!D77)=0),0.5,(SUMPRODUCT(--ISNUMBER(Risk_Rank_Keys!$D$2:$D$800),--(Risk_Rank_Keys!$D$2:$D$800&lt;Risk_Rank_Keys!D77))+(SUMPRODUCT(--ISNUMBER(Risk_Rank_Keys!$D$2:$D$800),--(Risk_Rank_Keys!$D$2:$D$800=Risk_Rank_Keys!D77))+1)/2)/COUNT(Risk_Rank_Keys!$D$2:$D$800))</f>
        <v>0.861924686192469</v>
      </c>
      <c r="P77" s="0" t="n">
        <f aca="false">AVERAGE(M77:O77)</f>
        <v>0.669456066945607</v>
      </c>
      <c r="Q77" s="0" t="n">
        <f aca="false">0.4*H77+0.4*I77+0.2*P77</f>
        <v>0.341150287231424</v>
      </c>
      <c r="R77" s="0" t="n">
        <f aca="false">PERCENTILE($Q$2:$Q$800,0.75)</f>
        <v>0.667715717403612</v>
      </c>
      <c r="S77" s="1" t="b">
        <f aca="false">OR(Q77&gt;=R77,AND(B77="CW",COUNT(J77:L77)&lt;3))</f>
        <v>0</v>
      </c>
      <c r="T77" s="0" t="n">
        <v>0.201167599058552</v>
      </c>
      <c r="U77" s="0" t="n">
        <v>6.98160542290871</v>
      </c>
      <c r="V77" s="0" t="n">
        <v>0.341150287231424</v>
      </c>
      <c r="W77" s="0" t="n">
        <f aca="false">Q77-V77</f>
        <v>0</v>
      </c>
    </row>
    <row r="78" customFormat="false" ht="15" hidden="false" customHeight="false" outlineLevel="0" collapsed="false">
      <c r="A78" s="0" t="s">
        <v>112</v>
      </c>
      <c r="B78" s="0" t="s">
        <v>3013</v>
      </c>
      <c r="C78" s="0" t="n">
        <v>-0.41744520165314</v>
      </c>
      <c r="D78" s="0" t="n">
        <f aca="false">SUMPRODUCT(Risk_Inputs!B78:AJ78,Risk_Coefs!$B$2:$AJ$2)</f>
        <v>-0.768806154804604</v>
      </c>
      <c r="E78" s="0" t="n">
        <f aca="false">1/(1+EXP(-MAX(-25,MIN(25,D78))))</f>
        <v>0.31673741551745</v>
      </c>
      <c r="F78" s="0" t="n">
        <f aca="false">SUMPRODUCT(Risk_Inputs!B78:AJ78,Risk_Coefs!$B$3:$AJ$3)</f>
        <v>6.23939921666443</v>
      </c>
      <c r="G78" s="0" t="n">
        <f aca="false">MAX(0,F78)</f>
        <v>6.23939921666443</v>
      </c>
      <c r="H78" s="0" t="n">
        <f aca="false">(SUMPRODUCT(--ISNUMBER($E$2:$E$800),--($E$2:$E$800&lt;E78))+(SUMPRODUCT(--ISNUMBER($E$2:$E$800),--($E$2:$E$800=E78))+1)/2)/COUNT($E$2:$E$800)</f>
        <v>0.649561952440551</v>
      </c>
      <c r="I78" s="0" t="n">
        <f aca="false">(SUMPRODUCT(--ISNUMBER($G$2:$G$800),--($G$2:$G$800&lt;G78))+(SUMPRODUCT(--ISNUMBER($G$2:$G$800),--($G$2:$G$800=G78))+1)/2)/COUNT($G$2:$G$800)</f>
        <v>0.300375469336671</v>
      </c>
      <c r="J78" s="0" t="n">
        <v>5.07797849990638</v>
      </c>
      <c r="K78" s="0" t="n">
        <v>1.40748369378648</v>
      </c>
      <c r="L78" s="0" t="n">
        <v>0.343288705801579</v>
      </c>
      <c r="M78" s="0" t="n">
        <f aca="false">IF(OR(B78="NW",COUNT(Risk_Rank_Keys!B78)=0),0.5,(SUMPRODUCT(--ISNUMBER(Risk_Rank_Keys!$B$2:$B$800),--(Risk_Rank_Keys!$B$2:$B$800&lt;Risk_Rank_Keys!B78))+(SUMPRODUCT(--ISNUMBER(Risk_Rank_Keys!$B$2:$B$800),--(Risk_Rank_Keys!$B$2:$B$800=Risk_Rank_Keys!B78))+1)/2)/COUNT(Risk_Rank_Keys!$B$2:$B$800))</f>
        <v>0.135285913528591</v>
      </c>
      <c r="N78" s="0" t="n">
        <f aca="false">IF(OR(B78="NW",COUNT(Risk_Rank_Keys!C78)=0),0.5,(SUMPRODUCT(--ISNUMBER(Risk_Rank_Keys!$C$2:$C$800),--(Risk_Rank_Keys!$C$2:$C$800&lt;Risk_Rank_Keys!C78))+(SUMPRODUCT(--ISNUMBER(Risk_Rank_Keys!$C$2:$C$800),--(Risk_Rank_Keys!$C$2:$C$800=Risk_Rank_Keys!C78))+1)/2)/COUNT(Risk_Rank_Keys!$C$2:$C$800))</f>
        <v>0.108786610878661</v>
      </c>
      <c r="O78" s="0" t="n">
        <f aca="false">IF(OR(B78="NW",COUNT(Risk_Rank_Keys!D78)=0),0.5,(SUMPRODUCT(--ISNUMBER(Risk_Rank_Keys!$D$2:$D$800),--(Risk_Rank_Keys!$D$2:$D$800&lt;Risk_Rank_Keys!D78))+(SUMPRODUCT(--ISNUMBER(Risk_Rank_Keys!$D$2:$D$800),--(Risk_Rank_Keys!$D$2:$D$800=Risk_Rank_Keys!D78))+1)/2)/COUNT(Risk_Rank_Keys!$D$2:$D$800))</f>
        <v>0.822873082287308</v>
      </c>
      <c r="P78" s="0" t="n">
        <f aca="false">AVERAGE(M78:O78)</f>
        <v>0.355648535564854</v>
      </c>
      <c r="Q78" s="0" t="n">
        <f aca="false">0.4*H78+0.4*I78+0.2*P78</f>
        <v>0.451104675823859</v>
      </c>
      <c r="R78" s="0" t="n">
        <f aca="false">PERCENTILE($Q$2:$Q$800,0.75)</f>
        <v>0.667715717403612</v>
      </c>
      <c r="S78" s="1" t="b">
        <f aca="false">OR(Q78&gt;=R78,AND(B78="CW",COUNT(J78:L78)&lt;3))</f>
        <v>0</v>
      </c>
      <c r="T78" s="0" t="n">
        <v>0.31673741551745</v>
      </c>
      <c r="U78" s="0" t="n">
        <v>6.23939921666443</v>
      </c>
      <c r="V78" s="0" t="n">
        <v>0.451104675823859</v>
      </c>
      <c r="W78" s="0" t="n">
        <f aca="false">Q78-V78</f>
        <v>0</v>
      </c>
    </row>
    <row r="79" customFormat="false" ht="15" hidden="false" customHeight="false" outlineLevel="0" collapsed="false">
      <c r="A79" s="0" t="s">
        <v>113</v>
      </c>
      <c r="B79" s="0" t="s">
        <v>3013</v>
      </c>
      <c r="C79" s="0" t="n">
        <v>19.934909764309</v>
      </c>
      <c r="D79" s="0" t="n">
        <f aca="false">SUMPRODUCT(Risk_Inputs!B79:AJ79,Risk_Coefs!$B$2:$AJ$2)</f>
        <v>-1.19278741883777</v>
      </c>
      <c r="E79" s="0" t="n">
        <f aca="false">1/(1+EXP(-MAX(-25,MIN(25,D79))))</f>
        <v>0.232760778841004</v>
      </c>
      <c r="F79" s="0" t="n">
        <f aca="false">SUMPRODUCT(Risk_Inputs!B79:AJ79,Risk_Coefs!$B$3:$AJ$3)</f>
        <v>8.32527080342987</v>
      </c>
      <c r="G79" s="0" t="n">
        <f aca="false">MAX(0,F79)</f>
        <v>8.32527080342987</v>
      </c>
      <c r="H79" s="0" t="n">
        <f aca="false">(SUMPRODUCT(--ISNUMBER($E$2:$E$800),--($E$2:$E$800&lt;E79))+(SUMPRODUCT(--ISNUMBER($E$2:$E$800),--($E$2:$E$800=E79))+1)/2)/COUNT($E$2:$E$800)</f>
        <v>0.190237797246558</v>
      </c>
      <c r="I79" s="0" t="n">
        <f aca="false">(SUMPRODUCT(--ISNUMBER($G$2:$G$800),--($G$2:$G$800&lt;G79))+(SUMPRODUCT(--ISNUMBER($G$2:$G$800),--($G$2:$G$800=G79))+1)/2)/COUNT($G$2:$G$800)</f>
        <v>0.585732165206508</v>
      </c>
      <c r="J79" s="0" t="n">
        <v>9.06600249065978</v>
      </c>
      <c r="K79" s="0" t="n">
        <v>5.75498575498577</v>
      </c>
      <c r="L79" s="0" t="n">
        <v>0.56980056980057</v>
      </c>
      <c r="M79" s="0" t="n">
        <f aca="false">IF(OR(B79="NW",COUNT(Risk_Rank_Keys!B79)=0),0.5,(SUMPRODUCT(--ISNUMBER(Risk_Rank_Keys!$B$2:$B$800),--(Risk_Rank_Keys!$B$2:$B$800&lt;Risk_Rank_Keys!B79))+(SUMPRODUCT(--ISNUMBER(Risk_Rank_Keys!$B$2:$B$800),--(Risk_Rank_Keys!$B$2:$B$800=Risk_Rank_Keys!B79))+1)/2)/COUNT(Risk_Rank_Keys!$B$2:$B$800))</f>
        <v>0.449093444909345</v>
      </c>
      <c r="N79" s="0" t="n">
        <f aca="false">IF(OR(B79="NW",COUNT(Risk_Rank_Keys!C79)=0),0.5,(SUMPRODUCT(--ISNUMBER(Risk_Rank_Keys!$C$2:$C$800),--(Risk_Rank_Keys!$C$2:$C$800&lt;Risk_Rank_Keys!C79))+(SUMPRODUCT(--ISNUMBER(Risk_Rank_Keys!$C$2:$C$800),--(Risk_Rank_Keys!$C$2:$C$800=Risk_Rank_Keys!C79))+1)/2)/COUNT(Risk_Rank_Keys!$C$2:$C$800))</f>
        <v>0.732217573221757</v>
      </c>
      <c r="O79" s="0" t="n">
        <f aca="false">IF(OR(B79="NW",COUNT(Risk_Rank_Keys!D79)=0),0.5,(SUMPRODUCT(--ISNUMBER(Risk_Rank_Keys!$D$2:$D$800),--(Risk_Rank_Keys!$D$2:$D$800&lt;Risk_Rank_Keys!D79))+(SUMPRODUCT(--ISNUMBER(Risk_Rank_Keys!$D$2:$D$800),--(Risk_Rank_Keys!$D$2:$D$800=Risk_Rank_Keys!D79))+1)/2)/COUNT(Risk_Rank_Keys!$D$2:$D$800))</f>
        <v>0.96931659693166</v>
      </c>
      <c r="P79" s="0" t="n">
        <f aca="false">AVERAGE(M79:O79)</f>
        <v>0.716875871687587</v>
      </c>
      <c r="Q79" s="0" t="n">
        <f aca="false">0.4*H79+0.4*I79+0.2*P79</f>
        <v>0.453763159318744</v>
      </c>
      <c r="R79" s="0" t="n">
        <f aca="false">PERCENTILE($Q$2:$Q$800,0.75)</f>
        <v>0.667715717403612</v>
      </c>
      <c r="S79" s="1" t="b">
        <f aca="false">OR(Q79&gt;=R79,AND(B79="CW",COUNT(J79:L79)&lt;3))</f>
        <v>0</v>
      </c>
      <c r="T79" s="0" t="n">
        <v>0.232760778841004</v>
      </c>
      <c r="U79" s="0" t="n">
        <v>8.32527080342987</v>
      </c>
      <c r="V79" s="0" t="n">
        <v>0.453763159318744</v>
      </c>
      <c r="W79" s="0" t="n">
        <f aca="false">Q79-V79</f>
        <v>0</v>
      </c>
    </row>
    <row r="80" customFormat="false" ht="15" hidden="false" customHeight="false" outlineLevel="0" collapsed="false">
      <c r="A80" s="0" t="s">
        <v>114</v>
      </c>
      <c r="B80" s="0" t="s">
        <v>3013</v>
      </c>
      <c r="C80" s="0" t="n">
        <v>53.2146452777186</v>
      </c>
      <c r="D80" s="0" t="n">
        <f aca="false">SUMPRODUCT(Risk_Inputs!B80:AJ80,Risk_Coefs!$B$2:$AJ$2)</f>
        <v>-0.829303514359159</v>
      </c>
      <c r="E80" s="0" t="n">
        <f aca="false">1/(1+EXP(-MAX(-25,MIN(25,D80))))</f>
        <v>0.303792358539441</v>
      </c>
      <c r="F80" s="0" t="n">
        <f aca="false">SUMPRODUCT(Risk_Inputs!B80:AJ80,Risk_Coefs!$B$3:$AJ$3)</f>
        <v>6.50946406489321</v>
      </c>
      <c r="G80" s="0" t="n">
        <f aca="false">MAX(0,F80)</f>
        <v>6.50946406489321</v>
      </c>
      <c r="H80" s="0" t="n">
        <f aca="false">(SUMPRODUCT(--ISNUMBER($E$2:$E$800),--($E$2:$E$800&lt;E80))+(SUMPRODUCT(--ISNUMBER($E$2:$E$800),--($E$2:$E$800=E80))+1)/2)/COUNT($E$2:$E$800)</f>
        <v>0.585732165206508</v>
      </c>
      <c r="I80" s="0" t="n">
        <f aca="false">(SUMPRODUCT(--ISNUMBER($G$2:$G$800),--($G$2:$G$800&lt;G80))+(SUMPRODUCT(--ISNUMBER($G$2:$G$800),--($G$2:$G$800=G80))+1)/2)/COUNT($G$2:$G$800)</f>
        <v>0.344180225281602</v>
      </c>
      <c r="J80" s="0" t="n">
        <v>12.9463874978647</v>
      </c>
      <c r="K80" s="0" t="n">
        <v>2.12623097582811</v>
      </c>
      <c r="L80" s="0" t="n">
        <v>0.380483437779771</v>
      </c>
      <c r="M80" s="0" t="n">
        <f aca="false">IF(OR(B80="NW",COUNT(Risk_Rank_Keys!B80)=0),0.5,(SUMPRODUCT(--ISNUMBER(Risk_Rank_Keys!$B$2:$B$800),--(Risk_Rank_Keys!$B$2:$B$800&lt;Risk_Rank_Keys!B80))+(SUMPRODUCT(--ISNUMBER(Risk_Rank_Keys!$B$2:$B$800),--(Risk_Rank_Keys!$B$2:$B$800=Risk_Rank_Keys!B80))+1)/2)/COUNT(Risk_Rank_Keys!$B$2:$B$800))</f>
        <v>0.635983263598326</v>
      </c>
      <c r="N80" s="0" t="n">
        <f aca="false">IF(OR(B80="NW",COUNT(Risk_Rank_Keys!C80)=0),0.5,(SUMPRODUCT(--ISNUMBER(Risk_Rank_Keys!$C$2:$C$800),--(Risk_Rank_Keys!$C$2:$C$800&lt;Risk_Rank_Keys!C80))+(SUMPRODUCT(--ISNUMBER(Risk_Rank_Keys!$C$2:$C$800),--(Risk_Rank_Keys!$C$2:$C$800=Risk_Rank_Keys!C80))+1)/2)/COUNT(Risk_Rank_Keys!$C$2:$C$800))</f>
        <v>0.299860529986053</v>
      </c>
      <c r="O80" s="0" t="n">
        <f aca="false">IF(OR(B80="NW",COUNT(Risk_Rank_Keys!D80)=0),0.5,(SUMPRODUCT(--ISNUMBER(Risk_Rank_Keys!$D$2:$D$800),--(Risk_Rank_Keys!$D$2:$D$800&lt;Risk_Rank_Keys!D80))+(SUMPRODUCT(--ISNUMBER(Risk_Rank_Keys!$D$2:$D$800),--(Risk_Rank_Keys!$D$2:$D$800=Risk_Rank_Keys!D80))+1)/2)/COUNT(Risk_Rank_Keys!$D$2:$D$800))</f>
        <v>0.864714086471409</v>
      </c>
      <c r="P80" s="0" t="n">
        <f aca="false">AVERAGE(M80:O80)</f>
        <v>0.600185960018596</v>
      </c>
      <c r="Q80" s="0" t="n">
        <f aca="false">0.4*H80+0.4*I80+0.2*P80</f>
        <v>0.492002148198963</v>
      </c>
      <c r="R80" s="0" t="n">
        <f aca="false">PERCENTILE($Q$2:$Q$800,0.75)</f>
        <v>0.667715717403612</v>
      </c>
      <c r="S80" s="1" t="b">
        <f aca="false">OR(Q80&gt;=R80,AND(B80="CW",COUNT(J80:L80)&lt;3))</f>
        <v>0</v>
      </c>
      <c r="T80" s="0" t="n">
        <v>0.303792358539441</v>
      </c>
      <c r="U80" s="0" t="n">
        <v>6.50946406489321</v>
      </c>
      <c r="V80" s="0" t="n">
        <v>0.492002148198963</v>
      </c>
      <c r="W80" s="0" t="n">
        <f aca="false">Q80-V80</f>
        <v>0</v>
      </c>
    </row>
    <row r="81" customFormat="false" ht="15" hidden="false" customHeight="false" outlineLevel="0" collapsed="false">
      <c r="A81" s="0" t="s">
        <v>115</v>
      </c>
      <c r="B81" s="0" t="s">
        <v>33</v>
      </c>
      <c r="C81" s="0" t="n">
        <v>-12.1167134027226</v>
      </c>
      <c r="D81" s="0" t="n">
        <f aca="false">SUMPRODUCT(Risk_Inputs!B81:AJ81,Risk_Coefs!$B$2:$AJ$2)</f>
        <v>-0.53472044653301</v>
      </c>
      <c r="E81" s="0" t="n">
        <f aca="false">1/(1+EXP(-MAX(-25,MIN(25,D81))))</f>
        <v>0.369416593385065</v>
      </c>
      <c r="F81" s="0" t="n">
        <f aca="false">SUMPRODUCT(Risk_Inputs!B81:AJ81,Risk_Coefs!$B$3:$AJ$3)</f>
        <v>11.2506210015227</v>
      </c>
      <c r="G81" s="0" t="n">
        <f aca="false">MAX(0,F81)</f>
        <v>11.2506210015227</v>
      </c>
      <c r="H81" s="0" t="n">
        <f aca="false">(SUMPRODUCT(--ISNUMBER($E$2:$E$800),--($E$2:$E$800&lt;E81))+(SUMPRODUCT(--ISNUMBER($E$2:$E$800),--($E$2:$E$800=E81))+1)/2)/COUNT($E$2:$E$800)</f>
        <v>0.871088861076345</v>
      </c>
      <c r="I81" s="0" t="n">
        <f aca="false">(SUMPRODUCT(--ISNUMBER($G$2:$G$800),--($G$2:$G$800&lt;G81))+(SUMPRODUCT(--ISNUMBER($G$2:$G$800),--($G$2:$G$800=G81))+1)/2)/COUNT($G$2:$G$800)</f>
        <v>0.896120150187735</v>
      </c>
      <c r="M81" s="0" t="n">
        <f aca="false">IF(OR(B81="NW",COUNT(Risk_Rank_Keys!B81)=0),0.5,(SUMPRODUCT(--ISNUMBER(Risk_Rank_Keys!$B$2:$B$800),--(Risk_Rank_Keys!$B$2:$B$800&lt;Risk_Rank_Keys!B81))+(SUMPRODUCT(--ISNUMBER(Risk_Rank_Keys!$B$2:$B$800),--(Risk_Rank_Keys!$B$2:$B$800=Risk_Rank_Keys!B81))+1)/2)/COUNT(Risk_Rank_Keys!$B$2:$B$800))</f>
        <v>0.5</v>
      </c>
      <c r="N81" s="0" t="n">
        <f aca="false">IF(OR(B81="NW",COUNT(Risk_Rank_Keys!C81)=0),0.5,(SUMPRODUCT(--ISNUMBER(Risk_Rank_Keys!$C$2:$C$800),--(Risk_Rank_Keys!$C$2:$C$800&lt;Risk_Rank_Keys!C81))+(SUMPRODUCT(--ISNUMBER(Risk_Rank_Keys!$C$2:$C$800),--(Risk_Rank_Keys!$C$2:$C$800=Risk_Rank_Keys!C81))+1)/2)/COUNT(Risk_Rank_Keys!$C$2:$C$800))</f>
        <v>0.5</v>
      </c>
      <c r="O81" s="0" t="n">
        <f aca="false">IF(OR(B81="NW",COUNT(Risk_Rank_Keys!D81)=0),0.5,(SUMPRODUCT(--ISNUMBER(Risk_Rank_Keys!$D$2:$D$800),--(Risk_Rank_Keys!$D$2:$D$800&lt;Risk_Rank_Keys!D81))+(SUMPRODUCT(--ISNUMBER(Risk_Rank_Keys!$D$2:$D$800),--(Risk_Rank_Keys!$D$2:$D$800=Risk_Rank_Keys!D81))+1)/2)/COUNT(Risk_Rank_Keys!$D$2:$D$800))</f>
        <v>0.5</v>
      </c>
      <c r="P81" s="0" t="n">
        <f aca="false">AVERAGE(M81:O81)</f>
        <v>0.5</v>
      </c>
      <c r="Q81" s="0" t="n">
        <f aca="false">0.4*H81+0.4*I81+0.2*P81</f>
        <v>0.806883604505632</v>
      </c>
      <c r="R81" s="0" t="n">
        <f aca="false">PERCENTILE($Q$2:$Q$800,0.75)</f>
        <v>0.667715717403612</v>
      </c>
      <c r="S81" s="1" t="b">
        <f aca="false">OR(Q81&gt;=R81,AND(B81="CW",COUNT(J81:L81)&lt;3))</f>
        <v>1</v>
      </c>
      <c r="T81" s="0" t="n">
        <v>0.369416593385065</v>
      </c>
      <c r="U81" s="0" t="n">
        <v>11.2506210015227</v>
      </c>
      <c r="V81" s="0" t="n">
        <v>0.806883604505632</v>
      </c>
      <c r="W81" s="0" t="n">
        <f aca="false">Q81-V81</f>
        <v>0</v>
      </c>
    </row>
    <row r="82" customFormat="false" ht="15" hidden="false" customHeight="false" outlineLevel="0" collapsed="false">
      <c r="A82" s="0" t="s">
        <v>116</v>
      </c>
      <c r="B82" s="0" t="s">
        <v>3013</v>
      </c>
      <c r="C82" s="0" t="n">
        <v>37.3033368303023</v>
      </c>
      <c r="D82" s="0" t="n">
        <f aca="false">SUMPRODUCT(Risk_Inputs!B82:AJ82,Risk_Coefs!$B$2:$AJ$2)</f>
        <v>-1.67726782427792</v>
      </c>
      <c r="E82" s="0" t="n">
        <f aca="false">1/(1+EXP(-MAX(-25,MIN(25,D82))))</f>
        <v>0.157457593024199</v>
      </c>
      <c r="F82" s="0" t="n">
        <f aca="false">SUMPRODUCT(Risk_Inputs!B82:AJ82,Risk_Coefs!$B$3:$AJ$3)</f>
        <v>4.44677068226811</v>
      </c>
      <c r="G82" s="0" t="n">
        <f aca="false">MAX(0,F82)</f>
        <v>4.44677068226811</v>
      </c>
      <c r="H82" s="0" t="n">
        <f aca="false">(SUMPRODUCT(--ISNUMBER($E$2:$E$800),--($E$2:$E$800&lt;E82))+(SUMPRODUCT(--ISNUMBER($E$2:$E$800),--($E$2:$E$800=E82))+1)/2)/COUNT($E$2:$E$800)</f>
        <v>0.0312891113892366</v>
      </c>
      <c r="I82" s="0" t="n">
        <f aca="false">(SUMPRODUCT(--ISNUMBER($G$2:$G$800),--($G$2:$G$800&lt;G82))+(SUMPRODUCT(--ISNUMBER($G$2:$G$800),--($G$2:$G$800=G82))+1)/2)/COUNT($G$2:$G$800)</f>
        <v>0.083854818523154</v>
      </c>
      <c r="J82" s="0" t="n">
        <v>15.7795179896316</v>
      </c>
      <c r="K82" s="0" t="n">
        <v>28.4974093264249</v>
      </c>
      <c r="L82" s="0" t="n">
        <v>0.518134715025902</v>
      </c>
      <c r="M82" s="0" t="n">
        <f aca="false">IF(OR(B82="NW",COUNT(Risk_Rank_Keys!B82)=0),0.5,(SUMPRODUCT(--ISNUMBER(Risk_Rank_Keys!$B$2:$B$800),--(Risk_Rank_Keys!$B$2:$B$800&lt;Risk_Rank_Keys!B82))+(SUMPRODUCT(--ISNUMBER(Risk_Rank_Keys!$B$2:$B$800),--(Risk_Rank_Keys!$B$2:$B$800=Risk_Rank_Keys!B82))+1)/2)/COUNT(Risk_Rank_Keys!$B$2:$B$800))</f>
        <v>0.723849372384937</v>
      </c>
      <c r="N82" s="0" t="n">
        <f aca="false">IF(OR(B82="NW",COUNT(Risk_Rank_Keys!C82)=0),0.5,(SUMPRODUCT(--ISNUMBER(Risk_Rank_Keys!$C$2:$C$800),--(Risk_Rank_Keys!$C$2:$C$800&lt;Risk_Rank_Keys!C82))+(SUMPRODUCT(--ISNUMBER(Risk_Rank_Keys!$C$2:$C$800),--(Risk_Rank_Keys!$C$2:$C$800=Risk_Rank_Keys!C82))+1)/2)/COUNT(Risk_Rank_Keys!$C$2:$C$800))</f>
        <v>0.98326359832636</v>
      </c>
      <c r="O82" s="0" t="n">
        <f aca="false">IF(OR(B82="NW",COUNT(Risk_Rank_Keys!D82)=0),0.5,(SUMPRODUCT(--ISNUMBER(Risk_Rank_Keys!$D$2:$D$800),--(Risk_Rank_Keys!$D$2:$D$800&lt;Risk_Rank_Keys!D82))+(SUMPRODUCT(--ISNUMBER(Risk_Rank_Keys!$D$2:$D$800),--(Risk_Rank_Keys!$D$2:$D$800=Risk_Rank_Keys!D82))+1)/2)/COUNT(Risk_Rank_Keys!$D$2:$D$800))</f>
        <v>0.96094839609484</v>
      </c>
      <c r="P82" s="0" t="n">
        <f aca="false">AVERAGE(M82:O82)</f>
        <v>0.889353788935379</v>
      </c>
      <c r="Q82" s="0" t="n">
        <f aca="false">0.4*H82+0.4*I82+0.2*P82</f>
        <v>0.223928329752032</v>
      </c>
      <c r="R82" s="0" t="n">
        <f aca="false">PERCENTILE($Q$2:$Q$800,0.75)</f>
        <v>0.667715717403612</v>
      </c>
      <c r="S82" s="1" t="b">
        <f aca="false">OR(Q82&gt;=R82,AND(B82="CW",COUNT(J82:L82)&lt;3))</f>
        <v>0</v>
      </c>
      <c r="T82" s="0" t="n">
        <v>0.157457593024199</v>
      </c>
      <c r="U82" s="0" t="n">
        <v>4.44677068226811</v>
      </c>
      <c r="V82" s="0" t="n">
        <v>0.223928329752032</v>
      </c>
      <c r="W82" s="0" t="n">
        <f aca="false">Q82-V82</f>
        <v>0</v>
      </c>
    </row>
    <row r="83" customFormat="false" ht="15" hidden="false" customHeight="false" outlineLevel="0" collapsed="false">
      <c r="A83" s="0" t="s">
        <v>117</v>
      </c>
      <c r="B83" s="0" t="s">
        <v>3013</v>
      </c>
      <c r="C83" s="0" t="n">
        <v>29.4381579409551</v>
      </c>
      <c r="D83" s="0" t="n">
        <f aca="false">SUMPRODUCT(Risk_Inputs!B83:AJ83,Risk_Coefs!$B$2:$AJ$2)</f>
        <v>-1.20001952525562</v>
      </c>
      <c r="E83" s="0" t="n">
        <f aca="false">1/(1+EXP(-MAX(-25,MIN(25,D83))))</f>
        <v>0.231471743084766</v>
      </c>
      <c r="F83" s="0" t="n">
        <f aca="false">SUMPRODUCT(Risk_Inputs!B83:AJ83,Risk_Coefs!$B$3:$AJ$3)</f>
        <v>8.10402509899607</v>
      </c>
      <c r="G83" s="0" t="n">
        <f aca="false">MAX(0,F83)</f>
        <v>8.10402509899607</v>
      </c>
      <c r="H83" s="0" t="n">
        <f aca="false">(SUMPRODUCT(--ISNUMBER($E$2:$E$800),--($E$2:$E$800&lt;E83))+(SUMPRODUCT(--ISNUMBER($E$2:$E$800),--($E$2:$E$800=E83))+1)/2)/COUNT($E$2:$E$800)</f>
        <v>0.181476846057572</v>
      </c>
      <c r="I83" s="0" t="n">
        <f aca="false">(SUMPRODUCT(--ISNUMBER($G$2:$G$800),--($G$2:$G$800&lt;G83))+(SUMPRODUCT(--ISNUMBER($G$2:$G$800),--($G$2:$G$800=G83))+1)/2)/COUNT($G$2:$G$800)</f>
        <v>0.554443053817272</v>
      </c>
      <c r="J83" s="0" t="n">
        <v>6.35241651109799</v>
      </c>
      <c r="K83" s="0" t="n">
        <v>2.3067331670823</v>
      </c>
      <c r="L83" s="0" t="n">
        <v>0.270157938487118</v>
      </c>
      <c r="M83" s="0" t="n">
        <f aca="false">IF(OR(B83="NW",COUNT(Risk_Rank_Keys!B83)=0),0.5,(SUMPRODUCT(--ISNUMBER(Risk_Rank_Keys!$B$2:$B$800),--(Risk_Rank_Keys!$B$2:$B$800&lt;Risk_Rank_Keys!B83))+(SUMPRODUCT(--ISNUMBER(Risk_Rank_Keys!$B$2:$B$800),--(Risk_Rank_Keys!$B$2:$B$800=Risk_Rank_Keys!B83))+1)/2)/COUNT(Risk_Rank_Keys!$B$2:$B$800))</f>
        <v>0.256624825662483</v>
      </c>
      <c r="N83" s="0" t="n">
        <f aca="false">IF(OR(B83="NW",COUNT(Risk_Rank_Keys!C83)=0),0.5,(SUMPRODUCT(--ISNUMBER(Risk_Rank_Keys!$C$2:$C$800),--(Risk_Rank_Keys!$C$2:$C$800&lt;Risk_Rank_Keys!C83))+(SUMPRODUCT(--ISNUMBER(Risk_Rank_Keys!$C$2:$C$800),--(Risk_Rank_Keys!$C$2:$C$800=Risk_Rank_Keys!C83))+1)/2)/COUNT(Risk_Rank_Keys!$C$2:$C$800))</f>
        <v>0.340306834030683</v>
      </c>
      <c r="O83" s="0" t="n">
        <f aca="false">IF(OR(B83="NW",COUNT(Risk_Rank_Keys!D83)=0),0.5,(SUMPRODUCT(--ISNUMBER(Risk_Rank_Keys!$D$2:$D$800),--(Risk_Rank_Keys!$D$2:$D$800&lt;Risk_Rank_Keys!D83))+(SUMPRODUCT(--ISNUMBER(Risk_Rank_Keys!$D$2:$D$800),--(Risk_Rank_Keys!$D$2:$D$800=Risk_Rank_Keys!D83))+1)/2)/COUNT(Risk_Rank_Keys!$D$2:$D$800))</f>
        <v>0.668061366806137</v>
      </c>
      <c r="P83" s="0" t="n">
        <f aca="false">AVERAGE(M83:O83)</f>
        <v>0.421664342166434</v>
      </c>
      <c r="Q83" s="0" t="n">
        <f aca="false">0.4*H83+0.4*I83+0.2*P83</f>
        <v>0.378700828383224</v>
      </c>
      <c r="R83" s="0" t="n">
        <f aca="false">PERCENTILE($Q$2:$Q$800,0.75)</f>
        <v>0.667715717403612</v>
      </c>
      <c r="S83" s="1" t="b">
        <f aca="false">OR(Q83&gt;=R83,AND(B83="CW",COUNT(J83:L83)&lt;3))</f>
        <v>0</v>
      </c>
      <c r="T83" s="0" t="n">
        <v>0.231471743084766</v>
      </c>
      <c r="U83" s="0" t="n">
        <v>8.10402509899607</v>
      </c>
      <c r="V83" s="0" t="n">
        <v>0.378700828383224</v>
      </c>
      <c r="W83" s="0" t="n">
        <f aca="false">Q83-V83</f>
        <v>0</v>
      </c>
    </row>
    <row r="84" customFormat="false" ht="15" hidden="false" customHeight="false" outlineLevel="0" collapsed="false">
      <c r="A84" s="0" t="s">
        <v>118</v>
      </c>
      <c r="B84" s="0" t="s">
        <v>3013</v>
      </c>
      <c r="C84" s="0" t="n">
        <v>-35.8301994736445</v>
      </c>
      <c r="D84" s="0" t="n">
        <f aca="false">SUMPRODUCT(Risk_Inputs!B84:AJ84,Risk_Coefs!$B$2:$AJ$2)</f>
        <v>-1.31755609431488</v>
      </c>
      <c r="E84" s="0" t="n">
        <f aca="false">1/(1+EXP(-MAX(-25,MIN(25,D84))))</f>
        <v>0.211225183056766</v>
      </c>
      <c r="F84" s="0" t="n">
        <f aca="false">SUMPRODUCT(Risk_Inputs!B84:AJ84,Risk_Coefs!$B$3:$AJ$3)</f>
        <v>4.76749752412926</v>
      </c>
      <c r="G84" s="0" t="n">
        <f aca="false">MAX(0,F84)</f>
        <v>4.76749752412926</v>
      </c>
      <c r="H84" s="0" t="n">
        <f aca="false">(SUMPRODUCT(--ISNUMBER($E$2:$E$800),--($E$2:$E$800&lt;E84))+(SUMPRODUCT(--ISNUMBER($E$2:$E$800),--($E$2:$E$800=E84))+1)/2)/COUNT($E$2:$E$800)</f>
        <v>0.126408010012516</v>
      </c>
      <c r="I84" s="0" t="n">
        <f aca="false">(SUMPRODUCT(--ISNUMBER($G$2:$G$800),--($G$2:$G$800&lt;G84))+(SUMPRODUCT(--ISNUMBER($G$2:$G$800),--($G$2:$G$800=G84))+1)/2)/COUNT($G$2:$G$800)</f>
        <v>0.108886107634543</v>
      </c>
      <c r="J84" s="0" t="n">
        <v>4.23484119345548</v>
      </c>
      <c r="K84" s="0" t="n">
        <v>2.6654411764706</v>
      </c>
      <c r="L84" s="0" t="n">
        <v>0.398284313725494</v>
      </c>
      <c r="M84" s="0" t="n">
        <f aca="false">IF(OR(B84="NW",COUNT(Risk_Rank_Keys!B84)=0),0.5,(SUMPRODUCT(--ISNUMBER(Risk_Rank_Keys!$B$2:$B$800),--(Risk_Rank_Keys!$B$2:$B$800&lt;Risk_Rank_Keys!B84))+(SUMPRODUCT(--ISNUMBER(Risk_Rank_Keys!$B$2:$B$800),--(Risk_Rank_Keys!$B$2:$B$800=Risk_Rank_Keys!B84))+1)/2)/COUNT(Risk_Rank_Keys!$B$2:$B$800))</f>
        <v>0.0850767085076709</v>
      </c>
      <c r="N84" s="0" t="n">
        <f aca="false">IF(OR(B84="NW",COUNT(Risk_Rank_Keys!C84)=0),0.5,(SUMPRODUCT(--ISNUMBER(Risk_Rank_Keys!$C$2:$C$800),--(Risk_Rank_Keys!$C$2:$C$800&lt;Risk_Rank_Keys!C84))+(SUMPRODUCT(--ISNUMBER(Risk_Rank_Keys!$C$2:$C$800),--(Risk_Rank_Keys!$C$2:$C$800=Risk_Rank_Keys!C84))+1)/2)/COUNT(Risk_Rank_Keys!$C$2:$C$800))</f>
        <v>0.422594142259414</v>
      </c>
      <c r="O84" s="0" t="n">
        <f aca="false">IF(OR(B84="NW",COUNT(Risk_Rank_Keys!D84)=0),0.5,(SUMPRODUCT(--ISNUMBER(Risk_Rank_Keys!$D$2:$D$800),--(Risk_Rank_Keys!$D$2:$D$800&lt;Risk_Rank_Keys!D84))+(SUMPRODUCT(--ISNUMBER(Risk_Rank_Keys!$D$2:$D$800),--(Risk_Rank_Keys!$D$2:$D$800=Risk_Rank_Keys!D84))+1)/2)/COUNT(Risk_Rank_Keys!$D$2:$D$800))</f>
        <v>0.881450488145049</v>
      </c>
      <c r="P84" s="0" t="n">
        <f aca="false">AVERAGE(M84:O84)</f>
        <v>0.463040446304045</v>
      </c>
      <c r="Q84" s="0" t="n">
        <f aca="false">0.4*H84+0.4*I84+0.2*P84</f>
        <v>0.186725736319632</v>
      </c>
      <c r="R84" s="0" t="n">
        <f aca="false">PERCENTILE($Q$2:$Q$800,0.75)</f>
        <v>0.667715717403612</v>
      </c>
      <c r="S84" s="1" t="b">
        <f aca="false">OR(Q84&gt;=R84,AND(B84="CW",COUNT(J84:L84)&lt;3))</f>
        <v>0</v>
      </c>
      <c r="T84" s="0" t="n">
        <v>0.211225183056766</v>
      </c>
      <c r="U84" s="0" t="n">
        <v>4.76749752412925</v>
      </c>
      <c r="V84" s="0" t="n">
        <v>0.186725736319633</v>
      </c>
      <c r="W84" s="0" t="n">
        <f aca="false">Q84-V84</f>
        <v>0</v>
      </c>
    </row>
    <row r="85" customFormat="false" ht="15" hidden="false" customHeight="false" outlineLevel="0" collapsed="false">
      <c r="A85" s="0" t="s">
        <v>119</v>
      </c>
      <c r="B85" s="0" t="s">
        <v>3013</v>
      </c>
      <c r="C85" s="0" t="n">
        <v>39.3260645730479</v>
      </c>
      <c r="D85" s="0" t="n">
        <f aca="false">SUMPRODUCT(Risk_Inputs!B85:AJ85,Risk_Coefs!$B$2:$AJ$2)</f>
        <v>-1.29062983603174</v>
      </c>
      <c r="E85" s="0" t="n">
        <f aca="false">1/(1+EXP(-MAX(-25,MIN(25,D85))))</f>
        <v>0.215746223618692</v>
      </c>
      <c r="F85" s="0" t="n">
        <f aca="false">SUMPRODUCT(Risk_Inputs!B85:AJ85,Risk_Coefs!$B$3:$AJ$3)</f>
        <v>5.22957601736825</v>
      </c>
      <c r="G85" s="0" t="n">
        <f aca="false">MAX(0,F85)</f>
        <v>5.22957601736825</v>
      </c>
      <c r="H85" s="0" t="n">
        <f aca="false">(SUMPRODUCT(--ISNUMBER($E$2:$E$800),--($E$2:$E$800&lt;E85))+(SUMPRODUCT(--ISNUMBER($E$2:$E$800),--($E$2:$E$800=E85))+1)/2)/COUNT($E$2:$E$800)</f>
        <v>0.131414267834793</v>
      </c>
      <c r="I85" s="0" t="n">
        <f aca="false">(SUMPRODUCT(--ISNUMBER($G$2:$G$800),--($G$2:$G$800&lt;G85))+(SUMPRODUCT(--ISNUMBER($G$2:$G$800),--($G$2:$G$800=G85))+1)/2)/COUNT($G$2:$G$800)</f>
        <v>0.161451814768461</v>
      </c>
      <c r="J85" s="0" t="n">
        <v>8.64815511382498</v>
      </c>
      <c r="K85" s="0" t="n">
        <v>3.87096774193548</v>
      </c>
      <c r="L85" s="0" t="n">
        <v>0.379506641366224</v>
      </c>
      <c r="M85" s="0" t="n">
        <f aca="false">IF(OR(B85="NW",COUNT(Risk_Rank_Keys!B85)=0),0.5,(SUMPRODUCT(--ISNUMBER(Risk_Rank_Keys!$B$2:$B$800),--(Risk_Rank_Keys!$B$2:$B$800&lt;Risk_Rank_Keys!B85))+(SUMPRODUCT(--ISNUMBER(Risk_Rank_Keys!$B$2:$B$800),--(Risk_Rank_Keys!$B$2:$B$800=Risk_Rank_Keys!B85))+1)/2)/COUNT(Risk_Rank_Keys!$B$2:$B$800))</f>
        <v>0.432357043235704</v>
      </c>
      <c r="N85" s="0" t="n">
        <f aca="false">IF(OR(B85="NW",COUNT(Risk_Rank_Keys!C85)=0),0.5,(SUMPRODUCT(--ISNUMBER(Risk_Rank_Keys!$C$2:$C$800),--(Risk_Rank_Keys!$C$2:$C$800&lt;Risk_Rank_Keys!C85))+(SUMPRODUCT(--ISNUMBER(Risk_Rank_Keys!$C$2:$C$800),--(Risk_Rank_Keys!$C$2:$C$800=Risk_Rank_Keys!C85))+1)/2)/COUNT(Risk_Rank_Keys!$C$2:$C$800))</f>
        <v>0.580195258019526</v>
      </c>
      <c r="O85" s="0" t="n">
        <f aca="false">IF(OR(B85="NW",COUNT(Risk_Rank_Keys!D85)=0),0.5,(SUMPRODUCT(--ISNUMBER(Risk_Rank_Keys!$D$2:$D$800),--(Risk_Rank_Keys!$D$2:$D$800&lt;Risk_Rank_Keys!D85))+(SUMPRODUCT(--ISNUMBER(Risk_Rank_Keys!$D$2:$D$800),--(Risk_Rank_Keys!$D$2:$D$800=Risk_Rank_Keys!D85))+1)/2)/COUNT(Risk_Rank_Keys!$D$2:$D$800))</f>
        <v>0.863319386331939</v>
      </c>
      <c r="P85" s="0" t="n">
        <f aca="false">AVERAGE(M85:O85)</f>
        <v>0.625290562529056</v>
      </c>
      <c r="Q85" s="0" t="n">
        <f aca="false">0.4*H85+0.4*I85+0.2*P85</f>
        <v>0.242204545547113</v>
      </c>
      <c r="R85" s="0" t="n">
        <f aca="false">PERCENTILE($Q$2:$Q$800,0.75)</f>
        <v>0.667715717403612</v>
      </c>
      <c r="S85" s="1" t="b">
        <f aca="false">OR(Q85&gt;=R85,AND(B85="CW",COUNT(J85:L85)&lt;3))</f>
        <v>0</v>
      </c>
      <c r="T85" s="0" t="n">
        <v>0.215746223618692</v>
      </c>
      <c r="U85" s="0" t="n">
        <v>5.22957601736825</v>
      </c>
      <c r="V85" s="0" t="n">
        <v>0.242204545547113</v>
      </c>
      <c r="W85" s="0" t="n">
        <f aca="false">Q85-V85</f>
        <v>0</v>
      </c>
    </row>
    <row r="86" customFormat="false" ht="15" hidden="false" customHeight="false" outlineLevel="0" collapsed="false">
      <c r="A86" s="0" t="s">
        <v>120</v>
      </c>
      <c r="B86" s="0" t="s">
        <v>33</v>
      </c>
      <c r="C86" s="0" t="n">
        <v>19.4073608567033</v>
      </c>
      <c r="D86" s="0" t="n">
        <f aca="false">SUMPRODUCT(Risk_Inputs!B86:AJ86,Risk_Coefs!$B$2:$AJ$2)</f>
        <v>-0.677101790322824</v>
      </c>
      <c r="E86" s="0" t="n">
        <f aca="false">1/(1+EXP(-MAX(-25,MIN(25,D86))))</f>
        <v>0.336908459621943</v>
      </c>
      <c r="F86" s="0" t="n">
        <f aca="false">SUMPRODUCT(Risk_Inputs!B86:AJ86,Risk_Coefs!$B$3:$AJ$3)</f>
        <v>10.0009655619412</v>
      </c>
      <c r="G86" s="0" t="n">
        <f aca="false">MAX(0,F86)</f>
        <v>10.0009655619412</v>
      </c>
      <c r="H86" s="0" t="n">
        <f aca="false">(SUMPRODUCT(--ISNUMBER($E$2:$E$800),--($E$2:$E$800&lt;E86))+(SUMPRODUCT(--ISNUMBER($E$2:$E$800),--($E$2:$E$800=E86))+1)/2)/COUNT($E$2:$E$800)</f>
        <v>0.765957446808511</v>
      </c>
      <c r="I86" s="0" t="n">
        <f aca="false">(SUMPRODUCT(--ISNUMBER($G$2:$G$800),--($G$2:$G$800&lt;G86))+(SUMPRODUCT(--ISNUMBER($G$2:$G$800),--($G$2:$G$800=G86))+1)/2)/COUNT($G$2:$G$800)</f>
        <v>0.78973717146433</v>
      </c>
      <c r="M86" s="0" t="n">
        <f aca="false">IF(OR(B86="NW",COUNT(Risk_Rank_Keys!B86)=0),0.5,(SUMPRODUCT(--ISNUMBER(Risk_Rank_Keys!$B$2:$B$800),--(Risk_Rank_Keys!$B$2:$B$800&lt;Risk_Rank_Keys!B86))+(SUMPRODUCT(--ISNUMBER(Risk_Rank_Keys!$B$2:$B$800),--(Risk_Rank_Keys!$B$2:$B$800=Risk_Rank_Keys!B86))+1)/2)/COUNT(Risk_Rank_Keys!$B$2:$B$800))</f>
        <v>0.5</v>
      </c>
      <c r="N86" s="0" t="n">
        <f aca="false">IF(OR(B86="NW",COUNT(Risk_Rank_Keys!C86)=0),0.5,(SUMPRODUCT(--ISNUMBER(Risk_Rank_Keys!$C$2:$C$800),--(Risk_Rank_Keys!$C$2:$C$800&lt;Risk_Rank_Keys!C86))+(SUMPRODUCT(--ISNUMBER(Risk_Rank_Keys!$C$2:$C$800),--(Risk_Rank_Keys!$C$2:$C$800=Risk_Rank_Keys!C86))+1)/2)/COUNT(Risk_Rank_Keys!$C$2:$C$800))</f>
        <v>0.5</v>
      </c>
      <c r="O86" s="0" t="n">
        <f aca="false">IF(OR(B86="NW",COUNT(Risk_Rank_Keys!D86)=0),0.5,(SUMPRODUCT(--ISNUMBER(Risk_Rank_Keys!$D$2:$D$800),--(Risk_Rank_Keys!$D$2:$D$800&lt;Risk_Rank_Keys!D86))+(SUMPRODUCT(--ISNUMBER(Risk_Rank_Keys!$D$2:$D$800),--(Risk_Rank_Keys!$D$2:$D$800=Risk_Rank_Keys!D86))+1)/2)/COUNT(Risk_Rank_Keys!$D$2:$D$800))</f>
        <v>0.5</v>
      </c>
      <c r="P86" s="0" t="n">
        <f aca="false">AVERAGE(M86:O86)</f>
        <v>0.5</v>
      </c>
      <c r="Q86" s="0" t="n">
        <f aca="false">0.4*H86+0.4*I86+0.2*P86</f>
        <v>0.722277847309136</v>
      </c>
      <c r="R86" s="0" t="n">
        <f aca="false">PERCENTILE($Q$2:$Q$800,0.75)</f>
        <v>0.667715717403612</v>
      </c>
      <c r="S86" s="1" t="b">
        <f aca="false">OR(Q86&gt;=R86,AND(B86="CW",COUNT(J86:L86)&lt;3))</f>
        <v>1</v>
      </c>
      <c r="T86" s="0" t="n">
        <v>0.336908459621943</v>
      </c>
      <c r="U86" s="0" t="n">
        <v>10.0009655619413</v>
      </c>
      <c r="V86" s="0" t="n">
        <v>0.722277847309136</v>
      </c>
      <c r="W86" s="0" t="n">
        <f aca="false">Q86-V86</f>
        <v>0</v>
      </c>
    </row>
    <row r="87" customFormat="false" ht="15" hidden="false" customHeight="false" outlineLevel="0" collapsed="false">
      <c r="A87" s="0" t="s">
        <v>121</v>
      </c>
      <c r="B87" s="0" t="s">
        <v>3013</v>
      </c>
      <c r="C87" s="0" t="n">
        <v>30.2370810189335</v>
      </c>
      <c r="D87" s="0" t="n">
        <f aca="false">SUMPRODUCT(Risk_Inputs!B87:AJ87,Risk_Coefs!$B$2:$AJ$2)</f>
        <v>-1.49795066914154</v>
      </c>
      <c r="E87" s="0" t="n">
        <f aca="false">1/(1+EXP(-MAX(-25,MIN(25,D87))))</f>
        <v>0.182731373177384</v>
      </c>
      <c r="F87" s="0" t="n">
        <f aca="false">SUMPRODUCT(Risk_Inputs!B87:AJ87,Risk_Coefs!$B$3:$AJ$3)</f>
        <v>5.40300969652183</v>
      </c>
      <c r="G87" s="0" t="n">
        <f aca="false">MAX(0,F87)</f>
        <v>5.40300969652183</v>
      </c>
      <c r="H87" s="0" t="n">
        <f aca="false">(SUMPRODUCT(--ISNUMBER($E$2:$E$800),--($E$2:$E$800&lt;E87))+(SUMPRODUCT(--ISNUMBER($E$2:$E$800),--($E$2:$E$800=E87))+1)/2)/COUNT($E$2:$E$800)</f>
        <v>0.0700876095118899</v>
      </c>
      <c r="I87" s="0" t="n">
        <f aca="false">(SUMPRODUCT(--ISNUMBER($G$2:$G$800),--($G$2:$G$800&lt;G87))+(SUMPRODUCT(--ISNUMBER($G$2:$G$800),--($G$2:$G$800=G87))+1)/2)/COUNT($G$2:$G$800)</f>
        <v>0.18648310387985</v>
      </c>
      <c r="J87" s="0" t="n">
        <v>20.8139431106802</v>
      </c>
      <c r="K87" s="0" t="n">
        <v>8.75494940607126</v>
      </c>
      <c r="L87" s="0" t="n">
        <v>0.417949846018479</v>
      </c>
      <c r="M87" s="0" t="n">
        <f aca="false">IF(OR(B87="NW",COUNT(Risk_Rank_Keys!B87)=0),0.5,(SUMPRODUCT(--ISNUMBER(Risk_Rank_Keys!$B$2:$B$800),--(Risk_Rank_Keys!$B$2:$B$800&lt;Risk_Rank_Keys!B87))+(SUMPRODUCT(--ISNUMBER(Risk_Rank_Keys!$B$2:$B$800),--(Risk_Rank_Keys!$B$2:$B$800=Risk_Rank_Keys!B87))+1)/2)/COUNT(Risk_Rank_Keys!$B$2:$B$800))</f>
        <v>0.806136680613668</v>
      </c>
      <c r="N87" s="0" t="n">
        <f aca="false">IF(OR(B87="NW",COUNT(Risk_Rank_Keys!C87)=0),0.5,(SUMPRODUCT(--ISNUMBER(Risk_Rank_Keys!$C$2:$C$800),--(Risk_Rank_Keys!$C$2:$C$800&lt;Risk_Rank_Keys!C87))+(SUMPRODUCT(--ISNUMBER(Risk_Rank_Keys!$C$2:$C$800),--(Risk_Rank_Keys!$C$2:$C$800=Risk_Rank_Keys!C87))+1)/2)/COUNT(Risk_Rank_Keys!$C$2:$C$800))</f>
        <v>0.843793584379359</v>
      </c>
      <c r="O87" s="0" t="n">
        <f aca="false">IF(OR(B87="NW",COUNT(Risk_Rank_Keys!D87)=0),0.5,(SUMPRODUCT(--ISNUMBER(Risk_Rank_Keys!$D$2:$D$800),--(Risk_Rank_Keys!$D$2:$D$800&lt;Risk_Rank_Keys!D87))+(SUMPRODUCT(--ISNUMBER(Risk_Rank_Keys!$D$2:$D$800),--(Risk_Rank_Keys!$D$2:$D$800=Risk_Rank_Keys!D87))+1)/2)/COUNT(Risk_Rank_Keys!$D$2:$D$800))</f>
        <v>0.895397489539749</v>
      </c>
      <c r="P87" s="0" t="n">
        <f aca="false">AVERAGE(M87:O87)</f>
        <v>0.848442584844258</v>
      </c>
      <c r="Q87" s="0" t="n">
        <f aca="false">0.4*H87+0.4*I87+0.2*P87</f>
        <v>0.272316802325548</v>
      </c>
      <c r="R87" s="0" t="n">
        <f aca="false">PERCENTILE($Q$2:$Q$800,0.75)</f>
        <v>0.667715717403612</v>
      </c>
      <c r="S87" s="1" t="b">
        <f aca="false">OR(Q87&gt;=R87,AND(B87="CW",COUNT(J87:L87)&lt;3))</f>
        <v>0</v>
      </c>
      <c r="T87" s="0" t="n">
        <v>0.182731373177384</v>
      </c>
      <c r="U87" s="0" t="n">
        <v>5.40300969652183</v>
      </c>
      <c r="V87" s="0" t="n">
        <v>0.272316802325548</v>
      </c>
      <c r="W87" s="0" t="n">
        <f aca="false">Q87-V87</f>
        <v>0</v>
      </c>
    </row>
    <row r="88" customFormat="false" ht="15" hidden="false" customHeight="false" outlineLevel="0" collapsed="false">
      <c r="A88" s="0" t="s">
        <v>122</v>
      </c>
      <c r="B88" s="0" t="s">
        <v>3013</v>
      </c>
      <c r="C88" s="0" t="n">
        <v>9.31839406938454</v>
      </c>
      <c r="D88" s="0" t="n">
        <f aca="false">SUMPRODUCT(Risk_Inputs!B88:AJ88,Risk_Coefs!$B$2:$AJ$2)</f>
        <v>-0.551388574617906</v>
      </c>
      <c r="E88" s="0" t="n">
        <f aca="false">1/(1+EXP(-MAX(-25,MIN(25,D88))))</f>
        <v>0.365542309109859</v>
      </c>
      <c r="F88" s="0" t="n">
        <f aca="false">SUMPRODUCT(Risk_Inputs!B88:AJ88,Risk_Coefs!$B$3:$AJ$3)</f>
        <v>10.0448057073459</v>
      </c>
      <c r="G88" s="0" t="n">
        <f aca="false">MAX(0,F88)</f>
        <v>10.0448057073459</v>
      </c>
      <c r="H88" s="0" t="n">
        <f aca="false">(SUMPRODUCT(--ISNUMBER($E$2:$E$800),--($E$2:$E$800&lt;E88))+(SUMPRODUCT(--ISNUMBER($E$2:$E$800),--($E$2:$E$800=E88))+1)/2)/COUNT($E$2:$E$800)</f>
        <v>0.862327909887359</v>
      </c>
      <c r="I88" s="0" t="n">
        <f aca="false">(SUMPRODUCT(--ISNUMBER($G$2:$G$800),--($G$2:$G$800&lt;G88))+(SUMPRODUCT(--ISNUMBER($G$2:$G$800),--($G$2:$G$800=G88))+1)/2)/COUNT($G$2:$G$800)</f>
        <v>0.793491864831039</v>
      </c>
      <c r="J88" s="0" t="n">
        <v>6.23516761784739</v>
      </c>
      <c r="K88" s="0" t="n">
        <v>1.3245033112583</v>
      </c>
      <c r="L88" s="0" t="n">
        <v>0.137969094922737</v>
      </c>
      <c r="M88" s="0" t="n">
        <f aca="false">IF(OR(B88="NW",COUNT(Risk_Rank_Keys!B88)=0),0.5,(SUMPRODUCT(--ISNUMBER(Risk_Rank_Keys!$B$2:$B$800),--(Risk_Rank_Keys!$B$2:$B$800&lt;Risk_Rank_Keys!B88))+(SUMPRODUCT(--ISNUMBER(Risk_Rank_Keys!$B$2:$B$800),--(Risk_Rank_Keys!$B$2:$B$800=Risk_Rank_Keys!B88))+1)/2)/COUNT(Risk_Rank_Keys!$B$2:$B$800))</f>
        <v>0.244072524407252</v>
      </c>
      <c r="N88" s="0" t="n">
        <f aca="false">IF(OR(B88="NW",COUNT(Risk_Rank_Keys!C88)=0),0.5,(SUMPRODUCT(--ISNUMBER(Risk_Rank_Keys!$C$2:$C$800),--(Risk_Rank_Keys!$C$2:$C$800&lt;Risk_Rank_Keys!C88))+(SUMPRODUCT(--ISNUMBER(Risk_Rank_Keys!$C$2:$C$800),--(Risk_Rank_Keys!$C$2:$C$800=Risk_Rank_Keys!C88))+1)/2)/COUNT(Risk_Rank_Keys!$C$2:$C$800))</f>
        <v>0.0892608089260809</v>
      </c>
      <c r="O88" s="0" t="n">
        <f aca="false">IF(OR(B88="NW",COUNT(Risk_Rank_Keys!D88)=0),0.5,(SUMPRODUCT(--ISNUMBER(Risk_Rank_Keys!$D$2:$D$800),--(Risk_Rank_Keys!$D$2:$D$800&lt;Risk_Rank_Keys!D88))+(SUMPRODUCT(--ISNUMBER(Risk_Rank_Keys!$D$2:$D$800),--(Risk_Rank_Keys!$D$2:$D$800=Risk_Rank_Keys!D88))+1)/2)/COUNT(Risk_Rank_Keys!$D$2:$D$800))</f>
        <v>0.0836820083682008</v>
      </c>
      <c r="P88" s="0" t="n">
        <f aca="false">AVERAGE(M88:O88)</f>
        <v>0.139005113900511</v>
      </c>
      <c r="Q88" s="0" t="n">
        <f aca="false">0.4*H88+0.4*I88+0.2*P88</f>
        <v>0.690128932667462</v>
      </c>
      <c r="R88" s="0" t="n">
        <f aca="false">PERCENTILE($Q$2:$Q$800,0.75)</f>
        <v>0.667715717403612</v>
      </c>
      <c r="S88" s="1" t="b">
        <f aca="false">OR(Q88&gt;=R88,AND(B88="CW",COUNT(J88:L88)&lt;3))</f>
        <v>1</v>
      </c>
      <c r="T88" s="0" t="n">
        <v>0.365542309109859</v>
      </c>
      <c r="U88" s="0" t="n">
        <v>10.0448057073459</v>
      </c>
      <c r="V88" s="0" t="n">
        <v>0.690128932667462</v>
      </c>
      <c r="W88" s="0" t="n">
        <f aca="false">Q88-V88</f>
        <v>0</v>
      </c>
    </row>
    <row r="89" customFormat="false" ht="15" hidden="false" customHeight="false" outlineLevel="0" collapsed="false">
      <c r="A89" s="0" t="s">
        <v>123</v>
      </c>
      <c r="B89" s="0" t="s">
        <v>3013</v>
      </c>
      <c r="C89" s="0" t="n">
        <v>23.9075689528817</v>
      </c>
      <c r="D89" s="0" t="n">
        <f aca="false">SUMPRODUCT(Risk_Inputs!B89:AJ89,Risk_Coefs!$B$2:$AJ$2)</f>
        <v>-0.968408497410242</v>
      </c>
      <c r="E89" s="0" t="n">
        <f aca="false">1/(1+EXP(-MAX(-25,MIN(25,D89))))</f>
        <v>0.275197836061656</v>
      </c>
      <c r="F89" s="0" t="n">
        <f aca="false">SUMPRODUCT(Risk_Inputs!B89:AJ89,Risk_Coefs!$B$3:$AJ$3)</f>
        <v>6.46701048485868</v>
      </c>
      <c r="G89" s="0" t="n">
        <f aca="false">MAX(0,F89)</f>
        <v>6.46701048485868</v>
      </c>
      <c r="H89" s="0" t="n">
        <f aca="false">(SUMPRODUCT(--ISNUMBER($E$2:$E$800),--($E$2:$E$800&lt;E89))+(SUMPRODUCT(--ISNUMBER($E$2:$E$800),--($E$2:$E$800=E89))+1)/2)/COUNT($E$2:$E$800)</f>
        <v>0.425531914893617</v>
      </c>
      <c r="I89" s="0" t="n">
        <f aca="false">(SUMPRODUCT(--ISNUMBER($G$2:$G$800),--($G$2:$G$800&lt;G89))+(SUMPRODUCT(--ISNUMBER($G$2:$G$800),--($G$2:$G$800=G89))+1)/2)/COUNT($G$2:$G$800)</f>
        <v>0.337922403003755</v>
      </c>
      <c r="J89" s="0" t="n">
        <v>5.90937684668096</v>
      </c>
      <c r="K89" s="0" t="n">
        <v>1.76470588235293</v>
      </c>
      <c r="L89" s="0" t="n">
        <v>0.359477124183014</v>
      </c>
      <c r="M89" s="0" t="n">
        <f aca="false">IF(OR(B89="NW",COUNT(Risk_Rank_Keys!B89)=0),0.5,(SUMPRODUCT(--ISNUMBER(Risk_Rank_Keys!$B$2:$B$800),--(Risk_Rank_Keys!$B$2:$B$800&lt;Risk_Rank_Keys!B89))+(SUMPRODUCT(--ISNUMBER(Risk_Rank_Keys!$B$2:$B$800),--(Risk_Rank_Keys!$B$2:$B$800=Risk_Rank_Keys!B89))+1)/2)/COUNT(Risk_Rank_Keys!$B$2:$B$800))</f>
        <v>0.218967921896792</v>
      </c>
      <c r="N89" s="0" t="n">
        <f aca="false">IF(OR(B89="NW",COUNT(Risk_Rank_Keys!C89)=0),0.5,(SUMPRODUCT(--ISNUMBER(Risk_Rank_Keys!$C$2:$C$800),--(Risk_Rank_Keys!$C$2:$C$800&lt;Risk_Rank_Keys!C89))+(SUMPRODUCT(--ISNUMBER(Risk_Rank_Keys!$C$2:$C$800),--(Risk_Rank_Keys!$C$2:$C$800=Risk_Rank_Keys!C89))+1)/2)/COUNT(Risk_Rank_Keys!$C$2:$C$800))</f>
        <v>0.206415620641562</v>
      </c>
      <c r="O89" s="0" t="n">
        <f aca="false">IF(OR(B89="NW",COUNT(Risk_Rank_Keys!D89)=0),0.5,(SUMPRODUCT(--ISNUMBER(Risk_Rank_Keys!$D$2:$D$800),--(Risk_Rank_Keys!$D$2:$D$800&lt;Risk_Rank_Keys!D89))+(SUMPRODUCT(--ISNUMBER(Risk_Rank_Keys!$D$2:$D$800),--(Risk_Rank_Keys!$D$2:$D$800=Risk_Rank_Keys!D89))+1)/2)/COUNT(Risk_Rank_Keys!$D$2:$D$800))</f>
        <v>0.847977684797769</v>
      </c>
      <c r="P89" s="0" t="n">
        <f aca="false">AVERAGE(M89:O89)</f>
        <v>0.424453742445374</v>
      </c>
      <c r="Q89" s="0" t="n">
        <f aca="false">0.4*H89+0.4*I89+0.2*P89</f>
        <v>0.390272475648024</v>
      </c>
      <c r="R89" s="0" t="n">
        <f aca="false">PERCENTILE($Q$2:$Q$800,0.75)</f>
        <v>0.667715717403612</v>
      </c>
      <c r="S89" s="1" t="b">
        <f aca="false">OR(Q89&gt;=R89,AND(B89="CW",COUNT(J89:L89)&lt;3))</f>
        <v>0</v>
      </c>
      <c r="T89" s="0" t="n">
        <v>0.275197836061656</v>
      </c>
      <c r="U89" s="0" t="n">
        <v>6.46701048485868</v>
      </c>
      <c r="V89" s="0" t="n">
        <v>0.390272475648024</v>
      </c>
      <c r="W89" s="0" t="n">
        <f aca="false">Q89-V89</f>
        <v>0</v>
      </c>
    </row>
    <row r="90" customFormat="false" ht="15" hidden="false" customHeight="false" outlineLevel="0" collapsed="false">
      <c r="A90" s="0" t="s">
        <v>124</v>
      </c>
      <c r="B90" s="0" t="s">
        <v>3013</v>
      </c>
      <c r="C90" s="0" t="n">
        <v>-43.5476637720383</v>
      </c>
      <c r="D90" s="0" t="n">
        <f aca="false">SUMPRODUCT(Risk_Inputs!B90:AJ90,Risk_Coefs!$B$2:$AJ$2)</f>
        <v>-0.788965744424829</v>
      </c>
      <c r="E90" s="0" t="n">
        <f aca="false">1/(1+EXP(-MAX(-25,MIN(25,D90))))</f>
        <v>0.312390787274718</v>
      </c>
      <c r="F90" s="0" t="n">
        <f aca="false">SUMPRODUCT(Risk_Inputs!B90:AJ90,Risk_Coefs!$B$3:$AJ$3)</f>
        <v>8.52505885004904</v>
      </c>
      <c r="G90" s="0" t="n">
        <f aca="false">MAX(0,F90)</f>
        <v>8.52505885004904</v>
      </c>
      <c r="H90" s="0" t="n">
        <f aca="false">(SUMPRODUCT(--ISNUMBER($E$2:$E$800),--($E$2:$E$800&lt;E90))+(SUMPRODUCT(--ISNUMBER($E$2:$E$800),--($E$2:$E$800=E90))+1)/2)/COUNT($E$2:$E$800)</f>
        <v>0.625782227784731</v>
      </c>
      <c r="I90" s="0" t="n">
        <f aca="false">(SUMPRODUCT(--ISNUMBER($G$2:$G$800),--($G$2:$G$800&lt;G90))+(SUMPRODUCT(--ISNUMBER($G$2:$G$800),--($G$2:$G$800=G90))+1)/2)/COUNT($G$2:$G$800)</f>
        <v>0.609511889862328</v>
      </c>
      <c r="J90" s="0" t="n">
        <v>5.74606822900417</v>
      </c>
      <c r="K90" s="0" t="n">
        <v>2.57192676547514</v>
      </c>
      <c r="L90" s="0" t="n">
        <v>0.261551874455104</v>
      </c>
      <c r="M90" s="0" t="n">
        <f aca="false">IF(OR(B90="NW",COUNT(Risk_Rank_Keys!B90)=0),0.5,(SUMPRODUCT(--ISNUMBER(Risk_Rank_Keys!$B$2:$B$800),--(Risk_Rank_Keys!$B$2:$B$800&lt;Risk_Rank_Keys!B90))+(SUMPRODUCT(--ISNUMBER(Risk_Rank_Keys!$B$2:$B$800),--(Risk_Rank_Keys!$B$2:$B$800=Risk_Rank_Keys!B90))+1)/2)/COUNT(Risk_Rank_Keys!$B$2:$B$800))</f>
        <v>0.198047419804742</v>
      </c>
      <c r="N90" s="0" t="n">
        <f aca="false">IF(OR(B90="NW",COUNT(Risk_Rank_Keys!C90)=0),0.5,(SUMPRODUCT(--ISNUMBER(Risk_Rank_Keys!$C$2:$C$800),--(Risk_Rank_Keys!$C$2:$C$800&lt;Risk_Rank_Keys!C90))+(SUMPRODUCT(--ISNUMBER(Risk_Rank_Keys!$C$2:$C$800),--(Risk_Rank_Keys!$C$2:$C$800=Risk_Rank_Keys!C90))+1)/2)/COUNT(Risk_Rank_Keys!$C$2:$C$800))</f>
        <v>0.403068340306834</v>
      </c>
      <c r="O90" s="0" t="n">
        <f aca="false">IF(OR(B90="NW",COUNT(Risk_Rank_Keys!D90)=0),0.5,(SUMPRODUCT(--ISNUMBER(Risk_Rank_Keys!$D$2:$D$800),--(Risk_Rank_Keys!$D$2:$D$800&lt;Risk_Rank_Keys!D90))+(SUMPRODUCT(--ISNUMBER(Risk_Rank_Keys!$D$2:$D$800),--(Risk_Rank_Keys!$D$2:$D$800=Risk_Rank_Keys!D90))+1)/2)/COUNT(Risk_Rank_Keys!$D$2:$D$800))</f>
        <v>0.640167364016736</v>
      </c>
      <c r="P90" s="0" t="n">
        <f aca="false">AVERAGE(M90:O90)</f>
        <v>0.413761041376104</v>
      </c>
      <c r="Q90" s="0" t="n">
        <f aca="false">0.4*H90+0.4*I90+0.2*P90</f>
        <v>0.576869855334044</v>
      </c>
      <c r="R90" s="0" t="n">
        <f aca="false">PERCENTILE($Q$2:$Q$800,0.75)</f>
        <v>0.667715717403612</v>
      </c>
      <c r="S90" s="1" t="b">
        <f aca="false">OR(Q90&gt;=R90,AND(B90="CW",COUNT(J90:L90)&lt;3))</f>
        <v>0</v>
      </c>
      <c r="T90" s="0" t="n">
        <v>0.312390787274718</v>
      </c>
      <c r="U90" s="0" t="n">
        <v>8.52505885004904</v>
      </c>
      <c r="V90" s="0" t="n">
        <v>0.576869855334044</v>
      </c>
      <c r="W90" s="0" t="n">
        <f aca="false">Q90-V90</f>
        <v>0</v>
      </c>
    </row>
    <row r="91" customFormat="false" ht="15" hidden="false" customHeight="false" outlineLevel="0" collapsed="false">
      <c r="A91" s="0" t="s">
        <v>125</v>
      </c>
      <c r="B91" s="0" t="s">
        <v>3013</v>
      </c>
      <c r="C91" s="0" t="n">
        <v>20.4048623927486</v>
      </c>
      <c r="D91" s="0" t="n">
        <f aca="false">SUMPRODUCT(Risk_Inputs!B91:AJ91,Risk_Coefs!$B$2:$AJ$2)</f>
        <v>-0.965608684134837</v>
      </c>
      <c r="E91" s="0" t="n">
        <f aca="false">1/(1+EXP(-MAX(-25,MIN(25,D91))))</f>
        <v>0.275756649334985</v>
      </c>
      <c r="F91" s="0" t="n">
        <f aca="false">SUMPRODUCT(Risk_Inputs!B91:AJ91,Risk_Coefs!$B$3:$AJ$3)</f>
        <v>9.16304531973756</v>
      </c>
      <c r="G91" s="0" t="n">
        <f aca="false">MAX(0,F91)</f>
        <v>9.16304531973756</v>
      </c>
      <c r="H91" s="0" t="n">
        <f aca="false">(SUMPRODUCT(--ISNUMBER($E$2:$E$800),--($E$2:$E$800&lt;E91))+(SUMPRODUCT(--ISNUMBER($E$2:$E$800),--($E$2:$E$800=E91))+1)/2)/COUNT($E$2:$E$800)</f>
        <v>0.431789737171464</v>
      </c>
      <c r="I91" s="0" t="n">
        <f aca="false">(SUMPRODUCT(--ISNUMBER($G$2:$G$800),--($G$2:$G$800&lt;G91))+(SUMPRODUCT(--ISNUMBER($G$2:$G$800),--($G$2:$G$800=G91))+1)/2)/COUNT($G$2:$G$800)</f>
        <v>0.699624530663329</v>
      </c>
      <c r="J91" s="0" t="n">
        <v>7.01660383616752</v>
      </c>
      <c r="K91" s="0" t="n">
        <v>4.54545454545455</v>
      </c>
      <c r="L91" s="0" t="n">
        <v>0.363636363636377</v>
      </c>
      <c r="M91" s="0" t="n">
        <f aca="false">IF(OR(B91="NW",COUNT(Risk_Rank_Keys!B91)=0),0.5,(SUMPRODUCT(--ISNUMBER(Risk_Rank_Keys!$B$2:$B$800),--(Risk_Rank_Keys!$B$2:$B$800&lt;Risk_Rank_Keys!B91))+(SUMPRODUCT(--ISNUMBER(Risk_Rank_Keys!$B$2:$B$800),--(Risk_Rank_Keys!$B$2:$B$800=Risk_Rank_Keys!B91))+1)/2)/COUNT(Risk_Rank_Keys!$B$2:$B$800))</f>
        <v>0.315202231520223</v>
      </c>
      <c r="N91" s="0" t="n">
        <f aca="false">IF(OR(B91="NW",COUNT(Risk_Rank_Keys!C91)=0),0.5,(SUMPRODUCT(--ISNUMBER(Risk_Rank_Keys!$C$2:$C$800),--(Risk_Rank_Keys!$C$2:$C$800&lt;Risk_Rank_Keys!C91))+(SUMPRODUCT(--ISNUMBER(Risk_Rank_Keys!$C$2:$C$800),--(Risk_Rank_Keys!$C$2:$C$800=Risk_Rank_Keys!C91))+1)/2)/COUNT(Risk_Rank_Keys!$C$2:$C$800))</f>
        <v>0.648535564853557</v>
      </c>
      <c r="O91" s="0" t="n">
        <f aca="false">IF(OR(B91="NW",COUNT(Risk_Rank_Keys!D91)=0),0.5,(SUMPRODUCT(--ISNUMBER(Risk_Rank_Keys!$D$2:$D$800),--(Risk_Rank_Keys!$D$2:$D$800&lt;Risk_Rank_Keys!D91))+(SUMPRODUCT(--ISNUMBER(Risk_Rank_Keys!$D$2:$D$800),--(Risk_Rank_Keys!$D$2:$D$800=Risk_Rank_Keys!D91))+1)/2)/COUNT(Risk_Rank_Keys!$D$2:$D$800))</f>
        <v>0.852161785216179</v>
      </c>
      <c r="P91" s="0" t="n">
        <f aca="false">AVERAGE(M91:O91)</f>
        <v>0.605299860529986</v>
      </c>
      <c r="Q91" s="0" t="n">
        <f aca="false">0.4*H91+0.4*I91+0.2*P91</f>
        <v>0.573625679239915</v>
      </c>
      <c r="R91" s="0" t="n">
        <f aca="false">PERCENTILE($Q$2:$Q$800,0.75)</f>
        <v>0.667715717403612</v>
      </c>
      <c r="S91" s="1" t="b">
        <f aca="false">OR(Q91&gt;=R91,AND(B91="CW",COUNT(J91:L91)&lt;3))</f>
        <v>0</v>
      </c>
      <c r="T91" s="0" t="n">
        <v>0.275756649334985</v>
      </c>
      <c r="U91" s="0" t="n">
        <v>9.16304531973756</v>
      </c>
      <c r="V91" s="0" t="n">
        <v>0.573625679239915</v>
      </c>
      <c r="W91" s="0" t="n">
        <f aca="false">Q91-V91</f>
        <v>0</v>
      </c>
    </row>
    <row r="92" customFormat="false" ht="15" hidden="false" customHeight="false" outlineLevel="0" collapsed="false">
      <c r="A92" s="0" t="s">
        <v>126</v>
      </c>
      <c r="B92" s="0" t="s">
        <v>3013</v>
      </c>
      <c r="C92" s="0" t="n">
        <v>27.5533059158218</v>
      </c>
      <c r="D92" s="0" t="n">
        <f aca="false">SUMPRODUCT(Risk_Inputs!B92:AJ92,Risk_Coefs!$B$2:$AJ$2)</f>
        <v>-1.02297887718396</v>
      </c>
      <c r="E92" s="0" t="n">
        <f aca="false">1/(1+EXP(-MAX(-25,MIN(25,D92))))</f>
        <v>0.2644475576619</v>
      </c>
      <c r="F92" s="0" t="n">
        <f aca="false">SUMPRODUCT(Risk_Inputs!B92:AJ92,Risk_Coefs!$B$3:$AJ$3)</f>
        <v>6.93217143623796</v>
      </c>
      <c r="G92" s="0" t="n">
        <f aca="false">MAX(0,F92)</f>
        <v>6.93217143623796</v>
      </c>
      <c r="H92" s="0" t="n">
        <f aca="false">(SUMPRODUCT(--ISNUMBER($E$2:$E$800),--($E$2:$E$800&lt;E92))+(SUMPRODUCT(--ISNUMBER($E$2:$E$800),--($E$2:$E$800=E92))+1)/2)/COUNT($E$2:$E$800)</f>
        <v>0.362953692115144</v>
      </c>
      <c r="I92" s="0" t="n">
        <f aca="false">(SUMPRODUCT(--ISNUMBER($G$2:$G$800),--($G$2:$G$800&lt;G92))+(SUMPRODUCT(--ISNUMBER($G$2:$G$800),--($G$2:$G$800=G92))+1)/2)/COUNT($G$2:$G$800)</f>
        <v>0.409261576971214</v>
      </c>
      <c r="J92" s="0" t="n">
        <v>5.85344863045122</v>
      </c>
      <c r="K92" s="0" t="n">
        <v>1.22759636631476</v>
      </c>
      <c r="L92" s="0" t="n">
        <v>0.220967345936657</v>
      </c>
      <c r="M92" s="0" t="n">
        <f aca="false">IF(OR(B92="NW",COUNT(Risk_Rank_Keys!B92)=0),0.5,(SUMPRODUCT(--ISNUMBER(Risk_Rank_Keys!$B$2:$B$800),--(Risk_Rank_Keys!$B$2:$B$800&lt;Risk_Rank_Keys!B92))+(SUMPRODUCT(--ISNUMBER(Risk_Rank_Keys!$B$2:$B$800),--(Risk_Rank_Keys!$B$2:$B$800=Risk_Rank_Keys!B92))+1)/2)/COUNT(Risk_Rank_Keys!$B$2:$B$800))</f>
        <v>0.210599721059972</v>
      </c>
      <c r="N92" s="0" t="n">
        <f aca="false">IF(OR(B92="NW",COUNT(Risk_Rank_Keys!C92)=0),0.5,(SUMPRODUCT(--ISNUMBER(Risk_Rank_Keys!$C$2:$C$800),--(Risk_Rank_Keys!$C$2:$C$800&lt;Risk_Rank_Keys!C92))+(SUMPRODUCT(--ISNUMBER(Risk_Rank_Keys!$C$2:$C$800),--(Risk_Rank_Keys!$C$2:$C$800=Risk_Rank_Keys!C92))+1)/2)/COUNT(Risk_Rank_Keys!$C$2:$C$800))</f>
        <v>0.0767085076708508</v>
      </c>
      <c r="O92" s="0" t="n">
        <f aca="false">IF(OR(B92="NW",COUNT(Risk_Rank_Keys!D92)=0),0.5,(SUMPRODUCT(--ISNUMBER(Risk_Rank_Keys!$D$2:$D$800),--(Risk_Rank_Keys!$D$2:$D$800&lt;Risk_Rank_Keys!D92))+(SUMPRODUCT(--ISNUMBER(Risk_Rank_Keys!$D$2:$D$800),--(Risk_Rank_Keys!$D$2:$D$800=Risk_Rank_Keys!D92))+1)/2)/COUNT(Risk_Rank_Keys!$D$2:$D$800))</f>
        <v>0.443514644351464</v>
      </c>
      <c r="P92" s="0" t="n">
        <f aca="false">AVERAGE(M92:O92)</f>
        <v>0.243607624360762</v>
      </c>
      <c r="Q92" s="0" t="n">
        <f aca="false">0.4*H92+0.4*I92+0.2*P92</f>
        <v>0.357607632506696</v>
      </c>
      <c r="R92" s="0" t="n">
        <f aca="false">PERCENTILE($Q$2:$Q$800,0.75)</f>
        <v>0.667715717403612</v>
      </c>
      <c r="S92" s="1" t="b">
        <f aca="false">OR(Q92&gt;=R92,AND(B92="CW",COUNT(J92:L92)&lt;3))</f>
        <v>0</v>
      </c>
      <c r="T92" s="0" t="n">
        <v>0.2644475576619</v>
      </c>
      <c r="U92" s="0" t="n">
        <v>6.93217143623796</v>
      </c>
      <c r="V92" s="0" t="n">
        <v>0.357607632506696</v>
      </c>
      <c r="W92" s="0" t="n">
        <f aca="false">Q92-V92</f>
        <v>0</v>
      </c>
    </row>
    <row r="93" customFormat="false" ht="15" hidden="false" customHeight="false" outlineLevel="0" collapsed="false">
      <c r="A93" s="0" t="s">
        <v>127</v>
      </c>
      <c r="B93" s="0" t="s">
        <v>3013</v>
      </c>
      <c r="C93" s="0" t="n">
        <v>14.453933371777</v>
      </c>
      <c r="D93" s="0" t="n">
        <f aca="false">SUMPRODUCT(Risk_Inputs!B93:AJ93,Risk_Coefs!$B$2:$AJ$2)</f>
        <v>-0.868607979242073</v>
      </c>
      <c r="E93" s="0" t="n">
        <f aca="false">1/(1+EXP(-MAX(-25,MIN(25,D93))))</f>
        <v>0.29554403509654</v>
      </c>
      <c r="F93" s="0" t="n">
        <f aca="false">SUMPRODUCT(Risk_Inputs!B93:AJ93,Risk_Coefs!$B$3:$AJ$3)</f>
        <v>8.3178188661758</v>
      </c>
      <c r="G93" s="0" t="n">
        <f aca="false">MAX(0,F93)</f>
        <v>8.3178188661758</v>
      </c>
      <c r="H93" s="0" t="n">
        <f aca="false">(SUMPRODUCT(--ISNUMBER($E$2:$E$800),--($E$2:$E$800&lt;E93))+(SUMPRODUCT(--ISNUMBER($E$2:$E$800),--($E$2:$E$800=E93))+1)/2)/COUNT($E$2:$E$800)</f>
        <v>0.549436795994994</v>
      </c>
      <c r="I93" s="0" t="n">
        <f aca="false">(SUMPRODUCT(--ISNUMBER($G$2:$G$800),--($G$2:$G$800&lt;G93))+(SUMPRODUCT(--ISNUMBER($G$2:$G$800),--($G$2:$G$800=G93))+1)/2)/COUNT($G$2:$G$800)</f>
        <v>0.583229036295369</v>
      </c>
      <c r="J93" s="0" t="n">
        <v>24.3611573462912</v>
      </c>
      <c r="K93" s="0" t="n">
        <v>6.26625065002599</v>
      </c>
      <c r="L93" s="0" t="n">
        <v>0.338013520540817</v>
      </c>
      <c r="M93" s="0" t="n">
        <f aca="false">IF(OR(B93="NW",COUNT(Risk_Rank_Keys!B93)=0),0.5,(SUMPRODUCT(--ISNUMBER(Risk_Rank_Keys!$B$2:$B$800),--(Risk_Rank_Keys!$B$2:$B$800&lt;Risk_Rank_Keys!B93))+(SUMPRODUCT(--ISNUMBER(Risk_Rank_Keys!$B$2:$B$800),--(Risk_Rank_Keys!$B$2:$B$800=Risk_Rank_Keys!B93))+1)/2)/COUNT(Risk_Rank_Keys!$B$2:$B$800))</f>
        <v>0.847977684797769</v>
      </c>
      <c r="N93" s="0" t="n">
        <f aca="false">IF(OR(B93="NW",COUNT(Risk_Rank_Keys!C93)=0),0.5,(SUMPRODUCT(--ISNUMBER(Risk_Rank_Keys!$C$2:$C$800),--(Risk_Rank_Keys!$C$2:$C$800&lt;Risk_Rank_Keys!C93))+(SUMPRODUCT(--ISNUMBER(Risk_Rank_Keys!$C$2:$C$800),--(Risk_Rank_Keys!$C$2:$C$800=Risk_Rank_Keys!C93))+1)/2)/COUNT(Risk_Rank_Keys!$C$2:$C$800))</f>
        <v>0.753138075313808</v>
      </c>
      <c r="O93" s="0" t="n">
        <f aca="false">IF(OR(B93="NW",COUNT(Risk_Rank_Keys!D93)=0),0.5,(SUMPRODUCT(--ISNUMBER(Risk_Rank_Keys!$D$2:$D$800),--(Risk_Rank_Keys!$D$2:$D$800&lt;Risk_Rank_Keys!D93))+(SUMPRODUCT(--ISNUMBER(Risk_Rank_Keys!$D$2:$D$800),--(Risk_Rank_Keys!$D$2:$D$800=Risk_Rank_Keys!D93))+1)/2)/COUNT(Risk_Rank_Keys!$D$2:$D$800))</f>
        <v>0.811715481171548</v>
      </c>
      <c r="P93" s="0" t="n">
        <f aca="false">AVERAGE(M93:O93)</f>
        <v>0.804277080427708</v>
      </c>
      <c r="Q93" s="0" t="n">
        <f aca="false">0.4*H93+0.4*I93+0.2*P93</f>
        <v>0.613921749001687</v>
      </c>
      <c r="R93" s="0" t="n">
        <f aca="false">PERCENTILE($Q$2:$Q$800,0.75)</f>
        <v>0.667715717403612</v>
      </c>
      <c r="S93" s="1" t="b">
        <f aca="false">OR(Q93&gt;=R93,AND(B93="CW",COUNT(J93:L93)&lt;3))</f>
        <v>0</v>
      </c>
      <c r="T93" s="0" t="n">
        <v>0.29554403509654</v>
      </c>
      <c r="U93" s="0" t="n">
        <v>8.3178188661758</v>
      </c>
      <c r="V93" s="0" t="n">
        <v>0.613921749001687</v>
      </c>
      <c r="W93" s="0" t="n">
        <f aca="false">Q93-V93</f>
        <v>0</v>
      </c>
    </row>
    <row r="94" customFormat="false" ht="15" hidden="false" customHeight="false" outlineLevel="0" collapsed="false">
      <c r="A94" s="0" t="s">
        <v>128</v>
      </c>
      <c r="B94" s="0" t="s">
        <v>3013</v>
      </c>
      <c r="C94" s="0" t="n">
        <v>22.3288914567391</v>
      </c>
      <c r="D94" s="0" t="n">
        <f aca="false">SUMPRODUCT(Risk_Inputs!B94:AJ94,Risk_Coefs!$B$2:$AJ$2)</f>
        <v>-0.89654272262776</v>
      </c>
      <c r="E94" s="0" t="n">
        <f aca="false">1/(1+EXP(-MAX(-25,MIN(25,D94))))</f>
        <v>0.289761486761708</v>
      </c>
      <c r="F94" s="0" t="n">
        <f aca="false">SUMPRODUCT(Risk_Inputs!B94:AJ94,Risk_Coefs!$B$3:$AJ$3)</f>
        <v>5.99744406619564</v>
      </c>
      <c r="G94" s="0" t="n">
        <f aca="false">MAX(0,F94)</f>
        <v>5.99744406619564</v>
      </c>
      <c r="H94" s="0" t="n">
        <f aca="false">(SUMPRODUCT(--ISNUMBER($E$2:$E$800),--($E$2:$E$800&lt;E94))+(SUMPRODUCT(--ISNUMBER($E$2:$E$800),--($E$2:$E$800=E94))+1)/2)/COUNT($E$2:$E$800)</f>
        <v>0.523153942428035</v>
      </c>
      <c r="I94" s="0" t="n">
        <f aca="false">(SUMPRODUCT(--ISNUMBER($G$2:$G$800),--($G$2:$G$800&lt;G94))+(SUMPRODUCT(--ISNUMBER($G$2:$G$800),--($G$2:$G$800=G94))+1)/2)/COUNT($G$2:$G$800)</f>
        <v>0.267834793491865</v>
      </c>
      <c r="J94" s="0" t="n">
        <v>5.07703854134544</v>
      </c>
      <c r="K94" s="0" t="n">
        <v>1.18302018093249</v>
      </c>
      <c r="L94" s="0" t="n">
        <v>0.27835768963118</v>
      </c>
      <c r="M94" s="0" t="n">
        <f aca="false">IF(OR(B94="NW",COUNT(Risk_Rank_Keys!B94)=0),0.5,(SUMPRODUCT(--ISNUMBER(Risk_Rank_Keys!$B$2:$B$800),--(Risk_Rank_Keys!$B$2:$B$800&lt;Risk_Rank_Keys!B94))+(SUMPRODUCT(--ISNUMBER(Risk_Rank_Keys!$B$2:$B$800),--(Risk_Rank_Keys!$B$2:$B$800=Risk_Rank_Keys!B94))+1)/2)/COUNT(Risk_Rank_Keys!$B$2:$B$800))</f>
        <v>0.133891213389121</v>
      </c>
      <c r="N94" s="0" t="n">
        <f aca="false">IF(OR(B94="NW",COUNT(Risk_Rank_Keys!C94)=0),0.5,(SUMPRODUCT(--ISNUMBER(Risk_Rank_Keys!$C$2:$C$800),--(Risk_Rank_Keys!$C$2:$C$800&lt;Risk_Rank_Keys!C94))+(SUMPRODUCT(--ISNUMBER(Risk_Rank_Keys!$C$2:$C$800),--(Risk_Rank_Keys!$C$2:$C$800=Risk_Rank_Keys!C94))+1)/2)/COUNT(Risk_Rank_Keys!$C$2:$C$800))</f>
        <v>0.0641562064156206</v>
      </c>
      <c r="O94" s="0" t="n">
        <f aca="false">IF(OR(B94="NW",COUNT(Risk_Rank_Keys!D94)=0),0.5,(SUMPRODUCT(--ISNUMBER(Risk_Rank_Keys!$D$2:$D$800),--(Risk_Rank_Keys!$D$2:$D$800&lt;Risk_Rank_Keys!D94))+(SUMPRODUCT(--ISNUMBER(Risk_Rank_Keys!$D$2:$D$800),--(Risk_Rank_Keys!$D$2:$D$800=Risk_Rank_Keys!D94))+1)/2)/COUNT(Risk_Rank_Keys!$D$2:$D$800))</f>
        <v>0.693165969316597</v>
      </c>
      <c r="P94" s="0" t="n">
        <f aca="false">AVERAGE(M94:O94)</f>
        <v>0.297071129707113</v>
      </c>
      <c r="Q94" s="0" t="n">
        <f aca="false">0.4*H94+0.4*I94+0.2*P94</f>
        <v>0.375809720309383</v>
      </c>
      <c r="R94" s="0" t="n">
        <f aca="false">PERCENTILE($Q$2:$Q$800,0.75)</f>
        <v>0.667715717403612</v>
      </c>
      <c r="S94" s="1" t="b">
        <f aca="false">OR(Q94&gt;=R94,AND(B94="CW",COUNT(J94:L94)&lt;3))</f>
        <v>0</v>
      </c>
      <c r="T94" s="0" t="n">
        <v>0.289761486761708</v>
      </c>
      <c r="U94" s="0" t="n">
        <v>5.99744406619564</v>
      </c>
      <c r="V94" s="0" t="n">
        <v>0.375809720309383</v>
      </c>
      <c r="W94" s="0" t="n">
        <f aca="false">Q94-V94</f>
        <v>0</v>
      </c>
    </row>
    <row r="95" customFormat="false" ht="15" hidden="false" customHeight="false" outlineLevel="0" collapsed="false">
      <c r="A95" s="0" t="s">
        <v>129</v>
      </c>
      <c r="B95" s="0" t="s">
        <v>3013</v>
      </c>
      <c r="C95" s="0" t="n">
        <v>-13.6060960288464</v>
      </c>
      <c r="D95" s="0" t="n">
        <f aca="false">SUMPRODUCT(Risk_Inputs!B95:AJ95,Risk_Coefs!$B$2:$AJ$2)</f>
        <v>-0.716302807536231</v>
      </c>
      <c r="E95" s="0" t="n">
        <f aca="false">1/(1+EXP(-MAX(-25,MIN(25,D95))))</f>
        <v>0.328207648879302</v>
      </c>
      <c r="F95" s="0" t="n">
        <f aca="false">SUMPRODUCT(Risk_Inputs!B95:AJ95,Risk_Coefs!$B$3:$AJ$3)</f>
        <v>9.71309373848454</v>
      </c>
      <c r="G95" s="0" t="n">
        <f aca="false">MAX(0,F95)</f>
        <v>9.71309373848454</v>
      </c>
      <c r="H95" s="0" t="n">
        <f aca="false">(SUMPRODUCT(--ISNUMBER($E$2:$E$800),--($E$2:$E$800&lt;E95))+(SUMPRODUCT(--ISNUMBER($E$2:$E$800),--($E$2:$E$800=E95))+1)/2)/COUNT($E$2:$E$800)</f>
        <v>0.724655819774718</v>
      </c>
      <c r="I95" s="0" t="n">
        <f aca="false">(SUMPRODUCT(--ISNUMBER($G$2:$G$800),--($G$2:$G$800&lt;G95))+(SUMPRODUCT(--ISNUMBER($G$2:$G$800),--($G$2:$G$800=G95))+1)/2)/COUNT($G$2:$G$800)</f>
        <v>0.749687108886108</v>
      </c>
      <c r="J95" s="0" t="n">
        <v>7.35665572114147</v>
      </c>
      <c r="K95" s="0" t="n">
        <v>2.46507806080526</v>
      </c>
      <c r="L95" s="0" t="n">
        <v>0.287592440427276</v>
      </c>
      <c r="M95" s="0" t="n">
        <f aca="false">IF(OR(B95="NW",COUNT(Risk_Rank_Keys!B95)=0),0.5,(SUMPRODUCT(--ISNUMBER(Risk_Rank_Keys!$B$2:$B$800),--(Risk_Rank_Keys!$B$2:$B$800&lt;Risk_Rank_Keys!B95))+(SUMPRODUCT(--ISNUMBER(Risk_Rank_Keys!$B$2:$B$800),--(Risk_Rank_Keys!$B$2:$B$800=Risk_Rank_Keys!B95))+1)/2)/COUNT(Risk_Rank_Keys!$B$2:$B$800))</f>
        <v>0.341701534170153</v>
      </c>
      <c r="N95" s="0" t="n">
        <f aca="false">IF(OR(B95="NW",COUNT(Risk_Rank_Keys!C95)=0),0.5,(SUMPRODUCT(--ISNUMBER(Risk_Rank_Keys!$C$2:$C$800),--(Risk_Rank_Keys!$C$2:$C$800&lt;Risk_Rank_Keys!C95))+(SUMPRODUCT(--ISNUMBER(Risk_Rank_Keys!$C$2:$C$800),--(Risk_Rank_Keys!$C$2:$C$800=Risk_Rank_Keys!C95))+1)/2)/COUNT(Risk_Rank_Keys!$C$2:$C$800))</f>
        <v>0.386331938633194</v>
      </c>
      <c r="O95" s="0" t="n">
        <f aca="false">IF(OR(B95="NW",COUNT(Risk_Rank_Keys!D95)=0),0.5,(SUMPRODUCT(--ISNUMBER(Risk_Rank_Keys!$D$2:$D$800),--(Risk_Rank_Keys!$D$2:$D$800&lt;Risk_Rank_Keys!D95))+(SUMPRODUCT(--ISNUMBER(Risk_Rank_Keys!$D$2:$D$800),--(Risk_Rank_Keys!$D$2:$D$800=Risk_Rank_Keys!D95))+1)/2)/COUNT(Risk_Rank_Keys!$D$2:$D$800))</f>
        <v>0.719665271966527</v>
      </c>
      <c r="P95" s="0" t="n">
        <f aca="false">AVERAGE(M95:O95)</f>
        <v>0.482566248256625</v>
      </c>
      <c r="Q95" s="0" t="n">
        <f aca="false">0.4*H95+0.4*I95+0.2*P95</f>
        <v>0.686250421115656</v>
      </c>
      <c r="R95" s="0" t="n">
        <f aca="false">PERCENTILE($Q$2:$Q$800,0.75)</f>
        <v>0.667715717403612</v>
      </c>
      <c r="S95" s="1" t="b">
        <f aca="false">OR(Q95&gt;=R95,AND(B95="CW",COUNT(J95:L95)&lt;3))</f>
        <v>1</v>
      </c>
      <c r="T95" s="0" t="n">
        <v>0.328207648879302</v>
      </c>
      <c r="U95" s="0" t="n">
        <v>9.71309373848454</v>
      </c>
      <c r="V95" s="0" t="n">
        <v>0.686250421115656</v>
      </c>
      <c r="W95" s="0" t="n">
        <f aca="false">Q95-V95</f>
        <v>0</v>
      </c>
    </row>
    <row r="96" customFormat="false" ht="15" hidden="false" customHeight="false" outlineLevel="0" collapsed="false">
      <c r="A96" s="0" t="s">
        <v>130</v>
      </c>
      <c r="B96" s="0" t="s">
        <v>3013</v>
      </c>
      <c r="C96" s="0" t="n">
        <v>50.1779027547682</v>
      </c>
      <c r="D96" s="0" t="n">
        <f aca="false">SUMPRODUCT(Risk_Inputs!B96:AJ96,Risk_Coefs!$B$2:$AJ$2)</f>
        <v>-0.985595904382888</v>
      </c>
      <c r="E96" s="0" t="n">
        <f aca="false">1/(1+EXP(-MAX(-25,MIN(25,D96))))</f>
        <v>0.271782846129358</v>
      </c>
      <c r="F96" s="0" t="n">
        <f aca="false">SUMPRODUCT(Risk_Inputs!B96:AJ96,Risk_Coefs!$B$3:$AJ$3)</f>
        <v>9.80698760316111</v>
      </c>
      <c r="G96" s="0" t="n">
        <f aca="false">MAX(0,F96)</f>
        <v>9.80698760316111</v>
      </c>
      <c r="H96" s="0" t="n">
        <f aca="false">(SUMPRODUCT(--ISNUMBER($E$2:$E$800),--($E$2:$E$800&lt;E96))+(SUMPRODUCT(--ISNUMBER($E$2:$E$800),--($E$2:$E$800=E96))+1)/2)/COUNT($E$2:$E$800)</f>
        <v>0.400500625782228</v>
      </c>
      <c r="I96" s="0" t="n">
        <f aca="false">(SUMPRODUCT(--ISNUMBER($G$2:$G$800),--($G$2:$G$800&lt;G96))+(SUMPRODUCT(--ISNUMBER($G$2:$G$800),--($G$2:$G$800=G96))+1)/2)/COUNT($G$2:$G$800)</f>
        <v>0.76720901126408</v>
      </c>
      <c r="J96" s="0" t="n">
        <v>11.6395502350232</v>
      </c>
      <c r="K96" s="0" t="n">
        <v>6.61925601750547</v>
      </c>
      <c r="L96" s="0" t="n">
        <v>0.492341356673964</v>
      </c>
      <c r="M96" s="0" t="n">
        <f aca="false">IF(OR(B96="NW",COUNT(Risk_Rank_Keys!B96)=0),0.5,(SUMPRODUCT(--ISNUMBER(Risk_Rank_Keys!$B$2:$B$800),--(Risk_Rank_Keys!$B$2:$B$800&lt;Risk_Rank_Keys!B96))+(SUMPRODUCT(--ISNUMBER(Risk_Rank_Keys!$B$2:$B$800),--(Risk_Rank_Keys!$B$2:$B$800=Risk_Rank_Keys!B96))+1)/2)/COUNT(Risk_Rank_Keys!$B$2:$B$800))</f>
        <v>0.581589958158996</v>
      </c>
      <c r="N96" s="0" t="n">
        <f aca="false">IF(OR(B96="NW",COUNT(Risk_Rank_Keys!C96)=0),0.5,(SUMPRODUCT(--ISNUMBER(Risk_Rank_Keys!$C$2:$C$800),--(Risk_Rank_Keys!$C$2:$C$800&lt;Risk_Rank_Keys!C96))+(SUMPRODUCT(--ISNUMBER(Risk_Rank_Keys!$C$2:$C$800),--(Risk_Rank_Keys!$C$2:$C$800=Risk_Rank_Keys!C96))+1)/2)/COUNT(Risk_Rank_Keys!$C$2:$C$800))</f>
        <v>0.771269177126918</v>
      </c>
      <c r="O96" s="0" t="n">
        <f aca="false">IF(OR(B96="NW",COUNT(Risk_Rank_Keys!D96)=0),0.5,(SUMPRODUCT(--ISNUMBER(Risk_Rank_Keys!$D$2:$D$800),--(Risk_Rank_Keys!$D$2:$D$800&lt;Risk_Rank_Keys!D96))+(SUMPRODUCT(--ISNUMBER(Risk_Rank_Keys!$D$2:$D$800),--(Risk_Rank_Keys!$D$2:$D$800=Risk_Rank_Keys!D96))+1)/2)/COUNT(Risk_Rank_Keys!$D$2:$D$800))</f>
        <v>0.947001394700139</v>
      </c>
      <c r="P96" s="0" t="n">
        <f aca="false">AVERAGE(M96:O96)</f>
        <v>0.766620176662018</v>
      </c>
      <c r="Q96" s="0" t="n">
        <f aca="false">0.4*H96+0.4*I96+0.2*P96</f>
        <v>0.620407890150927</v>
      </c>
      <c r="R96" s="0" t="n">
        <f aca="false">PERCENTILE($Q$2:$Q$800,0.75)</f>
        <v>0.667715717403612</v>
      </c>
      <c r="S96" s="1" t="b">
        <f aca="false">OR(Q96&gt;=R96,AND(B96="CW",COUNT(J96:L96)&lt;3))</f>
        <v>0</v>
      </c>
      <c r="T96" s="0" t="n">
        <v>0.271782846129358</v>
      </c>
      <c r="U96" s="0" t="n">
        <v>9.80698760316111</v>
      </c>
      <c r="V96" s="0" t="n">
        <v>0.620407890150927</v>
      </c>
      <c r="W96" s="0" t="n">
        <f aca="false">Q96-V96</f>
        <v>0</v>
      </c>
    </row>
    <row r="97" customFormat="false" ht="15" hidden="false" customHeight="false" outlineLevel="0" collapsed="false">
      <c r="A97" s="0" t="s">
        <v>131</v>
      </c>
      <c r="B97" s="0" t="s">
        <v>3013</v>
      </c>
      <c r="C97" s="0" t="n">
        <v>-41.6233035068069</v>
      </c>
      <c r="D97" s="0" t="n">
        <f aca="false">SUMPRODUCT(Risk_Inputs!B97:AJ97,Risk_Coefs!$B$2:$AJ$2)</f>
        <v>-0.844258652757161</v>
      </c>
      <c r="E97" s="0" t="n">
        <f aca="false">1/(1+EXP(-MAX(-25,MIN(25,D97))))</f>
        <v>0.300638621291282</v>
      </c>
      <c r="F97" s="0" t="n">
        <f aca="false">SUMPRODUCT(Risk_Inputs!B97:AJ97,Risk_Coefs!$B$3:$AJ$3)</f>
        <v>12.8620145552938</v>
      </c>
      <c r="G97" s="0" t="n">
        <f aca="false">MAX(0,F97)</f>
        <v>12.8620145552938</v>
      </c>
      <c r="H97" s="0" t="n">
        <f aca="false">(SUMPRODUCT(--ISNUMBER($E$2:$E$800),--($E$2:$E$800&lt;E97))+(SUMPRODUCT(--ISNUMBER($E$2:$E$800),--($E$2:$E$800=E97))+1)/2)/COUNT($E$2:$E$800)</f>
        <v>0.569461827284105</v>
      </c>
      <c r="I97" s="0" t="n">
        <f aca="false">(SUMPRODUCT(--ISNUMBER($G$2:$G$800),--($G$2:$G$800&lt;G97))+(SUMPRODUCT(--ISNUMBER($G$2:$G$800),--($G$2:$G$800=G97))+1)/2)/COUNT($G$2:$G$800)</f>
        <v>0.948685857321652</v>
      </c>
      <c r="J97" s="0" t="n">
        <v>16.4859308296545</v>
      </c>
      <c r="K97" s="0" t="n">
        <v>4.82614478434354</v>
      </c>
      <c r="L97" s="0" t="n">
        <v>0.285008550256508</v>
      </c>
      <c r="M97" s="0" t="n">
        <f aca="false">IF(OR(B97="NW",COUNT(Risk_Rank_Keys!B97)=0),0.5,(SUMPRODUCT(--ISNUMBER(Risk_Rank_Keys!$B$2:$B$800),--(Risk_Rank_Keys!$B$2:$B$800&lt;Risk_Rank_Keys!B97))+(SUMPRODUCT(--ISNUMBER(Risk_Rank_Keys!$B$2:$B$800),--(Risk_Rank_Keys!$B$2:$B$800=Risk_Rank_Keys!B97))+1)/2)/COUNT(Risk_Rank_Keys!$B$2:$B$800))</f>
        <v>0.735006973500697</v>
      </c>
      <c r="N97" s="0" t="n">
        <f aca="false">IF(OR(B97="NW",COUNT(Risk_Rank_Keys!C97)=0),0.5,(SUMPRODUCT(--ISNUMBER(Risk_Rank_Keys!$C$2:$C$800),--(Risk_Rank_Keys!$C$2:$C$800&lt;Risk_Rank_Keys!C97))+(SUMPRODUCT(--ISNUMBER(Risk_Rank_Keys!$C$2:$C$800),--(Risk_Rank_Keys!$C$2:$C$800=Risk_Rank_Keys!C97))+1)/2)/COUNT(Risk_Rank_Keys!$C$2:$C$800))</f>
        <v>0.677824267782427</v>
      </c>
      <c r="O97" s="0" t="n">
        <f aca="false">IF(OR(B97="NW",COUNT(Risk_Rank_Keys!D97)=0),0.5,(SUMPRODUCT(--ISNUMBER(Risk_Rank_Keys!$D$2:$D$800),--(Risk_Rank_Keys!$D$2:$D$800&lt;Risk_Rank_Keys!D97))+(SUMPRODUCT(--ISNUMBER(Risk_Rank_Keys!$D$2:$D$800),--(Risk_Rank_Keys!$D$2:$D$800=Risk_Rank_Keys!D97))+1)/2)/COUNT(Risk_Rank_Keys!$D$2:$D$800))</f>
        <v>0.711297071129707</v>
      </c>
      <c r="P97" s="0" t="n">
        <f aca="false">AVERAGE(M97:O97)</f>
        <v>0.708042770804277</v>
      </c>
      <c r="Q97" s="0" t="n">
        <f aca="false">0.4*H97+0.4*I97+0.2*P97</f>
        <v>0.748867628003158</v>
      </c>
      <c r="R97" s="0" t="n">
        <f aca="false">PERCENTILE($Q$2:$Q$800,0.75)</f>
        <v>0.667715717403612</v>
      </c>
      <c r="S97" s="1" t="b">
        <f aca="false">OR(Q97&gt;=R97,AND(B97="CW",COUNT(J97:L97)&lt;3))</f>
        <v>1</v>
      </c>
      <c r="T97" s="0" t="n">
        <v>0.300638621291282</v>
      </c>
      <c r="U97" s="0" t="n">
        <v>12.8620145552938</v>
      </c>
      <c r="V97" s="0" t="n">
        <v>0.748867628003158</v>
      </c>
      <c r="W97" s="0" t="n">
        <f aca="false">Q97-V97</f>
        <v>0</v>
      </c>
    </row>
    <row r="98" customFormat="false" ht="15" hidden="false" customHeight="false" outlineLevel="0" collapsed="false">
      <c r="A98" s="0" t="s">
        <v>132</v>
      </c>
      <c r="B98" s="0" t="s">
        <v>3013</v>
      </c>
      <c r="C98" s="0" t="n">
        <v>9.1129722783956</v>
      </c>
      <c r="D98" s="0" t="n">
        <f aca="false">SUMPRODUCT(Risk_Inputs!B98:AJ98,Risk_Coefs!$B$2:$AJ$2)</f>
        <v>-0.479527250839864</v>
      </c>
      <c r="E98" s="0" t="n">
        <f aca="false">1/(1+EXP(-MAX(-25,MIN(25,D98))))</f>
        <v>0.382363764273069</v>
      </c>
      <c r="F98" s="0" t="n">
        <f aca="false">SUMPRODUCT(Risk_Inputs!B98:AJ98,Risk_Coefs!$B$3:$AJ$3)</f>
        <v>8.4109650590109</v>
      </c>
      <c r="G98" s="0" t="n">
        <f aca="false">MAX(0,F98)</f>
        <v>8.4109650590109</v>
      </c>
      <c r="H98" s="0" t="n">
        <f aca="false">(SUMPRODUCT(--ISNUMBER($E$2:$E$800),--($E$2:$E$800&lt;E98))+(SUMPRODUCT(--ISNUMBER($E$2:$E$800),--($E$2:$E$800=E98))+1)/2)/COUNT($E$2:$E$800)</f>
        <v>0.908635794743429</v>
      </c>
      <c r="I98" s="0" t="n">
        <f aca="false">(SUMPRODUCT(--ISNUMBER($G$2:$G$800),--($G$2:$G$800&lt;G98))+(SUMPRODUCT(--ISNUMBER($G$2:$G$800),--($G$2:$G$800=G98))+1)/2)/COUNT($G$2:$G$800)</f>
        <v>0.594493116395494</v>
      </c>
      <c r="J98" s="0" t="n">
        <v>10.8593377415158</v>
      </c>
      <c r="K98" s="0" t="n">
        <v>1.92599004544472</v>
      </c>
      <c r="L98" s="0" t="n">
        <v>0.2596840510712</v>
      </c>
      <c r="M98" s="0" t="n">
        <f aca="false">IF(OR(B98="NW",COUNT(Risk_Rank_Keys!B98)=0),0.5,(SUMPRODUCT(--ISNUMBER(Risk_Rank_Keys!$B$2:$B$800),--(Risk_Rank_Keys!$B$2:$B$800&lt;Risk_Rank_Keys!B98))+(SUMPRODUCT(--ISNUMBER(Risk_Rank_Keys!$B$2:$B$800),--(Risk_Rank_Keys!$B$2:$B$800=Risk_Rank_Keys!B98))+1)/2)/COUNT(Risk_Rank_Keys!$B$2:$B$800))</f>
        <v>0.539748953974895</v>
      </c>
      <c r="N98" s="0" t="n">
        <f aca="false">IF(OR(B98="NW",COUNT(Risk_Rank_Keys!C98)=0),0.5,(SUMPRODUCT(--ISNUMBER(Risk_Rank_Keys!$C$2:$C$800),--(Risk_Rank_Keys!$C$2:$C$800&lt;Risk_Rank_Keys!C98))+(SUMPRODUCT(--ISNUMBER(Risk_Rank_Keys!$C$2:$C$800),--(Risk_Rank_Keys!$C$2:$C$800=Risk_Rank_Keys!C98))+1)/2)/COUNT(Risk_Rank_Keys!$C$2:$C$800))</f>
        <v>0.252440725244073</v>
      </c>
      <c r="O98" s="0" t="n">
        <f aca="false">IF(OR(B98="NW",COUNT(Risk_Rank_Keys!D98)=0),0.5,(SUMPRODUCT(--ISNUMBER(Risk_Rank_Keys!$D$2:$D$800),--(Risk_Rank_Keys!$D$2:$D$800&lt;Risk_Rank_Keys!D98))+(SUMPRODUCT(--ISNUMBER(Risk_Rank_Keys!$D$2:$D$800),--(Risk_Rank_Keys!$D$2:$D$800=Risk_Rank_Keys!D98))+1)/2)/COUNT(Risk_Rank_Keys!$D$2:$D$800))</f>
        <v>0.630404463040446</v>
      </c>
      <c r="P98" s="0" t="n">
        <f aca="false">AVERAGE(M98:O98)</f>
        <v>0.474198047419805</v>
      </c>
      <c r="Q98" s="0" t="n">
        <f aca="false">0.4*H98+0.4*I98+0.2*P98</f>
        <v>0.696091173939531</v>
      </c>
      <c r="R98" s="0" t="n">
        <f aca="false">PERCENTILE($Q$2:$Q$800,0.75)</f>
        <v>0.667715717403612</v>
      </c>
      <c r="S98" s="1" t="b">
        <f aca="false">OR(Q98&gt;=R98,AND(B98="CW",COUNT(J98:L98)&lt;3))</f>
        <v>1</v>
      </c>
      <c r="T98" s="0" t="n">
        <v>0.382363764273069</v>
      </c>
      <c r="U98" s="0" t="n">
        <v>8.4109650590109</v>
      </c>
      <c r="V98" s="0" t="n">
        <v>0.696091173939531</v>
      </c>
      <c r="W98" s="0" t="n">
        <f aca="false">Q98-V98</f>
        <v>0</v>
      </c>
    </row>
    <row r="99" customFormat="false" ht="15" hidden="false" customHeight="false" outlineLevel="0" collapsed="false">
      <c r="A99" s="0" t="s">
        <v>133</v>
      </c>
      <c r="B99" s="0" t="s">
        <v>3013</v>
      </c>
      <c r="C99" s="0" t="n">
        <v>-44.0876468152078</v>
      </c>
      <c r="D99" s="0" t="n">
        <f aca="false">SUMPRODUCT(Risk_Inputs!B99:AJ99,Risk_Coefs!$B$2:$AJ$2)</f>
        <v>-0.729895405651236</v>
      </c>
      <c r="E99" s="0" t="n">
        <f aca="false">1/(1+EXP(-MAX(-25,MIN(25,D99))))</f>
        <v>0.325217680347208</v>
      </c>
      <c r="F99" s="0" t="n">
        <f aca="false">SUMPRODUCT(Risk_Inputs!B99:AJ99,Risk_Coefs!$B$3:$AJ$3)</f>
        <v>9.7118396534443</v>
      </c>
      <c r="G99" s="0" t="n">
        <f aca="false">MAX(0,F99)</f>
        <v>9.7118396534443</v>
      </c>
      <c r="H99" s="0" t="n">
        <f aca="false">(SUMPRODUCT(--ISNUMBER($E$2:$E$800),--($E$2:$E$800&lt;E99))+(SUMPRODUCT(--ISNUMBER($E$2:$E$800),--($E$2:$E$800=E99))+1)/2)/COUNT($E$2:$E$800)</f>
        <v>0.704630788485607</v>
      </c>
      <c r="I99" s="0" t="n">
        <f aca="false">(SUMPRODUCT(--ISNUMBER($G$2:$G$800),--($G$2:$G$800&lt;G99))+(SUMPRODUCT(--ISNUMBER($G$2:$G$800),--($G$2:$G$800=G99))+1)/2)/COUNT($G$2:$G$800)</f>
        <v>0.748435544430538</v>
      </c>
      <c r="J99" s="0" t="n">
        <v>8.62815496545555</v>
      </c>
      <c r="K99" s="0" t="n">
        <v>1.69204737732657</v>
      </c>
      <c r="L99" s="0" t="n">
        <v>0.296108291032144</v>
      </c>
      <c r="M99" s="0" t="n">
        <f aca="false">IF(OR(B99="NW",COUNT(Risk_Rank_Keys!B99)=0),0.5,(SUMPRODUCT(--ISNUMBER(Risk_Rank_Keys!$B$2:$B$800),--(Risk_Rank_Keys!$B$2:$B$800&lt;Risk_Rank_Keys!B99))+(SUMPRODUCT(--ISNUMBER(Risk_Rank_Keys!$B$2:$B$800),--(Risk_Rank_Keys!$B$2:$B$800=Risk_Rank_Keys!B99))+1)/2)/COUNT(Risk_Rank_Keys!$B$2:$B$800))</f>
        <v>0.429567642956764</v>
      </c>
      <c r="N99" s="0" t="n">
        <f aca="false">IF(OR(B99="NW",COUNT(Risk_Rank_Keys!C99)=0),0.5,(SUMPRODUCT(--ISNUMBER(Risk_Rank_Keys!$C$2:$C$800),--(Risk_Rank_Keys!$C$2:$C$800&lt;Risk_Rank_Keys!C99))+(SUMPRODUCT(--ISNUMBER(Risk_Rank_Keys!$C$2:$C$800),--(Risk_Rank_Keys!$C$2:$C$800=Risk_Rank_Keys!C99))+1)/2)/COUNT(Risk_Rank_Keys!$C$2:$C$800))</f>
        <v>0.186889818688982</v>
      </c>
      <c r="O99" s="0" t="n">
        <f aca="false">IF(OR(B99="NW",COUNT(Risk_Rank_Keys!D99)=0),0.5,(SUMPRODUCT(--ISNUMBER(Risk_Rank_Keys!$D$2:$D$800),--(Risk_Rank_Keys!$D$2:$D$800&lt;Risk_Rank_Keys!D99))+(SUMPRODUCT(--ISNUMBER(Risk_Rank_Keys!$D$2:$D$800),--(Risk_Rank_Keys!$D$2:$D$800=Risk_Rank_Keys!D99))+1)/2)/COUNT(Risk_Rank_Keys!$D$2:$D$800))</f>
        <v>0.740585774058577</v>
      </c>
      <c r="P99" s="0" t="n">
        <f aca="false">AVERAGE(M99:O99)</f>
        <v>0.452347745234775</v>
      </c>
      <c r="Q99" s="0" t="n">
        <f aca="false">0.4*H99+0.4*I99+0.2*P99</f>
        <v>0.671696082213413</v>
      </c>
      <c r="R99" s="0" t="n">
        <f aca="false">PERCENTILE($Q$2:$Q$800,0.75)</f>
        <v>0.667715717403612</v>
      </c>
      <c r="S99" s="1" t="b">
        <f aca="false">OR(Q99&gt;=R99,AND(B99="CW",COUNT(J99:L99)&lt;3))</f>
        <v>1</v>
      </c>
      <c r="T99" s="0" t="n">
        <v>0.325217680347208</v>
      </c>
      <c r="U99" s="0" t="n">
        <v>9.7118396534443</v>
      </c>
      <c r="V99" s="0" t="n">
        <v>0.671696082213413</v>
      </c>
      <c r="W99" s="0" t="n">
        <f aca="false">Q99-V99</f>
        <v>0</v>
      </c>
    </row>
    <row r="100" customFormat="false" ht="15" hidden="false" customHeight="false" outlineLevel="0" collapsed="false">
      <c r="A100" s="0" t="s">
        <v>134</v>
      </c>
      <c r="B100" s="0" t="s">
        <v>3013</v>
      </c>
      <c r="C100" s="0" t="n">
        <v>17.9068905593983</v>
      </c>
      <c r="D100" s="0" t="n">
        <f aca="false">SUMPRODUCT(Risk_Inputs!B100:AJ100,Risk_Coefs!$B$2:$AJ$2)</f>
        <v>-0.878168819343986</v>
      </c>
      <c r="E100" s="0" t="n">
        <f aca="false">1/(1+EXP(-MAX(-25,MIN(25,D100))))</f>
        <v>0.293557388191295</v>
      </c>
      <c r="F100" s="0" t="n">
        <f aca="false">SUMPRODUCT(Risk_Inputs!B100:AJ100,Risk_Coefs!$B$3:$AJ$3)</f>
        <v>12.150666889024</v>
      </c>
      <c r="G100" s="0" t="n">
        <f aca="false">MAX(0,F100)</f>
        <v>12.150666889024</v>
      </c>
      <c r="H100" s="0" t="n">
        <f aca="false">(SUMPRODUCT(--ISNUMBER($E$2:$E$800),--($E$2:$E$800&lt;E100))+(SUMPRODUCT(--ISNUMBER($E$2:$E$800),--($E$2:$E$800=E100))+1)/2)/COUNT($E$2:$E$800)</f>
        <v>0.544430538172716</v>
      </c>
      <c r="I100" s="0" t="n">
        <f aca="false">(SUMPRODUCT(--ISNUMBER($G$2:$G$800),--($G$2:$G$800&lt;G100))+(SUMPRODUCT(--ISNUMBER($G$2:$G$800),--($G$2:$G$800=G100))+1)/2)/COUNT($G$2:$G$800)</f>
        <v>0.924906132665832</v>
      </c>
      <c r="J100" s="0" t="n">
        <v>10.049771812935</v>
      </c>
      <c r="K100" s="0" t="n">
        <v>6.38075313807531</v>
      </c>
      <c r="L100" s="0" t="n">
        <v>0.470711297071125</v>
      </c>
      <c r="M100" s="0" t="n">
        <f aca="false">IF(OR(B100="NW",COUNT(Risk_Rank_Keys!B100)=0),0.5,(SUMPRODUCT(--ISNUMBER(Risk_Rank_Keys!$B$2:$B$800),--(Risk_Rank_Keys!$B$2:$B$800&lt;Risk_Rank_Keys!B100))+(SUMPRODUCT(--ISNUMBER(Risk_Rank_Keys!$B$2:$B$800),--(Risk_Rank_Keys!$B$2:$B$800=Risk_Rank_Keys!B100))+1)/2)/COUNT(Risk_Rank_Keys!$B$2:$B$800))</f>
        <v>0.509065550906555</v>
      </c>
      <c r="N100" s="0" t="n">
        <f aca="false">IF(OR(B100="NW",COUNT(Risk_Rank_Keys!C100)=0),0.5,(SUMPRODUCT(--ISNUMBER(Risk_Rank_Keys!$C$2:$C$800),--(Risk_Rank_Keys!$C$2:$C$800&lt;Risk_Rank_Keys!C100))+(SUMPRODUCT(--ISNUMBER(Risk_Rank_Keys!$C$2:$C$800),--(Risk_Rank_Keys!$C$2:$C$800=Risk_Rank_Keys!C100))+1)/2)/COUNT(Risk_Rank_Keys!$C$2:$C$800))</f>
        <v>0.758716875871688</v>
      </c>
      <c r="O100" s="0" t="n">
        <f aca="false">IF(OR(B100="NW",COUNT(Risk_Rank_Keys!D100)=0),0.5,(SUMPRODUCT(--ISNUMBER(Risk_Rank_Keys!$D$2:$D$800),--(Risk_Rank_Keys!$D$2:$D$800&lt;Risk_Rank_Keys!D100))+(SUMPRODUCT(--ISNUMBER(Risk_Rank_Keys!$D$2:$D$800),--(Risk_Rank_Keys!$D$2:$D$800=Risk_Rank_Keys!D100))+1)/2)/COUNT(Risk_Rank_Keys!$D$2:$D$800))</f>
        <v>0.937238493723849</v>
      </c>
      <c r="P100" s="0" t="n">
        <f aca="false">AVERAGE(M100:O100)</f>
        <v>0.735006973500697</v>
      </c>
      <c r="Q100" s="0" t="n">
        <f aca="false">0.4*H100+0.4*I100+0.2*P100</f>
        <v>0.734736063035559</v>
      </c>
      <c r="R100" s="0" t="n">
        <f aca="false">PERCENTILE($Q$2:$Q$800,0.75)</f>
        <v>0.667715717403612</v>
      </c>
      <c r="S100" s="1" t="b">
        <f aca="false">OR(Q100&gt;=R100,AND(B100="CW",COUNT(J100:L100)&lt;3))</f>
        <v>1</v>
      </c>
      <c r="T100" s="0" t="n">
        <v>0.293557388191295</v>
      </c>
      <c r="U100" s="0" t="n">
        <v>12.150666889024</v>
      </c>
      <c r="V100" s="0" t="n">
        <v>0.734736063035559</v>
      </c>
      <c r="W100" s="0" t="n">
        <f aca="false">Q100-V100</f>
        <v>0</v>
      </c>
    </row>
    <row r="101" customFormat="false" ht="15" hidden="false" customHeight="false" outlineLevel="0" collapsed="false">
      <c r="A101" s="0" t="s">
        <v>135</v>
      </c>
      <c r="B101" s="0" t="s">
        <v>3013</v>
      </c>
      <c r="C101" s="0" t="n">
        <v>30.9231504524188</v>
      </c>
      <c r="D101" s="0" t="n">
        <f aca="false">SUMPRODUCT(Risk_Inputs!B101:AJ101,Risk_Coefs!$B$2:$AJ$2)</f>
        <v>-0.91353710676688</v>
      </c>
      <c r="E101" s="0" t="n">
        <f aca="false">1/(1+EXP(-MAX(-25,MIN(25,D101))))</f>
        <v>0.286276581456239</v>
      </c>
      <c r="F101" s="0" t="n">
        <f aca="false">SUMPRODUCT(Risk_Inputs!B101:AJ101,Risk_Coefs!$B$3:$AJ$3)</f>
        <v>8.76663136995444</v>
      </c>
      <c r="G101" s="0" t="n">
        <f aca="false">MAX(0,F101)</f>
        <v>8.76663136995444</v>
      </c>
      <c r="H101" s="0" t="n">
        <f aca="false">(SUMPRODUCT(--ISNUMBER($E$2:$E$800),--($E$2:$E$800&lt;E101))+(SUMPRODUCT(--ISNUMBER($E$2:$E$800),--($E$2:$E$800=E101))+1)/2)/COUNT($E$2:$E$800)</f>
        <v>0.500625782227785</v>
      </c>
      <c r="I101" s="0" t="n">
        <f aca="false">(SUMPRODUCT(--ISNUMBER($G$2:$G$800),--($G$2:$G$800&lt;G101))+(SUMPRODUCT(--ISNUMBER($G$2:$G$800),--($G$2:$G$800=G101))+1)/2)/COUNT($G$2:$G$800)</f>
        <v>0.645807259073842</v>
      </c>
      <c r="J101" s="0" t="n">
        <v>7.83300537887403</v>
      </c>
      <c r="K101" s="0" t="n">
        <v>0.915382897968289</v>
      </c>
      <c r="L101" s="0" t="n">
        <v>0.267916945746822</v>
      </c>
      <c r="M101" s="0" t="n">
        <f aca="false">IF(OR(B101="NW",COUNT(Risk_Rank_Keys!B101)=0),0.5,(SUMPRODUCT(--ISNUMBER(Risk_Rank_Keys!$B$2:$B$800),--(Risk_Rank_Keys!$B$2:$B$800&lt;Risk_Rank_Keys!B101))+(SUMPRODUCT(--ISNUMBER(Risk_Rank_Keys!$B$2:$B$800),--(Risk_Rank_Keys!$B$2:$B$800=Risk_Rank_Keys!B101))+1)/2)/COUNT(Risk_Rank_Keys!$B$2:$B$800))</f>
        <v>0.372384937238494</v>
      </c>
      <c r="N101" s="0" t="n">
        <f aca="false">IF(OR(B101="NW",COUNT(Risk_Rank_Keys!C101)=0),0.5,(SUMPRODUCT(--ISNUMBER(Risk_Rank_Keys!$C$2:$C$800),--(Risk_Rank_Keys!$C$2:$C$800&lt;Risk_Rank_Keys!C101))+(SUMPRODUCT(--ISNUMBER(Risk_Rank_Keys!$C$2:$C$800),--(Risk_Rank_Keys!$C$2:$C$800=Risk_Rank_Keys!C101))+1)/2)/COUNT(Risk_Rank_Keys!$C$2:$C$800))</f>
        <v>0.0209205020920502</v>
      </c>
      <c r="O101" s="0" t="n">
        <f aca="false">IF(OR(B101="NW",COUNT(Risk_Rank_Keys!D101)=0),0.5,(SUMPRODUCT(--ISNUMBER(Risk_Rank_Keys!$D$2:$D$800),--(Risk_Rank_Keys!$D$2:$D$800&lt;Risk_Rank_Keys!D101))+(SUMPRODUCT(--ISNUMBER(Risk_Rank_Keys!$D$2:$D$800),--(Risk_Rank_Keys!$D$2:$D$800=Risk_Rank_Keys!D101))+1)/2)/COUNT(Risk_Rank_Keys!$D$2:$D$800))</f>
        <v>0.659693165969317</v>
      </c>
      <c r="P101" s="0" t="n">
        <f aca="false">AVERAGE(M101:O101)</f>
        <v>0.350999535099954</v>
      </c>
      <c r="Q101" s="0" t="n">
        <f aca="false">0.4*H101+0.4*I101+0.2*P101</f>
        <v>0.528773123540642</v>
      </c>
      <c r="R101" s="0" t="n">
        <f aca="false">PERCENTILE($Q$2:$Q$800,0.75)</f>
        <v>0.667715717403612</v>
      </c>
      <c r="S101" s="1" t="b">
        <f aca="false">OR(Q101&gt;=R101,AND(B101="CW",COUNT(J101:L101)&lt;3))</f>
        <v>0</v>
      </c>
      <c r="T101" s="0" t="n">
        <v>0.286276581456239</v>
      </c>
      <c r="U101" s="0" t="n">
        <v>8.76663136995444</v>
      </c>
      <c r="V101" s="0" t="n">
        <v>0.528773123540642</v>
      </c>
      <c r="W101" s="0" t="n">
        <f aca="false">Q101-V101</f>
        <v>0</v>
      </c>
    </row>
    <row r="102" customFormat="false" ht="15" hidden="false" customHeight="false" outlineLevel="0" collapsed="false">
      <c r="A102" s="0" t="s">
        <v>136</v>
      </c>
      <c r="B102" s="0" t="s">
        <v>3013</v>
      </c>
      <c r="C102" s="0" t="n">
        <v>46.9623077258824</v>
      </c>
      <c r="D102" s="0" t="n">
        <f aca="false">SUMPRODUCT(Risk_Inputs!B102:AJ102,Risk_Coefs!$B$2:$AJ$2)</f>
        <v>-0.664868858529503</v>
      </c>
      <c r="E102" s="0" t="n">
        <f aca="false">1/(1+EXP(-MAX(-25,MIN(25,D102))))</f>
        <v>0.339646739607169</v>
      </c>
      <c r="F102" s="0" t="n">
        <f aca="false">SUMPRODUCT(Risk_Inputs!B102:AJ102,Risk_Coefs!$B$3:$AJ$3)</f>
        <v>8.72962962267711</v>
      </c>
      <c r="G102" s="0" t="n">
        <f aca="false">MAX(0,F102)</f>
        <v>8.72962962267711</v>
      </c>
      <c r="H102" s="0" t="n">
        <f aca="false">(SUMPRODUCT(--ISNUMBER($E$2:$E$800),--($E$2:$E$800&lt;E102))+(SUMPRODUCT(--ISNUMBER($E$2:$E$800),--($E$2:$E$800=E102))+1)/2)/COUNT($E$2:$E$800)</f>
        <v>0.782227784730914</v>
      </c>
      <c r="I102" s="0" t="n">
        <f aca="false">(SUMPRODUCT(--ISNUMBER($G$2:$G$800),--($G$2:$G$800&lt;G102))+(SUMPRODUCT(--ISNUMBER($G$2:$G$800),--($G$2:$G$800=G102))+1)/2)/COUNT($G$2:$G$800)</f>
        <v>0.635794743429287</v>
      </c>
      <c r="J102" s="0" t="n">
        <v>6.98710389285973</v>
      </c>
      <c r="K102" s="0" t="n">
        <v>1.10097514941806</v>
      </c>
      <c r="L102" s="0" t="n">
        <v>0.251651462724122</v>
      </c>
      <c r="M102" s="0" t="n">
        <f aca="false">IF(OR(B102="NW",COUNT(Risk_Rank_Keys!B102)=0),0.5,(SUMPRODUCT(--ISNUMBER(Risk_Rank_Keys!$B$2:$B$800),--(Risk_Rank_Keys!$B$2:$B$800&lt;Risk_Rank_Keys!B102))+(SUMPRODUCT(--ISNUMBER(Risk_Rank_Keys!$B$2:$B$800),--(Risk_Rank_Keys!$B$2:$B$800=Risk_Rank_Keys!B102))+1)/2)/COUNT(Risk_Rank_Keys!$B$2:$B$800))</f>
        <v>0.311018131101813</v>
      </c>
      <c r="N102" s="0" t="n">
        <f aca="false">IF(OR(B102="NW",COUNT(Risk_Rank_Keys!C102)=0),0.5,(SUMPRODUCT(--ISNUMBER(Risk_Rank_Keys!$C$2:$C$800),--(Risk_Rank_Keys!$C$2:$C$800&lt;Risk_Rank_Keys!C102))+(SUMPRODUCT(--ISNUMBER(Risk_Rank_Keys!$C$2:$C$800),--(Risk_Rank_Keys!$C$2:$C$800=Risk_Rank_Keys!C102))+1)/2)/COUNT(Risk_Rank_Keys!$C$2:$C$800))</f>
        <v>0.0432357043235704</v>
      </c>
      <c r="O102" s="0" t="n">
        <f aca="false">IF(OR(B102="NW",COUNT(Risk_Rank_Keys!D102)=0),0.5,(SUMPRODUCT(--ISNUMBER(Risk_Rank_Keys!$D$2:$D$800),--(Risk_Rank_Keys!$D$2:$D$800&lt;Risk_Rank_Keys!D102))+(SUMPRODUCT(--ISNUMBER(Risk_Rank_Keys!$D$2:$D$800),--(Risk_Rank_Keys!$D$2:$D$800=Risk_Rank_Keys!D102))+1)/2)/COUNT(Risk_Rank_Keys!$D$2:$D$800))</f>
        <v>0.599721059972106</v>
      </c>
      <c r="P102" s="0" t="n">
        <f aca="false">AVERAGE(M102:O102)</f>
        <v>0.317991631799163</v>
      </c>
      <c r="Q102" s="0" t="n">
        <f aca="false">0.4*H102+0.4*I102+0.2*P102</f>
        <v>0.630807337623913</v>
      </c>
      <c r="R102" s="0" t="n">
        <f aca="false">PERCENTILE($Q$2:$Q$800,0.75)</f>
        <v>0.667715717403612</v>
      </c>
      <c r="S102" s="1" t="b">
        <f aca="false">OR(Q102&gt;=R102,AND(B102="CW",COUNT(J102:L102)&lt;3))</f>
        <v>0</v>
      </c>
      <c r="T102" s="0" t="n">
        <v>0.33964673960717</v>
      </c>
      <c r="U102" s="0" t="n">
        <v>8.72962962267711</v>
      </c>
      <c r="V102" s="0" t="n">
        <v>0.630807337623913</v>
      </c>
      <c r="W102" s="0" t="n">
        <f aca="false">Q102-V102</f>
        <v>0</v>
      </c>
    </row>
    <row r="103" customFormat="false" ht="15" hidden="false" customHeight="false" outlineLevel="0" collapsed="false">
      <c r="A103" s="0" t="s">
        <v>137</v>
      </c>
      <c r="B103" s="0" t="s">
        <v>3013</v>
      </c>
      <c r="C103" s="0" t="n">
        <v>24.3564865763699</v>
      </c>
      <c r="D103" s="0" t="n">
        <f aca="false">SUMPRODUCT(Risk_Inputs!B103:AJ103,Risk_Coefs!$B$2:$AJ$2)</f>
        <v>-1.03603680098942</v>
      </c>
      <c r="E103" s="0" t="n">
        <f aca="false">1/(1+EXP(-MAX(-25,MIN(25,D103))))</f>
        <v>0.261915419396014</v>
      </c>
      <c r="F103" s="0" t="n">
        <f aca="false">SUMPRODUCT(Risk_Inputs!B103:AJ103,Risk_Coefs!$B$3:$AJ$3)</f>
        <v>7.65096005418895</v>
      </c>
      <c r="G103" s="0" t="n">
        <f aca="false">MAX(0,F103)</f>
        <v>7.65096005418895</v>
      </c>
      <c r="H103" s="0" t="n">
        <f aca="false">(SUMPRODUCT(--ISNUMBER($E$2:$E$800),--($E$2:$E$800&lt;E103))+(SUMPRODUCT(--ISNUMBER($E$2:$E$800),--($E$2:$E$800=E103))+1)/2)/COUNT($E$2:$E$800)</f>
        <v>0.345431789737172</v>
      </c>
      <c r="I103" s="0" t="n">
        <f aca="false">(SUMPRODUCT(--ISNUMBER($G$2:$G$800),--($G$2:$G$800&lt;G103))+(SUMPRODUCT(--ISNUMBER($G$2:$G$800),--($G$2:$G$800=G103))+1)/2)/COUNT($G$2:$G$800)</f>
        <v>0.506883604505632</v>
      </c>
      <c r="J103" s="0" t="n">
        <v>4.68342291308928</v>
      </c>
      <c r="K103" s="0" t="n">
        <v>1.81513543702876</v>
      </c>
      <c r="L103" s="0" t="n">
        <v>0.335101926836084</v>
      </c>
      <c r="M103" s="0" t="n">
        <f aca="false">IF(OR(B103="NW",COUNT(Risk_Rank_Keys!B103)=0),0.5,(SUMPRODUCT(--ISNUMBER(Risk_Rank_Keys!$B$2:$B$800),--(Risk_Rank_Keys!$B$2:$B$800&lt;Risk_Rank_Keys!B103))+(SUMPRODUCT(--ISNUMBER(Risk_Rank_Keys!$B$2:$B$800),--(Risk_Rank_Keys!$B$2:$B$800=Risk_Rank_Keys!B103))+1)/2)/COUNT(Risk_Rank_Keys!$B$2:$B$800))</f>
        <v>0.111576011157601</v>
      </c>
      <c r="N103" s="0" t="n">
        <f aca="false">IF(OR(B103="NW",COUNT(Risk_Rank_Keys!C103)=0),0.5,(SUMPRODUCT(--ISNUMBER(Risk_Rank_Keys!$C$2:$C$800),--(Risk_Rank_Keys!$C$2:$C$800&lt;Risk_Rank_Keys!C103))+(SUMPRODUCT(--ISNUMBER(Risk_Rank_Keys!$C$2:$C$800),--(Risk_Rank_Keys!$C$2:$C$800=Risk_Rank_Keys!C103))+1)/2)/COUNT(Risk_Rank_Keys!$C$2:$C$800))</f>
        <v>0.218967921896792</v>
      </c>
      <c r="O103" s="0" t="n">
        <f aca="false">IF(OR(B103="NW",COUNT(Risk_Rank_Keys!D103)=0),0.5,(SUMPRODUCT(--ISNUMBER(Risk_Rank_Keys!$D$2:$D$800),--(Risk_Rank_Keys!$D$2:$D$800&lt;Risk_Rank_Keys!D103))+(SUMPRODUCT(--ISNUMBER(Risk_Rank_Keys!$D$2:$D$800),--(Risk_Rank_Keys!$D$2:$D$800=Risk_Rank_Keys!D103))+1)/2)/COUNT(Risk_Rank_Keys!$D$2:$D$800))</f>
        <v>0.807531380753138</v>
      </c>
      <c r="P103" s="0" t="n">
        <f aca="false">AVERAGE(M103:O103)</f>
        <v>0.379358437935844</v>
      </c>
      <c r="Q103" s="0" t="n">
        <f aca="false">0.4*H103+0.4*I103+0.2*P103</f>
        <v>0.41679784528429</v>
      </c>
      <c r="R103" s="0" t="n">
        <f aca="false">PERCENTILE($Q$2:$Q$800,0.75)</f>
        <v>0.667715717403612</v>
      </c>
      <c r="S103" s="1" t="b">
        <f aca="false">OR(Q103&gt;=R103,AND(B103="CW",COUNT(J103:L103)&lt;3))</f>
        <v>0</v>
      </c>
      <c r="T103" s="0" t="n">
        <v>0.261915419396014</v>
      </c>
      <c r="U103" s="0" t="n">
        <v>7.65096005418894</v>
      </c>
      <c r="V103" s="0" t="n">
        <v>0.41679784528429</v>
      </c>
      <c r="W103" s="0" t="n">
        <f aca="false">Q103-V103</f>
        <v>0</v>
      </c>
    </row>
    <row r="104" customFormat="false" ht="15" hidden="false" customHeight="false" outlineLevel="0" collapsed="false">
      <c r="A104" s="0" t="s">
        <v>138</v>
      </c>
      <c r="B104" s="0" t="s">
        <v>3013</v>
      </c>
      <c r="C104" s="0" t="n">
        <v>26.498767602304</v>
      </c>
      <c r="D104" s="0" t="n">
        <f aca="false">SUMPRODUCT(Risk_Inputs!B104:AJ104,Risk_Coefs!$B$2:$AJ$2)</f>
        <v>-0.670666990552475</v>
      </c>
      <c r="E104" s="0" t="n">
        <f aca="false">1/(1+EXP(-MAX(-25,MIN(25,D104))))</f>
        <v>0.338347506545868</v>
      </c>
      <c r="F104" s="0" t="n">
        <f aca="false">SUMPRODUCT(Risk_Inputs!B104:AJ104,Risk_Coefs!$B$3:$AJ$3)</f>
        <v>9.46053631885491</v>
      </c>
      <c r="G104" s="0" t="n">
        <f aca="false">MAX(0,F104)</f>
        <v>9.46053631885491</v>
      </c>
      <c r="H104" s="0" t="n">
        <f aca="false">(SUMPRODUCT(--ISNUMBER($E$2:$E$800),--($E$2:$E$800&lt;E104))+(SUMPRODUCT(--ISNUMBER($E$2:$E$800),--($E$2:$E$800=E104))+1)/2)/COUNT($E$2:$E$800)</f>
        <v>0.779724655819775</v>
      </c>
      <c r="I104" s="0" t="n">
        <f aca="false">(SUMPRODUCT(--ISNUMBER($G$2:$G$800),--($G$2:$G$800&lt;G104))+(SUMPRODUCT(--ISNUMBER($G$2:$G$800),--($G$2:$G$800=G104))+1)/2)/COUNT($G$2:$G$800)</f>
        <v>0.724655819774718</v>
      </c>
      <c r="J104" s="0" t="n">
        <v>4.1139533177922</v>
      </c>
      <c r="K104" s="0" t="n">
        <v>1.15729806329713</v>
      </c>
      <c r="L104" s="0" t="n">
        <v>0.188946622579124</v>
      </c>
      <c r="M104" s="0" t="n">
        <f aca="false">IF(OR(B104="NW",COUNT(Risk_Rank_Keys!B104)=0),0.5,(SUMPRODUCT(--ISNUMBER(Risk_Rank_Keys!$B$2:$B$800),--(Risk_Rank_Keys!$B$2:$B$800&lt;Risk_Rank_Keys!B104))+(SUMPRODUCT(--ISNUMBER(Risk_Rank_Keys!$B$2:$B$800),--(Risk_Rank_Keys!$B$2:$B$800=Risk_Rank_Keys!B104))+1)/2)/COUNT(Risk_Rank_Keys!$B$2:$B$800))</f>
        <v>0.0794979079497908</v>
      </c>
      <c r="N104" s="0" t="n">
        <f aca="false">IF(OR(B104="NW",COUNT(Risk_Rank_Keys!C104)=0),0.5,(SUMPRODUCT(--ISNUMBER(Risk_Rank_Keys!$C$2:$C$800),--(Risk_Rank_Keys!$C$2:$C$800&lt;Risk_Rank_Keys!C104))+(SUMPRODUCT(--ISNUMBER(Risk_Rank_Keys!$C$2:$C$800),--(Risk_Rank_Keys!$C$2:$C$800=Risk_Rank_Keys!C104))+1)/2)/COUNT(Risk_Rank_Keys!$C$2:$C$800))</f>
        <v>0.0557880055788006</v>
      </c>
      <c r="O104" s="0" t="n">
        <f aca="false">IF(OR(B104="NW",COUNT(Risk_Rank_Keys!D104)=0),0.5,(SUMPRODUCT(--ISNUMBER(Risk_Rank_Keys!$D$2:$D$800),--(Risk_Rank_Keys!$D$2:$D$800&lt;Risk_Rank_Keys!D104))+(SUMPRODUCT(--ISNUMBER(Risk_Rank_Keys!$D$2:$D$800),--(Risk_Rank_Keys!$D$2:$D$800=Risk_Rank_Keys!D104))+1)/2)/COUNT(Risk_Rank_Keys!$D$2:$D$800))</f>
        <v>0.246164574616457</v>
      </c>
      <c r="P104" s="0" t="n">
        <f aca="false">AVERAGE(M104:O104)</f>
        <v>0.127150162715016</v>
      </c>
      <c r="Q104" s="0" t="n">
        <f aca="false">0.4*H104+0.4*I104+0.2*P104</f>
        <v>0.627182222780801</v>
      </c>
      <c r="R104" s="0" t="n">
        <f aca="false">PERCENTILE($Q$2:$Q$800,0.75)</f>
        <v>0.667715717403612</v>
      </c>
      <c r="S104" s="1" t="b">
        <f aca="false">OR(Q104&gt;=R104,AND(B104="CW",COUNT(J104:L104)&lt;3))</f>
        <v>0</v>
      </c>
      <c r="T104" s="0" t="n">
        <v>0.338347506545868</v>
      </c>
      <c r="U104" s="0" t="n">
        <v>9.46053631885491</v>
      </c>
      <c r="V104" s="0" t="n">
        <v>0.627182222780801</v>
      </c>
      <c r="W104" s="0" t="n">
        <f aca="false">Q104-V104</f>
        <v>0</v>
      </c>
    </row>
    <row r="105" customFormat="false" ht="15" hidden="false" customHeight="false" outlineLevel="0" collapsed="false">
      <c r="A105" s="0" t="s">
        <v>139</v>
      </c>
      <c r="B105" s="0" t="s">
        <v>3013</v>
      </c>
      <c r="C105" s="0" t="n">
        <v>13.8148849665922</v>
      </c>
      <c r="D105" s="0" t="n">
        <f aca="false">SUMPRODUCT(Risk_Inputs!B105:AJ105,Risk_Coefs!$B$2:$AJ$2)</f>
        <v>-1.34840339775395</v>
      </c>
      <c r="E105" s="0" t="n">
        <f aca="false">1/(1+EXP(-MAX(-25,MIN(25,D105))))</f>
        <v>0.206131519310154</v>
      </c>
      <c r="F105" s="0" t="n">
        <f aca="false">SUMPRODUCT(Risk_Inputs!B105:AJ105,Risk_Coefs!$B$3:$AJ$3)</f>
        <v>7.06142539806725</v>
      </c>
      <c r="G105" s="0" t="n">
        <f aca="false">MAX(0,F105)</f>
        <v>7.06142539806725</v>
      </c>
      <c r="H105" s="0" t="n">
        <f aca="false">(SUMPRODUCT(--ISNUMBER($E$2:$E$800),--($E$2:$E$800&lt;E105))+(SUMPRODUCT(--ISNUMBER($E$2:$E$800),--($E$2:$E$800=E105))+1)/2)/COUNT($E$2:$E$800)</f>
        <v>0.113892365456821</v>
      </c>
      <c r="I105" s="0" t="n">
        <f aca="false">(SUMPRODUCT(--ISNUMBER($G$2:$G$800),--($G$2:$G$800&lt;G105))+(SUMPRODUCT(--ISNUMBER($G$2:$G$800),--($G$2:$G$800=G105))+1)/2)/COUNT($G$2:$G$800)</f>
        <v>0.425531914893617</v>
      </c>
      <c r="J105" s="0" t="n">
        <v>5.26429585342673</v>
      </c>
      <c r="K105" s="0" t="n">
        <v>1.83052849129021</v>
      </c>
      <c r="L105" s="0" t="n">
        <v>0.413345143194569</v>
      </c>
      <c r="M105" s="0" t="n">
        <f aca="false">IF(OR(B105="NW",COUNT(Risk_Rank_Keys!B105)=0),0.5,(SUMPRODUCT(--ISNUMBER(Risk_Rank_Keys!$B$2:$B$800),--(Risk_Rank_Keys!$B$2:$B$800&lt;Risk_Rank_Keys!B105))+(SUMPRODUCT(--ISNUMBER(Risk_Rank_Keys!$B$2:$B$800),--(Risk_Rank_Keys!$B$2:$B$800=Risk_Rank_Keys!B105))+1)/2)/COUNT(Risk_Rank_Keys!$B$2:$B$800))</f>
        <v>0.146443514644351</v>
      </c>
      <c r="N105" s="0" t="n">
        <f aca="false">IF(OR(B105="NW",COUNT(Risk_Rank_Keys!C105)=0),0.5,(SUMPRODUCT(--ISNUMBER(Risk_Rank_Keys!$C$2:$C$800),--(Risk_Rank_Keys!$C$2:$C$800&lt;Risk_Rank_Keys!C105))+(SUMPRODUCT(--ISNUMBER(Risk_Rank_Keys!$C$2:$C$800),--(Risk_Rank_Keys!$C$2:$C$800=Risk_Rank_Keys!C105))+1)/2)/COUNT(Risk_Rank_Keys!$C$2:$C$800))</f>
        <v>0.225941422594142</v>
      </c>
      <c r="O105" s="0" t="n">
        <f aca="false">IF(OR(B105="NW",COUNT(Risk_Rank_Keys!D105)=0),0.5,(SUMPRODUCT(--ISNUMBER(Risk_Rank_Keys!$D$2:$D$800),--(Risk_Rank_Keys!$D$2:$D$800&lt;Risk_Rank_Keys!D105))+(SUMPRODUCT(--ISNUMBER(Risk_Rank_Keys!$D$2:$D$800),--(Risk_Rank_Keys!$D$2:$D$800=Risk_Rank_Keys!D105))+1)/2)/COUNT(Risk_Rank_Keys!$D$2:$D$800))</f>
        <v>0.891213389121339</v>
      </c>
      <c r="P105" s="0" t="n">
        <f aca="false">AVERAGE(M105:O105)</f>
        <v>0.421199442119944</v>
      </c>
      <c r="Q105" s="0" t="n">
        <f aca="false">0.4*H105+0.4*I105+0.2*P105</f>
        <v>0.300009600564164</v>
      </c>
      <c r="R105" s="0" t="n">
        <f aca="false">PERCENTILE($Q$2:$Q$800,0.75)</f>
        <v>0.667715717403612</v>
      </c>
      <c r="S105" s="1" t="b">
        <f aca="false">OR(Q105&gt;=R105,AND(B105="CW",COUNT(J105:L105)&lt;3))</f>
        <v>0</v>
      </c>
      <c r="T105" s="0" t="n">
        <v>0.206131519310154</v>
      </c>
      <c r="U105" s="0" t="n">
        <v>7.06142539806725</v>
      </c>
      <c r="V105" s="0" t="n">
        <v>0.300009600564164</v>
      </c>
      <c r="W105" s="0" t="n">
        <f aca="false">Q105-V105</f>
        <v>0</v>
      </c>
    </row>
    <row r="106" customFormat="false" ht="15" hidden="false" customHeight="false" outlineLevel="0" collapsed="false">
      <c r="A106" s="0" t="s">
        <v>140</v>
      </c>
      <c r="B106" s="0" t="s">
        <v>3013</v>
      </c>
      <c r="C106" s="0" t="n">
        <v>28.4813626005651</v>
      </c>
      <c r="D106" s="0" t="n">
        <f aca="false">SUMPRODUCT(Risk_Inputs!B106:AJ106,Risk_Coefs!$B$2:$AJ$2)</f>
        <v>-0.583728621233928</v>
      </c>
      <c r="E106" s="0" t="n">
        <f aca="false">1/(1+EXP(-MAX(-25,MIN(25,D106))))</f>
        <v>0.358075089997394</v>
      </c>
      <c r="F106" s="0" t="n">
        <f aca="false">SUMPRODUCT(Risk_Inputs!B106:AJ106,Risk_Coefs!$B$3:$AJ$3)</f>
        <v>8.94686502044864</v>
      </c>
      <c r="G106" s="0" t="n">
        <f aca="false">MAX(0,F106)</f>
        <v>8.94686502044864</v>
      </c>
      <c r="H106" s="0" t="n">
        <f aca="false">(SUMPRODUCT(--ISNUMBER($E$2:$E$800),--($E$2:$E$800&lt;E106))+(SUMPRODUCT(--ISNUMBER($E$2:$E$800),--($E$2:$E$800=E106))+1)/2)/COUNT($E$2:$E$800)</f>
        <v>0.842302878598248</v>
      </c>
      <c r="I106" s="0" t="n">
        <f aca="false">(SUMPRODUCT(--ISNUMBER($G$2:$G$800),--($G$2:$G$800&lt;G106))+(SUMPRODUCT(--ISNUMBER($G$2:$G$800),--($G$2:$G$800=G106))+1)/2)/COUNT($G$2:$G$800)</f>
        <v>0.673341677096371</v>
      </c>
      <c r="J106" s="0" t="n">
        <v>8.48723735655956</v>
      </c>
      <c r="K106" s="0" t="n">
        <v>5.21684475172846</v>
      </c>
      <c r="L106" s="0" t="n">
        <v>0.251414204902581</v>
      </c>
      <c r="M106" s="0" t="n">
        <f aca="false">IF(OR(B106="NW",COUNT(Risk_Rank_Keys!B106)=0),0.5,(SUMPRODUCT(--ISNUMBER(Risk_Rank_Keys!$B$2:$B$800),--(Risk_Rank_Keys!$B$2:$B$800&lt;Risk_Rank_Keys!B106))+(SUMPRODUCT(--ISNUMBER(Risk_Rank_Keys!$B$2:$B$800),--(Risk_Rank_Keys!$B$2:$B$800=Risk_Rank_Keys!B106))+1)/2)/COUNT(Risk_Rank_Keys!$B$2:$B$800))</f>
        <v>0.415620641562064</v>
      </c>
      <c r="N106" s="0" t="n">
        <f aca="false">IF(OR(B106="NW",COUNT(Risk_Rank_Keys!C106)=0),0.5,(SUMPRODUCT(--ISNUMBER(Risk_Rank_Keys!$C$2:$C$800),--(Risk_Rank_Keys!$C$2:$C$800&lt;Risk_Rank_Keys!C106))+(SUMPRODUCT(--ISNUMBER(Risk_Rank_Keys!$C$2:$C$800),--(Risk_Rank_Keys!$C$2:$C$800=Risk_Rank_Keys!C106))+1)/2)/COUNT(Risk_Rank_Keys!$C$2:$C$800))</f>
        <v>0.700139470013947</v>
      </c>
      <c r="O106" s="0" t="n">
        <f aca="false">IF(OR(B106="NW",COUNT(Risk_Rank_Keys!D106)=0),0.5,(SUMPRODUCT(--ISNUMBER(Risk_Rank_Keys!$D$2:$D$800),--(Risk_Rank_Keys!$D$2:$D$800&lt;Risk_Rank_Keys!D106))+(SUMPRODUCT(--ISNUMBER(Risk_Rank_Keys!$D$2:$D$800),--(Risk_Rank_Keys!$D$2:$D$800=Risk_Rank_Keys!D106))+1)/2)/COUNT(Risk_Rank_Keys!$D$2:$D$800))</f>
        <v>0.596931659693166</v>
      </c>
      <c r="P106" s="0" t="n">
        <f aca="false">AVERAGE(M106:O106)</f>
        <v>0.570897257089726</v>
      </c>
      <c r="Q106" s="0" t="n">
        <f aca="false">0.4*H106+0.4*I106+0.2*P106</f>
        <v>0.720437273695793</v>
      </c>
      <c r="R106" s="0" t="n">
        <f aca="false">PERCENTILE($Q$2:$Q$800,0.75)</f>
        <v>0.667715717403612</v>
      </c>
      <c r="S106" s="1" t="b">
        <f aca="false">OR(Q106&gt;=R106,AND(B106="CW",COUNT(J106:L106)&lt;3))</f>
        <v>1</v>
      </c>
      <c r="T106" s="0" t="n">
        <v>0.358075089997394</v>
      </c>
      <c r="U106" s="0" t="n">
        <v>8.94686502044864</v>
      </c>
      <c r="V106" s="0" t="n">
        <v>0.720437273695793</v>
      </c>
      <c r="W106" s="0" t="n">
        <f aca="false">Q106-V106</f>
        <v>0</v>
      </c>
    </row>
    <row r="107" customFormat="false" ht="15" hidden="false" customHeight="false" outlineLevel="0" collapsed="false">
      <c r="A107" s="0" t="s">
        <v>141</v>
      </c>
      <c r="B107" s="0" t="s">
        <v>3013</v>
      </c>
      <c r="C107" s="0" t="n">
        <v>35.7045066914651</v>
      </c>
      <c r="D107" s="0" t="n">
        <f aca="false">SUMPRODUCT(Risk_Inputs!B107:AJ107,Risk_Coefs!$B$2:$AJ$2)</f>
        <v>-0.888261996604015</v>
      </c>
      <c r="E107" s="0" t="n">
        <f aca="false">1/(1+EXP(-MAX(-25,MIN(25,D107))))</f>
        <v>0.291468620493763</v>
      </c>
      <c r="F107" s="0" t="n">
        <f aca="false">SUMPRODUCT(Risk_Inputs!B107:AJ107,Risk_Coefs!$B$3:$AJ$3)</f>
        <v>8.03622349380937</v>
      </c>
      <c r="G107" s="0" t="n">
        <f aca="false">MAX(0,F107)</f>
        <v>8.03622349380937</v>
      </c>
      <c r="H107" s="0" t="n">
        <f aca="false">(SUMPRODUCT(--ISNUMBER($E$2:$E$800),--($E$2:$E$800&lt;E107))+(SUMPRODUCT(--ISNUMBER($E$2:$E$800),--($E$2:$E$800=E107))+1)/2)/COUNT($E$2:$E$800)</f>
        <v>0.530663329161452</v>
      </c>
      <c r="I107" s="0" t="n">
        <f aca="false">(SUMPRODUCT(--ISNUMBER($G$2:$G$800),--($G$2:$G$800&lt;G107))+(SUMPRODUCT(--ISNUMBER($G$2:$G$800),--($G$2:$G$800=G107))+1)/2)/COUNT($G$2:$G$800)</f>
        <v>0.548185231539424</v>
      </c>
      <c r="J107" s="0" t="n">
        <v>10.2201810249564</v>
      </c>
      <c r="K107" s="0" t="n">
        <v>5.22735409953456</v>
      </c>
      <c r="L107" s="0" t="n">
        <v>0.250626566416046</v>
      </c>
      <c r="M107" s="0" t="n">
        <f aca="false">IF(OR(B107="NW",COUNT(Risk_Rank_Keys!B107)=0),0.5,(SUMPRODUCT(--ISNUMBER(Risk_Rank_Keys!$B$2:$B$800),--(Risk_Rank_Keys!$B$2:$B$800&lt;Risk_Rank_Keys!B107))+(SUMPRODUCT(--ISNUMBER(Risk_Rank_Keys!$B$2:$B$800),--(Risk_Rank_Keys!$B$2:$B$800=Risk_Rank_Keys!B107))+1)/2)/COUNT(Risk_Rank_Keys!$B$2:$B$800))</f>
        <v>0.517433751743375</v>
      </c>
      <c r="N107" s="0" t="n">
        <f aca="false">IF(OR(B107="NW",COUNT(Risk_Rank_Keys!C107)=0),0.5,(SUMPRODUCT(--ISNUMBER(Risk_Rank_Keys!$C$2:$C$800),--(Risk_Rank_Keys!$C$2:$C$800&lt;Risk_Rank_Keys!C107))+(SUMPRODUCT(--ISNUMBER(Risk_Rank_Keys!$C$2:$C$800),--(Risk_Rank_Keys!$C$2:$C$800=Risk_Rank_Keys!C107))+1)/2)/COUNT(Risk_Rank_Keys!$C$2:$C$800))</f>
        <v>0.702928870292887</v>
      </c>
      <c r="O107" s="0" t="n">
        <f aca="false">IF(OR(B107="NW",COUNT(Risk_Rank_Keys!D107)=0),0.5,(SUMPRODUCT(--ISNUMBER(Risk_Rank_Keys!$D$2:$D$800),--(Risk_Rank_Keys!$D$2:$D$800&lt;Risk_Rank_Keys!D107))+(SUMPRODUCT(--ISNUMBER(Risk_Rank_Keys!$D$2:$D$800),--(Risk_Rank_Keys!$D$2:$D$800=Risk_Rank_Keys!D107))+1)/2)/COUNT(Risk_Rank_Keys!$D$2:$D$800))</f>
        <v>0.594142259414226</v>
      </c>
      <c r="P107" s="0" t="n">
        <f aca="false">AVERAGE(M107:O107)</f>
        <v>0.604834960483496</v>
      </c>
      <c r="Q107" s="0" t="n">
        <f aca="false">0.4*H107+0.4*I107+0.2*P107</f>
        <v>0.55250641637705</v>
      </c>
      <c r="R107" s="0" t="n">
        <f aca="false">PERCENTILE($Q$2:$Q$800,0.75)</f>
        <v>0.667715717403612</v>
      </c>
      <c r="S107" s="1" t="b">
        <f aca="false">OR(Q107&gt;=R107,AND(B107="CW",COUNT(J107:L107)&lt;3))</f>
        <v>0</v>
      </c>
      <c r="T107" s="0" t="n">
        <v>0.291468620493763</v>
      </c>
      <c r="U107" s="0" t="n">
        <v>8.03622349380937</v>
      </c>
      <c r="V107" s="0" t="n">
        <v>0.55250641637705</v>
      </c>
      <c r="W107" s="0" t="n">
        <f aca="false">Q107-V107</f>
        <v>0</v>
      </c>
    </row>
    <row r="108" customFormat="false" ht="15" hidden="false" customHeight="false" outlineLevel="0" collapsed="false">
      <c r="A108" s="0" t="s">
        <v>142</v>
      </c>
      <c r="B108" s="0" t="s">
        <v>3013</v>
      </c>
      <c r="C108" s="0" t="n">
        <v>11.5976370693938</v>
      </c>
      <c r="D108" s="0" t="n">
        <f aca="false">SUMPRODUCT(Risk_Inputs!B108:AJ108,Risk_Coefs!$B$2:$AJ$2)</f>
        <v>-0.922008176456257</v>
      </c>
      <c r="E108" s="0" t="n">
        <f aca="false">1/(1+EXP(-MAX(-25,MIN(25,D108))))</f>
        <v>0.284548891266479</v>
      </c>
      <c r="F108" s="0" t="n">
        <f aca="false">SUMPRODUCT(Risk_Inputs!B108:AJ108,Risk_Coefs!$B$3:$AJ$3)</f>
        <v>5.83296400789795</v>
      </c>
      <c r="G108" s="0" t="n">
        <f aca="false">MAX(0,F108)</f>
        <v>5.83296400789795</v>
      </c>
      <c r="H108" s="0" t="n">
        <f aca="false">(SUMPRODUCT(--ISNUMBER($E$2:$E$800),--($E$2:$E$800&lt;E108))+(SUMPRODUCT(--ISNUMBER($E$2:$E$800),--($E$2:$E$800=E108))+1)/2)/COUNT($E$2:$E$800)</f>
        <v>0.486858573216521</v>
      </c>
      <c r="I108" s="0" t="n">
        <f aca="false">(SUMPRODUCT(--ISNUMBER($G$2:$G$800),--($G$2:$G$800&lt;G108))+(SUMPRODUCT(--ISNUMBER($G$2:$G$800),--($G$2:$G$800=G108))+1)/2)/COUNT($G$2:$G$800)</f>
        <v>0.244055068836045</v>
      </c>
      <c r="J108" s="0" t="n">
        <v>2.21499360816015</v>
      </c>
      <c r="K108" s="0" t="n">
        <v>4.27841634738186</v>
      </c>
      <c r="L108" s="0" t="n">
        <v>0.319284802043423</v>
      </c>
      <c r="M108" s="0" t="n">
        <f aca="false">IF(OR(B108="NW",COUNT(Risk_Rank_Keys!B108)=0),0.5,(SUMPRODUCT(--ISNUMBER(Risk_Rank_Keys!$B$2:$B$800),--(Risk_Rank_Keys!$B$2:$B$800&lt;Risk_Rank_Keys!B108))+(SUMPRODUCT(--ISNUMBER(Risk_Rank_Keys!$B$2:$B$800),--(Risk_Rank_Keys!$B$2:$B$800=Risk_Rank_Keys!B108))+1)/2)/COUNT(Risk_Rank_Keys!$B$2:$B$800))</f>
        <v>0.0097629009762901</v>
      </c>
      <c r="N108" s="0" t="n">
        <f aca="false">IF(OR(B108="NW",COUNT(Risk_Rank_Keys!C108)=0),0.5,(SUMPRODUCT(--ISNUMBER(Risk_Rank_Keys!$C$2:$C$800),--(Risk_Rank_Keys!$C$2:$C$800&lt;Risk_Rank_Keys!C108))+(SUMPRODUCT(--ISNUMBER(Risk_Rank_Keys!$C$2:$C$800),--(Risk_Rank_Keys!$C$2:$C$800=Risk_Rank_Keys!C108))+1)/2)/COUNT(Risk_Rank_Keys!$C$2:$C$800))</f>
        <v>0.631799163179916</v>
      </c>
      <c r="O108" s="0" t="n">
        <f aca="false">IF(OR(B108="NW",COUNT(Risk_Rank_Keys!D108)=0),0.5,(SUMPRODUCT(--ISNUMBER(Risk_Rank_Keys!$D$2:$D$800),--(Risk_Rank_Keys!$D$2:$D$800&lt;Risk_Rank_Keys!D108))+(SUMPRODUCT(--ISNUMBER(Risk_Rank_Keys!$D$2:$D$800),--(Risk_Rank_Keys!$D$2:$D$800=Risk_Rank_Keys!D108))+1)/2)/COUNT(Risk_Rank_Keys!$D$2:$D$800))</f>
        <v>0.772663877266388</v>
      </c>
      <c r="P108" s="0" t="n">
        <f aca="false">AVERAGE(M108:O108)</f>
        <v>0.471408647140865</v>
      </c>
      <c r="Q108" s="0" t="n">
        <f aca="false">0.4*H108+0.4*I108+0.2*P108</f>
        <v>0.386647186249199</v>
      </c>
      <c r="R108" s="0" t="n">
        <f aca="false">PERCENTILE($Q$2:$Q$800,0.75)</f>
        <v>0.667715717403612</v>
      </c>
      <c r="S108" s="1" t="b">
        <f aca="false">OR(Q108&gt;=R108,AND(B108="CW",COUNT(J108:L108)&lt;3))</f>
        <v>0</v>
      </c>
      <c r="T108" s="0" t="n">
        <v>0.284548891266479</v>
      </c>
      <c r="U108" s="0" t="n">
        <v>5.83296400789795</v>
      </c>
      <c r="V108" s="0" t="n">
        <v>0.386647186249199</v>
      </c>
      <c r="W108" s="0" t="n">
        <f aca="false">Q108-V108</f>
        <v>0</v>
      </c>
    </row>
    <row r="109" customFormat="false" ht="15" hidden="false" customHeight="false" outlineLevel="0" collapsed="false">
      <c r="A109" s="0" t="s">
        <v>143</v>
      </c>
      <c r="B109" s="0" t="s">
        <v>3013</v>
      </c>
      <c r="C109" s="0" t="n">
        <v>-39.9712370625823</v>
      </c>
      <c r="D109" s="0" t="n">
        <f aca="false">SUMPRODUCT(Risk_Inputs!B109:AJ109,Risk_Coefs!$B$2:$AJ$2)</f>
        <v>-0.735451074461798</v>
      </c>
      <c r="E109" s="0" t="n">
        <f aca="false">1/(1+EXP(-MAX(-25,MIN(25,D109))))</f>
        <v>0.323999668351503</v>
      </c>
      <c r="F109" s="0" t="n">
        <f aca="false">SUMPRODUCT(Risk_Inputs!B109:AJ109,Risk_Coefs!$B$3:$AJ$3)</f>
        <v>8.18306828319046</v>
      </c>
      <c r="G109" s="0" t="n">
        <f aca="false">MAX(0,F109)</f>
        <v>8.18306828319046</v>
      </c>
      <c r="H109" s="0" t="n">
        <f aca="false">(SUMPRODUCT(--ISNUMBER($E$2:$E$800),--($E$2:$E$800&lt;E109))+(SUMPRODUCT(--ISNUMBER($E$2:$E$800),--($E$2:$E$800=E109))+1)/2)/COUNT($E$2:$E$800)</f>
        <v>0.69712140175219</v>
      </c>
      <c r="I109" s="0" t="n">
        <f aca="false">(SUMPRODUCT(--ISNUMBER($G$2:$G$800),--($G$2:$G$800&lt;G109))+(SUMPRODUCT(--ISNUMBER($G$2:$G$800),--($G$2:$G$800=G109))+1)/2)/COUNT($G$2:$G$800)</f>
        <v>0.55944931163955</v>
      </c>
      <c r="J109" s="0" t="n">
        <v>3.75948233839894</v>
      </c>
      <c r="K109" s="0" t="n">
        <v>3.78133990957665</v>
      </c>
      <c r="L109" s="0" t="n">
        <v>0.328812166050149</v>
      </c>
      <c r="M109" s="0" t="n">
        <f aca="false">IF(OR(B109="NW",COUNT(Risk_Rank_Keys!B109)=0),0.5,(SUMPRODUCT(--ISNUMBER(Risk_Rank_Keys!$B$2:$B$800),--(Risk_Rank_Keys!$B$2:$B$800&lt;Risk_Rank_Keys!B109))+(SUMPRODUCT(--ISNUMBER(Risk_Rank_Keys!$B$2:$B$800),--(Risk_Rank_Keys!$B$2:$B$800=Risk_Rank_Keys!B109))+1)/2)/COUNT(Risk_Rank_Keys!$B$2:$B$800))</f>
        <v>0.0599721059972106</v>
      </c>
      <c r="N109" s="0" t="n">
        <f aca="false">IF(OR(B109="NW",COUNT(Risk_Rank_Keys!C109)=0),0.5,(SUMPRODUCT(--ISNUMBER(Risk_Rank_Keys!$C$2:$C$800),--(Risk_Rank_Keys!$C$2:$C$800&lt;Risk_Rank_Keys!C109))+(SUMPRODUCT(--ISNUMBER(Risk_Rank_Keys!$C$2:$C$800),--(Risk_Rank_Keys!$C$2:$C$800=Risk_Rank_Keys!C109))+1)/2)/COUNT(Risk_Rank_Keys!$C$2:$C$800))</f>
        <v>0.566248256624826</v>
      </c>
      <c r="O109" s="0" t="n">
        <f aca="false">IF(OR(B109="NW",COUNT(Risk_Rank_Keys!D109)=0),0.5,(SUMPRODUCT(--ISNUMBER(Risk_Rank_Keys!$D$2:$D$800),--(Risk_Rank_Keys!$D$2:$D$800&lt;Risk_Rank_Keys!D109))+(SUMPRODUCT(--ISNUMBER(Risk_Rank_Keys!$D$2:$D$800),--(Risk_Rank_Keys!$D$2:$D$800=Risk_Rank_Keys!D109))+1)/2)/COUNT(Risk_Rank_Keys!$D$2:$D$800))</f>
        <v>0.794979079497908</v>
      </c>
      <c r="P109" s="0" t="n">
        <f aca="false">AVERAGE(M109:O109)</f>
        <v>0.473733147373315</v>
      </c>
      <c r="Q109" s="0" t="n">
        <f aca="false">0.4*H109+0.4*I109+0.2*P109</f>
        <v>0.597374914831359</v>
      </c>
      <c r="R109" s="0" t="n">
        <f aca="false">PERCENTILE($Q$2:$Q$800,0.75)</f>
        <v>0.667715717403612</v>
      </c>
      <c r="S109" s="1" t="b">
        <f aca="false">OR(Q109&gt;=R109,AND(B109="CW",COUNT(J109:L109)&lt;3))</f>
        <v>0</v>
      </c>
      <c r="T109" s="0" t="n">
        <v>0.323999668351503</v>
      </c>
      <c r="U109" s="0" t="n">
        <v>8.18306828319046</v>
      </c>
      <c r="V109" s="0" t="n">
        <v>0.597374914831359</v>
      </c>
      <c r="W109" s="0" t="n">
        <f aca="false">Q109-V109</f>
        <v>0</v>
      </c>
    </row>
    <row r="110" customFormat="false" ht="15" hidden="false" customHeight="false" outlineLevel="0" collapsed="false">
      <c r="A110" s="0" t="s">
        <v>144</v>
      </c>
      <c r="B110" s="0" t="s">
        <v>33</v>
      </c>
      <c r="C110" s="0" t="n">
        <v>21.1209786339489</v>
      </c>
      <c r="D110" s="0" t="n">
        <f aca="false">SUMPRODUCT(Risk_Inputs!B110:AJ110,Risk_Coefs!$B$2:$AJ$2)</f>
        <v>-0.654453743770636</v>
      </c>
      <c r="E110" s="0" t="n">
        <f aca="false">1/(1+EXP(-MAX(-25,MIN(25,D110))))</f>
        <v>0.341986599343023</v>
      </c>
      <c r="F110" s="0" t="n">
        <f aca="false">SUMPRODUCT(Risk_Inputs!B110:AJ110,Risk_Coefs!$B$3:$AJ$3)</f>
        <v>10.0684252430965</v>
      </c>
      <c r="G110" s="0" t="n">
        <f aca="false">MAX(0,F110)</f>
        <v>10.0684252430965</v>
      </c>
      <c r="H110" s="0" t="n">
        <f aca="false">(SUMPRODUCT(--ISNUMBER($E$2:$E$800),--($E$2:$E$800&lt;E110))+(SUMPRODUCT(--ISNUMBER($E$2:$E$800),--($E$2:$E$800=E110))+1)/2)/COUNT($E$2:$E$800)</f>
        <v>0.78973717146433</v>
      </c>
      <c r="I110" s="0" t="n">
        <f aca="false">(SUMPRODUCT(--ISNUMBER($G$2:$G$800),--($G$2:$G$800&lt;G110))+(SUMPRODUCT(--ISNUMBER($G$2:$G$800),--($G$2:$G$800=G110))+1)/2)/COUNT($G$2:$G$800)</f>
        <v>0.798498122653317</v>
      </c>
      <c r="M110" s="0" t="n">
        <f aca="false">IF(OR(B110="NW",COUNT(Risk_Rank_Keys!B110)=0),0.5,(SUMPRODUCT(--ISNUMBER(Risk_Rank_Keys!$B$2:$B$800),--(Risk_Rank_Keys!$B$2:$B$800&lt;Risk_Rank_Keys!B110))+(SUMPRODUCT(--ISNUMBER(Risk_Rank_Keys!$B$2:$B$800),--(Risk_Rank_Keys!$B$2:$B$800=Risk_Rank_Keys!B110))+1)/2)/COUNT(Risk_Rank_Keys!$B$2:$B$800))</f>
        <v>0.5</v>
      </c>
      <c r="N110" s="0" t="n">
        <f aca="false">IF(OR(B110="NW",COUNT(Risk_Rank_Keys!C110)=0),0.5,(SUMPRODUCT(--ISNUMBER(Risk_Rank_Keys!$C$2:$C$800),--(Risk_Rank_Keys!$C$2:$C$800&lt;Risk_Rank_Keys!C110))+(SUMPRODUCT(--ISNUMBER(Risk_Rank_Keys!$C$2:$C$800),--(Risk_Rank_Keys!$C$2:$C$800=Risk_Rank_Keys!C110))+1)/2)/COUNT(Risk_Rank_Keys!$C$2:$C$800))</f>
        <v>0.5</v>
      </c>
      <c r="O110" s="0" t="n">
        <f aca="false">IF(OR(B110="NW",COUNT(Risk_Rank_Keys!D110)=0),0.5,(SUMPRODUCT(--ISNUMBER(Risk_Rank_Keys!$D$2:$D$800),--(Risk_Rank_Keys!$D$2:$D$800&lt;Risk_Rank_Keys!D110))+(SUMPRODUCT(--ISNUMBER(Risk_Rank_Keys!$D$2:$D$800),--(Risk_Rank_Keys!$D$2:$D$800=Risk_Rank_Keys!D110))+1)/2)/COUNT(Risk_Rank_Keys!$D$2:$D$800))</f>
        <v>0.5</v>
      </c>
      <c r="P110" s="0" t="n">
        <f aca="false">AVERAGE(M110:O110)</f>
        <v>0.5</v>
      </c>
      <c r="Q110" s="0" t="n">
        <f aca="false">0.4*H110+0.4*I110+0.2*P110</f>
        <v>0.735294117647059</v>
      </c>
      <c r="R110" s="0" t="n">
        <f aca="false">PERCENTILE($Q$2:$Q$800,0.75)</f>
        <v>0.667715717403612</v>
      </c>
      <c r="S110" s="1" t="b">
        <f aca="false">OR(Q110&gt;=R110,AND(B110="CW",COUNT(J110:L110)&lt;3))</f>
        <v>1</v>
      </c>
      <c r="T110" s="0" t="n">
        <v>0.341986599343023</v>
      </c>
      <c r="U110" s="0" t="n">
        <v>10.0684252430965</v>
      </c>
      <c r="V110" s="0" t="n">
        <v>0.735294117647059</v>
      </c>
      <c r="W110" s="0" t="n">
        <f aca="false">Q110-V110</f>
        <v>0</v>
      </c>
    </row>
    <row r="111" customFormat="false" ht="15" hidden="false" customHeight="false" outlineLevel="0" collapsed="false">
      <c r="A111" s="0" t="s">
        <v>145</v>
      </c>
      <c r="B111" s="0" t="s">
        <v>3013</v>
      </c>
      <c r="C111" s="0" t="n">
        <v>-37.7004970286965</v>
      </c>
      <c r="D111" s="0" t="n">
        <f aca="false">SUMPRODUCT(Risk_Inputs!B111:AJ111,Risk_Coefs!$B$2:$AJ$2)</f>
        <v>-0.700609844403909</v>
      </c>
      <c r="E111" s="0" t="n">
        <f aca="false">1/(1+EXP(-MAX(-25,MIN(25,D111))))</f>
        <v>0.331677031347855</v>
      </c>
      <c r="F111" s="0" t="n">
        <f aca="false">SUMPRODUCT(Risk_Inputs!B111:AJ111,Risk_Coefs!$B$3:$AJ$3)</f>
        <v>8.77731655177892</v>
      </c>
      <c r="G111" s="0" t="n">
        <f aca="false">MAX(0,F111)</f>
        <v>8.77731655177892</v>
      </c>
      <c r="H111" s="0" t="n">
        <f aca="false">(SUMPRODUCT(--ISNUMBER($E$2:$E$800),--($E$2:$E$800&lt;E111))+(SUMPRODUCT(--ISNUMBER($E$2:$E$800),--($E$2:$E$800=E111))+1)/2)/COUNT($E$2:$E$800)</f>
        <v>0.74468085106383</v>
      </c>
      <c r="I111" s="0" t="n">
        <f aca="false">(SUMPRODUCT(--ISNUMBER($G$2:$G$800),--($G$2:$G$800&lt;G111))+(SUMPRODUCT(--ISNUMBER($G$2:$G$800),--($G$2:$G$800=G111))+1)/2)/COUNT($G$2:$G$800)</f>
        <v>0.647058823529412</v>
      </c>
      <c r="J111" s="0" t="n">
        <v>2.00403311664657</v>
      </c>
      <c r="K111" s="0" t="n">
        <v>0.928677563150095</v>
      </c>
      <c r="L111" s="0" t="n">
        <v>0.18573551263001</v>
      </c>
      <c r="M111" s="0" t="n">
        <f aca="false">IF(OR(B111="NW",COUNT(Risk_Rank_Keys!B111)=0),0.5,(SUMPRODUCT(--ISNUMBER(Risk_Rank_Keys!$B$2:$B$800),--(Risk_Rank_Keys!$B$2:$B$800&lt;Risk_Rank_Keys!B111))+(SUMPRODUCT(--ISNUMBER(Risk_Rank_Keys!$B$2:$B$800),--(Risk_Rank_Keys!$B$2:$B$800=Risk_Rank_Keys!B111))+1)/2)/COUNT(Risk_Rank_Keys!$B$2:$B$800))</f>
        <v>0.00557880055788006</v>
      </c>
      <c r="N111" s="0" t="n">
        <f aca="false">IF(OR(B111="NW",COUNT(Risk_Rank_Keys!C111)=0),0.5,(SUMPRODUCT(--ISNUMBER(Risk_Rank_Keys!$C$2:$C$800),--(Risk_Rank_Keys!$C$2:$C$800&lt;Risk_Rank_Keys!C111))+(SUMPRODUCT(--ISNUMBER(Risk_Rank_Keys!$C$2:$C$800),--(Risk_Rank_Keys!$C$2:$C$800=Risk_Rank_Keys!C111))+1)/2)/COUNT(Risk_Rank_Keys!$C$2:$C$800))</f>
        <v>0.0223152022315202</v>
      </c>
      <c r="O111" s="0" t="n">
        <f aca="false">IF(OR(B111="NW",COUNT(Risk_Rank_Keys!D111)=0),0.5,(SUMPRODUCT(--ISNUMBER(Risk_Rank_Keys!$D$2:$D$800),--(Risk_Rank_Keys!$D$2:$D$800&lt;Risk_Rank_Keys!D111))+(SUMPRODUCT(--ISNUMBER(Risk_Rank_Keys!$D$2:$D$800),--(Risk_Rank_Keys!$D$2:$D$800=Risk_Rank_Keys!D111))+1)/2)/COUNT(Risk_Rank_Keys!$D$2:$D$800))</f>
        <v>0.237099023709902</v>
      </c>
      <c r="P111" s="0" t="n">
        <f aca="false">AVERAGE(M111:O111)</f>
        <v>0.0883310088331009</v>
      </c>
      <c r="Q111" s="0" t="n">
        <f aca="false">0.4*H111+0.4*I111+0.2*P111</f>
        <v>0.574362071603917</v>
      </c>
      <c r="R111" s="0" t="n">
        <f aca="false">PERCENTILE($Q$2:$Q$800,0.75)</f>
        <v>0.667715717403612</v>
      </c>
      <c r="S111" s="1" t="b">
        <f aca="false">OR(Q111&gt;=R111,AND(B111="CW",COUNT(J111:L111)&lt;3))</f>
        <v>0</v>
      </c>
      <c r="T111" s="0" t="n">
        <v>0.331677031347855</v>
      </c>
      <c r="U111" s="0" t="n">
        <v>8.77731655177892</v>
      </c>
      <c r="V111" s="0" t="n">
        <v>0.574362071603917</v>
      </c>
      <c r="W111" s="0" t="n">
        <f aca="false">Q111-V111</f>
        <v>0</v>
      </c>
    </row>
    <row r="112" customFormat="false" ht="15" hidden="false" customHeight="false" outlineLevel="0" collapsed="false">
      <c r="A112" s="0" t="s">
        <v>146</v>
      </c>
      <c r="B112" s="0" t="s">
        <v>3013</v>
      </c>
      <c r="C112" s="0" t="n">
        <v>35.5849095593482</v>
      </c>
      <c r="D112" s="0" t="n">
        <f aca="false">SUMPRODUCT(Risk_Inputs!B112:AJ112,Risk_Coefs!$B$2:$AJ$2)</f>
        <v>-2.00294040723839</v>
      </c>
      <c r="E112" s="0" t="n">
        <f aca="false">1/(1+EXP(-MAX(-25,MIN(25,D112))))</f>
        <v>0.11889454363661</v>
      </c>
      <c r="F112" s="0" t="n">
        <f aca="false">SUMPRODUCT(Risk_Inputs!B112:AJ112,Risk_Coefs!$B$3:$AJ$3)</f>
        <v>5.15044672657273</v>
      </c>
      <c r="G112" s="0" t="n">
        <f aca="false">MAX(0,F112)</f>
        <v>5.15044672657273</v>
      </c>
      <c r="H112" s="0" t="n">
        <f aca="false">(SUMPRODUCT(--ISNUMBER($E$2:$E$800),--($E$2:$E$800&lt;E112))+(SUMPRODUCT(--ISNUMBER($E$2:$E$800),--($E$2:$E$800=E112))+1)/2)/COUNT($E$2:$E$800)</f>
        <v>0.00500625782227785</v>
      </c>
      <c r="I112" s="0" t="n">
        <f aca="false">(SUMPRODUCT(--ISNUMBER($G$2:$G$800),--($G$2:$G$800&lt;G112))+(SUMPRODUCT(--ISNUMBER($G$2:$G$800),--($G$2:$G$800=G112))+1)/2)/COUNT($G$2:$G$800)</f>
        <v>0.155193992490613</v>
      </c>
      <c r="J112" s="0" t="n">
        <v>33.7456429871365</v>
      </c>
      <c r="K112" s="0" t="n">
        <v>21.806167400881</v>
      </c>
      <c r="L112" s="0" t="n">
        <v>0.587371512481648</v>
      </c>
      <c r="M112" s="0" t="n">
        <f aca="false">IF(OR(B112="NW",COUNT(Risk_Rank_Keys!B112)=0),0.5,(SUMPRODUCT(--ISNUMBER(Risk_Rank_Keys!$B$2:$B$800),--(Risk_Rank_Keys!$B$2:$B$800&lt;Risk_Rank_Keys!B112))+(SUMPRODUCT(--ISNUMBER(Risk_Rank_Keys!$B$2:$B$800),--(Risk_Rank_Keys!$B$2:$B$800=Risk_Rank_Keys!B112))+1)/2)/COUNT(Risk_Rank_Keys!$B$2:$B$800))</f>
        <v>0.919107391910739</v>
      </c>
      <c r="N112" s="0" t="n">
        <f aca="false">IF(OR(B112="NW",COUNT(Risk_Rank_Keys!C112)=0),0.5,(SUMPRODUCT(--ISNUMBER(Risk_Rank_Keys!$C$2:$C$800),--(Risk_Rank_Keys!$C$2:$C$800&lt;Risk_Rank_Keys!C112))+(SUMPRODUCT(--ISNUMBER(Risk_Rank_Keys!$C$2:$C$800),--(Risk_Rank_Keys!$C$2:$C$800=Risk_Rank_Keys!C112))+1)/2)/COUNT(Risk_Rank_Keys!$C$2:$C$800))</f>
        <v>0.96652719665272</v>
      </c>
      <c r="O112" s="0" t="n">
        <f aca="false">IF(OR(B112="NW",COUNT(Risk_Rank_Keys!D112)=0),0.5,(SUMPRODUCT(--ISNUMBER(Risk_Rank_Keys!$D$2:$D$800),--(Risk_Rank_Keys!$D$2:$D$800&lt;Risk_Rank_Keys!D112))+(SUMPRODUCT(--ISNUMBER(Risk_Rank_Keys!$D$2:$D$800),--(Risk_Rank_Keys!$D$2:$D$800=Risk_Rank_Keys!D112))+1)/2)/COUNT(Risk_Rank_Keys!$D$2:$D$800))</f>
        <v>0.97489539748954</v>
      </c>
      <c r="P112" s="0" t="n">
        <f aca="false">AVERAGE(M112:O112)</f>
        <v>0.953509995351</v>
      </c>
      <c r="Q112" s="0" t="n">
        <f aca="false">0.4*H112+0.4*I112+0.2*P112</f>
        <v>0.254782099195356</v>
      </c>
      <c r="R112" s="0" t="n">
        <f aca="false">PERCENTILE($Q$2:$Q$800,0.75)</f>
        <v>0.667715717403612</v>
      </c>
      <c r="S112" s="1" t="b">
        <f aca="false">OR(Q112&gt;=R112,AND(B112="CW",COUNT(J112:L112)&lt;3))</f>
        <v>0</v>
      </c>
      <c r="T112" s="0" t="n">
        <v>0.11889454363661</v>
      </c>
      <c r="U112" s="0" t="n">
        <v>5.15044672657273</v>
      </c>
      <c r="V112" s="0" t="n">
        <v>0.254782099195356</v>
      </c>
      <c r="W112" s="0" t="n">
        <f aca="false">Q112-V112</f>
        <v>0</v>
      </c>
    </row>
    <row r="113" customFormat="false" ht="15" hidden="false" customHeight="false" outlineLevel="0" collapsed="false">
      <c r="A113" s="0" t="s">
        <v>147</v>
      </c>
      <c r="B113" s="0" t="s">
        <v>33</v>
      </c>
      <c r="C113" s="0" t="n">
        <v>13.957404378511</v>
      </c>
      <c r="D113" s="0" t="n">
        <f aca="false">SUMPRODUCT(Risk_Inputs!B113:AJ113,Risk_Coefs!$B$2:$AJ$2)</f>
        <v>-0.663307068130634</v>
      </c>
      <c r="E113" s="0" t="n">
        <f aca="false">1/(1+EXP(-MAX(-25,MIN(25,D113))))</f>
        <v>0.339997116304278</v>
      </c>
      <c r="F113" s="0" t="n">
        <f aca="false">SUMPRODUCT(Risk_Inputs!B113:AJ113,Risk_Coefs!$B$3:$AJ$3)</f>
        <v>9.7193015769144</v>
      </c>
      <c r="G113" s="0" t="n">
        <f aca="false">MAX(0,F113)</f>
        <v>9.7193015769144</v>
      </c>
      <c r="H113" s="0" t="n">
        <f aca="false">(SUMPRODUCT(--ISNUMBER($E$2:$E$800),--($E$2:$E$800&lt;E113))+(SUMPRODUCT(--ISNUMBER($E$2:$E$800),--($E$2:$E$800=E113))+1)/2)/COUNT($E$2:$E$800)</f>
        <v>0.783479349186483</v>
      </c>
      <c r="I113" s="0" t="n">
        <f aca="false">(SUMPRODUCT(--ISNUMBER($G$2:$G$800),--($G$2:$G$800&lt;G113))+(SUMPRODUCT(--ISNUMBER($G$2:$G$800),--($G$2:$G$800=G113))+1)/2)/COUNT($G$2:$G$800)</f>
        <v>0.753441802252816</v>
      </c>
      <c r="M113" s="0" t="n">
        <f aca="false">IF(OR(B113="NW",COUNT(Risk_Rank_Keys!B113)=0),0.5,(SUMPRODUCT(--ISNUMBER(Risk_Rank_Keys!$B$2:$B$800),--(Risk_Rank_Keys!$B$2:$B$800&lt;Risk_Rank_Keys!B113))+(SUMPRODUCT(--ISNUMBER(Risk_Rank_Keys!$B$2:$B$800),--(Risk_Rank_Keys!$B$2:$B$800=Risk_Rank_Keys!B113))+1)/2)/COUNT(Risk_Rank_Keys!$B$2:$B$800))</f>
        <v>0.5</v>
      </c>
      <c r="N113" s="0" t="n">
        <f aca="false">IF(OR(B113="NW",COUNT(Risk_Rank_Keys!C113)=0),0.5,(SUMPRODUCT(--ISNUMBER(Risk_Rank_Keys!$C$2:$C$800),--(Risk_Rank_Keys!$C$2:$C$800&lt;Risk_Rank_Keys!C113))+(SUMPRODUCT(--ISNUMBER(Risk_Rank_Keys!$C$2:$C$800),--(Risk_Rank_Keys!$C$2:$C$800=Risk_Rank_Keys!C113))+1)/2)/COUNT(Risk_Rank_Keys!$C$2:$C$800))</f>
        <v>0.5</v>
      </c>
      <c r="O113" s="0" t="n">
        <f aca="false">IF(OR(B113="NW",COUNT(Risk_Rank_Keys!D113)=0),0.5,(SUMPRODUCT(--ISNUMBER(Risk_Rank_Keys!$D$2:$D$800),--(Risk_Rank_Keys!$D$2:$D$800&lt;Risk_Rank_Keys!D113))+(SUMPRODUCT(--ISNUMBER(Risk_Rank_Keys!$D$2:$D$800),--(Risk_Rank_Keys!$D$2:$D$800=Risk_Rank_Keys!D113))+1)/2)/COUNT(Risk_Rank_Keys!$D$2:$D$800))</f>
        <v>0.5</v>
      </c>
      <c r="P113" s="0" t="n">
        <f aca="false">AVERAGE(M113:O113)</f>
        <v>0.5</v>
      </c>
      <c r="Q113" s="0" t="n">
        <f aca="false">0.4*H113+0.4*I113+0.2*P113</f>
        <v>0.71476846057572</v>
      </c>
      <c r="R113" s="0" t="n">
        <f aca="false">PERCENTILE($Q$2:$Q$800,0.75)</f>
        <v>0.667715717403612</v>
      </c>
      <c r="S113" s="1" t="b">
        <f aca="false">OR(Q113&gt;=R113,AND(B113="CW",COUNT(J113:L113)&lt;3))</f>
        <v>1</v>
      </c>
      <c r="T113" s="0" t="n">
        <v>0.339997116304278</v>
      </c>
      <c r="U113" s="0" t="n">
        <v>9.7193015769144</v>
      </c>
      <c r="V113" s="0" t="n">
        <v>0.71476846057572</v>
      </c>
      <c r="W113" s="0" t="n">
        <f aca="false">Q113-V113</f>
        <v>0</v>
      </c>
    </row>
    <row r="114" customFormat="false" ht="15" hidden="false" customHeight="false" outlineLevel="0" collapsed="false">
      <c r="A114" s="0" t="s">
        <v>148</v>
      </c>
      <c r="B114" s="0" t="s">
        <v>3013</v>
      </c>
      <c r="C114" s="0" t="n">
        <v>36.583254349526</v>
      </c>
      <c r="D114" s="0" t="n">
        <f aca="false">SUMPRODUCT(Risk_Inputs!B114:AJ114,Risk_Coefs!$B$2:$AJ$2)</f>
        <v>-0.764919166569402</v>
      </c>
      <c r="E114" s="0" t="n">
        <f aca="false">1/(1+EXP(-MAX(-25,MIN(25,D114))))</f>
        <v>0.317579215984507</v>
      </c>
      <c r="F114" s="0" t="n">
        <f aca="false">SUMPRODUCT(Risk_Inputs!B114:AJ114,Risk_Coefs!$B$3:$AJ$3)</f>
        <v>10.4605663148415</v>
      </c>
      <c r="G114" s="0" t="n">
        <f aca="false">MAX(0,F114)</f>
        <v>10.4605663148415</v>
      </c>
      <c r="H114" s="0" t="n">
        <f aca="false">(SUMPRODUCT(--ISNUMBER($E$2:$E$800),--($E$2:$E$800&lt;E114))+(SUMPRODUCT(--ISNUMBER($E$2:$E$800),--($E$2:$E$800=E114))+1)/2)/COUNT($E$2:$E$800)</f>
        <v>0.657071339173967</v>
      </c>
      <c r="I114" s="0" t="n">
        <f aca="false">(SUMPRODUCT(--ISNUMBER($G$2:$G$800),--($G$2:$G$800&lt;G114))+(SUMPRODUCT(--ISNUMBER($G$2:$G$800),--($G$2:$G$800=G114))+1)/2)/COUNT($G$2:$G$800)</f>
        <v>0.836045056320401</v>
      </c>
      <c r="J114" s="0" t="n">
        <v>7.61551476887923</v>
      </c>
      <c r="K114" s="0" t="n">
        <v>4.89060489060491</v>
      </c>
      <c r="L114" s="0" t="n">
        <v>0.257400257400267</v>
      </c>
      <c r="M114" s="0" t="n">
        <f aca="false">IF(OR(B114="NW",COUNT(Risk_Rank_Keys!B114)=0),0.5,(SUMPRODUCT(--ISNUMBER(Risk_Rank_Keys!$B$2:$B$800),--(Risk_Rank_Keys!$B$2:$B$800&lt;Risk_Rank_Keys!B114))+(SUMPRODUCT(--ISNUMBER(Risk_Rank_Keys!$B$2:$B$800),--(Risk_Rank_Keys!$B$2:$B$800=Risk_Rank_Keys!B114))+1)/2)/COUNT(Risk_Rank_Keys!$B$2:$B$800))</f>
        <v>0.362622036262204</v>
      </c>
      <c r="N114" s="0" t="n">
        <f aca="false">IF(OR(B114="NW",COUNT(Risk_Rank_Keys!C114)=0),0.5,(SUMPRODUCT(--ISNUMBER(Risk_Rank_Keys!$C$2:$C$800),--(Risk_Rank_Keys!$C$2:$C$800&lt;Risk_Rank_Keys!C114))+(SUMPRODUCT(--ISNUMBER(Risk_Rank_Keys!$C$2:$C$800),--(Risk_Rank_Keys!$C$2:$C$800=Risk_Rank_Keys!C114))+1)/2)/COUNT(Risk_Rank_Keys!$C$2:$C$800))</f>
        <v>0.686192468619247</v>
      </c>
      <c r="O114" s="0" t="n">
        <f aca="false">IF(OR(B114="NW",COUNT(Risk_Rank_Keys!D114)=0),0.5,(SUMPRODUCT(--ISNUMBER(Risk_Rank_Keys!$D$2:$D$800),--(Risk_Rank_Keys!$D$2:$D$800&lt;Risk_Rank_Keys!D114))+(SUMPRODUCT(--ISNUMBER(Risk_Rank_Keys!$D$2:$D$800),--(Risk_Rank_Keys!$D$2:$D$800=Risk_Rank_Keys!D114))+1)/2)/COUNT(Risk_Rank_Keys!$D$2:$D$800))</f>
        <v>0.616457461645746</v>
      </c>
      <c r="P114" s="0" t="n">
        <f aca="false">AVERAGE(M114:O114)</f>
        <v>0.555090655509066</v>
      </c>
      <c r="Q114" s="0" t="n">
        <f aca="false">0.4*H114+0.4*I114+0.2*P114</f>
        <v>0.70826468929956</v>
      </c>
      <c r="R114" s="0" t="n">
        <f aca="false">PERCENTILE($Q$2:$Q$800,0.75)</f>
        <v>0.667715717403612</v>
      </c>
      <c r="S114" s="1" t="b">
        <f aca="false">OR(Q114&gt;=R114,AND(B114="CW",COUNT(J114:L114)&lt;3))</f>
        <v>1</v>
      </c>
      <c r="T114" s="0" t="n">
        <v>0.317579215984507</v>
      </c>
      <c r="U114" s="0" t="n">
        <v>10.4605663148415</v>
      </c>
      <c r="V114" s="0" t="n">
        <v>0.70826468929956</v>
      </c>
      <c r="W114" s="0" t="n">
        <f aca="false">Q114-V114</f>
        <v>0</v>
      </c>
    </row>
    <row r="115" customFormat="false" ht="15" hidden="false" customHeight="false" outlineLevel="0" collapsed="false">
      <c r="A115" s="0" t="s">
        <v>149</v>
      </c>
      <c r="B115" s="0" t="s">
        <v>33</v>
      </c>
      <c r="C115" s="0" t="n">
        <v>21.6407827767348</v>
      </c>
      <c r="D115" s="0" t="n">
        <f aca="false">SUMPRODUCT(Risk_Inputs!B115:AJ115,Risk_Coefs!$B$2:$AJ$2)</f>
        <v>-0.749071091551634</v>
      </c>
      <c r="E115" s="0" t="n">
        <f aca="false">1/(1+EXP(-MAX(-25,MIN(25,D115))))</f>
        <v>0.321023739004546</v>
      </c>
      <c r="F115" s="0" t="n">
        <f aca="false">SUMPRODUCT(Risk_Inputs!B115:AJ115,Risk_Coefs!$B$3:$AJ$3)</f>
        <v>9.12990209581398</v>
      </c>
      <c r="G115" s="0" t="n">
        <f aca="false">MAX(0,F115)</f>
        <v>9.12990209581398</v>
      </c>
      <c r="H115" s="0" t="n">
        <f aca="false">(SUMPRODUCT(--ISNUMBER($E$2:$E$800),--($E$2:$E$800&lt;E115))+(SUMPRODUCT(--ISNUMBER($E$2:$E$800),--($E$2:$E$800=E115))+1)/2)/COUNT($E$2:$E$800)</f>
        <v>0.678347934918648</v>
      </c>
      <c r="I115" s="0" t="n">
        <f aca="false">(SUMPRODUCT(--ISNUMBER($G$2:$G$800),--($G$2:$G$800&lt;G115))+(SUMPRODUCT(--ISNUMBER($G$2:$G$800),--($G$2:$G$800=G115))+1)/2)/COUNT($G$2:$G$800)</f>
        <v>0.695869837296621</v>
      </c>
      <c r="M115" s="0" t="n">
        <f aca="false">IF(OR(B115="NW",COUNT(Risk_Rank_Keys!B115)=0),0.5,(SUMPRODUCT(--ISNUMBER(Risk_Rank_Keys!$B$2:$B$800),--(Risk_Rank_Keys!$B$2:$B$800&lt;Risk_Rank_Keys!B115))+(SUMPRODUCT(--ISNUMBER(Risk_Rank_Keys!$B$2:$B$800),--(Risk_Rank_Keys!$B$2:$B$800=Risk_Rank_Keys!B115))+1)/2)/COUNT(Risk_Rank_Keys!$B$2:$B$800))</f>
        <v>0.5</v>
      </c>
      <c r="N115" s="0" t="n">
        <f aca="false">IF(OR(B115="NW",COUNT(Risk_Rank_Keys!C115)=0),0.5,(SUMPRODUCT(--ISNUMBER(Risk_Rank_Keys!$C$2:$C$800),--(Risk_Rank_Keys!$C$2:$C$800&lt;Risk_Rank_Keys!C115))+(SUMPRODUCT(--ISNUMBER(Risk_Rank_Keys!$C$2:$C$800),--(Risk_Rank_Keys!$C$2:$C$800=Risk_Rank_Keys!C115))+1)/2)/COUNT(Risk_Rank_Keys!$C$2:$C$800))</f>
        <v>0.5</v>
      </c>
      <c r="O115" s="0" t="n">
        <f aca="false">IF(OR(B115="NW",COUNT(Risk_Rank_Keys!D115)=0),0.5,(SUMPRODUCT(--ISNUMBER(Risk_Rank_Keys!$D$2:$D$800),--(Risk_Rank_Keys!$D$2:$D$800&lt;Risk_Rank_Keys!D115))+(SUMPRODUCT(--ISNUMBER(Risk_Rank_Keys!$D$2:$D$800),--(Risk_Rank_Keys!$D$2:$D$800=Risk_Rank_Keys!D115))+1)/2)/COUNT(Risk_Rank_Keys!$D$2:$D$800))</f>
        <v>0.5</v>
      </c>
      <c r="P115" s="0" t="n">
        <f aca="false">AVERAGE(M115:O115)</f>
        <v>0.5</v>
      </c>
      <c r="Q115" s="0" t="n">
        <f aca="false">0.4*H115+0.4*I115+0.2*P115</f>
        <v>0.649687108886108</v>
      </c>
      <c r="R115" s="0" t="n">
        <f aca="false">PERCENTILE($Q$2:$Q$800,0.75)</f>
        <v>0.667715717403612</v>
      </c>
      <c r="S115" s="1" t="b">
        <f aca="false">OR(Q115&gt;=R115,AND(B115="CW",COUNT(J115:L115)&lt;3))</f>
        <v>0</v>
      </c>
      <c r="T115" s="0" t="n">
        <v>0.321023739004546</v>
      </c>
      <c r="U115" s="0" t="n">
        <v>9.12990209581398</v>
      </c>
      <c r="V115" s="0" t="n">
        <v>0.649687108886108</v>
      </c>
      <c r="W115" s="0" t="n">
        <f aca="false">Q115-V115</f>
        <v>0</v>
      </c>
    </row>
    <row r="116" customFormat="false" ht="15" hidden="false" customHeight="false" outlineLevel="0" collapsed="false">
      <c r="A116" s="0" t="s">
        <v>150</v>
      </c>
      <c r="B116" s="0" t="s">
        <v>3013</v>
      </c>
      <c r="C116" s="0" t="n">
        <v>11.3033619560062</v>
      </c>
      <c r="D116" s="0" t="n">
        <f aca="false">SUMPRODUCT(Risk_Inputs!B116:AJ116,Risk_Coefs!$B$2:$AJ$2)</f>
        <v>-0.833308790834789</v>
      </c>
      <c r="E116" s="0" t="n">
        <f aca="false">1/(1+EXP(-MAX(-25,MIN(25,D116))))</f>
        <v>0.30294589864112</v>
      </c>
      <c r="F116" s="0" t="n">
        <f aca="false">SUMPRODUCT(Risk_Inputs!B116:AJ116,Risk_Coefs!$B$3:$AJ$3)</f>
        <v>6.53779246993946</v>
      </c>
      <c r="G116" s="0" t="n">
        <f aca="false">MAX(0,F116)</f>
        <v>6.53779246993946</v>
      </c>
      <c r="H116" s="0" t="n">
        <f aca="false">(SUMPRODUCT(--ISNUMBER($E$2:$E$800),--($E$2:$E$800&lt;E116))+(SUMPRODUCT(--ISNUMBER($E$2:$E$800),--($E$2:$E$800=E116))+1)/2)/COUNT($E$2:$E$800)</f>
        <v>0.583229036295369</v>
      </c>
      <c r="I116" s="0" t="n">
        <f aca="false">(SUMPRODUCT(--ISNUMBER($G$2:$G$800),--($G$2:$G$800&lt;G116))+(SUMPRODUCT(--ISNUMBER($G$2:$G$800),--($G$2:$G$800=G116))+1)/2)/COUNT($G$2:$G$800)</f>
        <v>0.34793491864831</v>
      </c>
      <c r="J116" s="0" t="n">
        <v>8.5192820761577</v>
      </c>
      <c r="K116" s="0" t="n">
        <v>1.98083067092651</v>
      </c>
      <c r="L116" s="0" t="n">
        <v>0.191693290734822</v>
      </c>
      <c r="M116" s="0" t="n">
        <f aca="false">IF(OR(B116="NW",COUNT(Risk_Rank_Keys!B116)=0),0.5,(SUMPRODUCT(--ISNUMBER(Risk_Rank_Keys!$B$2:$B$800),--(Risk_Rank_Keys!$B$2:$B$800&lt;Risk_Rank_Keys!B116))+(SUMPRODUCT(--ISNUMBER(Risk_Rank_Keys!$B$2:$B$800),--(Risk_Rank_Keys!$B$2:$B$800=Risk_Rank_Keys!B116))+1)/2)/COUNT(Risk_Rank_Keys!$B$2:$B$800))</f>
        <v>0.418410041841004</v>
      </c>
      <c r="N116" s="0" t="n">
        <f aca="false">IF(OR(B116="NW",COUNT(Risk_Rank_Keys!C116)=0),0.5,(SUMPRODUCT(--ISNUMBER(Risk_Rank_Keys!$C$2:$C$800),--(Risk_Rank_Keys!$C$2:$C$800&lt;Risk_Rank_Keys!C116))+(SUMPRODUCT(--ISNUMBER(Risk_Rank_Keys!$C$2:$C$800),--(Risk_Rank_Keys!$C$2:$C$800=Risk_Rank_Keys!C116))+1)/2)/COUNT(Risk_Rank_Keys!$C$2:$C$800))</f>
        <v>0.264993026499303</v>
      </c>
      <c r="O116" s="0" t="n">
        <f aca="false">IF(OR(B116="NW",COUNT(Risk_Rank_Keys!D116)=0),0.5,(SUMPRODUCT(--ISNUMBER(Risk_Rank_Keys!$D$2:$D$800),--(Risk_Rank_Keys!$D$2:$D$800&lt;Risk_Rank_Keys!D116))+(SUMPRODUCT(--ISNUMBER(Risk_Rank_Keys!$D$2:$D$800),--(Risk_Rank_Keys!$D$2:$D$800=Risk_Rank_Keys!D116))+1)/2)/COUNT(Risk_Rank_Keys!$D$2:$D$800))</f>
        <v>0.262203626220363</v>
      </c>
      <c r="P116" s="0" t="n">
        <f aca="false">AVERAGE(M116:O116)</f>
        <v>0.315202231520223</v>
      </c>
      <c r="Q116" s="0" t="n">
        <f aca="false">0.4*H116+0.4*I116+0.2*P116</f>
        <v>0.435506028281517</v>
      </c>
      <c r="R116" s="0" t="n">
        <f aca="false">PERCENTILE($Q$2:$Q$800,0.75)</f>
        <v>0.667715717403612</v>
      </c>
      <c r="S116" s="1" t="b">
        <f aca="false">OR(Q116&gt;=R116,AND(B116="CW",COUNT(J116:L116)&lt;3))</f>
        <v>0</v>
      </c>
      <c r="T116" s="0" t="n">
        <v>0.30294589864112</v>
      </c>
      <c r="U116" s="0" t="n">
        <v>6.53779246993946</v>
      </c>
      <c r="V116" s="0" t="n">
        <v>0.435506028281517</v>
      </c>
      <c r="W116" s="0" t="n">
        <f aca="false">Q116-V116</f>
        <v>0</v>
      </c>
    </row>
    <row r="117" customFormat="false" ht="15" hidden="false" customHeight="false" outlineLevel="0" collapsed="false">
      <c r="A117" s="0" t="s">
        <v>151</v>
      </c>
      <c r="B117" s="0" t="s">
        <v>3013</v>
      </c>
      <c r="C117" s="0" t="n">
        <v>-4.97675606413023</v>
      </c>
      <c r="D117" s="0" t="n">
        <f aca="false">SUMPRODUCT(Risk_Inputs!B117:AJ117,Risk_Coefs!$B$2:$AJ$2)</f>
        <v>-1.04689732490092</v>
      </c>
      <c r="E117" s="0" t="n">
        <f aca="false">1/(1+EXP(-MAX(-25,MIN(25,D117))))</f>
        <v>0.259821344542202</v>
      </c>
      <c r="F117" s="0" t="n">
        <f aca="false">SUMPRODUCT(Risk_Inputs!B117:AJ117,Risk_Coefs!$B$3:$AJ$3)</f>
        <v>5.79285972702809</v>
      </c>
      <c r="G117" s="0" t="n">
        <f aca="false">MAX(0,F117)</f>
        <v>5.79285972702809</v>
      </c>
      <c r="H117" s="0" t="n">
        <f aca="false">(SUMPRODUCT(--ISNUMBER($E$2:$E$800),--($E$2:$E$800&lt;E117))+(SUMPRODUCT(--ISNUMBER($E$2:$E$800),--($E$2:$E$800=E117))+1)/2)/COUNT($E$2:$E$800)</f>
        <v>0.332916145181477</v>
      </c>
      <c r="I117" s="0" t="n">
        <f aca="false">(SUMPRODUCT(--ISNUMBER($G$2:$G$800),--($G$2:$G$800&lt;G117))+(SUMPRODUCT(--ISNUMBER($G$2:$G$800),--($G$2:$G$800=G117))+1)/2)/COUNT($G$2:$G$800)</f>
        <v>0.240300375469337</v>
      </c>
      <c r="J117" s="0" t="n">
        <v>11.6513081241372</v>
      </c>
      <c r="K117" s="0" t="n">
        <v>8.07966929725669</v>
      </c>
      <c r="L117" s="0" t="n">
        <v>0.300638857572346</v>
      </c>
      <c r="M117" s="0" t="n">
        <f aca="false">IF(OR(B117="NW",COUNT(Risk_Rank_Keys!B117)=0),0.5,(SUMPRODUCT(--ISNUMBER(Risk_Rank_Keys!$B$2:$B$800),--(Risk_Rank_Keys!$B$2:$B$800&lt;Risk_Rank_Keys!B117))+(SUMPRODUCT(--ISNUMBER(Risk_Rank_Keys!$B$2:$B$800),--(Risk_Rank_Keys!$B$2:$B$800=Risk_Rank_Keys!B117))+1)/2)/COUNT(Risk_Rank_Keys!$B$2:$B$800))</f>
        <v>0.582984658298466</v>
      </c>
      <c r="N117" s="0" t="n">
        <f aca="false">IF(OR(B117="NW",COUNT(Risk_Rank_Keys!C117)=0),0.5,(SUMPRODUCT(--ISNUMBER(Risk_Rank_Keys!$C$2:$C$800),--(Risk_Rank_Keys!$C$2:$C$800&lt;Risk_Rank_Keys!C117))+(SUMPRODUCT(--ISNUMBER(Risk_Rank_Keys!$C$2:$C$800),--(Risk_Rank_Keys!$C$2:$C$800=Risk_Rank_Keys!C117))+1)/2)/COUNT(Risk_Rank_Keys!$C$2:$C$800))</f>
        <v>0.825662482566248</v>
      </c>
      <c r="O117" s="0" t="n">
        <f aca="false">IF(OR(B117="NW",COUNT(Risk_Rank_Keys!D117)=0),0.5,(SUMPRODUCT(--ISNUMBER(Risk_Rank_Keys!$D$2:$D$800),--(Risk_Rank_Keys!$D$2:$D$800&lt;Risk_Rank_Keys!D117))+(SUMPRODUCT(--ISNUMBER(Risk_Rank_Keys!$D$2:$D$800),--(Risk_Rank_Keys!$D$2:$D$800=Risk_Rank_Keys!D117))+1)/2)/COUNT(Risk_Rank_Keys!$D$2:$D$800))</f>
        <v>0.746164574616458</v>
      </c>
      <c r="P117" s="0" t="n">
        <f aca="false">AVERAGE(M117:O117)</f>
        <v>0.718270571827057</v>
      </c>
      <c r="Q117" s="0" t="n">
        <f aca="false">0.4*H117+0.4*I117+0.2*P117</f>
        <v>0.372940722625737</v>
      </c>
      <c r="R117" s="0" t="n">
        <f aca="false">PERCENTILE($Q$2:$Q$800,0.75)</f>
        <v>0.667715717403612</v>
      </c>
      <c r="S117" s="1" t="b">
        <f aca="false">OR(Q117&gt;=R117,AND(B117="CW",COUNT(J117:L117)&lt;3))</f>
        <v>0</v>
      </c>
      <c r="T117" s="0" t="n">
        <v>0.259821344542202</v>
      </c>
      <c r="U117" s="0" t="n">
        <v>5.79285972702809</v>
      </c>
      <c r="V117" s="0" t="n">
        <v>0.372940722625737</v>
      </c>
      <c r="W117" s="0" t="n">
        <f aca="false">Q117-V117</f>
        <v>0</v>
      </c>
    </row>
    <row r="118" customFormat="false" ht="15" hidden="false" customHeight="false" outlineLevel="0" collapsed="false">
      <c r="A118" s="0" t="s">
        <v>152</v>
      </c>
      <c r="B118" s="0" t="s">
        <v>3013</v>
      </c>
      <c r="C118" s="0" t="n">
        <v>-25.4831806794124</v>
      </c>
      <c r="D118" s="0" t="n">
        <f aca="false">SUMPRODUCT(Risk_Inputs!B118:AJ118,Risk_Coefs!$B$2:$AJ$2)</f>
        <v>-0.721949569170652</v>
      </c>
      <c r="E118" s="0" t="n">
        <f aca="false">1/(1+EXP(-MAX(-25,MIN(25,D118))))</f>
        <v>0.326963819062937</v>
      </c>
      <c r="F118" s="0" t="n">
        <f aca="false">SUMPRODUCT(Risk_Inputs!B118:AJ118,Risk_Coefs!$B$3:$AJ$3)</f>
        <v>9.22720508231175</v>
      </c>
      <c r="G118" s="0" t="n">
        <f aca="false">MAX(0,F118)</f>
        <v>9.22720508231175</v>
      </c>
      <c r="H118" s="0" t="n">
        <f aca="false">(SUMPRODUCT(--ISNUMBER($E$2:$E$800),--($E$2:$E$800&lt;E118))+(SUMPRODUCT(--ISNUMBER($E$2:$E$800),--($E$2:$E$800=E118))+1)/2)/COUNT($E$2:$E$800)</f>
        <v>0.715894868585732</v>
      </c>
      <c r="I118" s="0" t="n">
        <f aca="false">(SUMPRODUCT(--ISNUMBER($G$2:$G$800),--($G$2:$G$800&lt;G118))+(SUMPRODUCT(--ISNUMBER($G$2:$G$800),--($G$2:$G$800=G118))+1)/2)/COUNT($G$2:$G$800)</f>
        <v>0.708385481852315</v>
      </c>
      <c r="J118" s="0" t="n">
        <v>7.2375925920419</v>
      </c>
      <c r="K118" s="0" t="n">
        <v>1.45234493192135</v>
      </c>
      <c r="L118" s="0" t="n">
        <v>0.211800302571857</v>
      </c>
      <c r="M118" s="0" t="n">
        <f aca="false">IF(OR(B118="NW",COUNT(Risk_Rank_Keys!B118)=0),0.5,(SUMPRODUCT(--ISNUMBER(Risk_Rank_Keys!$B$2:$B$800),--(Risk_Rank_Keys!$B$2:$B$800&lt;Risk_Rank_Keys!B118))+(SUMPRODUCT(--ISNUMBER(Risk_Rank_Keys!$B$2:$B$800),--(Risk_Rank_Keys!$B$2:$B$800=Risk_Rank_Keys!B118))+1)/2)/COUNT(Risk_Rank_Keys!$B$2:$B$800))</f>
        <v>0.331938633193863</v>
      </c>
      <c r="N118" s="0" t="n">
        <f aca="false">IF(OR(B118="NW",COUNT(Risk_Rank_Keys!C118)=0),0.5,(SUMPRODUCT(--ISNUMBER(Risk_Rank_Keys!$C$2:$C$800),--(Risk_Rank_Keys!$C$2:$C$800&lt;Risk_Rank_Keys!C118))+(SUMPRODUCT(--ISNUMBER(Risk_Rank_Keys!$C$2:$C$800),--(Risk_Rank_Keys!$C$2:$C$800=Risk_Rank_Keys!C118))+1)/2)/COUNT(Risk_Rank_Keys!$C$2:$C$800))</f>
        <v>0.119944211994421</v>
      </c>
      <c r="O118" s="0" t="n">
        <f aca="false">IF(OR(B118="NW",COUNT(Risk_Rank_Keys!D118)=0),0.5,(SUMPRODUCT(--ISNUMBER(Risk_Rank_Keys!$D$2:$D$800),--(Risk_Rank_Keys!$D$2:$D$800&lt;Risk_Rank_Keys!D118))+(SUMPRODUCT(--ISNUMBER(Risk_Rank_Keys!$D$2:$D$800),--(Risk_Rank_Keys!$D$2:$D$800=Risk_Rank_Keys!D118))+1)/2)/COUNT(Risk_Rank_Keys!$D$2:$D$800))</f>
        <v>0.390516039051604</v>
      </c>
      <c r="P118" s="0" t="n">
        <f aca="false">AVERAGE(M118:O118)</f>
        <v>0.280799628079963</v>
      </c>
      <c r="Q118" s="0" t="n">
        <f aca="false">0.4*H118+0.4*I118+0.2*P118</f>
        <v>0.625872065791212</v>
      </c>
      <c r="R118" s="0" t="n">
        <f aca="false">PERCENTILE($Q$2:$Q$800,0.75)</f>
        <v>0.667715717403612</v>
      </c>
      <c r="S118" s="1" t="b">
        <f aca="false">OR(Q118&gt;=R118,AND(B118="CW",COUNT(J118:L118)&lt;3))</f>
        <v>0</v>
      </c>
      <c r="T118" s="0" t="n">
        <v>0.326963819062937</v>
      </c>
      <c r="U118" s="0" t="n">
        <v>9.22720508231175</v>
      </c>
      <c r="V118" s="0" t="n">
        <v>0.625872065791212</v>
      </c>
      <c r="W118" s="0" t="n">
        <f aca="false">Q118-V118</f>
        <v>0</v>
      </c>
    </row>
    <row r="119" customFormat="false" ht="15" hidden="false" customHeight="false" outlineLevel="0" collapsed="false">
      <c r="A119" s="0" t="s">
        <v>153</v>
      </c>
      <c r="B119" s="0" t="s">
        <v>3013</v>
      </c>
      <c r="C119" s="0" t="n">
        <v>-39.3956416052261</v>
      </c>
      <c r="D119" s="0" t="n">
        <f aca="false">SUMPRODUCT(Risk_Inputs!B119:AJ119,Risk_Coefs!$B$2:$AJ$2)</f>
        <v>-1.11902825937364</v>
      </c>
      <c r="E119" s="0" t="n">
        <f aca="false">1/(1+EXP(-MAX(-25,MIN(25,D119))))</f>
        <v>0.246191575943314</v>
      </c>
      <c r="F119" s="0" t="n">
        <f aca="false">SUMPRODUCT(Risk_Inputs!B119:AJ119,Risk_Coefs!$B$3:$AJ$3)</f>
        <v>6.4054772298192</v>
      </c>
      <c r="G119" s="0" t="n">
        <f aca="false">MAX(0,F119)</f>
        <v>6.4054772298192</v>
      </c>
      <c r="H119" s="0" t="n">
        <f aca="false">(SUMPRODUCT(--ISNUMBER($E$2:$E$800),--($E$2:$E$800&lt;E119))+(SUMPRODUCT(--ISNUMBER($E$2:$E$800),--($E$2:$E$800=E119))+1)/2)/COUNT($E$2:$E$800)</f>
        <v>0.247809762202753</v>
      </c>
      <c r="I119" s="0" t="n">
        <f aca="false">(SUMPRODUCT(--ISNUMBER($G$2:$G$800),--($G$2:$G$800&lt;G119))+(SUMPRODUCT(--ISNUMBER($G$2:$G$800),--($G$2:$G$800=G119))+1)/2)/COUNT($G$2:$G$800)</f>
        <v>0.327909887359199</v>
      </c>
      <c r="J119" s="0" t="n">
        <v>6.960933236981</v>
      </c>
      <c r="K119" s="0" t="n">
        <v>3.97372742200329</v>
      </c>
      <c r="L119" s="0" t="n">
        <v>0.22988505747127</v>
      </c>
      <c r="M119" s="0" t="n">
        <f aca="false">IF(OR(B119="NW",COUNT(Risk_Rank_Keys!B119)=0),0.5,(SUMPRODUCT(--ISNUMBER(Risk_Rank_Keys!$B$2:$B$800),--(Risk_Rank_Keys!$B$2:$B$800&lt;Risk_Rank_Keys!B119))+(SUMPRODUCT(--ISNUMBER(Risk_Rank_Keys!$B$2:$B$800),--(Risk_Rank_Keys!$B$2:$B$800=Risk_Rank_Keys!B119))+1)/2)/COUNT(Risk_Rank_Keys!$B$2:$B$800))</f>
        <v>0.309623430962343</v>
      </c>
      <c r="N119" s="0" t="n">
        <f aca="false">IF(OR(B119="NW",COUNT(Risk_Rank_Keys!C119)=0),0.5,(SUMPRODUCT(--ISNUMBER(Risk_Rank_Keys!$C$2:$C$800),--(Risk_Rank_Keys!$C$2:$C$800&lt;Risk_Rank_Keys!C119))+(SUMPRODUCT(--ISNUMBER(Risk_Rank_Keys!$C$2:$C$800),--(Risk_Rank_Keys!$C$2:$C$800=Risk_Rank_Keys!C119))+1)/2)/COUNT(Risk_Rank_Keys!$C$2:$C$800))</f>
        <v>0.592747559274756</v>
      </c>
      <c r="O119" s="0" t="n">
        <f aca="false">IF(OR(B119="NW",COUNT(Risk_Rank_Keys!D119)=0),0.5,(SUMPRODUCT(--ISNUMBER(Risk_Rank_Keys!$D$2:$D$800),--(Risk_Rank_Keys!$D$2:$D$800&lt;Risk_Rank_Keys!D119))+(SUMPRODUCT(--ISNUMBER(Risk_Rank_Keys!$D$2:$D$800),--(Risk_Rank_Keys!$D$2:$D$800=Risk_Rank_Keys!D119))+1)/2)/COUNT(Risk_Rank_Keys!$D$2:$D$800))</f>
        <v>0.502092050209205</v>
      </c>
      <c r="P119" s="0" t="n">
        <f aca="false">AVERAGE(M119:O119)</f>
        <v>0.468154346815435</v>
      </c>
      <c r="Q119" s="0" t="n">
        <f aca="false">0.4*H119+0.4*I119+0.2*P119</f>
        <v>0.323918729187868</v>
      </c>
      <c r="R119" s="0" t="n">
        <f aca="false">PERCENTILE($Q$2:$Q$800,0.75)</f>
        <v>0.667715717403612</v>
      </c>
      <c r="S119" s="1" t="b">
        <f aca="false">OR(Q119&gt;=R119,AND(B119="CW",COUNT(J119:L119)&lt;3))</f>
        <v>0</v>
      </c>
      <c r="T119" s="0" t="n">
        <v>0.246191575943314</v>
      </c>
      <c r="U119" s="0" t="n">
        <v>6.4054772298192</v>
      </c>
      <c r="V119" s="0" t="n">
        <v>0.323918729187868</v>
      </c>
      <c r="W119" s="0" t="n">
        <f aca="false">Q119-V119</f>
        <v>0</v>
      </c>
    </row>
    <row r="120" customFormat="false" ht="15" hidden="false" customHeight="false" outlineLevel="0" collapsed="false">
      <c r="A120" s="0" t="s">
        <v>154</v>
      </c>
      <c r="B120" s="0" t="s">
        <v>33</v>
      </c>
      <c r="C120" s="0" t="n">
        <v>-8.55428114034747</v>
      </c>
      <c r="D120" s="0" t="n">
        <f aca="false">SUMPRODUCT(Risk_Inputs!B120:AJ120,Risk_Coefs!$B$2:$AJ$2)</f>
        <v>-0.645492861935749</v>
      </c>
      <c r="E120" s="0" t="n">
        <f aca="false">1/(1+EXP(-MAX(-25,MIN(25,D120))))</f>
        <v>0.344005928135193</v>
      </c>
      <c r="F120" s="0" t="n">
        <f aca="false">SUMPRODUCT(Risk_Inputs!B120:AJ120,Risk_Coefs!$B$3:$AJ$3)</f>
        <v>10.7279273907548</v>
      </c>
      <c r="G120" s="0" t="n">
        <f aca="false">MAX(0,F120)</f>
        <v>10.7279273907548</v>
      </c>
      <c r="H120" s="0" t="n">
        <f aca="false">(SUMPRODUCT(--ISNUMBER($E$2:$E$800),--($E$2:$E$800&lt;E120))+(SUMPRODUCT(--ISNUMBER($E$2:$E$800),--($E$2:$E$800=E120))+1)/2)/COUNT($E$2:$E$800)</f>
        <v>0.798498122653317</v>
      </c>
      <c r="I120" s="0" t="n">
        <f aca="false">(SUMPRODUCT(--ISNUMBER($G$2:$G$800),--($G$2:$G$800&lt;G120))+(SUMPRODUCT(--ISNUMBER($G$2:$G$800),--($G$2:$G$800=G120))+1)/2)/COUNT($G$2:$G$800)</f>
        <v>0.85982478097622</v>
      </c>
      <c r="M120" s="0" t="n">
        <f aca="false">IF(OR(B120="NW",COUNT(Risk_Rank_Keys!B120)=0),0.5,(SUMPRODUCT(--ISNUMBER(Risk_Rank_Keys!$B$2:$B$800),--(Risk_Rank_Keys!$B$2:$B$800&lt;Risk_Rank_Keys!B120))+(SUMPRODUCT(--ISNUMBER(Risk_Rank_Keys!$B$2:$B$800),--(Risk_Rank_Keys!$B$2:$B$800=Risk_Rank_Keys!B120))+1)/2)/COUNT(Risk_Rank_Keys!$B$2:$B$800))</f>
        <v>0.5</v>
      </c>
      <c r="N120" s="0" t="n">
        <f aca="false">IF(OR(B120="NW",COUNT(Risk_Rank_Keys!C120)=0),0.5,(SUMPRODUCT(--ISNUMBER(Risk_Rank_Keys!$C$2:$C$800),--(Risk_Rank_Keys!$C$2:$C$800&lt;Risk_Rank_Keys!C120))+(SUMPRODUCT(--ISNUMBER(Risk_Rank_Keys!$C$2:$C$800),--(Risk_Rank_Keys!$C$2:$C$800=Risk_Rank_Keys!C120))+1)/2)/COUNT(Risk_Rank_Keys!$C$2:$C$800))</f>
        <v>0.5</v>
      </c>
      <c r="O120" s="0" t="n">
        <f aca="false">IF(OR(B120="NW",COUNT(Risk_Rank_Keys!D120)=0),0.5,(SUMPRODUCT(--ISNUMBER(Risk_Rank_Keys!$D$2:$D$800),--(Risk_Rank_Keys!$D$2:$D$800&lt;Risk_Rank_Keys!D120))+(SUMPRODUCT(--ISNUMBER(Risk_Rank_Keys!$D$2:$D$800),--(Risk_Rank_Keys!$D$2:$D$800=Risk_Rank_Keys!D120))+1)/2)/COUNT(Risk_Rank_Keys!$D$2:$D$800))</f>
        <v>0.5</v>
      </c>
      <c r="P120" s="0" t="n">
        <f aca="false">AVERAGE(M120:O120)</f>
        <v>0.5</v>
      </c>
      <c r="Q120" s="0" t="n">
        <f aca="false">0.4*H120+0.4*I120+0.2*P120</f>
        <v>0.763329161451815</v>
      </c>
      <c r="R120" s="0" t="n">
        <f aca="false">PERCENTILE($Q$2:$Q$800,0.75)</f>
        <v>0.667715717403612</v>
      </c>
      <c r="S120" s="1" t="b">
        <f aca="false">OR(Q120&gt;=R120,AND(B120="CW",COUNT(J120:L120)&lt;3))</f>
        <v>1</v>
      </c>
      <c r="T120" s="0" t="n">
        <v>0.344005928135193</v>
      </c>
      <c r="U120" s="0" t="n">
        <v>10.7279273907548</v>
      </c>
      <c r="V120" s="0" t="n">
        <v>0.763329161451815</v>
      </c>
      <c r="W120" s="0" t="n">
        <f aca="false">Q120-V120</f>
        <v>0</v>
      </c>
    </row>
    <row r="121" customFormat="false" ht="15" hidden="false" customHeight="false" outlineLevel="0" collapsed="false">
      <c r="A121" s="0" t="s">
        <v>155</v>
      </c>
      <c r="B121" s="0" t="s">
        <v>3013</v>
      </c>
      <c r="C121" s="0" t="n">
        <v>9.62829025861602</v>
      </c>
      <c r="D121" s="0" t="n">
        <f aca="false">SUMPRODUCT(Risk_Inputs!B121:AJ121,Risk_Coefs!$B$2:$AJ$2)</f>
        <v>-1.55133177639449</v>
      </c>
      <c r="E121" s="0" t="n">
        <f aca="false">1/(1+EXP(-MAX(-25,MIN(25,D121))))</f>
        <v>0.174894001503152</v>
      </c>
      <c r="F121" s="0" t="n">
        <f aca="false">SUMPRODUCT(Risk_Inputs!B121:AJ121,Risk_Coefs!$B$3:$AJ$3)</f>
        <v>6.77350768064293</v>
      </c>
      <c r="G121" s="0" t="n">
        <f aca="false">MAX(0,F121)</f>
        <v>6.77350768064293</v>
      </c>
      <c r="H121" s="0" t="n">
        <f aca="false">(SUMPRODUCT(--ISNUMBER($E$2:$E$800),--($E$2:$E$800&lt;E121))+(SUMPRODUCT(--ISNUMBER($E$2:$E$800),--($E$2:$E$800=E121))+1)/2)/COUNT($E$2:$E$800)</f>
        <v>0.0525657071339174</v>
      </c>
      <c r="I121" s="0" t="n">
        <f aca="false">(SUMPRODUCT(--ISNUMBER($G$2:$G$800),--($G$2:$G$800&lt;G121))+(SUMPRODUCT(--ISNUMBER($G$2:$G$800),--($G$2:$G$800=G121))+1)/2)/COUNT($G$2:$G$800)</f>
        <v>0.389236545682103</v>
      </c>
      <c r="J121" s="0" t="n">
        <v>14.5483784198077</v>
      </c>
      <c r="K121" s="0" t="n">
        <v>7.92827824584144</v>
      </c>
      <c r="L121" s="0" t="n">
        <v>0.388852883992219</v>
      </c>
      <c r="M121" s="0" t="n">
        <f aca="false">IF(OR(B121="NW",COUNT(Risk_Rank_Keys!B121)=0),0.5,(SUMPRODUCT(--ISNUMBER(Risk_Rank_Keys!$B$2:$B$800),--(Risk_Rank_Keys!$B$2:$B$800&lt;Risk_Rank_Keys!B121))+(SUMPRODUCT(--ISNUMBER(Risk_Rank_Keys!$B$2:$B$800),--(Risk_Rank_Keys!$B$2:$B$800=Risk_Rank_Keys!B121))+1)/2)/COUNT(Risk_Rank_Keys!$B$2:$B$800))</f>
        <v>0.694560669456067</v>
      </c>
      <c r="N121" s="0" t="n">
        <f aca="false">IF(OR(B121="NW",COUNT(Risk_Rank_Keys!C121)=0),0.5,(SUMPRODUCT(--ISNUMBER(Risk_Rank_Keys!$C$2:$C$800),--(Risk_Rank_Keys!$C$2:$C$800&lt;Risk_Rank_Keys!C121))+(SUMPRODUCT(--ISNUMBER(Risk_Rank_Keys!$C$2:$C$800),--(Risk_Rank_Keys!$C$2:$C$800=Risk_Rank_Keys!C121))+1)/2)/COUNT(Risk_Rank_Keys!$C$2:$C$800))</f>
        <v>0.818688981868898</v>
      </c>
      <c r="O121" s="0" t="n">
        <f aca="false">IF(OR(B121="NW",COUNT(Risk_Rank_Keys!D121)=0),0.5,(SUMPRODUCT(--ISNUMBER(Risk_Rank_Keys!$D$2:$D$800),--(Risk_Rank_Keys!$D$2:$D$800&lt;Risk_Rank_Keys!D121))+(SUMPRODUCT(--ISNUMBER(Risk_Rank_Keys!$D$2:$D$800),--(Risk_Rank_Keys!$D$2:$D$800=Risk_Rank_Keys!D121))+1)/2)/COUNT(Risk_Rank_Keys!$D$2:$D$800))</f>
        <v>0.873082287308229</v>
      </c>
      <c r="P121" s="0" t="n">
        <f aca="false">AVERAGE(M121:O121)</f>
        <v>0.795443979544398</v>
      </c>
      <c r="Q121" s="0" t="n">
        <f aca="false">0.4*H121+0.4*I121+0.2*P121</f>
        <v>0.335809697035288</v>
      </c>
      <c r="R121" s="0" t="n">
        <f aca="false">PERCENTILE($Q$2:$Q$800,0.75)</f>
        <v>0.667715717403612</v>
      </c>
      <c r="S121" s="1" t="b">
        <f aca="false">OR(Q121&gt;=R121,AND(B121="CW",COUNT(J121:L121)&lt;3))</f>
        <v>0</v>
      </c>
      <c r="T121" s="0" t="n">
        <v>0.174894001503152</v>
      </c>
      <c r="U121" s="0" t="n">
        <v>6.77350768064293</v>
      </c>
      <c r="V121" s="0" t="n">
        <v>0.335809697035288</v>
      </c>
      <c r="W121" s="0" t="n">
        <f aca="false">Q121-V121</f>
        <v>0</v>
      </c>
    </row>
    <row r="122" customFormat="false" ht="15" hidden="false" customHeight="false" outlineLevel="0" collapsed="false">
      <c r="A122" s="0" t="s">
        <v>156</v>
      </c>
      <c r="B122" s="0" t="s">
        <v>3013</v>
      </c>
      <c r="C122" s="0" t="n">
        <v>22.1171955459408</v>
      </c>
      <c r="D122" s="0" t="n">
        <f aca="false">SUMPRODUCT(Risk_Inputs!B122:AJ122,Risk_Coefs!$B$2:$AJ$2)</f>
        <v>-0.95876814981689</v>
      </c>
      <c r="E122" s="0" t="n">
        <f aca="false">1/(1+EXP(-MAX(-25,MIN(25,D122))))</f>
        <v>0.277124899581231</v>
      </c>
      <c r="F122" s="0" t="n">
        <f aca="false">SUMPRODUCT(Risk_Inputs!B122:AJ122,Risk_Coefs!$B$3:$AJ$3)</f>
        <v>8.26946728929095</v>
      </c>
      <c r="G122" s="0" t="n">
        <f aca="false">MAX(0,F122)</f>
        <v>8.26946728929095</v>
      </c>
      <c r="H122" s="0" t="n">
        <f aca="false">(SUMPRODUCT(--ISNUMBER($E$2:$E$800),--($E$2:$E$800&lt;E122))+(SUMPRODUCT(--ISNUMBER($E$2:$E$800),--($E$2:$E$800=E122))+1)/2)/COUNT($E$2:$E$800)</f>
        <v>0.445556946182728</v>
      </c>
      <c r="I122" s="0" t="n">
        <f aca="false">(SUMPRODUCT(--ISNUMBER($G$2:$G$800),--($G$2:$G$800&lt;G122))+(SUMPRODUCT(--ISNUMBER($G$2:$G$800),--($G$2:$G$800=G122))+1)/2)/COUNT($G$2:$G$800)</f>
        <v>0.575719649561952</v>
      </c>
      <c r="J122" s="0" t="n">
        <v>6.90196619762055</v>
      </c>
      <c r="K122" s="0" t="n">
        <v>4.6926804386636</v>
      </c>
      <c r="L122" s="0" t="n">
        <v>0.280540678398374</v>
      </c>
      <c r="M122" s="0" t="n">
        <f aca="false">IF(OR(B122="NW",COUNT(Risk_Rank_Keys!B122)=0),0.5,(SUMPRODUCT(--ISNUMBER(Risk_Rank_Keys!$B$2:$B$800),--(Risk_Rank_Keys!$B$2:$B$800&lt;Risk_Rank_Keys!B122))+(SUMPRODUCT(--ISNUMBER(Risk_Rank_Keys!$B$2:$B$800),--(Risk_Rank_Keys!$B$2:$B$800=Risk_Rank_Keys!B122))+1)/2)/COUNT(Risk_Rank_Keys!$B$2:$B$800))</f>
        <v>0.304044630404463</v>
      </c>
      <c r="N122" s="0" t="n">
        <f aca="false">IF(OR(B122="NW",COUNT(Risk_Rank_Keys!C122)=0),0.5,(SUMPRODUCT(--ISNUMBER(Risk_Rank_Keys!$C$2:$C$800),--(Risk_Rank_Keys!$C$2:$C$800&lt;Risk_Rank_Keys!C122))+(SUMPRODUCT(--ISNUMBER(Risk_Rank_Keys!$C$2:$C$800),--(Risk_Rank_Keys!$C$2:$C$800=Risk_Rank_Keys!C122))+1)/2)/COUNT(Risk_Rank_Keys!$C$2:$C$800))</f>
        <v>0.663877266387727</v>
      </c>
      <c r="O122" s="0" t="n">
        <f aca="false">IF(OR(B122="NW",COUNT(Risk_Rank_Keys!D122)=0),0.5,(SUMPRODUCT(--ISNUMBER(Risk_Rank_Keys!$D$2:$D$800),--(Risk_Rank_Keys!$D$2:$D$800&lt;Risk_Rank_Keys!D122))+(SUMPRODUCT(--ISNUMBER(Risk_Rank_Keys!$D$2:$D$800),--(Risk_Rank_Keys!$D$2:$D$800=Risk_Rank_Keys!D122))+1)/2)/COUNT(Risk_Rank_Keys!$D$2:$D$800))</f>
        <v>0.700139470013947</v>
      </c>
      <c r="P122" s="0" t="n">
        <f aca="false">AVERAGE(M122:O122)</f>
        <v>0.556020455602046</v>
      </c>
      <c r="Q122" s="0" t="n">
        <f aca="false">0.4*H122+0.4*I122+0.2*P122</f>
        <v>0.519714729418282</v>
      </c>
      <c r="R122" s="0" t="n">
        <f aca="false">PERCENTILE($Q$2:$Q$800,0.75)</f>
        <v>0.667715717403612</v>
      </c>
      <c r="S122" s="1" t="b">
        <f aca="false">OR(Q122&gt;=R122,AND(B122="CW",COUNT(J122:L122)&lt;3))</f>
        <v>0</v>
      </c>
      <c r="T122" s="0" t="n">
        <v>0.277124899581231</v>
      </c>
      <c r="U122" s="0" t="n">
        <v>8.26946728929095</v>
      </c>
      <c r="V122" s="0" t="n">
        <v>0.519714729418282</v>
      </c>
      <c r="W122" s="0" t="n">
        <f aca="false">Q122-V122</f>
        <v>0</v>
      </c>
    </row>
    <row r="123" customFormat="false" ht="15" hidden="false" customHeight="false" outlineLevel="0" collapsed="false">
      <c r="A123" s="0" t="s">
        <v>157</v>
      </c>
      <c r="B123" s="0" t="s">
        <v>3013</v>
      </c>
      <c r="C123" s="0" t="n">
        <v>28.5796194825573</v>
      </c>
      <c r="D123" s="0" t="n">
        <f aca="false">SUMPRODUCT(Risk_Inputs!B123:AJ123,Risk_Coefs!$B$2:$AJ$2)</f>
        <v>-0.953287413078408</v>
      </c>
      <c r="E123" s="0" t="n">
        <f aca="false">1/(1+EXP(-MAX(-25,MIN(25,D123))))</f>
        <v>0.278224177466624</v>
      </c>
      <c r="F123" s="0" t="n">
        <f aca="false">SUMPRODUCT(Risk_Inputs!B123:AJ123,Risk_Coefs!$B$3:$AJ$3)</f>
        <v>7.31855120229942</v>
      </c>
      <c r="G123" s="0" t="n">
        <f aca="false">MAX(0,F123)</f>
        <v>7.31855120229942</v>
      </c>
      <c r="H123" s="0" t="n">
        <f aca="false">(SUMPRODUCT(--ISNUMBER($E$2:$E$800),--($E$2:$E$800&lt;E123))+(SUMPRODUCT(--ISNUMBER($E$2:$E$800),--($E$2:$E$800=E123))+1)/2)/COUNT($E$2:$E$800)</f>
        <v>0.455569461827284</v>
      </c>
      <c r="I123" s="0" t="n">
        <f aca="false">(SUMPRODUCT(--ISNUMBER($G$2:$G$800),--($G$2:$G$800&lt;G123))+(SUMPRODUCT(--ISNUMBER($G$2:$G$800),--($G$2:$G$800=G123))+1)/2)/COUNT($G$2:$G$800)</f>
        <v>0.451814768460576</v>
      </c>
      <c r="J123" s="0" t="n">
        <v>5.54986829846298</v>
      </c>
      <c r="K123" s="0" t="n">
        <v>1.17075956596231</v>
      </c>
      <c r="L123" s="0" t="n">
        <v>0.228440890919478</v>
      </c>
      <c r="M123" s="0" t="n">
        <f aca="false">IF(OR(B123="NW",COUNT(Risk_Rank_Keys!B123)=0),0.5,(SUMPRODUCT(--ISNUMBER(Risk_Rank_Keys!$B$2:$B$800),--(Risk_Rank_Keys!$B$2:$B$800&lt;Risk_Rank_Keys!B123))+(SUMPRODUCT(--ISNUMBER(Risk_Rank_Keys!$B$2:$B$800),--(Risk_Rank_Keys!$B$2:$B$800=Risk_Rank_Keys!B123))+1)/2)/COUNT(Risk_Rank_Keys!$B$2:$B$800))</f>
        <v>0.172942817294282</v>
      </c>
      <c r="N123" s="0" t="n">
        <f aca="false">IF(OR(B123="NW",COUNT(Risk_Rank_Keys!C123)=0),0.5,(SUMPRODUCT(--ISNUMBER(Risk_Rank_Keys!$C$2:$C$800),--(Risk_Rank_Keys!$C$2:$C$800&lt;Risk_Rank_Keys!C123))+(SUMPRODUCT(--ISNUMBER(Risk_Rank_Keys!$C$2:$C$800),--(Risk_Rank_Keys!$C$2:$C$800=Risk_Rank_Keys!C123))+1)/2)/COUNT(Risk_Rank_Keys!$C$2:$C$800))</f>
        <v>0.0599721059972106</v>
      </c>
      <c r="O123" s="0" t="n">
        <f aca="false">IF(OR(B123="NW",COUNT(Risk_Rank_Keys!D123)=0),0.5,(SUMPRODUCT(--ISNUMBER(Risk_Rank_Keys!$D$2:$D$800),--(Risk_Rank_Keys!$D$2:$D$800&lt;Risk_Rank_Keys!D123))+(SUMPRODUCT(--ISNUMBER(Risk_Rank_Keys!$D$2:$D$800),--(Risk_Rank_Keys!$D$2:$D$800=Risk_Rank_Keys!D123))+1)/2)/COUNT(Risk_Rank_Keys!$D$2:$D$800))</f>
        <v>0.489539748953975</v>
      </c>
      <c r="P123" s="0" t="n">
        <f aca="false">AVERAGE(M123:O123)</f>
        <v>0.240818224081822</v>
      </c>
      <c r="Q123" s="0" t="n">
        <f aca="false">0.4*H123+0.4*I123+0.2*P123</f>
        <v>0.411117336931508</v>
      </c>
      <c r="R123" s="0" t="n">
        <f aca="false">PERCENTILE($Q$2:$Q$800,0.75)</f>
        <v>0.667715717403612</v>
      </c>
      <c r="S123" s="1" t="b">
        <f aca="false">OR(Q123&gt;=R123,AND(B123="CW",COUNT(J123:L123)&lt;3))</f>
        <v>0</v>
      </c>
      <c r="T123" s="0" t="n">
        <v>0.278224177466624</v>
      </c>
      <c r="U123" s="0" t="n">
        <v>7.31855120229942</v>
      </c>
      <c r="V123" s="0" t="n">
        <v>0.411117336931508</v>
      </c>
      <c r="W123" s="0" t="n">
        <f aca="false">Q123-V123</f>
        <v>0</v>
      </c>
    </row>
    <row r="124" customFormat="false" ht="15" hidden="false" customHeight="false" outlineLevel="0" collapsed="false">
      <c r="A124" s="0" t="s">
        <v>158</v>
      </c>
      <c r="B124" s="0" t="s">
        <v>3013</v>
      </c>
      <c r="C124" s="0" t="n">
        <v>45.3742573366464</v>
      </c>
      <c r="D124" s="0" t="n">
        <f aca="false">SUMPRODUCT(Risk_Inputs!B124:AJ124,Risk_Coefs!$B$2:$AJ$2)</f>
        <v>-0.962592543663659</v>
      </c>
      <c r="E124" s="0" t="n">
        <f aca="false">1/(1+EXP(-MAX(-25,MIN(25,D124))))</f>
        <v>0.276359424816841</v>
      </c>
      <c r="F124" s="0" t="n">
        <f aca="false">SUMPRODUCT(Risk_Inputs!B124:AJ124,Risk_Coefs!$B$3:$AJ$3)</f>
        <v>8.25741604299713</v>
      </c>
      <c r="G124" s="0" t="n">
        <f aca="false">MAX(0,F124)</f>
        <v>8.25741604299713</v>
      </c>
      <c r="H124" s="0" t="n">
        <f aca="false">(SUMPRODUCT(--ISNUMBER($E$2:$E$800),--($E$2:$E$800&lt;E124))+(SUMPRODUCT(--ISNUMBER($E$2:$E$800),--($E$2:$E$800=E124))+1)/2)/COUNT($E$2:$E$800)</f>
        <v>0.438047559449312</v>
      </c>
      <c r="I124" s="0" t="n">
        <f aca="false">(SUMPRODUCT(--ISNUMBER($G$2:$G$800),--($G$2:$G$800&lt;G124))+(SUMPRODUCT(--ISNUMBER($G$2:$G$800),--($G$2:$G$800=G124))+1)/2)/COUNT($G$2:$G$800)</f>
        <v>0.573216520650814</v>
      </c>
      <c r="J124" s="0" t="n">
        <v>10.315219270444</v>
      </c>
      <c r="K124" s="0" t="n">
        <v>3.20895522388061</v>
      </c>
      <c r="L124" s="0" t="n">
        <v>0.33582089552239</v>
      </c>
      <c r="M124" s="0" t="n">
        <f aca="false">IF(OR(B124="NW",COUNT(Risk_Rank_Keys!B124)=0),0.5,(SUMPRODUCT(--ISNUMBER(Risk_Rank_Keys!$B$2:$B$800),--(Risk_Rank_Keys!$B$2:$B$800&lt;Risk_Rank_Keys!B124))+(SUMPRODUCT(--ISNUMBER(Risk_Rank_Keys!$B$2:$B$800),--(Risk_Rank_Keys!$B$2:$B$800=Risk_Rank_Keys!B124))+1)/2)/COUNT(Risk_Rank_Keys!$B$2:$B$800))</f>
        <v>0.520223152022315</v>
      </c>
      <c r="N124" s="0" t="n">
        <f aca="false">IF(OR(B124="NW",COUNT(Risk_Rank_Keys!C124)=0),0.5,(SUMPRODUCT(--ISNUMBER(Risk_Rank_Keys!$C$2:$C$800),--(Risk_Rank_Keys!$C$2:$C$800&lt;Risk_Rank_Keys!C124))+(SUMPRODUCT(--ISNUMBER(Risk_Rank_Keys!$C$2:$C$800),--(Risk_Rank_Keys!$C$2:$C$800=Risk_Rank_Keys!C124))+1)/2)/COUNT(Risk_Rank_Keys!$C$2:$C$800))</f>
        <v>0.495118549511855</v>
      </c>
      <c r="O124" s="0" t="n">
        <f aca="false">IF(OR(B124="NW",COUNT(Risk_Rank_Keys!D124)=0),0.5,(SUMPRODUCT(--ISNUMBER(Risk_Rank_Keys!$D$2:$D$800),--(Risk_Rank_Keys!$D$2:$D$800&lt;Risk_Rank_Keys!D124))+(SUMPRODUCT(--ISNUMBER(Risk_Rank_Keys!$D$2:$D$800),--(Risk_Rank_Keys!$D$2:$D$800=Risk_Rank_Keys!D124))+1)/2)/COUNT(Risk_Rank_Keys!$D$2:$D$800))</f>
        <v>0.808926080892608</v>
      </c>
      <c r="P124" s="0" t="n">
        <f aca="false">AVERAGE(M124:O124)</f>
        <v>0.608089260808926</v>
      </c>
      <c r="Q124" s="0" t="n">
        <f aca="false">0.4*H124+0.4*I124+0.2*P124</f>
        <v>0.526123484201835</v>
      </c>
      <c r="R124" s="0" t="n">
        <f aca="false">PERCENTILE($Q$2:$Q$800,0.75)</f>
        <v>0.667715717403612</v>
      </c>
      <c r="S124" s="1" t="b">
        <f aca="false">OR(Q124&gt;=R124,AND(B124="CW",COUNT(J124:L124)&lt;3))</f>
        <v>0</v>
      </c>
      <c r="T124" s="0" t="n">
        <v>0.276359424816841</v>
      </c>
      <c r="U124" s="0" t="n">
        <v>8.25741604299714</v>
      </c>
      <c r="V124" s="0" t="n">
        <v>0.526123484201835</v>
      </c>
      <c r="W124" s="0" t="n">
        <f aca="false">Q124-V124</f>
        <v>0</v>
      </c>
    </row>
    <row r="125" customFormat="false" ht="15" hidden="false" customHeight="false" outlineLevel="0" collapsed="false">
      <c r="A125" s="0" t="s">
        <v>159</v>
      </c>
      <c r="B125" s="0" t="s">
        <v>33</v>
      </c>
      <c r="C125" s="0" t="n">
        <v>12.3497821696733</v>
      </c>
      <c r="D125" s="0" t="n">
        <f aca="false">SUMPRODUCT(Risk_Inputs!B125:AJ125,Risk_Coefs!$B$2:$AJ$2)</f>
        <v>-0.64949520785511</v>
      </c>
      <c r="E125" s="0" t="n">
        <f aca="false">1/(1+EXP(-MAX(-25,MIN(25,D125))))</f>
        <v>0.34310330009686</v>
      </c>
      <c r="F125" s="0" t="n">
        <f aca="false">SUMPRODUCT(Risk_Inputs!B125:AJ125,Risk_Coefs!$B$3:$AJ$3)</f>
        <v>10.1035164603936</v>
      </c>
      <c r="G125" s="0" t="n">
        <f aca="false">MAX(0,F125)</f>
        <v>10.1035164603936</v>
      </c>
      <c r="H125" s="0" t="n">
        <f aca="false">(SUMPRODUCT(--ISNUMBER($E$2:$E$800),--($E$2:$E$800&lt;E125))+(SUMPRODUCT(--ISNUMBER($E$2:$E$800),--($E$2:$E$800=E125))+1)/2)/COUNT($E$2:$E$800)</f>
        <v>0.794743429286608</v>
      </c>
      <c r="I125" s="0" t="n">
        <f aca="false">(SUMPRODUCT(--ISNUMBER($G$2:$G$800),--($G$2:$G$800&lt;G125))+(SUMPRODUCT(--ISNUMBER($G$2:$G$800),--($G$2:$G$800=G125))+1)/2)/COUNT($G$2:$G$800)</f>
        <v>0.801001251564456</v>
      </c>
      <c r="M125" s="0" t="n">
        <f aca="false">IF(OR(B125="NW",COUNT(Risk_Rank_Keys!B125)=0),0.5,(SUMPRODUCT(--ISNUMBER(Risk_Rank_Keys!$B$2:$B$800),--(Risk_Rank_Keys!$B$2:$B$800&lt;Risk_Rank_Keys!B125))+(SUMPRODUCT(--ISNUMBER(Risk_Rank_Keys!$B$2:$B$800),--(Risk_Rank_Keys!$B$2:$B$800=Risk_Rank_Keys!B125))+1)/2)/COUNT(Risk_Rank_Keys!$B$2:$B$800))</f>
        <v>0.5</v>
      </c>
      <c r="N125" s="0" t="n">
        <f aca="false">IF(OR(B125="NW",COUNT(Risk_Rank_Keys!C125)=0),0.5,(SUMPRODUCT(--ISNUMBER(Risk_Rank_Keys!$C$2:$C$800),--(Risk_Rank_Keys!$C$2:$C$800&lt;Risk_Rank_Keys!C125))+(SUMPRODUCT(--ISNUMBER(Risk_Rank_Keys!$C$2:$C$800),--(Risk_Rank_Keys!$C$2:$C$800=Risk_Rank_Keys!C125))+1)/2)/COUNT(Risk_Rank_Keys!$C$2:$C$800))</f>
        <v>0.5</v>
      </c>
      <c r="O125" s="0" t="n">
        <f aca="false">IF(OR(B125="NW",COUNT(Risk_Rank_Keys!D125)=0),0.5,(SUMPRODUCT(--ISNUMBER(Risk_Rank_Keys!$D$2:$D$800),--(Risk_Rank_Keys!$D$2:$D$800&lt;Risk_Rank_Keys!D125))+(SUMPRODUCT(--ISNUMBER(Risk_Rank_Keys!$D$2:$D$800),--(Risk_Rank_Keys!$D$2:$D$800=Risk_Rank_Keys!D125))+1)/2)/COUNT(Risk_Rank_Keys!$D$2:$D$800))</f>
        <v>0.5</v>
      </c>
      <c r="P125" s="0" t="n">
        <f aca="false">AVERAGE(M125:O125)</f>
        <v>0.5</v>
      </c>
      <c r="Q125" s="0" t="n">
        <f aca="false">0.4*H125+0.4*I125+0.2*P125</f>
        <v>0.738297872340426</v>
      </c>
      <c r="R125" s="0" t="n">
        <f aca="false">PERCENTILE($Q$2:$Q$800,0.75)</f>
        <v>0.667715717403612</v>
      </c>
      <c r="S125" s="1" t="b">
        <f aca="false">OR(Q125&gt;=R125,AND(B125="CW",COUNT(J125:L125)&lt;3))</f>
        <v>1</v>
      </c>
      <c r="T125" s="0" t="n">
        <v>0.34310330009686</v>
      </c>
      <c r="U125" s="0" t="n">
        <v>10.1035164603936</v>
      </c>
      <c r="V125" s="0" t="n">
        <v>0.738297872340426</v>
      </c>
      <c r="W125" s="0" t="n">
        <f aca="false">Q125-V125</f>
        <v>0</v>
      </c>
    </row>
    <row r="126" customFormat="false" ht="15" hidden="false" customHeight="false" outlineLevel="0" collapsed="false">
      <c r="A126" s="0" t="s">
        <v>160</v>
      </c>
      <c r="B126" s="0" t="s">
        <v>3013</v>
      </c>
      <c r="C126" s="0" t="n">
        <v>37.2113469650273</v>
      </c>
      <c r="D126" s="0" t="n">
        <f aca="false">SUMPRODUCT(Risk_Inputs!B126:AJ126,Risk_Coefs!$B$2:$AJ$2)</f>
        <v>-0.926204916671896</v>
      </c>
      <c r="E126" s="0" t="n">
        <f aca="false">1/(1+EXP(-MAX(-25,MIN(25,D126))))</f>
        <v>0.283695288527021</v>
      </c>
      <c r="F126" s="0" t="n">
        <f aca="false">SUMPRODUCT(Risk_Inputs!B126:AJ126,Risk_Coefs!$B$3:$AJ$3)</f>
        <v>7.72476569535707</v>
      </c>
      <c r="G126" s="0" t="n">
        <f aca="false">MAX(0,F126)</f>
        <v>7.72476569535707</v>
      </c>
      <c r="H126" s="0" t="n">
        <f aca="false">(SUMPRODUCT(--ISNUMBER($E$2:$E$800),--($E$2:$E$800&lt;E126))+(SUMPRODUCT(--ISNUMBER($E$2:$E$800),--($E$2:$E$800=E126))+1)/2)/COUNT($E$2:$E$800)</f>
        <v>0.480600750938673</v>
      </c>
      <c r="I126" s="0" t="n">
        <f aca="false">(SUMPRODUCT(--ISNUMBER($G$2:$G$800),--($G$2:$G$800&lt;G126))+(SUMPRODUCT(--ISNUMBER($G$2:$G$800),--($G$2:$G$800=G126))+1)/2)/COUNT($G$2:$G$800)</f>
        <v>0.516896120150188</v>
      </c>
      <c r="J126" s="0" t="n">
        <v>21.5836264532145</v>
      </c>
      <c r="K126" s="0" t="n">
        <v>3.94670688788336</v>
      </c>
      <c r="L126" s="0" t="n">
        <v>0.301659125188541</v>
      </c>
      <c r="M126" s="0" t="n">
        <f aca="false">IF(OR(B126="NW",COUNT(Risk_Rank_Keys!B126)=0),0.5,(SUMPRODUCT(--ISNUMBER(Risk_Rank_Keys!$B$2:$B$800),--(Risk_Rank_Keys!$B$2:$B$800&lt;Risk_Rank_Keys!B126))+(SUMPRODUCT(--ISNUMBER(Risk_Rank_Keys!$B$2:$B$800),--(Risk_Rank_Keys!$B$2:$B$800=Risk_Rank_Keys!B126))+1)/2)/COUNT(Risk_Rank_Keys!$B$2:$B$800))</f>
        <v>0.817294281729428</v>
      </c>
      <c r="N126" s="0" t="n">
        <f aca="false">IF(OR(B126="NW",COUNT(Risk_Rank_Keys!C126)=0),0.5,(SUMPRODUCT(--ISNUMBER(Risk_Rank_Keys!$C$2:$C$800),--(Risk_Rank_Keys!$C$2:$C$800&lt;Risk_Rank_Keys!C126))+(SUMPRODUCT(--ISNUMBER(Risk_Rank_Keys!$C$2:$C$800),--(Risk_Rank_Keys!$C$2:$C$800=Risk_Rank_Keys!C126))+1)/2)/COUNT(Risk_Rank_Keys!$C$2:$C$800))</f>
        <v>0.589958158995816</v>
      </c>
      <c r="O126" s="0" t="n">
        <f aca="false">IF(OR(B126="NW",COUNT(Risk_Rank_Keys!D126)=0),0.5,(SUMPRODUCT(--ISNUMBER(Risk_Rank_Keys!$D$2:$D$800),--(Risk_Rank_Keys!$D$2:$D$800&lt;Risk_Rank_Keys!D126))+(SUMPRODUCT(--ISNUMBER(Risk_Rank_Keys!$D$2:$D$800),--(Risk_Rank_Keys!$D$2:$D$800=Risk_Rank_Keys!D126))+1)/2)/COUNT(Risk_Rank_Keys!$D$2:$D$800))</f>
        <v>0.748953974895398</v>
      </c>
      <c r="P126" s="0" t="n">
        <f aca="false">AVERAGE(M126:O126)</f>
        <v>0.718735471873547</v>
      </c>
      <c r="Q126" s="0" t="n">
        <f aca="false">0.4*H126+0.4*I126+0.2*P126</f>
        <v>0.542745842810254</v>
      </c>
      <c r="R126" s="0" t="n">
        <f aca="false">PERCENTILE($Q$2:$Q$800,0.75)</f>
        <v>0.667715717403612</v>
      </c>
      <c r="S126" s="1" t="b">
        <f aca="false">OR(Q126&gt;=R126,AND(B126="CW",COUNT(J126:L126)&lt;3))</f>
        <v>0</v>
      </c>
      <c r="T126" s="0" t="n">
        <v>0.283695288527021</v>
      </c>
      <c r="U126" s="0" t="n">
        <v>7.72476569535707</v>
      </c>
      <c r="V126" s="0" t="n">
        <v>0.542745842810254</v>
      </c>
      <c r="W126" s="0" t="n">
        <f aca="false">Q126-V126</f>
        <v>0</v>
      </c>
    </row>
    <row r="127" customFormat="false" ht="15" hidden="false" customHeight="false" outlineLevel="0" collapsed="false">
      <c r="A127" s="0" t="s">
        <v>161</v>
      </c>
      <c r="B127" s="0" t="s">
        <v>33</v>
      </c>
      <c r="C127" s="0" t="n">
        <v>10.0950228611235</v>
      </c>
      <c r="D127" s="0" t="n">
        <f aca="false">SUMPRODUCT(Risk_Inputs!B127:AJ127,Risk_Coefs!$B$2:$AJ$2)</f>
        <v>-0.402537922468167</v>
      </c>
      <c r="E127" s="0" t="n">
        <f aca="false">1/(1+EXP(-MAX(-25,MIN(25,D127))))</f>
        <v>0.40070272975387</v>
      </c>
      <c r="F127" s="0" t="n">
        <f aca="false">SUMPRODUCT(Risk_Inputs!B127:AJ127,Risk_Coefs!$B$3:$AJ$3)</f>
        <v>12.3814579696558</v>
      </c>
      <c r="G127" s="0" t="n">
        <f aca="false">MAX(0,F127)</f>
        <v>12.3814579696558</v>
      </c>
      <c r="H127" s="0" t="n">
        <f aca="false">(SUMPRODUCT(--ISNUMBER($E$2:$E$800),--($E$2:$E$800&lt;E127))+(SUMPRODUCT(--ISNUMBER($E$2:$E$800),--($E$2:$E$800=E127))+1)/2)/COUNT($E$2:$E$800)</f>
        <v>0.944931163954944</v>
      </c>
      <c r="I127" s="0" t="n">
        <f aca="false">(SUMPRODUCT(--ISNUMBER($G$2:$G$800),--($G$2:$G$800&lt;G127))+(SUMPRODUCT(--ISNUMBER($G$2:$G$800),--($G$2:$G$800=G127))+1)/2)/COUNT($G$2:$G$800)</f>
        <v>0.938673341677096</v>
      </c>
      <c r="M127" s="0" t="n">
        <f aca="false">IF(OR(B127="NW",COUNT(Risk_Rank_Keys!B127)=0),0.5,(SUMPRODUCT(--ISNUMBER(Risk_Rank_Keys!$B$2:$B$800),--(Risk_Rank_Keys!$B$2:$B$800&lt;Risk_Rank_Keys!B127))+(SUMPRODUCT(--ISNUMBER(Risk_Rank_Keys!$B$2:$B$800),--(Risk_Rank_Keys!$B$2:$B$800=Risk_Rank_Keys!B127))+1)/2)/COUNT(Risk_Rank_Keys!$B$2:$B$800))</f>
        <v>0.5</v>
      </c>
      <c r="N127" s="0" t="n">
        <f aca="false">IF(OR(B127="NW",COUNT(Risk_Rank_Keys!C127)=0),0.5,(SUMPRODUCT(--ISNUMBER(Risk_Rank_Keys!$C$2:$C$800),--(Risk_Rank_Keys!$C$2:$C$800&lt;Risk_Rank_Keys!C127))+(SUMPRODUCT(--ISNUMBER(Risk_Rank_Keys!$C$2:$C$800),--(Risk_Rank_Keys!$C$2:$C$800=Risk_Rank_Keys!C127))+1)/2)/COUNT(Risk_Rank_Keys!$C$2:$C$800))</f>
        <v>0.5</v>
      </c>
      <c r="O127" s="0" t="n">
        <f aca="false">IF(OR(B127="NW",COUNT(Risk_Rank_Keys!D127)=0),0.5,(SUMPRODUCT(--ISNUMBER(Risk_Rank_Keys!$D$2:$D$800),--(Risk_Rank_Keys!$D$2:$D$800&lt;Risk_Rank_Keys!D127))+(SUMPRODUCT(--ISNUMBER(Risk_Rank_Keys!$D$2:$D$800),--(Risk_Rank_Keys!$D$2:$D$800=Risk_Rank_Keys!D127))+1)/2)/COUNT(Risk_Rank_Keys!$D$2:$D$800))</f>
        <v>0.5</v>
      </c>
      <c r="P127" s="0" t="n">
        <f aca="false">AVERAGE(M127:O127)</f>
        <v>0.5</v>
      </c>
      <c r="Q127" s="0" t="n">
        <f aca="false">0.4*H127+0.4*I127+0.2*P127</f>
        <v>0.853441802252816</v>
      </c>
      <c r="R127" s="0" t="n">
        <f aca="false">PERCENTILE($Q$2:$Q$800,0.75)</f>
        <v>0.667715717403612</v>
      </c>
      <c r="S127" s="1" t="b">
        <f aca="false">OR(Q127&gt;=R127,AND(B127="CW",COUNT(J127:L127)&lt;3))</f>
        <v>1</v>
      </c>
      <c r="T127" s="0" t="n">
        <v>0.40070272975387</v>
      </c>
      <c r="U127" s="0" t="n">
        <v>12.3814579696558</v>
      </c>
      <c r="V127" s="0" t="n">
        <v>0.853441802252816</v>
      </c>
      <c r="W127" s="0" t="n">
        <f aca="false">Q127-V127</f>
        <v>0</v>
      </c>
    </row>
    <row r="128" customFormat="false" ht="15" hidden="false" customHeight="false" outlineLevel="0" collapsed="false">
      <c r="A128" s="0" t="s">
        <v>162</v>
      </c>
      <c r="B128" s="0" t="s">
        <v>33</v>
      </c>
      <c r="C128" s="0" t="n">
        <v>-38.8276966418992</v>
      </c>
      <c r="D128" s="0" t="n">
        <f aca="false">SUMPRODUCT(Risk_Inputs!B128:AJ128,Risk_Coefs!$B$2:$AJ$2)</f>
        <v>-0.47126170836237</v>
      </c>
      <c r="E128" s="0" t="n">
        <f aca="false">1/(1+EXP(-MAX(-25,MIN(25,D128))))</f>
        <v>0.384317657668463</v>
      </c>
      <c r="F128" s="0" t="n">
        <f aca="false">SUMPRODUCT(Risk_Inputs!B128:AJ128,Risk_Coefs!$B$3:$AJ$3)</f>
        <v>11.6146147056491</v>
      </c>
      <c r="G128" s="0" t="n">
        <f aca="false">MAX(0,F128)</f>
        <v>11.6146147056491</v>
      </c>
      <c r="H128" s="0" t="n">
        <f aca="false">(SUMPRODUCT(--ISNUMBER($E$2:$E$800),--($E$2:$E$800&lt;E128))+(SUMPRODUCT(--ISNUMBER($E$2:$E$800),--($E$2:$E$800=E128))+1)/2)/COUNT($E$2:$E$800)</f>
        <v>0.912390488110138</v>
      </c>
      <c r="I128" s="0" t="n">
        <f aca="false">(SUMPRODUCT(--ISNUMBER($G$2:$G$800),--($G$2:$G$800&lt;G128))+(SUMPRODUCT(--ISNUMBER($G$2:$G$800),--($G$2:$G$800=G128))+1)/2)/COUNT($G$2:$G$800)</f>
        <v>0.90738423028786</v>
      </c>
      <c r="M128" s="0" t="n">
        <f aca="false">IF(OR(B128="NW",COUNT(Risk_Rank_Keys!B128)=0),0.5,(SUMPRODUCT(--ISNUMBER(Risk_Rank_Keys!$B$2:$B$800),--(Risk_Rank_Keys!$B$2:$B$800&lt;Risk_Rank_Keys!B128))+(SUMPRODUCT(--ISNUMBER(Risk_Rank_Keys!$B$2:$B$800),--(Risk_Rank_Keys!$B$2:$B$800=Risk_Rank_Keys!B128))+1)/2)/COUNT(Risk_Rank_Keys!$B$2:$B$800))</f>
        <v>0.5</v>
      </c>
      <c r="N128" s="0" t="n">
        <f aca="false">IF(OR(B128="NW",COUNT(Risk_Rank_Keys!C128)=0),0.5,(SUMPRODUCT(--ISNUMBER(Risk_Rank_Keys!$C$2:$C$800),--(Risk_Rank_Keys!$C$2:$C$800&lt;Risk_Rank_Keys!C128))+(SUMPRODUCT(--ISNUMBER(Risk_Rank_Keys!$C$2:$C$800),--(Risk_Rank_Keys!$C$2:$C$800=Risk_Rank_Keys!C128))+1)/2)/COUNT(Risk_Rank_Keys!$C$2:$C$800))</f>
        <v>0.5</v>
      </c>
      <c r="O128" s="0" t="n">
        <f aca="false">IF(OR(B128="NW",COUNT(Risk_Rank_Keys!D128)=0),0.5,(SUMPRODUCT(--ISNUMBER(Risk_Rank_Keys!$D$2:$D$800),--(Risk_Rank_Keys!$D$2:$D$800&lt;Risk_Rank_Keys!D128))+(SUMPRODUCT(--ISNUMBER(Risk_Rank_Keys!$D$2:$D$800),--(Risk_Rank_Keys!$D$2:$D$800=Risk_Rank_Keys!D128))+1)/2)/COUNT(Risk_Rank_Keys!$D$2:$D$800))</f>
        <v>0.5</v>
      </c>
      <c r="P128" s="0" t="n">
        <f aca="false">AVERAGE(M128:O128)</f>
        <v>0.5</v>
      </c>
      <c r="Q128" s="0" t="n">
        <f aca="false">0.4*H128+0.4*I128+0.2*P128</f>
        <v>0.827909887359199</v>
      </c>
      <c r="R128" s="0" t="n">
        <f aca="false">PERCENTILE($Q$2:$Q$800,0.75)</f>
        <v>0.667715717403612</v>
      </c>
      <c r="S128" s="1" t="b">
        <f aca="false">OR(Q128&gt;=R128,AND(B128="CW",COUNT(J128:L128)&lt;3))</f>
        <v>1</v>
      </c>
      <c r="T128" s="0" t="n">
        <v>0.384317657668463</v>
      </c>
      <c r="U128" s="0" t="n">
        <v>11.6146147056491</v>
      </c>
      <c r="V128" s="0" t="n">
        <v>0.827909887359199</v>
      </c>
      <c r="W128" s="0" t="n">
        <f aca="false">Q128-V128</f>
        <v>0</v>
      </c>
    </row>
    <row r="129" customFormat="false" ht="15" hidden="false" customHeight="false" outlineLevel="0" collapsed="false">
      <c r="A129" s="0" t="s">
        <v>163</v>
      </c>
      <c r="B129" s="0" t="s">
        <v>3013</v>
      </c>
      <c r="C129" s="0" t="n">
        <v>30.7386816852367</v>
      </c>
      <c r="D129" s="0" t="n">
        <f aca="false">SUMPRODUCT(Risk_Inputs!B129:AJ129,Risk_Coefs!$B$2:$AJ$2)</f>
        <v>-1.66091205797655</v>
      </c>
      <c r="E129" s="0" t="n">
        <f aca="false">1/(1+EXP(-MAX(-25,MIN(25,D129))))</f>
        <v>0.159639602002332</v>
      </c>
      <c r="F129" s="0" t="n">
        <f aca="false">SUMPRODUCT(Risk_Inputs!B129:AJ129,Risk_Coefs!$B$3:$AJ$3)</f>
        <v>6.66829433893569</v>
      </c>
      <c r="G129" s="0" t="n">
        <f aca="false">MAX(0,F129)</f>
        <v>6.66829433893569</v>
      </c>
      <c r="H129" s="0" t="n">
        <f aca="false">(SUMPRODUCT(--ISNUMBER($E$2:$E$800),--($E$2:$E$800&lt;E129))+(SUMPRODUCT(--ISNUMBER($E$2:$E$800),--($E$2:$E$800=E129))+1)/2)/COUNT($E$2:$E$800)</f>
        <v>0.0337922403003755</v>
      </c>
      <c r="I129" s="0" t="n">
        <f aca="false">(SUMPRODUCT(--ISNUMBER($G$2:$G$800),--($G$2:$G$800&lt;G129))+(SUMPRODUCT(--ISNUMBER($G$2:$G$800),--($G$2:$G$800=G129))+1)/2)/COUNT($G$2:$G$800)</f>
        <v>0.370463078848561</v>
      </c>
      <c r="J129" s="0" t="n">
        <v>69.5721175070271</v>
      </c>
      <c r="K129" s="0" t="n">
        <v>7.94738792145241</v>
      </c>
      <c r="L129" s="0" t="n">
        <v>0.25935531678399</v>
      </c>
      <c r="M129" s="0" t="n">
        <f aca="false">IF(OR(B129="NW",COUNT(Risk_Rank_Keys!B129)=0),0.5,(SUMPRODUCT(--ISNUMBER(Risk_Rank_Keys!$B$2:$B$800),--(Risk_Rank_Keys!$B$2:$B$800&lt;Risk_Rank_Keys!B129))+(SUMPRODUCT(--ISNUMBER(Risk_Rank_Keys!$B$2:$B$800),--(Risk_Rank_Keys!$B$2:$B$800=Risk_Rank_Keys!B129))+1)/2)/COUNT(Risk_Rank_Keys!$B$2:$B$800))</f>
        <v>0.99721059972106</v>
      </c>
      <c r="N129" s="0" t="n">
        <f aca="false">IF(OR(B129="NW",COUNT(Risk_Rank_Keys!C129)=0),0.5,(SUMPRODUCT(--ISNUMBER(Risk_Rank_Keys!$C$2:$C$800),--(Risk_Rank_Keys!$C$2:$C$800&lt;Risk_Rank_Keys!C129))+(SUMPRODUCT(--ISNUMBER(Risk_Rank_Keys!$C$2:$C$800),--(Risk_Rank_Keys!$C$2:$C$800=Risk_Rank_Keys!C129))+1)/2)/COUNT(Risk_Rank_Keys!$C$2:$C$800))</f>
        <v>0.820083682008368</v>
      </c>
      <c r="O129" s="0" t="n">
        <f aca="false">IF(OR(B129="NW",COUNT(Risk_Rank_Keys!D129)=0),0.5,(SUMPRODUCT(--ISNUMBER(Risk_Rank_Keys!$D$2:$D$800),--(Risk_Rank_Keys!$D$2:$D$800&lt;Risk_Rank_Keys!D129))+(SUMPRODUCT(--ISNUMBER(Risk_Rank_Keys!$D$2:$D$800),--(Risk_Rank_Keys!$D$2:$D$800=Risk_Rank_Keys!D129))+1)/2)/COUNT(Risk_Rank_Keys!$D$2:$D$800))</f>
        <v>0.627615062761506</v>
      </c>
      <c r="P129" s="0" t="n">
        <f aca="false">AVERAGE(M129:O129)</f>
        <v>0.814969781496978</v>
      </c>
      <c r="Q129" s="0" t="n">
        <f aca="false">0.4*H129+0.4*I129+0.2*P129</f>
        <v>0.32469608395897</v>
      </c>
      <c r="R129" s="0" t="n">
        <f aca="false">PERCENTILE($Q$2:$Q$800,0.75)</f>
        <v>0.667715717403612</v>
      </c>
      <c r="S129" s="1" t="b">
        <f aca="false">OR(Q129&gt;=R129,AND(B129="CW",COUNT(J129:L129)&lt;3))</f>
        <v>0</v>
      </c>
      <c r="T129" s="0" t="n">
        <v>0.159639602002332</v>
      </c>
      <c r="U129" s="0" t="n">
        <v>6.66829433893569</v>
      </c>
      <c r="V129" s="0" t="n">
        <v>0.32469608395897</v>
      </c>
      <c r="W129" s="0" t="n">
        <f aca="false">Q129-V129</f>
        <v>0</v>
      </c>
    </row>
    <row r="130" customFormat="false" ht="15" hidden="false" customHeight="false" outlineLevel="0" collapsed="false">
      <c r="A130" s="0" t="s">
        <v>164</v>
      </c>
      <c r="B130" s="0" t="s">
        <v>3013</v>
      </c>
      <c r="C130" s="0" t="n">
        <v>11.3188751398951</v>
      </c>
      <c r="D130" s="0" t="n">
        <f aca="false">SUMPRODUCT(Risk_Inputs!B130:AJ130,Risk_Coefs!$B$2:$AJ$2)</f>
        <v>-0.748963168080348</v>
      </c>
      <c r="E130" s="0" t="n">
        <f aca="false">1/(1+EXP(-MAX(-25,MIN(25,D130))))</f>
        <v>0.321047263267924</v>
      </c>
      <c r="F130" s="0" t="n">
        <f aca="false">SUMPRODUCT(Risk_Inputs!B130:AJ130,Risk_Coefs!$B$3:$AJ$3)</f>
        <v>9.66445250028018</v>
      </c>
      <c r="G130" s="0" t="n">
        <f aca="false">MAX(0,F130)</f>
        <v>9.66445250028018</v>
      </c>
      <c r="H130" s="0" t="n">
        <f aca="false">(SUMPRODUCT(--ISNUMBER($E$2:$E$800),--($E$2:$E$800&lt;E130))+(SUMPRODUCT(--ISNUMBER($E$2:$E$800),--($E$2:$E$800=E130))+1)/2)/COUNT($E$2:$E$800)</f>
        <v>0.679599499374218</v>
      </c>
      <c r="I130" s="0" t="n">
        <f aca="false">(SUMPRODUCT(--ISNUMBER($G$2:$G$800),--($G$2:$G$800&lt;G130))+(SUMPRODUCT(--ISNUMBER($G$2:$G$800),--($G$2:$G$800=G130))+1)/2)/COUNT($G$2:$G$800)</f>
        <v>0.74468085106383</v>
      </c>
      <c r="J130" s="0" t="n">
        <v>9.04143993302678</v>
      </c>
      <c r="K130" s="0" t="n">
        <v>1.05428443248092</v>
      </c>
      <c r="L130" s="0" t="n">
        <v>0.269179004037683</v>
      </c>
      <c r="M130" s="0" t="n">
        <f aca="false">IF(OR(B130="NW",COUNT(Risk_Rank_Keys!B130)=0),0.5,(SUMPRODUCT(--ISNUMBER(Risk_Rank_Keys!$B$2:$B$800),--(Risk_Rank_Keys!$B$2:$B$800&lt;Risk_Rank_Keys!B130))+(SUMPRODUCT(--ISNUMBER(Risk_Rank_Keys!$B$2:$B$800),--(Risk_Rank_Keys!$B$2:$B$800=Risk_Rank_Keys!B130))+1)/2)/COUNT(Risk_Rank_Keys!$B$2:$B$800))</f>
        <v>0.447698744769875</v>
      </c>
      <c r="N130" s="0" t="n">
        <f aca="false">IF(OR(B130="NW",COUNT(Risk_Rank_Keys!C130)=0),0.5,(SUMPRODUCT(--ISNUMBER(Risk_Rank_Keys!$C$2:$C$800),--(Risk_Rank_Keys!$C$2:$C$800&lt;Risk_Rank_Keys!C130))+(SUMPRODUCT(--ISNUMBER(Risk_Rank_Keys!$C$2:$C$800),--(Risk_Rank_Keys!$C$2:$C$800=Risk_Rank_Keys!C130))+1)/2)/COUNT(Risk_Rank_Keys!$C$2:$C$800))</f>
        <v>0.0348675034867504</v>
      </c>
      <c r="O130" s="0" t="n">
        <f aca="false">IF(OR(B130="NW",COUNT(Risk_Rank_Keys!D130)=0),0.5,(SUMPRODUCT(--ISNUMBER(Risk_Rank_Keys!$D$2:$D$800),--(Risk_Rank_Keys!$D$2:$D$800&lt;Risk_Rank_Keys!D130))+(SUMPRODUCT(--ISNUMBER(Risk_Rank_Keys!$D$2:$D$800),--(Risk_Rank_Keys!$D$2:$D$800=Risk_Rank_Keys!D130))+1)/2)/COUNT(Risk_Rank_Keys!$D$2:$D$800))</f>
        <v>0.663877266387727</v>
      </c>
      <c r="P130" s="0" t="n">
        <f aca="false">AVERAGE(M130:O130)</f>
        <v>0.382147838214784</v>
      </c>
      <c r="Q130" s="0" t="n">
        <f aca="false">0.4*H130+0.4*I130+0.2*P130</f>
        <v>0.646141707818176</v>
      </c>
      <c r="R130" s="0" t="n">
        <f aca="false">PERCENTILE($Q$2:$Q$800,0.75)</f>
        <v>0.667715717403612</v>
      </c>
      <c r="S130" s="1" t="b">
        <f aca="false">OR(Q130&gt;=R130,AND(B130="CW",COUNT(J130:L130)&lt;3))</f>
        <v>0</v>
      </c>
      <c r="T130" s="0" t="n">
        <v>0.321047263267924</v>
      </c>
      <c r="U130" s="0" t="n">
        <v>9.66445250028018</v>
      </c>
      <c r="V130" s="0" t="n">
        <v>0.646141707818176</v>
      </c>
      <c r="W130" s="0" t="n">
        <f aca="false">Q130-V130</f>
        <v>0</v>
      </c>
    </row>
    <row r="131" customFormat="false" ht="15" hidden="false" customHeight="false" outlineLevel="0" collapsed="false">
      <c r="A131" s="0" t="s">
        <v>165</v>
      </c>
      <c r="B131" s="0" t="s">
        <v>3013</v>
      </c>
      <c r="C131" s="0" t="n">
        <v>-46.7361785090866</v>
      </c>
      <c r="D131" s="0" t="n">
        <f aca="false">SUMPRODUCT(Risk_Inputs!B131:AJ131,Risk_Coefs!$B$2:$AJ$2)</f>
        <v>-0.961453550694731</v>
      </c>
      <c r="E131" s="0" t="n">
        <f aca="false">1/(1+EXP(-MAX(-25,MIN(25,D131))))</f>
        <v>0.276587264215779</v>
      </c>
      <c r="F131" s="0" t="n">
        <f aca="false">SUMPRODUCT(Risk_Inputs!B131:AJ131,Risk_Coefs!$B$3:$AJ$3)</f>
        <v>7.40330153409135</v>
      </c>
      <c r="G131" s="0" t="n">
        <f aca="false">MAX(0,F131)</f>
        <v>7.40330153409135</v>
      </c>
      <c r="H131" s="0" t="n">
        <f aca="false">(SUMPRODUCT(--ISNUMBER($E$2:$E$800),--($E$2:$E$800&lt;E131))+(SUMPRODUCT(--ISNUMBER($E$2:$E$800),--($E$2:$E$800=E131))+1)/2)/COUNT($E$2:$E$800)</f>
        <v>0.440550688360451</v>
      </c>
      <c r="I131" s="0" t="n">
        <f aca="false">(SUMPRODUCT(--ISNUMBER($G$2:$G$800),--($G$2:$G$800&lt;G131))+(SUMPRODUCT(--ISNUMBER($G$2:$G$800),--($G$2:$G$800=G131))+1)/2)/COUNT($G$2:$G$800)</f>
        <v>0.458072590738423</v>
      </c>
      <c r="J131" s="0" t="n">
        <v>10.0340430765087</v>
      </c>
      <c r="K131" s="0" t="n">
        <v>2.02072538860105</v>
      </c>
      <c r="L131" s="0" t="n">
        <v>0.181347150259072</v>
      </c>
      <c r="M131" s="0" t="n">
        <f aca="false">IF(OR(B131="NW",COUNT(Risk_Rank_Keys!B131)=0),0.5,(SUMPRODUCT(--ISNUMBER(Risk_Rank_Keys!$B$2:$B$800),--(Risk_Rank_Keys!$B$2:$B$800&lt;Risk_Rank_Keys!B131))+(SUMPRODUCT(--ISNUMBER(Risk_Rank_Keys!$B$2:$B$800),--(Risk_Rank_Keys!$B$2:$B$800=Risk_Rank_Keys!B131))+1)/2)/COUNT(Risk_Rank_Keys!$B$2:$B$800))</f>
        <v>0.507670850767085</v>
      </c>
      <c r="N131" s="0" t="n">
        <f aca="false">IF(OR(B131="NW",COUNT(Risk_Rank_Keys!C131)=0),0.5,(SUMPRODUCT(--ISNUMBER(Risk_Rank_Keys!$C$2:$C$800),--(Risk_Rank_Keys!$C$2:$C$800&lt;Risk_Rank_Keys!C131))+(SUMPRODUCT(--ISNUMBER(Risk_Rank_Keys!$C$2:$C$800),--(Risk_Rank_Keys!$C$2:$C$800=Risk_Rank_Keys!C131))+1)/2)/COUNT(Risk_Rank_Keys!$C$2:$C$800))</f>
        <v>0.274755927475593</v>
      </c>
      <c r="O131" s="0" t="n">
        <f aca="false">IF(OR(B131="NW",COUNT(Risk_Rank_Keys!D131)=0),0.5,(SUMPRODUCT(--ISNUMBER(Risk_Rank_Keys!$D$2:$D$800),--(Risk_Rank_Keys!$D$2:$D$800&lt;Risk_Rank_Keys!D131))+(SUMPRODUCT(--ISNUMBER(Risk_Rank_Keys!$D$2:$D$800),--(Risk_Rank_Keys!$D$2:$D$800=Risk_Rank_Keys!D131))+1)/2)/COUNT(Risk_Rank_Keys!$D$2:$D$800))</f>
        <v>0.214783821478382</v>
      </c>
      <c r="P131" s="0" t="n">
        <f aca="false">AVERAGE(M131:O131)</f>
        <v>0.332403533240353</v>
      </c>
      <c r="Q131" s="0" t="n">
        <f aca="false">0.4*H131+0.4*I131+0.2*P131</f>
        <v>0.42593001828762</v>
      </c>
      <c r="R131" s="0" t="n">
        <f aca="false">PERCENTILE($Q$2:$Q$800,0.75)</f>
        <v>0.667715717403612</v>
      </c>
      <c r="S131" s="1" t="b">
        <f aca="false">OR(Q131&gt;=R131,AND(B131="CW",COUNT(J131:L131)&lt;3))</f>
        <v>0</v>
      </c>
      <c r="T131" s="0" t="n">
        <v>0.276587264215779</v>
      </c>
      <c r="U131" s="0" t="n">
        <v>7.40330153409135</v>
      </c>
      <c r="V131" s="0" t="n">
        <v>0.42593001828762</v>
      </c>
      <c r="W131" s="0" t="n">
        <f aca="false">Q131-V131</f>
        <v>0</v>
      </c>
    </row>
    <row r="132" customFormat="false" ht="15" hidden="false" customHeight="false" outlineLevel="0" collapsed="false">
      <c r="A132" s="0" t="s">
        <v>166</v>
      </c>
      <c r="B132" s="0" t="s">
        <v>3013</v>
      </c>
      <c r="C132" s="0" t="n">
        <v>53.8907993094185</v>
      </c>
      <c r="D132" s="0" t="n">
        <f aca="false">SUMPRODUCT(Risk_Inputs!B132:AJ132,Risk_Coefs!$B$2:$AJ$2)</f>
        <v>-1.47012355062869</v>
      </c>
      <c r="E132" s="0" t="n">
        <f aca="false">1/(1+EXP(-MAX(-25,MIN(25,D132))))</f>
        <v>0.186923835607555</v>
      </c>
      <c r="F132" s="0" t="n">
        <f aca="false">SUMPRODUCT(Risk_Inputs!B132:AJ132,Risk_Coefs!$B$3:$AJ$3)</f>
        <v>5.01946207518405</v>
      </c>
      <c r="G132" s="0" t="n">
        <f aca="false">MAX(0,F132)</f>
        <v>5.01946207518405</v>
      </c>
      <c r="H132" s="0" t="n">
        <f aca="false">(SUMPRODUCT(--ISNUMBER($E$2:$E$800),--($E$2:$E$800&lt;E132))+(SUMPRODUCT(--ISNUMBER($E$2:$E$800),--($E$2:$E$800=E132))+1)/2)/COUNT($E$2:$E$800)</f>
        <v>0.0763454317897372</v>
      </c>
      <c r="I132" s="0" t="n">
        <f aca="false">(SUMPRODUCT(--ISNUMBER($G$2:$G$800),--($G$2:$G$800&lt;G132))+(SUMPRODUCT(--ISNUMBER($G$2:$G$800),--($G$2:$G$800=G132))+1)/2)/COUNT($G$2:$G$800)</f>
        <v>0.137672090112641</v>
      </c>
      <c r="J132" s="0" t="n">
        <v>28.1464180635953</v>
      </c>
      <c r="K132" s="0" t="n">
        <v>11.6732617297908</v>
      </c>
      <c r="L132" s="0" t="n">
        <v>0.423968343697004</v>
      </c>
      <c r="M132" s="0" t="n">
        <f aca="false">IF(OR(B132="NW",COUNT(Risk_Rank_Keys!B132)=0),0.5,(SUMPRODUCT(--ISNUMBER(Risk_Rank_Keys!$B$2:$B$800),--(Risk_Rank_Keys!$B$2:$B$800&lt;Risk_Rank_Keys!B132))+(SUMPRODUCT(--ISNUMBER(Risk_Rank_Keys!$B$2:$B$800),--(Risk_Rank_Keys!$B$2:$B$800=Risk_Rank_Keys!B132))+1)/2)/COUNT(Risk_Rank_Keys!$B$2:$B$800))</f>
        <v>0.895397489539749</v>
      </c>
      <c r="N132" s="0" t="n">
        <f aca="false">IF(OR(B132="NW",COUNT(Risk_Rank_Keys!C132)=0),0.5,(SUMPRODUCT(--ISNUMBER(Risk_Rank_Keys!$C$2:$C$800),--(Risk_Rank_Keys!$C$2:$C$800&lt;Risk_Rank_Keys!C132))+(SUMPRODUCT(--ISNUMBER(Risk_Rank_Keys!$C$2:$C$800),--(Risk_Rank_Keys!$C$2:$C$800=Risk_Rank_Keys!C132))+1)/2)/COUNT(Risk_Rank_Keys!$C$2:$C$800))</f>
        <v>0.902370990237099</v>
      </c>
      <c r="O132" s="0" t="n">
        <f aca="false">IF(OR(B132="NW",COUNT(Risk_Rank_Keys!D132)=0),0.5,(SUMPRODUCT(--ISNUMBER(Risk_Rank_Keys!$D$2:$D$800),--(Risk_Rank_Keys!$D$2:$D$800&lt;Risk_Rank_Keys!D132))+(SUMPRODUCT(--ISNUMBER(Risk_Rank_Keys!$D$2:$D$800),--(Risk_Rank_Keys!$D$2:$D$800=Risk_Rank_Keys!D132))+1)/2)/COUNT(Risk_Rank_Keys!$D$2:$D$800))</f>
        <v>0.903765690376569</v>
      </c>
      <c r="P132" s="0" t="n">
        <f aca="false">AVERAGE(M132:O132)</f>
        <v>0.900511390051139</v>
      </c>
      <c r="Q132" s="0" t="n">
        <f aca="false">0.4*H132+0.4*I132+0.2*P132</f>
        <v>0.265709286771179</v>
      </c>
      <c r="R132" s="0" t="n">
        <f aca="false">PERCENTILE($Q$2:$Q$800,0.75)</f>
        <v>0.667715717403612</v>
      </c>
      <c r="S132" s="1" t="b">
        <f aca="false">OR(Q132&gt;=R132,AND(B132="CW",COUNT(J132:L132)&lt;3))</f>
        <v>0</v>
      </c>
      <c r="T132" s="0" t="n">
        <v>0.186923835607555</v>
      </c>
      <c r="U132" s="0" t="n">
        <v>5.01946207518405</v>
      </c>
      <c r="V132" s="0" t="n">
        <v>0.265709286771179</v>
      </c>
      <c r="W132" s="0" t="n">
        <f aca="false">Q132-V132</f>
        <v>0</v>
      </c>
    </row>
    <row r="133" customFormat="false" ht="15" hidden="false" customHeight="false" outlineLevel="0" collapsed="false">
      <c r="A133" s="0" t="s">
        <v>167</v>
      </c>
      <c r="B133" s="0" t="s">
        <v>3013</v>
      </c>
      <c r="C133" s="0" t="n">
        <v>33.3117003022157</v>
      </c>
      <c r="D133" s="0" t="n">
        <f aca="false">SUMPRODUCT(Risk_Inputs!B133:AJ133,Risk_Coefs!$B$2:$AJ$2)</f>
        <v>-0.690461787582541</v>
      </c>
      <c r="E133" s="0" t="n">
        <f aca="false">1/(1+EXP(-MAX(-25,MIN(25,D133))))</f>
        <v>0.333930354175465</v>
      </c>
      <c r="F133" s="0" t="n">
        <f aca="false">SUMPRODUCT(Risk_Inputs!B133:AJ133,Risk_Coefs!$B$3:$AJ$3)</f>
        <v>10.0608104993761</v>
      </c>
      <c r="G133" s="0" t="n">
        <f aca="false">MAX(0,F133)</f>
        <v>10.0608104993761</v>
      </c>
      <c r="H133" s="0" t="n">
        <f aca="false">(SUMPRODUCT(--ISNUMBER($E$2:$E$800),--($E$2:$E$800&lt;E133))+(SUMPRODUCT(--ISNUMBER($E$2:$E$800),--($E$2:$E$800=E133))+1)/2)/COUNT($E$2:$E$800)</f>
        <v>0.754693366708386</v>
      </c>
      <c r="I133" s="0" t="n">
        <f aca="false">(SUMPRODUCT(--ISNUMBER($G$2:$G$800),--($G$2:$G$800&lt;G133))+(SUMPRODUCT(--ISNUMBER($G$2:$G$800),--($G$2:$G$800=G133))+1)/2)/COUNT($G$2:$G$800)</f>
        <v>0.795994993742178</v>
      </c>
      <c r="J133" s="0" t="n">
        <v>9.52426709775639</v>
      </c>
      <c r="K133" s="0" t="n">
        <v>4.7486033519553</v>
      </c>
      <c r="L133" s="0" t="n">
        <v>0.279329608938545</v>
      </c>
      <c r="M133" s="0" t="n">
        <f aca="false">IF(OR(B133="NW",COUNT(Risk_Rank_Keys!B133)=0),0.5,(SUMPRODUCT(--ISNUMBER(Risk_Rank_Keys!$B$2:$B$800),--(Risk_Rank_Keys!$B$2:$B$800&lt;Risk_Rank_Keys!B133))+(SUMPRODUCT(--ISNUMBER(Risk_Rank_Keys!$B$2:$B$800),--(Risk_Rank_Keys!$B$2:$B$800=Risk_Rank_Keys!B133))+1)/2)/COUNT(Risk_Rank_Keys!$B$2:$B$800))</f>
        <v>0.478382147838215</v>
      </c>
      <c r="N133" s="0" t="n">
        <f aca="false">IF(OR(B133="NW",COUNT(Risk_Rank_Keys!C133)=0),0.5,(SUMPRODUCT(--ISNUMBER(Risk_Rank_Keys!$C$2:$C$800),--(Risk_Rank_Keys!$C$2:$C$800&lt;Risk_Rank_Keys!C133))+(SUMPRODUCT(--ISNUMBER(Risk_Rank_Keys!$C$2:$C$800),--(Risk_Rank_Keys!$C$2:$C$800=Risk_Rank_Keys!C133))+1)/2)/COUNT(Risk_Rank_Keys!$C$2:$C$800))</f>
        <v>0.668061366806137</v>
      </c>
      <c r="O133" s="0" t="n">
        <f aca="false">IF(OR(B133="NW",COUNT(Risk_Rank_Keys!D133)=0),0.5,(SUMPRODUCT(--ISNUMBER(Risk_Rank_Keys!$D$2:$D$800),--(Risk_Rank_Keys!$D$2:$D$800&lt;Risk_Rank_Keys!D133))+(SUMPRODUCT(--ISNUMBER(Risk_Rank_Keys!$D$2:$D$800),--(Risk_Rank_Keys!$D$2:$D$800=Risk_Rank_Keys!D133))+1)/2)/COUNT(Risk_Rank_Keys!$D$2:$D$800))</f>
        <v>0.697350069735007</v>
      </c>
      <c r="P133" s="0" t="n">
        <f aca="false">AVERAGE(M133:O133)</f>
        <v>0.614597861459786</v>
      </c>
      <c r="Q133" s="0" t="n">
        <f aca="false">0.4*H133+0.4*I133+0.2*P133</f>
        <v>0.743194916472183</v>
      </c>
      <c r="R133" s="0" t="n">
        <f aca="false">PERCENTILE($Q$2:$Q$800,0.75)</f>
        <v>0.667715717403612</v>
      </c>
      <c r="S133" s="1" t="b">
        <f aca="false">OR(Q133&gt;=R133,AND(B133="CW",COUNT(J133:L133)&lt;3))</f>
        <v>1</v>
      </c>
      <c r="T133" s="0" t="n">
        <v>0.333930354175465</v>
      </c>
      <c r="U133" s="0" t="n">
        <v>10.0608104993761</v>
      </c>
      <c r="V133" s="0" t="n">
        <v>0.743194916472183</v>
      </c>
      <c r="W133" s="0" t="n">
        <f aca="false">Q133-V133</f>
        <v>0</v>
      </c>
    </row>
    <row r="134" customFormat="false" ht="15" hidden="false" customHeight="false" outlineLevel="0" collapsed="false">
      <c r="A134" s="0" t="s">
        <v>168</v>
      </c>
      <c r="B134" s="0" t="s">
        <v>3013</v>
      </c>
      <c r="C134" s="0" t="n">
        <v>37.7079140562504</v>
      </c>
      <c r="D134" s="0" t="n">
        <f aca="false">SUMPRODUCT(Risk_Inputs!B134:AJ134,Risk_Coefs!$B$2:$AJ$2)</f>
        <v>-1.14958890872154</v>
      </c>
      <c r="E134" s="0" t="n">
        <f aca="false">1/(1+EXP(-MAX(-25,MIN(25,D134))))</f>
        <v>0.240564178562122</v>
      </c>
      <c r="F134" s="0" t="n">
        <f aca="false">SUMPRODUCT(Risk_Inputs!B134:AJ134,Risk_Coefs!$B$3:$AJ$3)</f>
        <v>7.57147145293442</v>
      </c>
      <c r="G134" s="0" t="n">
        <f aca="false">MAX(0,F134)</f>
        <v>7.57147145293442</v>
      </c>
      <c r="H134" s="0" t="n">
        <f aca="false">(SUMPRODUCT(--ISNUMBER($E$2:$E$800),--($E$2:$E$800&lt;E134))+(SUMPRODUCT(--ISNUMBER($E$2:$E$800),--($E$2:$E$800=E134))+1)/2)/COUNT($E$2:$E$800)</f>
        <v>0.227784730913642</v>
      </c>
      <c r="I134" s="0" t="n">
        <f aca="false">(SUMPRODUCT(--ISNUMBER($G$2:$G$800),--($G$2:$G$800&lt;G134))+(SUMPRODUCT(--ISNUMBER($G$2:$G$800),--($G$2:$G$800=G134))+1)/2)/COUNT($G$2:$G$800)</f>
        <v>0.494367959949937</v>
      </c>
      <c r="J134" s="0" t="n">
        <v>15.1531179684529</v>
      </c>
      <c r="K134" s="0" t="n">
        <v>1.33718279896672</v>
      </c>
      <c r="L134" s="0" t="n">
        <v>0.243124145266672</v>
      </c>
      <c r="M134" s="0" t="n">
        <f aca="false">IF(OR(B134="NW",COUNT(Risk_Rank_Keys!B134)=0),0.5,(SUMPRODUCT(--ISNUMBER(Risk_Rank_Keys!$B$2:$B$800),--(Risk_Rank_Keys!$B$2:$B$800&lt;Risk_Rank_Keys!B134))+(SUMPRODUCT(--ISNUMBER(Risk_Rank_Keys!$B$2:$B$800),--(Risk_Rank_Keys!$B$2:$B$800=Risk_Rank_Keys!B134))+1)/2)/COUNT(Risk_Rank_Keys!$B$2:$B$800))</f>
        <v>0.708507670850767</v>
      </c>
      <c r="N134" s="0" t="n">
        <f aca="false">IF(OR(B134="NW",COUNT(Risk_Rank_Keys!C134)=0),0.5,(SUMPRODUCT(--ISNUMBER(Risk_Rank_Keys!$C$2:$C$800),--(Risk_Rank_Keys!$C$2:$C$800&lt;Risk_Rank_Keys!C134))+(SUMPRODUCT(--ISNUMBER(Risk_Rank_Keys!$C$2:$C$800),--(Risk_Rank_Keys!$C$2:$C$800=Risk_Rank_Keys!C134))+1)/2)/COUNT(Risk_Rank_Keys!$C$2:$C$800))</f>
        <v>0.094839609483961</v>
      </c>
      <c r="O134" s="0" t="n">
        <f aca="false">IF(OR(B134="NW",COUNT(Risk_Rank_Keys!D134)=0),0.5,(SUMPRODUCT(--ISNUMBER(Risk_Rank_Keys!$D$2:$D$800),--(Risk_Rank_Keys!$D$2:$D$800&lt;Risk_Rank_Keys!D134))+(SUMPRODUCT(--ISNUMBER(Risk_Rank_Keys!$D$2:$D$800),--(Risk_Rank_Keys!$D$2:$D$800=Risk_Rank_Keys!D134))+1)/2)/COUNT(Risk_Rank_Keys!$D$2:$D$800))</f>
        <v>0.562064156206416</v>
      </c>
      <c r="P134" s="0" t="n">
        <f aca="false">AVERAGE(M134:O134)</f>
        <v>0.455137145513715</v>
      </c>
      <c r="Q134" s="0" t="n">
        <f aca="false">0.4*H134+0.4*I134+0.2*P134</f>
        <v>0.379888505448175</v>
      </c>
      <c r="R134" s="0" t="n">
        <f aca="false">PERCENTILE($Q$2:$Q$800,0.75)</f>
        <v>0.667715717403612</v>
      </c>
      <c r="S134" s="1" t="b">
        <f aca="false">OR(Q134&gt;=R134,AND(B134="CW",COUNT(J134:L134)&lt;3))</f>
        <v>0</v>
      </c>
      <c r="T134" s="0" t="n">
        <v>0.240564178562122</v>
      </c>
      <c r="U134" s="0" t="n">
        <v>7.57147145293442</v>
      </c>
      <c r="V134" s="0" t="n">
        <v>0.379888505448175</v>
      </c>
      <c r="W134" s="0" t="n">
        <f aca="false">Q134-V134</f>
        <v>0</v>
      </c>
    </row>
    <row r="135" customFormat="false" ht="15" hidden="false" customHeight="false" outlineLevel="0" collapsed="false">
      <c r="A135" s="0" t="s">
        <v>169</v>
      </c>
      <c r="B135" s="0" t="s">
        <v>3013</v>
      </c>
      <c r="C135" s="0" t="n">
        <v>7.06010614637277</v>
      </c>
      <c r="D135" s="0" t="n">
        <f aca="false">SUMPRODUCT(Risk_Inputs!B135:AJ135,Risk_Coefs!$B$2:$AJ$2)</f>
        <v>-1.2579165487925</v>
      </c>
      <c r="E135" s="0" t="n">
        <f aca="false">1/(1+EXP(-MAX(-25,MIN(25,D135))))</f>
        <v>0.221332755233825</v>
      </c>
      <c r="F135" s="0" t="n">
        <f aca="false">SUMPRODUCT(Risk_Inputs!B135:AJ135,Risk_Coefs!$B$3:$AJ$3)</f>
        <v>4.53646058772652</v>
      </c>
      <c r="G135" s="0" t="n">
        <f aca="false">MAX(0,F135)</f>
        <v>4.53646058772652</v>
      </c>
      <c r="H135" s="0" t="n">
        <f aca="false">(SUMPRODUCT(--ISNUMBER($E$2:$E$800),--($E$2:$E$800&lt;E135))+(SUMPRODUCT(--ISNUMBER($E$2:$E$800),--($E$2:$E$800=E135))+1)/2)/COUNT($E$2:$E$800)</f>
        <v>0.148936170212766</v>
      </c>
      <c r="I135" s="0" t="n">
        <f aca="false">(SUMPRODUCT(--ISNUMBER($G$2:$G$800),--($G$2:$G$800&lt;G135))+(SUMPRODUCT(--ISNUMBER($G$2:$G$800),--($G$2:$G$800=G135))+1)/2)/COUNT($G$2:$G$800)</f>
        <v>0.0863579474342929</v>
      </c>
      <c r="J135" s="0" t="n">
        <v>16.0940253764254</v>
      </c>
      <c r="K135" s="0" t="n">
        <v>2.65719547487504</v>
      </c>
      <c r="L135" s="0" t="n">
        <v>0.342015259142326</v>
      </c>
      <c r="M135" s="0" t="n">
        <f aca="false">IF(OR(B135="NW",COUNT(Risk_Rank_Keys!B135)=0),0.5,(SUMPRODUCT(--ISNUMBER(Risk_Rank_Keys!$B$2:$B$800),--(Risk_Rank_Keys!$B$2:$B$800&lt;Risk_Rank_Keys!B135))+(SUMPRODUCT(--ISNUMBER(Risk_Rank_Keys!$B$2:$B$800),--(Risk_Rank_Keys!$B$2:$B$800=Risk_Rank_Keys!B135))+1)/2)/COUNT(Risk_Rank_Keys!$B$2:$B$800))</f>
        <v>0.730822873082287</v>
      </c>
      <c r="N135" s="0" t="n">
        <f aca="false">IF(OR(B135="NW",COUNT(Risk_Rank_Keys!C135)=0),0.5,(SUMPRODUCT(--ISNUMBER(Risk_Rank_Keys!$C$2:$C$800),--(Risk_Rank_Keys!$C$2:$C$800&lt;Risk_Rank_Keys!C135))+(SUMPRODUCT(--ISNUMBER(Risk_Rank_Keys!$C$2:$C$800),--(Risk_Rank_Keys!$C$2:$C$800=Risk_Rank_Keys!C135))+1)/2)/COUNT(Risk_Rank_Keys!$C$2:$C$800))</f>
        <v>0.419804741980474</v>
      </c>
      <c r="O135" s="0" t="n">
        <f aca="false">IF(OR(B135="NW",COUNT(Risk_Rank_Keys!D135)=0),0.5,(SUMPRODUCT(--ISNUMBER(Risk_Rank_Keys!$D$2:$D$800),--(Risk_Rank_Keys!$D$2:$D$800&lt;Risk_Rank_Keys!D135))+(SUMPRODUCT(--ISNUMBER(Risk_Rank_Keys!$D$2:$D$800),--(Risk_Rank_Keys!$D$2:$D$800=Risk_Rank_Keys!D135))+1)/2)/COUNT(Risk_Rank_Keys!$D$2:$D$800))</f>
        <v>0.818688981868898</v>
      </c>
      <c r="P135" s="0" t="n">
        <f aca="false">AVERAGE(M135:O135)</f>
        <v>0.656438865643887</v>
      </c>
      <c r="Q135" s="0" t="n">
        <f aca="false">0.4*H135+0.4*I135+0.2*P135</f>
        <v>0.225405420187601</v>
      </c>
      <c r="R135" s="0" t="n">
        <f aca="false">PERCENTILE($Q$2:$Q$800,0.75)</f>
        <v>0.667715717403612</v>
      </c>
      <c r="S135" s="1" t="b">
        <f aca="false">OR(Q135&gt;=R135,AND(B135="CW",COUNT(J135:L135)&lt;3))</f>
        <v>0</v>
      </c>
      <c r="T135" s="0" t="n">
        <v>0.221332755233825</v>
      </c>
      <c r="U135" s="0" t="n">
        <v>4.53646058772652</v>
      </c>
      <c r="V135" s="0" t="n">
        <v>0.225405420187601</v>
      </c>
      <c r="W135" s="0" t="n">
        <f aca="false">Q135-V135</f>
        <v>0</v>
      </c>
    </row>
    <row r="136" customFormat="false" ht="15" hidden="false" customHeight="false" outlineLevel="0" collapsed="false">
      <c r="A136" s="0" t="s">
        <v>170</v>
      </c>
      <c r="B136" s="0" t="s">
        <v>3013</v>
      </c>
      <c r="C136" s="0" t="n">
        <v>-38.8804918444982</v>
      </c>
      <c r="D136" s="0" t="n">
        <f aca="false">SUMPRODUCT(Risk_Inputs!B136:AJ136,Risk_Coefs!$B$2:$AJ$2)</f>
        <v>-0.948995052456795</v>
      </c>
      <c r="E136" s="0" t="n">
        <f aca="false">1/(1+EXP(-MAX(-25,MIN(25,D136))))</f>
        <v>0.279086969948207</v>
      </c>
      <c r="F136" s="0" t="n">
        <f aca="false">SUMPRODUCT(Risk_Inputs!B136:AJ136,Risk_Coefs!$B$3:$AJ$3)</f>
        <v>8.32187507102201</v>
      </c>
      <c r="G136" s="0" t="n">
        <f aca="false">MAX(0,F136)</f>
        <v>8.32187507102201</v>
      </c>
      <c r="H136" s="0" t="n">
        <f aca="false">(SUMPRODUCT(--ISNUMBER($E$2:$E$800),--($E$2:$E$800&lt;E136))+(SUMPRODUCT(--ISNUMBER($E$2:$E$800),--($E$2:$E$800=E136))+1)/2)/COUNT($E$2:$E$800)</f>
        <v>0.459324155193993</v>
      </c>
      <c r="I136" s="0" t="n">
        <f aca="false">(SUMPRODUCT(--ISNUMBER($G$2:$G$800),--($G$2:$G$800&lt;G136))+(SUMPRODUCT(--ISNUMBER($G$2:$G$800),--($G$2:$G$800=G136))+1)/2)/COUNT($G$2:$G$800)</f>
        <v>0.584480600750939</v>
      </c>
      <c r="J136" s="0" t="n">
        <v>10.4797424337084</v>
      </c>
      <c r="K136" s="0" t="n">
        <v>1.67797215280257</v>
      </c>
      <c r="L136" s="0" t="n">
        <v>0.321313816494101</v>
      </c>
      <c r="M136" s="0" t="n">
        <f aca="false">IF(OR(B136="NW",COUNT(Risk_Rank_Keys!B136)=0),0.5,(SUMPRODUCT(--ISNUMBER(Risk_Rank_Keys!$B$2:$B$800),--(Risk_Rank_Keys!$B$2:$B$800&lt;Risk_Rank_Keys!B136))+(SUMPRODUCT(--ISNUMBER(Risk_Rank_Keys!$B$2:$B$800),--(Risk_Rank_Keys!$B$2:$B$800=Risk_Rank_Keys!B136))+1)/2)/COUNT(Risk_Rank_Keys!$B$2:$B$800))</f>
        <v>0.528591352859135</v>
      </c>
      <c r="N136" s="0" t="n">
        <f aca="false">IF(OR(B136="NW",COUNT(Risk_Rank_Keys!C136)=0),0.5,(SUMPRODUCT(--ISNUMBER(Risk_Rank_Keys!$C$2:$C$800),--(Risk_Rank_Keys!$C$2:$C$800&lt;Risk_Rank_Keys!C136))+(SUMPRODUCT(--ISNUMBER(Risk_Rank_Keys!$C$2:$C$800),--(Risk_Rank_Keys!$C$2:$C$800=Risk_Rank_Keys!C136))+1)/2)/COUNT(Risk_Rank_Keys!$C$2:$C$800))</f>
        <v>0.179916317991632</v>
      </c>
      <c r="O136" s="0" t="n">
        <f aca="false">IF(OR(B136="NW",COUNT(Risk_Rank_Keys!D136)=0),0.5,(SUMPRODUCT(--ISNUMBER(Risk_Rank_Keys!$D$2:$D$800),--(Risk_Rank_Keys!$D$2:$D$800&lt;Risk_Rank_Keys!D136))+(SUMPRODUCT(--ISNUMBER(Risk_Rank_Keys!$D$2:$D$800),--(Risk_Rank_Keys!$D$2:$D$800=Risk_Rank_Keys!D136))+1)/2)/COUNT(Risk_Rank_Keys!$D$2:$D$800))</f>
        <v>0.779637377963738</v>
      </c>
      <c r="P136" s="0" t="n">
        <f aca="false">AVERAGE(M136:O136)</f>
        <v>0.496048349604835</v>
      </c>
      <c r="Q136" s="0" t="n">
        <f aca="false">0.4*H136+0.4*I136+0.2*P136</f>
        <v>0.51673157229894</v>
      </c>
      <c r="R136" s="0" t="n">
        <f aca="false">PERCENTILE($Q$2:$Q$800,0.75)</f>
        <v>0.667715717403612</v>
      </c>
      <c r="S136" s="1" t="b">
        <f aca="false">OR(Q136&gt;=R136,AND(B136="CW",COUNT(J136:L136)&lt;3))</f>
        <v>0</v>
      </c>
      <c r="T136" s="0" t="n">
        <v>0.279086969948207</v>
      </c>
      <c r="U136" s="0" t="n">
        <v>8.32187507102201</v>
      </c>
      <c r="V136" s="0" t="n">
        <v>0.51673157229894</v>
      </c>
      <c r="W136" s="0" t="n">
        <f aca="false">Q136-V136</f>
        <v>0</v>
      </c>
    </row>
    <row r="137" customFormat="false" ht="15" hidden="false" customHeight="false" outlineLevel="0" collapsed="false">
      <c r="A137" s="0" t="s">
        <v>171</v>
      </c>
      <c r="B137" s="0" t="s">
        <v>33</v>
      </c>
      <c r="C137" s="0" t="n">
        <v>36.6695875812963</v>
      </c>
      <c r="D137" s="0" t="n">
        <f aca="false">SUMPRODUCT(Risk_Inputs!B137:AJ137,Risk_Coefs!$B$2:$AJ$2)</f>
        <v>-0.586036549589154</v>
      </c>
      <c r="E137" s="0" t="n">
        <f aca="false">1/(1+EXP(-MAX(-25,MIN(25,D137))))</f>
        <v>0.357544769714237</v>
      </c>
      <c r="F137" s="0" t="n">
        <f aca="false">SUMPRODUCT(Risk_Inputs!B137:AJ137,Risk_Coefs!$B$3:$AJ$3)</f>
        <v>10.8994162874143</v>
      </c>
      <c r="G137" s="0" t="n">
        <f aca="false">MAX(0,F137)</f>
        <v>10.8994162874143</v>
      </c>
      <c r="H137" s="0" t="n">
        <f aca="false">(SUMPRODUCT(--ISNUMBER($E$2:$E$800),--($E$2:$E$800&lt;E137))+(SUMPRODUCT(--ISNUMBER($E$2:$E$800),--($E$2:$E$800=E137))+1)/2)/COUNT($E$2:$E$800)</f>
        <v>0.839799749687109</v>
      </c>
      <c r="I137" s="0" t="n">
        <f aca="false">(SUMPRODUCT(--ISNUMBER($G$2:$G$800),--($G$2:$G$800&lt;G137))+(SUMPRODUCT(--ISNUMBER($G$2:$G$800),--($G$2:$G$800=G137))+1)/2)/COUNT($G$2:$G$800)</f>
        <v>0.869837296620776</v>
      </c>
      <c r="M137" s="0" t="n">
        <f aca="false">IF(OR(B137="NW",COUNT(Risk_Rank_Keys!B137)=0),0.5,(SUMPRODUCT(--ISNUMBER(Risk_Rank_Keys!$B$2:$B$800),--(Risk_Rank_Keys!$B$2:$B$800&lt;Risk_Rank_Keys!B137))+(SUMPRODUCT(--ISNUMBER(Risk_Rank_Keys!$B$2:$B$800),--(Risk_Rank_Keys!$B$2:$B$800=Risk_Rank_Keys!B137))+1)/2)/COUNT(Risk_Rank_Keys!$B$2:$B$800))</f>
        <v>0.5</v>
      </c>
      <c r="N137" s="0" t="n">
        <f aca="false">IF(OR(B137="NW",COUNT(Risk_Rank_Keys!C137)=0),0.5,(SUMPRODUCT(--ISNUMBER(Risk_Rank_Keys!$C$2:$C$800),--(Risk_Rank_Keys!$C$2:$C$800&lt;Risk_Rank_Keys!C137))+(SUMPRODUCT(--ISNUMBER(Risk_Rank_Keys!$C$2:$C$800),--(Risk_Rank_Keys!$C$2:$C$800=Risk_Rank_Keys!C137))+1)/2)/COUNT(Risk_Rank_Keys!$C$2:$C$800))</f>
        <v>0.5</v>
      </c>
      <c r="O137" s="0" t="n">
        <f aca="false">IF(OR(B137="NW",COUNT(Risk_Rank_Keys!D137)=0),0.5,(SUMPRODUCT(--ISNUMBER(Risk_Rank_Keys!$D$2:$D$800),--(Risk_Rank_Keys!$D$2:$D$800&lt;Risk_Rank_Keys!D137))+(SUMPRODUCT(--ISNUMBER(Risk_Rank_Keys!$D$2:$D$800),--(Risk_Rank_Keys!$D$2:$D$800=Risk_Rank_Keys!D137))+1)/2)/COUNT(Risk_Rank_Keys!$D$2:$D$800))</f>
        <v>0.5</v>
      </c>
      <c r="P137" s="0" t="n">
        <f aca="false">AVERAGE(M137:O137)</f>
        <v>0.5</v>
      </c>
      <c r="Q137" s="0" t="n">
        <f aca="false">0.4*H137+0.4*I137+0.2*P137</f>
        <v>0.783854818523154</v>
      </c>
      <c r="R137" s="0" t="n">
        <f aca="false">PERCENTILE($Q$2:$Q$800,0.75)</f>
        <v>0.667715717403612</v>
      </c>
      <c r="S137" s="1" t="b">
        <f aca="false">OR(Q137&gt;=R137,AND(B137="CW",COUNT(J137:L137)&lt;3))</f>
        <v>1</v>
      </c>
      <c r="T137" s="0" t="n">
        <v>0.357544769714237</v>
      </c>
      <c r="U137" s="0" t="n">
        <v>10.8994162874143</v>
      </c>
      <c r="V137" s="0" t="n">
        <v>0.783854818523154</v>
      </c>
      <c r="W137" s="0" t="n">
        <f aca="false">Q137-V137</f>
        <v>0</v>
      </c>
    </row>
    <row r="138" customFormat="false" ht="15" hidden="false" customHeight="false" outlineLevel="0" collapsed="false">
      <c r="A138" s="0" t="s">
        <v>172</v>
      </c>
      <c r="B138" s="0" t="s">
        <v>3013</v>
      </c>
      <c r="C138" s="0" t="n">
        <v>-2.14592918879239</v>
      </c>
      <c r="D138" s="0" t="n">
        <f aca="false">SUMPRODUCT(Risk_Inputs!B138:AJ138,Risk_Coefs!$B$2:$AJ$2)</f>
        <v>-0.818098962366325</v>
      </c>
      <c r="E138" s="0" t="n">
        <f aca="false">1/(1+EXP(-MAX(-25,MIN(25,D138))))</f>
        <v>0.306167346356634</v>
      </c>
      <c r="F138" s="0" t="n">
        <f aca="false">SUMPRODUCT(Risk_Inputs!B138:AJ138,Risk_Coefs!$B$3:$AJ$3)</f>
        <v>7.45033990707672</v>
      </c>
      <c r="G138" s="0" t="n">
        <f aca="false">MAX(0,F138)</f>
        <v>7.45033990707672</v>
      </c>
      <c r="H138" s="0" t="n">
        <f aca="false">(SUMPRODUCT(--ISNUMBER($E$2:$E$800),--($E$2:$E$800&lt;E138))+(SUMPRODUCT(--ISNUMBER($E$2:$E$800),--($E$2:$E$800=E138))+1)/2)/COUNT($E$2:$E$800)</f>
        <v>0.602002503128911</v>
      </c>
      <c r="I138" s="0" t="n">
        <f aca="false">(SUMPRODUCT(--ISNUMBER($G$2:$G$800),--($G$2:$G$800&lt;G138))+(SUMPRODUCT(--ISNUMBER($G$2:$G$800),--($G$2:$G$800=G138))+1)/2)/COUNT($G$2:$G$800)</f>
        <v>0.474342928660826</v>
      </c>
      <c r="J138" s="0" t="n">
        <v>5.78624439195639</v>
      </c>
      <c r="K138" s="0" t="n">
        <v>2.08679155797961</v>
      </c>
      <c r="L138" s="0" t="n">
        <v>0.213421863884279</v>
      </c>
      <c r="M138" s="0" t="n">
        <f aca="false">IF(OR(B138="NW",COUNT(Risk_Rank_Keys!B138)=0),0.5,(SUMPRODUCT(--ISNUMBER(Risk_Rank_Keys!$B$2:$B$800),--(Risk_Rank_Keys!$B$2:$B$800&lt;Risk_Rank_Keys!B138))+(SUMPRODUCT(--ISNUMBER(Risk_Rank_Keys!$B$2:$B$800),--(Risk_Rank_Keys!$B$2:$B$800=Risk_Rank_Keys!B138))+1)/2)/COUNT(Risk_Rank_Keys!$B$2:$B$800))</f>
        <v>0.205020920502092</v>
      </c>
      <c r="N138" s="0" t="n">
        <f aca="false">IF(OR(B138="NW",COUNT(Risk_Rank_Keys!C138)=0),0.5,(SUMPRODUCT(--ISNUMBER(Risk_Rank_Keys!$C$2:$C$800),--(Risk_Rank_Keys!$C$2:$C$800&lt;Risk_Rank_Keys!C138))+(SUMPRODUCT(--ISNUMBER(Risk_Rank_Keys!$C$2:$C$800),--(Risk_Rank_Keys!$C$2:$C$800=Risk_Rank_Keys!C138))+1)/2)/COUNT(Risk_Rank_Keys!$C$2:$C$800))</f>
        <v>0.292887029288703</v>
      </c>
      <c r="O138" s="0" t="n">
        <f aca="false">IF(OR(B138="NW",COUNT(Risk_Rank_Keys!D138)=0),0.5,(SUMPRODUCT(--ISNUMBER(Risk_Rank_Keys!$D$2:$D$800),--(Risk_Rank_Keys!$D$2:$D$800&lt;Risk_Rank_Keys!D138))+(SUMPRODUCT(--ISNUMBER(Risk_Rank_Keys!$D$2:$D$800),--(Risk_Rank_Keys!$D$2:$D$800=Risk_Rank_Keys!D138))+1)/2)/COUNT(Risk_Rank_Keys!$D$2:$D$800))</f>
        <v>0.397489539748954</v>
      </c>
      <c r="P138" s="0" t="n">
        <f aca="false">AVERAGE(M138:O138)</f>
        <v>0.298465829846583</v>
      </c>
      <c r="Q138" s="0" t="n">
        <f aca="false">0.4*H138+0.4*I138+0.2*P138</f>
        <v>0.490231338685212</v>
      </c>
      <c r="R138" s="0" t="n">
        <f aca="false">PERCENTILE($Q$2:$Q$800,0.75)</f>
        <v>0.667715717403612</v>
      </c>
      <c r="S138" s="1" t="b">
        <f aca="false">OR(Q138&gt;=R138,AND(B138="CW",COUNT(J138:L138)&lt;3))</f>
        <v>0</v>
      </c>
      <c r="T138" s="0" t="n">
        <v>0.306167346356634</v>
      </c>
      <c r="U138" s="0" t="n">
        <v>7.45033990707672</v>
      </c>
      <c r="V138" s="0" t="n">
        <v>0.490231338685212</v>
      </c>
      <c r="W138" s="0" t="n">
        <f aca="false">Q138-V138</f>
        <v>0</v>
      </c>
    </row>
    <row r="139" customFormat="false" ht="15" hidden="false" customHeight="false" outlineLevel="0" collapsed="false">
      <c r="A139" s="0" t="s">
        <v>173</v>
      </c>
      <c r="B139" s="0" t="s">
        <v>3013</v>
      </c>
      <c r="C139" s="0" t="n">
        <v>5.32263894066147</v>
      </c>
      <c r="D139" s="0" t="n">
        <f aca="false">SUMPRODUCT(Risk_Inputs!B139:AJ139,Risk_Coefs!$B$2:$AJ$2)</f>
        <v>-1.55400844789343</v>
      </c>
      <c r="E139" s="0" t="n">
        <f aca="false">1/(1+EXP(-MAX(-25,MIN(25,D139))))</f>
        <v>0.174508077567798</v>
      </c>
      <c r="F139" s="0" t="n">
        <f aca="false">SUMPRODUCT(Risk_Inputs!B139:AJ139,Risk_Coefs!$B$3:$AJ$3)</f>
        <v>2.82393149189155</v>
      </c>
      <c r="G139" s="0" t="n">
        <f aca="false">MAX(0,F139)</f>
        <v>2.82393149189155</v>
      </c>
      <c r="H139" s="0" t="n">
        <f aca="false">(SUMPRODUCT(--ISNUMBER($E$2:$E$800),--($E$2:$E$800&lt;E139))+(SUMPRODUCT(--ISNUMBER($E$2:$E$800),--($E$2:$E$800=E139))+1)/2)/COUNT($E$2:$E$800)</f>
        <v>0.0500625782227785</v>
      </c>
      <c r="I139" s="0" t="n">
        <f aca="false">(SUMPRODUCT(--ISNUMBER($G$2:$G$800),--($G$2:$G$800&lt;G139))+(SUMPRODUCT(--ISNUMBER($G$2:$G$800),--($G$2:$G$800=G139))+1)/2)/COUNT($G$2:$G$800)</f>
        <v>0.0212765957446809</v>
      </c>
      <c r="J139" s="0" t="n">
        <v>20.6359210034635</v>
      </c>
      <c r="K139" s="0" t="n">
        <v>11.5228563700297</v>
      </c>
      <c r="L139" s="0" t="n">
        <v>0.324587503381117</v>
      </c>
      <c r="M139" s="0" t="n">
        <f aca="false">IF(OR(B139="NW",COUNT(Risk_Rank_Keys!B139)=0),0.5,(SUMPRODUCT(--ISNUMBER(Risk_Rank_Keys!$B$2:$B$800),--(Risk_Rank_Keys!$B$2:$B$800&lt;Risk_Rank_Keys!B139))+(SUMPRODUCT(--ISNUMBER(Risk_Rank_Keys!$B$2:$B$800),--(Risk_Rank_Keys!$B$2:$B$800=Risk_Rank_Keys!B139))+1)/2)/COUNT(Risk_Rank_Keys!$B$2:$B$800))</f>
        <v>0.797768479776848</v>
      </c>
      <c r="N139" s="0" t="n">
        <f aca="false">IF(OR(B139="NW",COUNT(Risk_Rank_Keys!C139)=0),0.5,(SUMPRODUCT(--ISNUMBER(Risk_Rank_Keys!$C$2:$C$800),--(Risk_Rank_Keys!$C$2:$C$800&lt;Risk_Rank_Keys!C139))+(SUMPRODUCT(--ISNUMBER(Risk_Rank_Keys!$C$2:$C$800),--(Risk_Rank_Keys!$C$2:$C$800=Risk_Rank_Keys!C139))+1)/2)/COUNT(Risk_Rank_Keys!$C$2:$C$800))</f>
        <v>0.899581589958159</v>
      </c>
      <c r="O139" s="0" t="n">
        <f aca="false">IF(OR(B139="NW",COUNT(Risk_Rank_Keys!D139)=0),0.5,(SUMPRODUCT(--ISNUMBER(Risk_Rank_Keys!$D$2:$D$800),--(Risk_Rank_Keys!$D$2:$D$800&lt;Risk_Rank_Keys!D139))+(SUMPRODUCT(--ISNUMBER(Risk_Rank_Keys!$D$2:$D$800),--(Risk_Rank_Keys!$D$2:$D$800=Risk_Rank_Keys!D139))+1)/2)/COUNT(Risk_Rank_Keys!$D$2:$D$800))</f>
        <v>0.789400278940028</v>
      </c>
      <c r="P139" s="0" t="n">
        <f aca="false">AVERAGE(M139:O139)</f>
        <v>0.828916782891678</v>
      </c>
      <c r="Q139" s="0" t="n">
        <f aca="false">0.4*H139+0.4*I139+0.2*P139</f>
        <v>0.194319026165319</v>
      </c>
      <c r="R139" s="0" t="n">
        <f aca="false">PERCENTILE($Q$2:$Q$800,0.75)</f>
        <v>0.667715717403612</v>
      </c>
      <c r="S139" s="1" t="b">
        <f aca="false">OR(Q139&gt;=R139,AND(B139="CW",COUNT(J139:L139)&lt;3))</f>
        <v>0</v>
      </c>
      <c r="T139" s="0" t="n">
        <v>0.174508077567798</v>
      </c>
      <c r="U139" s="0" t="n">
        <v>2.82393149189155</v>
      </c>
      <c r="V139" s="0" t="n">
        <v>0.194319026165319</v>
      </c>
      <c r="W139" s="0" t="n">
        <f aca="false">Q139-V139</f>
        <v>0</v>
      </c>
    </row>
    <row r="140" customFormat="false" ht="15" hidden="false" customHeight="false" outlineLevel="0" collapsed="false">
      <c r="A140" s="0" t="s">
        <v>174</v>
      </c>
      <c r="B140" s="0" t="s">
        <v>3013</v>
      </c>
      <c r="C140" s="0" t="n">
        <v>3.49009196578073</v>
      </c>
      <c r="D140" s="0" t="n">
        <f aca="false">SUMPRODUCT(Risk_Inputs!B140:AJ140,Risk_Coefs!$B$2:$AJ$2)</f>
        <v>-0.972081656109175</v>
      </c>
      <c r="E140" s="0" t="n">
        <f aca="false">1/(1+EXP(-MAX(-25,MIN(25,D140))))</f>
        <v>0.274465778490284</v>
      </c>
      <c r="F140" s="0" t="n">
        <f aca="false">SUMPRODUCT(Risk_Inputs!B140:AJ140,Risk_Coefs!$B$3:$AJ$3)</f>
        <v>8.69262769902547</v>
      </c>
      <c r="G140" s="0" t="n">
        <f aca="false">MAX(0,F140)</f>
        <v>8.69262769902547</v>
      </c>
      <c r="H140" s="0" t="n">
        <f aca="false">(SUMPRODUCT(--ISNUMBER($E$2:$E$800),--($E$2:$E$800&lt;E140))+(SUMPRODUCT(--ISNUMBER($E$2:$E$800),--($E$2:$E$800=E140))+1)/2)/COUNT($E$2:$E$800)</f>
        <v>0.4180225281602</v>
      </c>
      <c r="I140" s="0" t="n">
        <f aca="false">(SUMPRODUCT(--ISNUMBER($G$2:$G$800),--($G$2:$G$800&lt;G140))+(SUMPRODUCT(--ISNUMBER($G$2:$G$800),--($G$2:$G$800=G140))+1)/2)/COUNT($G$2:$G$800)</f>
        <v>0.632040050062578</v>
      </c>
      <c r="J140" s="0" t="n">
        <v>4.87356423689912</v>
      </c>
      <c r="K140" s="0" t="n">
        <v>1.44329896907216</v>
      </c>
      <c r="L140" s="0" t="n">
        <v>0.412371134020624</v>
      </c>
      <c r="M140" s="0" t="n">
        <f aca="false">IF(OR(B140="NW",COUNT(Risk_Rank_Keys!B140)=0),0.5,(SUMPRODUCT(--ISNUMBER(Risk_Rank_Keys!$B$2:$B$800),--(Risk_Rank_Keys!$B$2:$B$800&lt;Risk_Rank_Keys!B140))+(SUMPRODUCT(--ISNUMBER(Risk_Rank_Keys!$B$2:$B$800),--(Risk_Rank_Keys!$B$2:$B$800=Risk_Rank_Keys!B140))+1)/2)/COUNT(Risk_Rank_Keys!$B$2:$B$800))</f>
        <v>0.122733612273361</v>
      </c>
      <c r="N140" s="0" t="n">
        <f aca="false">IF(OR(B140="NW",COUNT(Risk_Rank_Keys!C140)=0),0.5,(SUMPRODUCT(--ISNUMBER(Risk_Rank_Keys!$C$2:$C$800),--(Risk_Rank_Keys!$C$2:$C$800&lt;Risk_Rank_Keys!C140))+(SUMPRODUCT(--ISNUMBER(Risk_Rank_Keys!$C$2:$C$800),--(Risk_Rank_Keys!$C$2:$C$800=Risk_Rank_Keys!C140))+1)/2)/COUNT(Risk_Rank_Keys!$C$2:$C$800))</f>
        <v>0.117154811715481</v>
      </c>
      <c r="O140" s="0" t="n">
        <f aca="false">IF(OR(B140="NW",COUNT(Risk_Rank_Keys!D140)=0),0.5,(SUMPRODUCT(--ISNUMBER(Risk_Rank_Keys!$D$2:$D$800),--(Risk_Rank_Keys!$D$2:$D$800&lt;Risk_Rank_Keys!D140))+(SUMPRODUCT(--ISNUMBER(Risk_Rank_Keys!$D$2:$D$800),--(Risk_Rank_Keys!$D$2:$D$800=Risk_Rank_Keys!D140))+1)/2)/COUNT(Risk_Rank_Keys!$D$2:$D$800))</f>
        <v>0.889818688981869</v>
      </c>
      <c r="P140" s="0" t="n">
        <f aca="false">AVERAGE(M140:O140)</f>
        <v>0.376569037656904</v>
      </c>
      <c r="Q140" s="0" t="n">
        <f aca="false">0.4*H140+0.4*I140+0.2*P140</f>
        <v>0.495338838820492</v>
      </c>
      <c r="R140" s="0" t="n">
        <f aca="false">PERCENTILE($Q$2:$Q$800,0.75)</f>
        <v>0.667715717403612</v>
      </c>
      <c r="S140" s="1" t="b">
        <f aca="false">OR(Q140&gt;=R140,AND(B140="CW",COUNT(J140:L140)&lt;3))</f>
        <v>0</v>
      </c>
      <c r="T140" s="0" t="n">
        <v>0.274465778490284</v>
      </c>
      <c r="U140" s="0" t="n">
        <v>8.69262769902547</v>
      </c>
      <c r="V140" s="0" t="n">
        <v>0.495338838820492</v>
      </c>
      <c r="W140" s="0" t="n">
        <f aca="false">Q140-V140</f>
        <v>0</v>
      </c>
    </row>
    <row r="141" customFormat="false" ht="15" hidden="false" customHeight="false" outlineLevel="0" collapsed="false">
      <c r="A141" s="0" t="s">
        <v>175</v>
      </c>
      <c r="B141" s="0" t="s">
        <v>3013</v>
      </c>
      <c r="C141" s="0" t="n">
        <v>-31.262154892469</v>
      </c>
      <c r="D141" s="0" t="n">
        <f aca="false">SUMPRODUCT(Risk_Inputs!B141:AJ141,Risk_Coefs!$B$2:$AJ$2)</f>
        <v>-1.13040182512726</v>
      </c>
      <c r="E141" s="0" t="n">
        <f aca="false">1/(1+EXP(-MAX(-25,MIN(25,D141))))</f>
        <v>0.244086953124923</v>
      </c>
      <c r="F141" s="0" t="n">
        <f aca="false">SUMPRODUCT(Risk_Inputs!B141:AJ141,Risk_Coefs!$B$3:$AJ$3)</f>
        <v>6.29509956918273</v>
      </c>
      <c r="G141" s="0" t="n">
        <f aca="false">MAX(0,F141)</f>
        <v>6.29509956918273</v>
      </c>
      <c r="H141" s="0" t="n">
        <f aca="false">(SUMPRODUCT(--ISNUMBER($E$2:$E$800),--($E$2:$E$800&lt;E141))+(SUMPRODUCT(--ISNUMBER($E$2:$E$800),--($E$2:$E$800=E141))+1)/2)/COUNT($E$2:$E$800)</f>
        <v>0.239048811013767</v>
      </c>
      <c r="I141" s="0" t="n">
        <f aca="false">(SUMPRODUCT(--ISNUMBER($G$2:$G$800),--($G$2:$G$800&lt;G141))+(SUMPRODUCT(--ISNUMBER($G$2:$G$800),--($G$2:$G$800=G141))+1)/2)/COUNT($G$2:$G$800)</f>
        <v>0.311639549436796</v>
      </c>
      <c r="J141" s="0" t="n">
        <v>6.55129556587905</v>
      </c>
      <c r="K141" s="0" t="n">
        <v>2.36765097100292</v>
      </c>
      <c r="L141" s="0" t="n">
        <v>0.239425379090185</v>
      </c>
      <c r="M141" s="0" t="n">
        <f aca="false">IF(OR(B141="NW",COUNT(Risk_Rank_Keys!B141)=0),0.5,(SUMPRODUCT(--ISNUMBER(Risk_Rank_Keys!$B$2:$B$800),--(Risk_Rank_Keys!$B$2:$B$800&lt;Risk_Rank_Keys!B141))+(SUMPRODUCT(--ISNUMBER(Risk_Rank_Keys!$B$2:$B$800),--(Risk_Rank_Keys!$B$2:$B$800=Risk_Rank_Keys!B141))+1)/2)/COUNT(Risk_Rank_Keys!$B$2:$B$800))</f>
        <v>0.277545327754533</v>
      </c>
      <c r="N141" s="0" t="n">
        <f aca="false">IF(OR(B141="NW",COUNT(Risk_Rank_Keys!C141)=0),0.5,(SUMPRODUCT(--ISNUMBER(Risk_Rank_Keys!$C$2:$C$800),--(Risk_Rank_Keys!$C$2:$C$800&lt;Risk_Rank_Keys!C141))+(SUMPRODUCT(--ISNUMBER(Risk_Rank_Keys!$C$2:$C$800),--(Risk_Rank_Keys!$C$2:$C$800=Risk_Rank_Keys!C141))+1)/2)/COUNT(Risk_Rank_Keys!$C$2:$C$800))</f>
        <v>0.358437935843794</v>
      </c>
      <c r="O141" s="0" t="n">
        <f aca="false">IF(OR(B141="NW",COUNT(Risk_Rank_Keys!D141)=0),0.5,(SUMPRODUCT(--ISNUMBER(Risk_Rank_Keys!$D$2:$D$800),--(Risk_Rank_Keys!$D$2:$D$800&lt;Risk_Rank_Keys!D141))+(SUMPRODUCT(--ISNUMBER(Risk_Rank_Keys!$D$2:$D$800),--(Risk_Rank_Keys!$D$2:$D$800=Risk_Rank_Keys!D141))+1)/2)/COUNT(Risk_Rank_Keys!$D$2:$D$800))</f>
        <v>0.538354253835425</v>
      </c>
      <c r="P141" s="0" t="n">
        <f aca="false">AVERAGE(M141:O141)</f>
        <v>0.391445839144584</v>
      </c>
      <c r="Q141" s="0" t="n">
        <f aca="false">0.4*H141+0.4*I141+0.2*P141</f>
        <v>0.298564512009142</v>
      </c>
      <c r="R141" s="0" t="n">
        <f aca="false">PERCENTILE($Q$2:$Q$800,0.75)</f>
        <v>0.667715717403612</v>
      </c>
      <c r="S141" s="1" t="b">
        <f aca="false">OR(Q141&gt;=R141,AND(B141="CW",COUNT(J141:L141)&lt;3))</f>
        <v>0</v>
      </c>
      <c r="T141" s="0" t="n">
        <v>0.244086953124923</v>
      </c>
      <c r="U141" s="0" t="n">
        <v>6.29509956918273</v>
      </c>
      <c r="V141" s="0" t="n">
        <v>0.298564512009142</v>
      </c>
      <c r="W141" s="0" t="n">
        <f aca="false">Q141-V141</f>
        <v>0</v>
      </c>
    </row>
    <row r="142" customFormat="false" ht="15" hidden="false" customHeight="false" outlineLevel="0" collapsed="false">
      <c r="A142" s="0" t="s">
        <v>176</v>
      </c>
      <c r="B142" s="0" t="s">
        <v>3013</v>
      </c>
      <c r="C142" s="0" t="n">
        <v>53.7682442162164</v>
      </c>
      <c r="D142" s="0" t="n">
        <f aca="false">SUMPRODUCT(Risk_Inputs!B142:AJ142,Risk_Coefs!$B$2:$AJ$2)</f>
        <v>-0.941337598187778</v>
      </c>
      <c r="E142" s="0" t="n">
        <f aca="false">1/(1+EXP(-MAX(-25,MIN(25,D142))))</f>
        <v>0.280630233183239</v>
      </c>
      <c r="F142" s="0" t="n">
        <f aca="false">SUMPRODUCT(Risk_Inputs!B142:AJ142,Risk_Coefs!$B$3:$AJ$3)</f>
        <v>9.57476037457092</v>
      </c>
      <c r="G142" s="0" t="n">
        <f aca="false">MAX(0,F142)</f>
        <v>9.57476037457092</v>
      </c>
      <c r="H142" s="0" t="n">
        <f aca="false">(SUMPRODUCT(--ISNUMBER($E$2:$E$800),--($E$2:$E$800&lt;E142))+(SUMPRODUCT(--ISNUMBER($E$2:$E$800),--($E$2:$E$800=E142))+1)/2)/COUNT($E$2:$E$800)</f>
        <v>0.46558197747184</v>
      </c>
      <c r="I142" s="0" t="n">
        <f aca="false">(SUMPRODUCT(--ISNUMBER($G$2:$G$800),--($G$2:$G$800&lt;G142))+(SUMPRODUCT(--ISNUMBER($G$2:$G$800),--($G$2:$G$800=G142))+1)/2)/COUNT($G$2:$G$800)</f>
        <v>0.734668335419274</v>
      </c>
      <c r="J142" s="0" t="n">
        <v>13.6852766516694</v>
      </c>
      <c r="K142" s="0" t="n">
        <v>4.24845388545307</v>
      </c>
      <c r="L142" s="0" t="n">
        <v>0.242000537778974</v>
      </c>
      <c r="M142" s="0" t="n">
        <f aca="false">IF(OR(B142="NW",COUNT(Risk_Rank_Keys!B142)=0),0.5,(SUMPRODUCT(--ISNUMBER(Risk_Rank_Keys!$B$2:$B$800),--(Risk_Rank_Keys!$B$2:$B$800&lt;Risk_Rank_Keys!B142))+(SUMPRODUCT(--ISNUMBER(Risk_Rank_Keys!$B$2:$B$800),--(Risk_Rank_Keys!$B$2:$B$800=Risk_Rank_Keys!B142))+1)/2)/COUNT(Risk_Rank_Keys!$B$2:$B$800))</f>
        <v>0.669456066945607</v>
      </c>
      <c r="N142" s="0" t="n">
        <f aca="false">IF(OR(B142="NW",COUNT(Risk_Rank_Keys!C142)=0),0.5,(SUMPRODUCT(--ISNUMBER(Risk_Rank_Keys!$C$2:$C$800),--(Risk_Rank_Keys!$C$2:$C$800&lt;Risk_Rank_Keys!C142))+(SUMPRODUCT(--ISNUMBER(Risk_Rank_Keys!$C$2:$C$800),--(Risk_Rank_Keys!$C$2:$C$800=Risk_Rank_Keys!C142))+1)/2)/COUNT(Risk_Rank_Keys!$C$2:$C$800))</f>
        <v>0.619246861924686</v>
      </c>
      <c r="O142" s="0" t="n">
        <f aca="false">IF(OR(B142="NW",COUNT(Risk_Rank_Keys!D142)=0),0.5,(SUMPRODUCT(--ISNUMBER(Risk_Rank_Keys!$D$2:$D$800),--(Risk_Rank_Keys!$D$2:$D$800&lt;Risk_Rank_Keys!D142))+(SUMPRODUCT(--ISNUMBER(Risk_Rank_Keys!$D$2:$D$800),--(Risk_Rank_Keys!$D$2:$D$800=Risk_Rank_Keys!D142))+1)/2)/COUNT(Risk_Rank_Keys!$D$2:$D$800))</f>
        <v>0.552301255230126</v>
      </c>
      <c r="P142" s="0" t="n">
        <f aca="false">AVERAGE(M142:O142)</f>
        <v>0.613668061366806</v>
      </c>
      <c r="Q142" s="0" t="n">
        <f aca="false">0.4*H142+0.4*I142+0.2*P142</f>
        <v>0.602833737429807</v>
      </c>
      <c r="R142" s="0" t="n">
        <f aca="false">PERCENTILE($Q$2:$Q$800,0.75)</f>
        <v>0.667715717403612</v>
      </c>
      <c r="S142" s="1" t="b">
        <f aca="false">OR(Q142&gt;=R142,AND(B142="CW",COUNT(J142:L142)&lt;3))</f>
        <v>0</v>
      </c>
      <c r="T142" s="0" t="n">
        <v>0.280630233183239</v>
      </c>
      <c r="U142" s="0" t="n">
        <v>9.57476037457092</v>
      </c>
      <c r="V142" s="0" t="n">
        <v>0.602833737429807</v>
      </c>
      <c r="W142" s="0" t="n">
        <f aca="false">Q142-V142</f>
        <v>0</v>
      </c>
    </row>
    <row r="143" customFormat="false" ht="15" hidden="false" customHeight="false" outlineLevel="0" collapsed="false">
      <c r="A143" s="0" t="s">
        <v>177</v>
      </c>
      <c r="B143" s="0" t="s">
        <v>3013</v>
      </c>
      <c r="C143" s="0" t="n">
        <v>-38.3878041079425</v>
      </c>
      <c r="D143" s="0" t="n">
        <f aca="false">SUMPRODUCT(Risk_Inputs!B143:AJ143,Risk_Coefs!$B$2:$AJ$2)</f>
        <v>-0.825016577283956</v>
      </c>
      <c r="E143" s="0" t="n">
        <f aca="false">1/(1+EXP(-MAX(-25,MIN(25,D143))))</f>
        <v>0.304699818613506</v>
      </c>
      <c r="F143" s="0" t="n">
        <f aca="false">SUMPRODUCT(Risk_Inputs!B143:AJ143,Risk_Coefs!$B$3:$AJ$3)</f>
        <v>10.0057538953665</v>
      </c>
      <c r="G143" s="0" t="n">
        <f aca="false">MAX(0,F143)</f>
        <v>10.0057538953665</v>
      </c>
      <c r="H143" s="0" t="n">
        <f aca="false">(SUMPRODUCT(--ISNUMBER($E$2:$E$800),--($E$2:$E$800&lt;E143))+(SUMPRODUCT(--ISNUMBER($E$2:$E$800),--($E$2:$E$800=E143))+1)/2)/COUNT($E$2:$E$800)</f>
        <v>0.589486858573217</v>
      </c>
      <c r="I143" s="0" t="n">
        <f aca="false">(SUMPRODUCT(--ISNUMBER($G$2:$G$800),--($G$2:$G$800&lt;G143))+(SUMPRODUCT(--ISNUMBER($G$2:$G$800),--($G$2:$G$800=G143))+1)/2)/COUNT($G$2:$G$800)</f>
        <v>0.792240300375469</v>
      </c>
      <c r="J143" s="0" t="n">
        <v>7.194734762288</v>
      </c>
      <c r="K143" s="0" t="n">
        <v>4.60271317829457</v>
      </c>
      <c r="L143" s="0" t="n">
        <v>0.193798449612399</v>
      </c>
      <c r="M143" s="0" t="n">
        <f aca="false">IF(OR(B143="NW",COUNT(Risk_Rank_Keys!B143)=0),0.5,(SUMPRODUCT(--ISNUMBER(Risk_Rank_Keys!$B$2:$B$800),--(Risk_Rank_Keys!$B$2:$B$800&lt;Risk_Rank_Keys!B143))+(SUMPRODUCT(--ISNUMBER(Risk_Rank_Keys!$B$2:$B$800),--(Risk_Rank_Keys!$B$2:$B$800=Risk_Rank_Keys!B143))+1)/2)/COUNT(Risk_Rank_Keys!$B$2:$B$800))</f>
        <v>0.329149232914923</v>
      </c>
      <c r="N143" s="0" t="n">
        <f aca="false">IF(OR(B143="NW",COUNT(Risk_Rank_Keys!C143)=0),0.5,(SUMPRODUCT(--ISNUMBER(Risk_Rank_Keys!$C$2:$C$800),--(Risk_Rank_Keys!$C$2:$C$800&lt;Risk_Rank_Keys!C143))+(SUMPRODUCT(--ISNUMBER(Risk_Rank_Keys!$C$2:$C$800),--(Risk_Rank_Keys!$C$2:$C$800=Risk_Rank_Keys!C143))+1)/2)/COUNT(Risk_Rank_Keys!$C$2:$C$800))</f>
        <v>0.651324965132497</v>
      </c>
      <c r="O143" s="0" t="n">
        <f aca="false">IF(OR(B143="NW",COUNT(Risk_Rank_Keys!D143)=0),0.5,(SUMPRODUCT(--ISNUMBER(Risk_Rank_Keys!$D$2:$D$800),--(Risk_Rank_Keys!$D$2:$D$800&lt;Risk_Rank_Keys!D143))+(SUMPRODUCT(--ISNUMBER(Risk_Rank_Keys!$D$2:$D$800),--(Risk_Rank_Keys!$D$2:$D$800=Risk_Rank_Keys!D143))+1)/2)/COUNT(Risk_Rank_Keys!$D$2:$D$800))</f>
        <v>0.276150627615063</v>
      </c>
      <c r="P143" s="0" t="n">
        <f aca="false">AVERAGE(M143:O143)</f>
        <v>0.418874941887494</v>
      </c>
      <c r="Q143" s="0" t="n">
        <f aca="false">0.4*H143+0.4*I143+0.2*P143</f>
        <v>0.636465851956973</v>
      </c>
      <c r="R143" s="0" t="n">
        <f aca="false">PERCENTILE($Q$2:$Q$800,0.75)</f>
        <v>0.667715717403612</v>
      </c>
      <c r="S143" s="1" t="b">
        <f aca="false">OR(Q143&gt;=R143,AND(B143="CW",COUNT(J143:L143)&lt;3))</f>
        <v>0</v>
      </c>
      <c r="T143" s="0" t="n">
        <v>0.304699818613506</v>
      </c>
      <c r="U143" s="0" t="n">
        <v>10.0057538953665</v>
      </c>
      <c r="V143" s="0" t="n">
        <v>0.636465851956973</v>
      </c>
      <c r="W143" s="0" t="n">
        <f aca="false">Q143-V143</f>
        <v>0</v>
      </c>
    </row>
    <row r="144" customFormat="false" ht="15" hidden="false" customHeight="false" outlineLevel="0" collapsed="false">
      <c r="A144" s="0" t="s">
        <v>178</v>
      </c>
      <c r="B144" s="0" t="s">
        <v>3013</v>
      </c>
      <c r="C144" s="0" t="n">
        <v>-33.3732758515162</v>
      </c>
      <c r="D144" s="0" t="n">
        <f aca="false">SUMPRODUCT(Risk_Inputs!B144:AJ144,Risk_Coefs!$B$2:$AJ$2)</f>
        <v>-0.926963873812425</v>
      </c>
      <c r="E144" s="0" t="n">
        <f aca="false">1/(1+EXP(-MAX(-25,MIN(25,D144))))</f>
        <v>0.28354108444477</v>
      </c>
      <c r="F144" s="0" t="n">
        <f aca="false">SUMPRODUCT(Risk_Inputs!B144:AJ144,Risk_Coefs!$B$3:$AJ$3)</f>
        <v>8.38517670090338</v>
      </c>
      <c r="G144" s="0" t="n">
        <f aca="false">MAX(0,F144)</f>
        <v>8.38517670090338</v>
      </c>
      <c r="H144" s="0" t="n">
        <f aca="false">(SUMPRODUCT(--ISNUMBER($E$2:$E$800),--($E$2:$E$800&lt;E144))+(SUMPRODUCT(--ISNUMBER($E$2:$E$800),--($E$2:$E$800=E144))+1)/2)/COUNT($E$2:$E$800)</f>
        <v>0.479349186483104</v>
      </c>
      <c r="I144" s="0" t="n">
        <f aca="false">(SUMPRODUCT(--ISNUMBER($G$2:$G$800),--($G$2:$G$800&lt;G144))+(SUMPRODUCT(--ISNUMBER($G$2:$G$800),--($G$2:$G$800=G144))+1)/2)/COUNT($G$2:$G$800)</f>
        <v>0.590738423028786</v>
      </c>
      <c r="J144" s="0" t="n">
        <v>13.3021938980669</v>
      </c>
      <c r="K144" s="0" t="n">
        <v>3.22155237377544</v>
      </c>
      <c r="L144" s="0" t="n">
        <v>0.244913338357199</v>
      </c>
      <c r="M144" s="0" t="n">
        <f aca="false">IF(OR(B144="NW",COUNT(Risk_Rank_Keys!B144)=0),0.5,(SUMPRODUCT(--ISNUMBER(Risk_Rank_Keys!$B$2:$B$800),--(Risk_Rank_Keys!$B$2:$B$800&lt;Risk_Rank_Keys!B144))+(SUMPRODUCT(--ISNUMBER(Risk_Rank_Keys!$B$2:$B$800),--(Risk_Rank_Keys!$B$2:$B$800=Risk_Rank_Keys!B144))+1)/2)/COUNT(Risk_Rank_Keys!$B$2:$B$800))</f>
        <v>0.654114365411437</v>
      </c>
      <c r="N144" s="0" t="n">
        <f aca="false">IF(OR(B144="NW",COUNT(Risk_Rank_Keys!C144)=0),0.5,(SUMPRODUCT(--ISNUMBER(Risk_Rank_Keys!$C$2:$C$800),--(Risk_Rank_Keys!$C$2:$C$800&lt;Risk_Rank_Keys!C144))+(SUMPRODUCT(--ISNUMBER(Risk_Rank_Keys!$C$2:$C$800),--(Risk_Rank_Keys!$C$2:$C$800=Risk_Rank_Keys!C144))+1)/2)/COUNT(Risk_Rank_Keys!$C$2:$C$800))</f>
        <v>0.499302649930265</v>
      </c>
      <c r="O144" s="0" t="n">
        <f aca="false">IF(OR(B144="NW",COUNT(Risk_Rank_Keys!D144)=0),0.5,(SUMPRODUCT(--ISNUMBER(Risk_Rank_Keys!$D$2:$D$800),--(Risk_Rank_Keys!$D$2:$D$800&lt;Risk_Rank_Keys!D144))+(SUMPRODUCT(--ISNUMBER(Risk_Rank_Keys!$D$2:$D$800),--(Risk_Rank_Keys!$D$2:$D$800=Risk_Rank_Keys!D144))+1)/2)/COUNT(Risk_Rank_Keys!$D$2:$D$800))</f>
        <v>0.566248256624826</v>
      </c>
      <c r="P144" s="0" t="n">
        <f aca="false">AVERAGE(M144:O144)</f>
        <v>0.573221757322176</v>
      </c>
      <c r="Q144" s="0" t="n">
        <f aca="false">0.4*H144+0.4*I144+0.2*P144</f>
        <v>0.542679395269191</v>
      </c>
      <c r="R144" s="0" t="n">
        <f aca="false">PERCENTILE($Q$2:$Q$800,0.75)</f>
        <v>0.667715717403612</v>
      </c>
      <c r="S144" s="1" t="b">
        <f aca="false">OR(Q144&gt;=R144,AND(B144="CW",COUNT(J144:L144)&lt;3))</f>
        <v>0</v>
      </c>
      <c r="T144" s="0" t="n">
        <v>0.28354108444477</v>
      </c>
      <c r="U144" s="0" t="n">
        <v>8.38517670090338</v>
      </c>
      <c r="V144" s="0" t="n">
        <v>0.542679395269191</v>
      </c>
      <c r="W144" s="0" t="n">
        <f aca="false">Q144-V144</f>
        <v>0</v>
      </c>
    </row>
    <row r="145" customFormat="false" ht="15" hidden="false" customHeight="false" outlineLevel="0" collapsed="false">
      <c r="A145" s="0" t="s">
        <v>179</v>
      </c>
      <c r="B145" s="0" t="s">
        <v>3013</v>
      </c>
      <c r="C145" s="0" t="n">
        <v>12.714428223576</v>
      </c>
      <c r="D145" s="0" t="n">
        <f aca="false">SUMPRODUCT(Risk_Inputs!B145:AJ145,Risk_Coefs!$B$2:$AJ$2)</f>
        <v>-1.13109414001706</v>
      </c>
      <c r="E145" s="0" t="n">
        <f aca="false">1/(1+EXP(-MAX(-25,MIN(25,D145))))</f>
        <v>0.243959237767206</v>
      </c>
      <c r="F145" s="0" t="n">
        <f aca="false">SUMPRODUCT(Risk_Inputs!B145:AJ145,Risk_Coefs!$B$3:$AJ$3)</f>
        <v>6.63058589980505</v>
      </c>
      <c r="G145" s="0" t="n">
        <f aca="false">MAX(0,F145)</f>
        <v>6.63058589980505</v>
      </c>
      <c r="H145" s="0" t="n">
        <f aca="false">(SUMPRODUCT(--ISNUMBER($E$2:$E$800),--($E$2:$E$800&lt;E145))+(SUMPRODUCT(--ISNUMBER($E$2:$E$800),--($E$2:$E$800=E145))+1)/2)/COUNT($E$2:$E$800)</f>
        <v>0.237797246558198</v>
      </c>
      <c r="I145" s="0" t="n">
        <f aca="false">(SUMPRODUCT(--ISNUMBER($G$2:$G$800),--($G$2:$G$800&lt;G145))+(SUMPRODUCT(--ISNUMBER($G$2:$G$800),--($G$2:$G$800=G145))+1)/2)/COUNT($G$2:$G$800)</f>
        <v>0.365456821026283</v>
      </c>
      <c r="J145" s="0" t="n">
        <v>6.78910884013555</v>
      </c>
      <c r="K145" s="0" t="n">
        <v>1.47382314122305</v>
      </c>
      <c r="L145" s="0" t="n">
        <v>0.219973603167614</v>
      </c>
      <c r="M145" s="0" t="n">
        <f aca="false">IF(OR(B145="NW",COUNT(Risk_Rank_Keys!B145)=0),0.5,(SUMPRODUCT(--ISNUMBER(Risk_Rank_Keys!$B$2:$B$800),--(Risk_Rank_Keys!$B$2:$B$800&lt;Risk_Rank_Keys!B145))+(SUMPRODUCT(--ISNUMBER(Risk_Rank_Keys!$B$2:$B$800),--(Risk_Rank_Keys!$B$2:$B$800=Risk_Rank_Keys!B145))+1)/2)/COUNT(Risk_Rank_Keys!$B$2:$B$800))</f>
        <v>0.294281729428173</v>
      </c>
      <c r="N145" s="0" t="n">
        <f aca="false">IF(OR(B145="NW",COUNT(Risk_Rank_Keys!C145)=0),0.5,(SUMPRODUCT(--ISNUMBER(Risk_Rank_Keys!$C$2:$C$800),--(Risk_Rank_Keys!$C$2:$C$800&lt;Risk_Rank_Keys!C145))+(SUMPRODUCT(--ISNUMBER(Risk_Rank_Keys!$C$2:$C$800),--(Risk_Rank_Keys!$C$2:$C$800=Risk_Rank_Keys!C145))+1)/2)/COUNT(Risk_Rank_Keys!$C$2:$C$800))</f>
        <v>0.128312412831241</v>
      </c>
      <c r="O145" s="0" t="n">
        <f aca="false">IF(OR(B145="NW",COUNT(Risk_Rank_Keys!D145)=0),0.5,(SUMPRODUCT(--ISNUMBER(Risk_Rank_Keys!$D$2:$D$800),--(Risk_Rank_Keys!$D$2:$D$800&lt;Risk_Rank_Keys!D145))+(SUMPRODUCT(--ISNUMBER(Risk_Rank_Keys!$D$2:$D$800),--(Risk_Rank_Keys!$D$2:$D$800=Risk_Rank_Keys!D145))+1)/2)/COUNT(Risk_Rank_Keys!$D$2:$D$800))</f>
        <v>0.436541143654114</v>
      </c>
      <c r="P145" s="0" t="n">
        <f aca="false">AVERAGE(M145:O145)</f>
        <v>0.286378428637843</v>
      </c>
      <c r="Q145" s="0" t="n">
        <f aca="false">0.4*H145+0.4*I145+0.2*P145</f>
        <v>0.298577312761361</v>
      </c>
      <c r="R145" s="0" t="n">
        <f aca="false">PERCENTILE($Q$2:$Q$800,0.75)</f>
        <v>0.667715717403612</v>
      </c>
      <c r="S145" s="1" t="b">
        <f aca="false">OR(Q145&gt;=R145,AND(B145="CW",COUNT(J145:L145)&lt;3))</f>
        <v>0</v>
      </c>
      <c r="T145" s="0" t="n">
        <v>0.243959237767206</v>
      </c>
      <c r="U145" s="0" t="n">
        <v>6.63058589980505</v>
      </c>
      <c r="V145" s="0" t="n">
        <v>0.298577312761361</v>
      </c>
      <c r="W145" s="0" t="n">
        <f aca="false">Q145-V145</f>
        <v>0</v>
      </c>
    </row>
    <row r="146" customFormat="false" ht="15" hidden="false" customHeight="false" outlineLevel="0" collapsed="false">
      <c r="A146" s="0" t="s">
        <v>180</v>
      </c>
      <c r="B146" s="0" t="s">
        <v>3013</v>
      </c>
      <c r="C146" s="0" t="n">
        <v>25.6398649623136</v>
      </c>
      <c r="D146" s="0" t="n">
        <f aca="false">SUMPRODUCT(Risk_Inputs!B146:AJ146,Risk_Coefs!$B$2:$AJ$2)</f>
        <v>-1.25124560931746</v>
      </c>
      <c r="E146" s="0" t="n">
        <f aca="false">1/(1+EXP(-MAX(-25,MIN(25,D146))))</f>
        <v>0.22248459236892</v>
      </c>
      <c r="F146" s="0" t="n">
        <f aca="false">SUMPRODUCT(Risk_Inputs!B146:AJ146,Risk_Coefs!$B$3:$AJ$3)</f>
        <v>6.12991624356264</v>
      </c>
      <c r="G146" s="0" t="n">
        <f aca="false">MAX(0,F146)</f>
        <v>6.12991624356264</v>
      </c>
      <c r="H146" s="0" t="n">
        <f aca="false">(SUMPRODUCT(--ISNUMBER($E$2:$E$800),--($E$2:$E$800&lt;E146))+(SUMPRODUCT(--ISNUMBER($E$2:$E$800),--($E$2:$E$800=E146))+1)/2)/COUNT($E$2:$E$800)</f>
        <v>0.152690863579474</v>
      </c>
      <c r="I146" s="0" t="n">
        <f aca="false">(SUMPRODUCT(--ISNUMBER($G$2:$G$800),--($G$2:$G$800&lt;G146))+(SUMPRODUCT(--ISNUMBER($G$2:$G$800),--($G$2:$G$800=G146))+1)/2)/COUNT($G$2:$G$800)</f>
        <v>0.281602002503129</v>
      </c>
      <c r="J146" s="0" t="n">
        <v>22.6107022167776</v>
      </c>
      <c r="K146" s="0" t="n">
        <v>8.19526627218935</v>
      </c>
      <c r="L146" s="0" t="n">
        <v>0.207100591715981</v>
      </c>
      <c r="M146" s="0" t="n">
        <f aca="false">IF(OR(B146="NW",COUNT(Risk_Rank_Keys!B146)=0),0.5,(SUMPRODUCT(--ISNUMBER(Risk_Rank_Keys!$B$2:$B$800),--(Risk_Rank_Keys!$B$2:$B$800&lt;Risk_Rank_Keys!B146))+(SUMPRODUCT(--ISNUMBER(Risk_Rank_Keys!$B$2:$B$800),--(Risk_Rank_Keys!$B$2:$B$800=Risk_Rank_Keys!B146))+1)/2)/COUNT(Risk_Rank_Keys!$B$2:$B$800))</f>
        <v>0.828451882845188</v>
      </c>
      <c r="N146" s="0" t="n">
        <f aca="false">IF(OR(B146="NW",COUNT(Risk_Rank_Keys!C146)=0),0.5,(SUMPRODUCT(--ISNUMBER(Risk_Rank_Keys!$C$2:$C$800),--(Risk_Rank_Keys!$C$2:$C$800&lt;Risk_Rank_Keys!C146))+(SUMPRODUCT(--ISNUMBER(Risk_Rank_Keys!$C$2:$C$800),--(Risk_Rank_Keys!$C$2:$C$800=Risk_Rank_Keys!C146))+1)/2)/COUNT(Risk_Rank_Keys!$C$2:$C$800))</f>
        <v>0.827057182705718</v>
      </c>
      <c r="O146" s="0" t="n">
        <f aca="false">IF(OR(B146="NW",COUNT(Risk_Rank_Keys!D146)=0),0.5,(SUMPRODUCT(--ISNUMBER(Risk_Rank_Keys!$D$2:$D$800),--(Risk_Rank_Keys!$D$2:$D$800&lt;Risk_Rank_Keys!D146))+(SUMPRODUCT(--ISNUMBER(Risk_Rank_Keys!$D$2:$D$800),--(Risk_Rank_Keys!$D$2:$D$800=Risk_Rank_Keys!D146))+1)/2)/COUNT(Risk_Rank_Keys!$D$2:$D$800))</f>
        <v>0.357043235704324</v>
      </c>
      <c r="P146" s="0" t="n">
        <f aca="false">AVERAGE(M146:O146)</f>
        <v>0.670850767085077</v>
      </c>
      <c r="Q146" s="0" t="n">
        <f aca="false">0.4*H146+0.4*I146+0.2*P146</f>
        <v>0.307887299850057</v>
      </c>
      <c r="R146" s="0" t="n">
        <f aca="false">PERCENTILE($Q$2:$Q$800,0.75)</f>
        <v>0.667715717403612</v>
      </c>
      <c r="S146" s="1" t="b">
        <f aca="false">OR(Q146&gt;=R146,AND(B146="CW",COUNT(J146:L146)&lt;3))</f>
        <v>0</v>
      </c>
      <c r="T146" s="0" t="n">
        <v>0.22248459236892</v>
      </c>
      <c r="U146" s="0" t="n">
        <v>6.12991624356264</v>
      </c>
      <c r="V146" s="0" t="n">
        <v>0.307887299850057</v>
      </c>
      <c r="W146" s="0" t="n">
        <f aca="false">Q146-V146</f>
        <v>0</v>
      </c>
    </row>
    <row r="147" customFormat="false" ht="15" hidden="false" customHeight="false" outlineLevel="0" collapsed="false">
      <c r="A147" s="0" t="s">
        <v>181</v>
      </c>
      <c r="B147" s="0" t="s">
        <v>3013</v>
      </c>
      <c r="C147" s="0" t="n">
        <v>11.0353374740835</v>
      </c>
      <c r="D147" s="0" t="n">
        <f aca="false">SUMPRODUCT(Risk_Inputs!B147:AJ147,Risk_Coefs!$B$2:$AJ$2)</f>
        <v>-1.16492614997158</v>
      </c>
      <c r="E147" s="0" t="n">
        <f aca="false">1/(1+EXP(-MAX(-25,MIN(25,D147))))</f>
        <v>0.237773330684138</v>
      </c>
      <c r="F147" s="0" t="n">
        <f aca="false">SUMPRODUCT(Risk_Inputs!B147:AJ147,Risk_Coefs!$B$3:$AJ$3)</f>
        <v>8.7370294047479</v>
      </c>
      <c r="G147" s="0" t="n">
        <f aca="false">MAX(0,F147)</f>
        <v>8.7370294047479</v>
      </c>
      <c r="H147" s="0" t="n">
        <f aca="false">(SUMPRODUCT(--ISNUMBER($E$2:$E$800),--($E$2:$E$800&lt;E147))+(SUMPRODUCT(--ISNUMBER($E$2:$E$800),--($E$2:$E$800=E147))+1)/2)/COUNT($E$2:$E$800)</f>
        <v>0.211514392991239</v>
      </c>
      <c r="I147" s="0" t="n">
        <f aca="false">(SUMPRODUCT(--ISNUMBER($G$2:$G$800),--($G$2:$G$800&lt;G147))+(SUMPRODUCT(--ISNUMBER($G$2:$G$800),--($G$2:$G$800=G147))+1)/2)/COUNT($G$2:$G$800)</f>
        <v>0.642052565707134</v>
      </c>
      <c r="J147" s="0" t="n">
        <v>25.0519621742901</v>
      </c>
      <c r="K147" s="0" t="n">
        <v>6.28778718258765</v>
      </c>
      <c r="L147" s="0" t="n">
        <v>0.604594921402654</v>
      </c>
      <c r="M147" s="0" t="n">
        <f aca="false">IF(OR(B147="NW",COUNT(Risk_Rank_Keys!B147)=0),0.5,(SUMPRODUCT(--ISNUMBER(Risk_Rank_Keys!$B$2:$B$800),--(Risk_Rank_Keys!$B$2:$B$800&lt;Risk_Rank_Keys!B147))+(SUMPRODUCT(--ISNUMBER(Risk_Rank_Keys!$B$2:$B$800),--(Risk_Rank_Keys!$B$2:$B$800=Risk_Rank_Keys!B147))+1)/2)/COUNT(Risk_Rank_Keys!$B$2:$B$800))</f>
        <v>0.857740585774059</v>
      </c>
      <c r="N147" s="0" t="n">
        <f aca="false">IF(OR(B147="NW",COUNT(Risk_Rank_Keys!C147)=0),0.5,(SUMPRODUCT(--ISNUMBER(Risk_Rank_Keys!$C$2:$C$800),--(Risk_Rank_Keys!$C$2:$C$800&lt;Risk_Rank_Keys!C147))+(SUMPRODUCT(--ISNUMBER(Risk_Rank_Keys!$C$2:$C$800),--(Risk_Rank_Keys!$C$2:$C$800=Risk_Rank_Keys!C147))+1)/2)/COUNT(Risk_Rank_Keys!$C$2:$C$800))</f>
        <v>0.754532775453278</v>
      </c>
      <c r="O147" s="0" t="n">
        <f aca="false">IF(OR(B147="NW",COUNT(Risk_Rank_Keys!D147)=0),0.5,(SUMPRODUCT(--ISNUMBER(Risk_Rank_Keys!$D$2:$D$800),--(Risk_Rank_Keys!$D$2:$D$800&lt;Risk_Rank_Keys!D147))+(SUMPRODUCT(--ISNUMBER(Risk_Rank_Keys!$D$2:$D$800),--(Risk_Rank_Keys!$D$2:$D$800=Risk_Rank_Keys!D147))+1)/2)/COUNT(Risk_Rank_Keys!$D$2:$D$800))</f>
        <v>0.97629009762901</v>
      </c>
      <c r="P147" s="0" t="n">
        <f aca="false">AVERAGE(M147:O147)</f>
        <v>0.862854486285449</v>
      </c>
      <c r="Q147" s="0" t="n">
        <f aca="false">0.4*H147+0.4*I147+0.2*P147</f>
        <v>0.513997680736439</v>
      </c>
      <c r="R147" s="0" t="n">
        <f aca="false">PERCENTILE($Q$2:$Q$800,0.75)</f>
        <v>0.667715717403612</v>
      </c>
      <c r="S147" s="1" t="b">
        <f aca="false">OR(Q147&gt;=R147,AND(B147="CW",COUNT(J147:L147)&lt;3))</f>
        <v>0</v>
      </c>
      <c r="T147" s="0" t="n">
        <v>0.237773330684138</v>
      </c>
      <c r="U147" s="0" t="n">
        <v>8.7370294047479</v>
      </c>
      <c r="V147" s="0" t="n">
        <v>0.513997680736439</v>
      </c>
      <c r="W147" s="0" t="n">
        <f aca="false">Q147-V147</f>
        <v>0</v>
      </c>
    </row>
    <row r="148" customFormat="false" ht="15" hidden="false" customHeight="false" outlineLevel="0" collapsed="false">
      <c r="A148" s="0" t="s">
        <v>182</v>
      </c>
      <c r="B148" s="0" t="s">
        <v>3013</v>
      </c>
      <c r="C148" s="0" t="n">
        <v>-39.4220352119786</v>
      </c>
      <c r="D148" s="0" t="n">
        <f aca="false">SUMPRODUCT(Risk_Inputs!B148:AJ148,Risk_Coefs!$B$2:$AJ$2)</f>
        <v>-0.97431161854117</v>
      </c>
      <c r="E148" s="0" t="n">
        <f aca="false">1/(1+EXP(-MAX(-25,MIN(25,D148))))</f>
        <v>0.274021939854023</v>
      </c>
      <c r="F148" s="0" t="n">
        <f aca="false">SUMPRODUCT(Risk_Inputs!B148:AJ148,Risk_Coefs!$B$3:$AJ$3)</f>
        <v>9.13927246351187</v>
      </c>
      <c r="G148" s="0" t="n">
        <f aca="false">MAX(0,F148)</f>
        <v>9.13927246351187</v>
      </c>
      <c r="H148" s="0" t="n">
        <f aca="false">(SUMPRODUCT(--ISNUMBER($E$2:$E$800),--($E$2:$E$800&lt;E148))+(SUMPRODUCT(--ISNUMBER($E$2:$E$800),--($E$2:$E$800=E148))+1)/2)/COUNT($E$2:$E$800)</f>
        <v>0.415519399249061</v>
      </c>
      <c r="I148" s="0" t="n">
        <f aca="false">(SUMPRODUCT(--ISNUMBER($G$2:$G$800),--($G$2:$G$800&lt;G148))+(SUMPRODUCT(--ISNUMBER($G$2:$G$800),--($G$2:$G$800=G148))+1)/2)/COUNT($G$2:$G$800)</f>
        <v>0.69837296620776</v>
      </c>
      <c r="J148" s="0" t="n">
        <v>21.140876390536</v>
      </c>
      <c r="K148" s="0" t="n">
        <v>2.54866265228959</v>
      </c>
      <c r="L148" s="0" t="n">
        <v>0.140036409466453</v>
      </c>
      <c r="M148" s="0" t="n">
        <f aca="false">IF(OR(B148="NW",COUNT(Risk_Rank_Keys!B148)=0),0.5,(SUMPRODUCT(--ISNUMBER(Risk_Rank_Keys!$B$2:$B$800),--(Risk_Rank_Keys!$B$2:$B$800&lt;Risk_Rank_Keys!B148))+(SUMPRODUCT(--ISNUMBER(Risk_Rank_Keys!$B$2:$B$800),--(Risk_Rank_Keys!$B$2:$B$800=Risk_Rank_Keys!B148))+1)/2)/COUNT(Risk_Rank_Keys!$B$2:$B$800))</f>
        <v>0.814504881450488</v>
      </c>
      <c r="N148" s="0" t="n">
        <f aca="false">IF(OR(B148="NW",COUNT(Risk_Rank_Keys!C148)=0),0.5,(SUMPRODUCT(--ISNUMBER(Risk_Rank_Keys!$C$2:$C$800),--(Risk_Rank_Keys!$C$2:$C$800&lt;Risk_Rank_Keys!C148))+(SUMPRODUCT(--ISNUMBER(Risk_Rank_Keys!$C$2:$C$800),--(Risk_Rank_Keys!$C$2:$C$800=Risk_Rank_Keys!C148))+1)/2)/COUNT(Risk_Rank_Keys!$C$2:$C$800))</f>
        <v>0.393305439330544</v>
      </c>
      <c r="O148" s="0" t="n">
        <f aca="false">IF(OR(B148="NW",COUNT(Risk_Rank_Keys!D148)=0),0.5,(SUMPRODUCT(--ISNUMBER(Risk_Rank_Keys!$D$2:$D$800),--(Risk_Rank_Keys!$D$2:$D$800&lt;Risk_Rank_Keys!D148))+(SUMPRODUCT(--ISNUMBER(Risk_Rank_Keys!$D$2:$D$800),--(Risk_Rank_Keys!$D$2:$D$800=Risk_Rank_Keys!D148))+1)/2)/COUNT(Risk_Rank_Keys!$D$2:$D$800))</f>
        <v>0.0864714086471409</v>
      </c>
      <c r="P148" s="0" t="n">
        <f aca="false">AVERAGE(M148:O148)</f>
        <v>0.431427243142724</v>
      </c>
      <c r="Q148" s="0" t="n">
        <f aca="false">0.4*H148+0.4*I148+0.2*P148</f>
        <v>0.531842394811273</v>
      </c>
      <c r="R148" s="0" t="n">
        <f aca="false">PERCENTILE($Q$2:$Q$800,0.75)</f>
        <v>0.667715717403612</v>
      </c>
      <c r="S148" s="1" t="b">
        <f aca="false">OR(Q148&gt;=R148,AND(B148="CW",COUNT(J148:L148)&lt;3))</f>
        <v>0</v>
      </c>
      <c r="T148" s="0" t="n">
        <v>0.274021939854023</v>
      </c>
      <c r="U148" s="0" t="n">
        <v>9.13927246351187</v>
      </c>
      <c r="V148" s="0" t="n">
        <v>0.531842394811273</v>
      </c>
      <c r="W148" s="0" t="n">
        <f aca="false">Q148-V148</f>
        <v>0</v>
      </c>
    </row>
    <row r="149" customFormat="false" ht="15" hidden="false" customHeight="false" outlineLevel="0" collapsed="false">
      <c r="A149" s="0" t="s">
        <v>183</v>
      </c>
      <c r="B149" s="0" t="s">
        <v>3013</v>
      </c>
      <c r="C149" s="0" t="n">
        <v>27.9540133060749</v>
      </c>
      <c r="D149" s="0" t="n">
        <f aca="false">SUMPRODUCT(Risk_Inputs!B149:AJ149,Risk_Coefs!$B$2:$AJ$2)</f>
        <v>-1.12693849433041</v>
      </c>
      <c r="E149" s="0" t="n">
        <f aca="false">1/(1+EXP(-MAX(-25,MIN(25,D149))))</f>
        <v>0.244726533366386</v>
      </c>
      <c r="F149" s="0" t="n">
        <f aca="false">SUMPRODUCT(Risk_Inputs!B149:AJ149,Risk_Coefs!$B$3:$AJ$3)</f>
        <v>4.90785099272389</v>
      </c>
      <c r="G149" s="0" t="n">
        <f aca="false">MAX(0,F149)</f>
        <v>4.90785099272389</v>
      </c>
      <c r="H149" s="0" t="n">
        <f aca="false">(SUMPRODUCT(--ISNUMBER($E$2:$E$800),--($E$2:$E$800&lt;E149))+(SUMPRODUCT(--ISNUMBER($E$2:$E$800),--($E$2:$E$800=E149))+1)/2)/COUNT($E$2:$E$800)</f>
        <v>0.242803504380476</v>
      </c>
      <c r="I149" s="0" t="n">
        <f aca="false">(SUMPRODUCT(--ISNUMBER($G$2:$G$800),--($G$2:$G$800&lt;G149))+(SUMPRODUCT(--ISNUMBER($G$2:$G$800),--($G$2:$G$800=G149))+1)/2)/COUNT($G$2:$G$800)</f>
        <v>0.126408010012516</v>
      </c>
      <c r="J149" s="0" t="n">
        <v>11.2430667754885</v>
      </c>
      <c r="K149" s="0" t="n">
        <v>4.22857142857142</v>
      </c>
      <c r="L149" s="0" t="n">
        <v>0.257142857142859</v>
      </c>
      <c r="M149" s="0" t="n">
        <f aca="false">IF(OR(B149="NW",COUNT(Risk_Rank_Keys!B149)=0),0.5,(SUMPRODUCT(--ISNUMBER(Risk_Rank_Keys!$B$2:$B$800),--(Risk_Rank_Keys!$B$2:$B$800&lt;Risk_Rank_Keys!B149))+(SUMPRODUCT(--ISNUMBER(Risk_Rank_Keys!$B$2:$B$800),--(Risk_Rank_Keys!$B$2:$B$800=Risk_Rank_Keys!B149))+1)/2)/COUNT(Risk_Rank_Keys!$B$2:$B$800))</f>
        <v>0.556485355648536</v>
      </c>
      <c r="N149" s="0" t="n">
        <f aca="false">IF(OR(B149="NW",COUNT(Risk_Rank_Keys!C149)=0),0.5,(SUMPRODUCT(--ISNUMBER(Risk_Rank_Keys!$C$2:$C$800),--(Risk_Rank_Keys!$C$2:$C$800&lt;Risk_Rank_Keys!C149))+(SUMPRODUCT(--ISNUMBER(Risk_Rank_Keys!$C$2:$C$800),--(Risk_Rank_Keys!$C$2:$C$800=Risk_Rank_Keys!C149))+1)/2)/COUNT(Risk_Rank_Keys!$C$2:$C$800))</f>
        <v>0.613668061366806</v>
      </c>
      <c r="O149" s="0" t="n">
        <f aca="false">IF(OR(B149="NW",COUNT(Risk_Rank_Keys!D149)=0),0.5,(SUMPRODUCT(--ISNUMBER(Risk_Rank_Keys!$D$2:$D$800),--(Risk_Rank_Keys!$D$2:$D$800&lt;Risk_Rank_Keys!D149))+(SUMPRODUCT(--ISNUMBER(Risk_Rank_Keys!$D$2:$D$800),--(Risk_Rank_Keys!$D$2:$D$800=Risk_Rank_Keys!D149))+1)/2)/COUNT(Risk_Rank_Keys!$D$2:$D$800))</f>
        <v>0.613668061366806</v>
      </c>
      <c r="P149" s="0" t="n">
        <f aca="false">AVERAGE(M149:O149)</f>
        <v>0.594607159460716</v>
      </c>
      <c r="Q149" s="0" t="n">
        <f aca="false">0.4*H149+0.4*I149+0.2*P149</f>
        <v>0.26660603764934</v>
      </c>
      <c r="R149" s="0" t="n">
        <f aca="false">PERCENTILE($Q$2:$Q$800,0.75)</f>
        <v>0.667715717403612</v>
      </c>
      <c r="S149" s="1" t="b">
        <f aca="false">OR(Q149&gt;=R149,AND(B149="CW",COUNT(J149:L149)&lt;3))</f>
        <v>0</v>
      </c>
      <c r="T149" s="0" t="n">
        <v>0.244726533366386</v>
      </c>
      <c r="U149" s="0" t="n">
        <v>4.90785099272389</v>
      </c>
      <c r="V149" s="0" t="n">
        <v>0.26660603764934</v>
      </c>
      <c r="W149" s="0" t="n">
        <f aca="false">Q149-V149</f>
        <v>0</v>
      </c>
    </row>
    <row r="150" customFormat="false" ht="15" hidden="false" customHeight="false" outlineLevel="0" collapsed="false">
      <c r="A150" s="0" t="s">
        <v>184</v>
      </c>
      <c r="B150" s="0" t="s">
        <v>3013</v>
      </c>
      <c r="C150" s="0" t="n">
        <v>-14.982111363849</v>
      </c>
      <c r="D150" s="0" t="n">
        <f aca="false">SUMPRODUCT(Risk_Inputs!B150:AJ150,Risk_Coefs!$B$2:$AJ$2)</f>
        <v>-1.09777190776846</v>
      </c>
      <c r="E150" s="0" t="n">
        <f aca="false">1/(1+EXP(-MAX(-25,MIN(25,D150))))</f>
        <v>0.250157604521367</v>
      </c>
      <c r="F150" s="0" t="n">
        <f aca="false">SUMPRODUCT(Risk_Inputs!B150:AJ150,Risk_Coefs!$B$3:$AJ$3)</f>
        <v>7.40387080214339</v>
      </c>
      <c r="G150" s="0" t="n">
        <f aca="false">MAX(0,F150)</f>
        <v>7.40387080214339</v>
      </c>
      <c r="H150" s="0" t="n">
        <f aca="false">(SUMPRODUCT(--ISNUMBER($E$2:$E$800),--($E$2:$E$800&lt;E150))+(SUMPRODUCT(--ISNUMBER($E$2:$E$800),--($E$2:$E$800=E150))+1)/2)/COUNT($E$2:$E$800)</f>
        <v>0.267834793491865</v>
      </c>
      <c r="I150" s="0" t="n">
        <f aca="false">(SUMPRODUCT(--ISNUMBER($G$2:$G$800),--($G$2:$G$800&lt;G150))+(SUMPRODUCT(--ISNUMBER($G$2:$G$800),--($G$2:$G$800=G150))+1)/2)/COUNT($G$2:$G$800)</f>
        <v>0.459324155193993</v>
      </c>
      <c r="J150" s="0" t="n">
        <v>7.93427635223935</v>
      </c>
      <c r="K150" s="0" t="n">
        <v>3.08433734939758</v>
      </c>
      <c r="L150" s="0" t="n">
        <v>0.33734939759037</v>
      </c>
      <c r="M150" s="0" t="n">
        <f aca="false">IF(OR(B150="NW",COUNT(Risk_Rank_Keys!B150)=0),0.5,(SUMPRODUCT(--ISNUMBER(Risk_Rank_Keys!$B$2:$B$800),--(Risk_Rank_Keys!$B$2:$B$800&lt;Risk_Rank_Keys!B150))+(SUMPRODUCT(--ISNUMBER(Risk_Rank_Keys!$B$2:$B$800),--(Risk_Rank_Keys!$B$2:$B$800=Risk_Rank_Keys!B150))+1)/2)/COUNT(Risk_Rank_Keys!$B$2:$B$800))</f>
        <v>0.383542538354254</v>
      </c>
      <c r="N150" s="0" t="n">
        <f aca="false">IF(OR(B150="NW",COUNT(Risk_Rank_Keys!C150)=0),0.5,(SUMPRODUCT(--ISNUMBER(Risk_Rank_Keys!$C$2:$C$800),--(Risk_Rank_Keys!$C$2:$C$800&lt;Risk_Rank_Keys!C150))+(SUMPRODUCT(--ISNUMBER(Risk_Rank_Keys!$C$2:$C$800),--(Risk_Rank_Keys!$C$2:$C$800=Risk_Rank_Keys!C150))+1)/2)/COUNT(Risk_Rank_Keys!$C$2:$C$800))</f>
        <v>0.475592747559275</v>
      </c>
      <c r="O150" s="0" t="n">
        <f aca="false">IF(OR(B150="NW",COUNT(Risk_Rank_Keys!D150)=0),0.5,(SUMPRODUCT(--ISNUMBER(Risk_Rank_Keys!$D$2:$D$800),--(Risk_Rank_Keys!$D$2:$D$800&lt;Risk_Rank_Keys!D150))+(SUMPRODUCT(--ISNUMBER(Risk_Rank_Keys!$D$2:$D$800),--(Risk_Rank_Keys!$D$2:$D$800=Risk_Rank_Keys!D150))+1)/2)/COUNT(Risk_Rank_Keys!$D$2:$D$800))</f>
        <v>0.810320781032078</v>
      </c>
      <c r="P150" s="0" t="n">
        <f aca="false">AVERAGE(M150:O150)</f>
        <v>0.556485355648536</v>
      </c>
      <c r="Q150" s="0" t="n">
        <f aca="false">0.4*H150+0.4*I150+0.2*P150</f>
        <v>0.40216065060405</v>
      </c>
      <c r="R150" s="0" t="n">
        <f aca="false">PERCENTILE($Q$2:$Q$800,0.75)</f>
        <v>0.667715717403612</v>
      </c>
      <c r="S150" s="1" t="b">
        <f aca="false">OR(Q150&gt;=R150,AND(B150="CW",COUNT(J150:L150)&lt;3))</f>
        <v>0</v>
      </c>
      <c r="T150" s="0" t="n">
        <v>0.250157604521367</v>
      </c>
      <c r="U150" s="0" t="n">
        <v>7.40387080214339</v>
      </c>
      <c r="V150" s="0" t="n">
        <v>0.40216065060405</v>
      </c>
      <c r="W150" s="0" t="n">
        <f aca="false">Q150-V150</f>
        <v>0</v>
      </c>
    </row>
    <row r="151" customFormat="false" ht="15" hidden="false" customHeight="false" outlineLevel="0" collapsed="false">
      <c r="A151" s="0" t="s">
        <v>185</v>
      </c>
      <c r="B151" s="0" t="s">
        <v>3013</v>
      </c>
      <c r="C151" s="0" t="n">
        <v>-9.26990377162364</v>
      </c>
      <c r="D151" s="0" t="n">
        <f aca="false">SUMPRODUCT(Risk_Inputs!B151:AJ151,Risk_Coefs!$B$2:$AJ$2)</f>
        <v>-0.905096744205056</v>
      </c>
      <c r="E151" s="0" t="n">
        <f aca="false">1/(1+EXP(-MAX(-25,MIN(25,D151))))</f>
        <v>0.28800424202663</v>
      </c>
      <c r="F151" s="0" t="n">
        <f aca="false">SUMPRODUCT(Risk_Inputs!B151:AJ151,Risk_Coefs!$B$3:$AJ$3)</f>
        <v>7.96130983466668</v>
      </c>
      <c r="G151" s="0" t="n">
        <f aca="false">MAX(0,F151)</f>
        <v>7.96130983466668</v>
      </c>
      <c r="H151" s="0" t="n">
        <f aca="false">(SUMPRODUCT(--ISNUMBER($E$2:$E$800),--($E$2:$E$800&lt;E151))+(SUMPRODUCT(--ISNUMBER($E$2:$E$800),--($E$2:$E$800=E151))+1)/2)/COUNT($E$2:$E$800)</f>
        <v>0.506883604505632</v>
      </c>
      <c r="I151" s="0" t="n">
        <f aca="false">(SUMPRODUCT(--ISNUMBER($G$2:$G$800),--($G$2:$G$800&lt;G151))+(SUMPRODUCT(--ISNUMBER($G$2:$G$800),--($G$2:$G$800=G151))+1)/2)/COUNT($G$2:$G$800)</f>
        <v>0.536921151439299</v>
      </c>
      <c r="J151" s="0" t="n">
        <v>9.9384761003325</v>
      </c>
      <c r="K151" s="0" t="n">
        <v>4.97881355932203</v>
      </c>
      <c r="L151" s="0" t="n">
        <v>0.233050847457632</v>
      </c>
      <c r="M151" s="0" t="n">
        <f aca="false">IF(OR(B151="NW",COUNT(Risk_Rank_Keys!B151)=0),0.5,(SUMPRODUCT(--ISNUMBER(Risk_Rank_Keys!$B$2:$B$800),--(Risk_Rank_Keys!$B$2:$B$800&lt;Risk_Rank_Keys!B151))+(SUMPRODUCT(--ISNUMBER(Risk_Rank_Keys!$B$2:$B$800),--(Risk_Rank_Keys!$B$2:$B$800=Risk_Rank_Keys!B151))+1)/2)/COUNT(Risk_Rank_Keys!$B$2:$B$800))</f>
        <v>0.502092050209205</v>
      </c>
      <c r="N151" s="0" t="n">
        <f aca="false">IF(OR(B151="NW",COUNT(Risk_Rank_Keys!C151)=0),0.5,(SUMPRODUCT(--ISNUMBER(Risk_Rank_Keys!$C$2:$C$800),--(Risk_Rank_Keys!$C$2:$C$800&lt;Risk_Rank_Keys!C151))+(SUMPRODUCT(--ISNUMBER(Risk_Rank_Keys!$C$2:$C$800),--(Risk_Rank_Keys!$C$2:$C$800=Risk_Rank_Keys!C151))+1)/2)/COUNT(Risk_Rank_Keys!$C$2:$C$800))</f>
        <v>0.687587168758717</v>
      </c>
      <c r="O151" s="0" t="n">
        <f aca="false">IF(OR(B151="NW",COUNT(Risk_Rank_Keys!D151)=0),0.5,(SUMPRODUCT(--ISNUMBER(Risk_Rank_Keys!$D$2:$D$800),--(Risk_Rank_Keys!$D$2:$D$800&lt;Risk_Rank_Keys!D151))+(SUMPRODUCT(--ISNUMBER(Risk_Rank_Keys!$D$2:$D$800),--(Risk_Rank_Keys!$D$2:$D$800=Risk_Rank_Keys!D151))+1)/2)/COUNT(Risk_Rank_Keys!$D$2:$D$800))</f>
        <v>0.514644351464435</v>
      </c>
      <c r="P151" s="0" t="n">
        <f aca="false">AVERAGE(M151:O151)</f>
        <v>0.568107856810786</v>
      </c>
      <c r="Q151" s="0" t="n">
        <f aca="false">0.4*H151+0.4*I151+0.2*P151</f>
        <v>0.53114347374013</v>
      </c>
      <c r="R151" s="0" t="n">
        <f aca="false">PERCENTILE($Q$2:$Q$800,0.75)</f>
        <v>0.667715717403612</v>
      </c>
      <c r="S151" s="1" t="b">
        <f aca="false">OR(Q151&gt;=R151,AND(B151="CW",COUNT(J151:L151)&lt;3))</f>
        <v>0</v>
      </c>
      <c r="T151" s="0" t="n">
        <v>0.28800424202663</v>
      </c>
      <c r="U151" s="0" t="n">
        <v>7.96130983466668</v>
      </c>
      <c r="V151" s="0" t="n">
        <v>0.53114347374013</v>
      </c>
      <c r="W151" s="0" t="n">
        <f aca="false">Q151-V151</f>
        <v>0</v>
      </c>
    </row>
    <row r="152" customFormat="false" ht="15" hidden="false" customHeight="false" outlineLevel="0" collapsed="false">
      <c r="A152" s="0" t="s">
        <v>186</v>
      </c>
      <c r="B152" s="0" t="s">
        <v>3013</v>
      </c>
      <c r="C152" s="0" t="n">
        <v>15.0331249410799</v>
      </c>
      <c r="D152" s="0" t="n">
        <f aca="false">SUMPRODUCT(Risk_Inputs!B152:AJ152,Risk_Coefs!$B$2:$AJ$2)</f>
        <v>-1.06848298950263</v>
      </c>
      <c r="E152" s="0" t="n">
        <f aca="false">1/(1+EXP(-MAX(-25,MIN(25,D152))))</f>
        <v>0.255691684653533</v>
      </c>
      <c r="F152" s="0" t="n">
        <f aca="false">SUMPRODUCT(Risk_Inputs!B152:AJ152,Risk_Coefs!$B$3:$AJ$3)</f>
        <v>3.7400139054168</v>
      </c>
      <c r="G152" s="0" t="n">
        <f aca="false">MAX(0,F152)</f>
        <v>3.7400139054168</v>
      </c>
      <c r="H152" s="0" t="n">
        <f aca="false">(SUMPRODUCT(--ISNUMBER($E$2:$E$800),--($E$2:$E$800&lt;E152))+(SUMPRODUCT(--ISNUMBER($E$2:$E$800),--($E$2:$E$800=E152))+1)/2)/COUNT($E$2:$E$800)</f>
        <v>0.299123904881101</v>
      </c>
      <c r="I152" s="0" t="n">
        <f aca="false">(SUMPRODUCT(--ISNUMBER($G$2:$G$800),--($G$2:$G$800&lt;G152))+(SUMPRODUCT(--ISNUMBER($G$2:$G$800),--($G$2:$G$800=G152))+1)/2)/COUNT($G$2:$G$800)</f>
        <v>0.0387984981226533</v>
      </c>
      <c r="J152" s="0" t="n">
        <v>11.0300215624466</v>
      </c>
      <c r="K152" s="0" t="n">
        <v>3.22255790533735</v>
      </c>
      <c r="L152" s="0" t="n">
        <v>0.151057401812695</v>
      </c>
      <c r="M152" s="0" t="n">
        <f aca="false">IF(OR(B152="NW",COUNT(Risk_Rank_Keys!B152)=0),0.5,(SUMPRODUCT(--ISNUMBER(Risk_Rank_Keys!$B$2:$B$800),--(Risk_Rank_Keys!$B$2:$B$800&lt;Risk_Rank_Keys!B152))+(SUMPRODUCT(--ISNUMBER(Risk_Rank_Keys!$B$2:$B$800),--(Risk_Rank_Keys!$B$2:$B$800=Risk_Rank_Keys!B152))+1)/2)/COUNT(Risk_Rank_Keys!$B$2:$B$800))</f>
        <v>0.542538354253836</v>
      </c>
      <c r="N152" s="0" t="n">
        <f aca="false">IF(OR(B152="NW",COUNT(Risk_Rank_Keys!C152)=0),0.5,(SUMPRODUCT(--ISNUMBER(Risk_Rank_Keys!$C$2:$C$800),--(Risk_Rank_Keys!$C$2:$C$800&lt;Risk_Rank_Keys!C152))+(SUMPRODUCT(--ISNUMBER(Risk_Rank_Keys!$C$2:$C$800),--(Risk_Rank_Keys!$C$2:$C$800=Risk_Rank_Keys!C152))+1)/2)/COUNT(Risk_Rank_Keys!$C$2:$C$800))</f>
        <v>0.500697350069735</v>
      </c>
      <c r="O152" s="0" t="n">
        <f aca="false">IF(OR(B152="NW",COUNT(Risk_Rank_Keys!D152)=0),0.5,(SUMPRODUCT(--ISNUMBER(Risk_Rank_Keys!$D$2:$D$800),--(Risk_Rank_Keys!$D$2:$D$800&lt;Risk_Rank_Keys!D152))+(SUMPRODUCT(--ISNUMBER(Risk_Rank_Keys!$D$2:$D$800),--(Risk_Rank_Keys!$D$2:$D$800=Risk_Rank_Keys!D152))+1)/2)/COUNT(Risk_Rank_Keys!$D$2:$D$800))</f>
        <v>0.110181311018131</v>
      </c>
      <c r="P152" s="0" t="n">
        <f aca="false">AVERAGE(M152:O152)</f>
        <v>0.384472338447234</v>
      </c>
      <c r="Q152" s="0" t="n">
        <f aca="false">0.4*H152+0.4*I152+0.2*P152</f>
        <v>0.212063428890949</v>
      </c>
      <c r="R152" s="0" t="n">
        <f aca="false">PERCENTILE($Q$2:$Q$800,0.75)</f>
        <v>0.667715717403612</v>
      </c>
      <c r="S152" s="1" t="b">
        <f aca="false">OR(Q152&gt;=R152,AND(B152="CW",COUNT(J152:L152)&lt;3))</f>
        <v>0</v>
      </c>
      <c r="T152" s="0" t="n">
        <v>0.255691684653533</v>
      </c>
      <c r="U152" s="0" t="n">
        <v>3.7400139054168</v>
      </c>
      <c r="V152" s="0" t="n">
        <v>0.212063428890949</v>
      </c>
      <c r="W152" s="0" t="n">
        <f aca="false">Q152-V152</f>
        <v>0</v>
      </c>
    </row>
    <row r="153" customFormat="false" ht="15" hidden="false" customHeight="false" outlineLevel="0" collapsed="false">
      <c r="A153" s="0" t="s">
        <v>187</v>
      </c>
      <c r="B153" s="0" t="s">
        <v>3013</v>
      </c>
      <c r="C153" s="0" t="n">
        <v>3.74285016959388</v>
      </c>
      <c r="D153" s="0" t="n">
        <f aca="false">SUMPRODUCT(Risk_Inputs!B153:AJ153,Risk_Coefs!$B$2:$AJ$2)</f>
        <v>-0.850719829575434</v>
      </c>
      <c r="E153" s="0" t="n">
        <f aca="false">1/(1+EXP(-MAX(-25,MIN(25,D153))))</f>
        <v>0.299281878649058</v>
      </c>
      <c r="F153" s="0" t="n">
        <f aca="false">SUMPRODUCT(Risk_Inputs!B153:AJ153,Risk_Coefs!$B$3:$AJ$3)</f>
        <v>6.08326460101218</v>
      </c>
      <c r="G153" s="0" t="n">
        <f aca="false">MAX(0,F153)</f>
        <v>6.08326460101218</v>
      </c>
      <c r="H153" s="0" t="n">
        <f aca="false">(SUMPRODUCT(--ISNUMBER($E$2:$E$800),--($E$2:$E$800&lt;E153))+(SUMPRODUCT(--ISNUMBER($E$2:$E$800),--($E$2:$E$800=E153))+1)/2)/COUNT($E$2:$E$800)</f>
        <v>0.564455569461827</v>
      </c>
      <c r="I153" s="0" t="n">
        <f aca="false">(SUMPRODUCT(--ISNUMBER($G$2:$G$800),--($G$2:$G$800&lt;G153))+(SUMPRODUCT(--ISNUMBER($G$2:$G$800),--($G$2:$G$800=G153))+1)/2)/COUNT($G$2:$G$800)</f>
        <v>0.277847309136421</v>
      </c>
      <c r="J153" s="0" t="n">
        <v>10.5625461588845</v>
      </c>
      <c r="K153" s="0" t="n">
        <v>1.76805513934675</v>
      </c>
      <c r="L153" s="0" t="n">
        <v>0.239736290080914</v>
      </c>
      <c r="M153" s="0" t="n">
        <f aca="false">IF(OR(B153="NW",COUNT(Risk_Rank_Keys!B153)=0),0.5,(SUMPRODUCT(--ISNUMBER(Risk_Rank_Keys!$B$2:$B$800),--(Risk_Rank_Keys!$B$2:$B$800&lt;Risk_Rank_Keys!B153))+(SUMPRODUCT(--ISNUMBER(Risk_Rank_Keys!$B$2:$B$800),--(Risk_Rank_Keys!$B$2:$B$800=Risk_Rank_Keys!B153))+1)/2)/COUNT(Risk_Rank_Keys!$B$2:$B$800))</f>
        <v>0.531380753138075</v>
      </c>
      <c r="N153" s="0" t="n">
        <f aca="false">IF(OR(B153="NW",COUNT(Risk_Rank_Keys!C153)=0),0.5,(SUMPRODUCT(--ISNUMBER(Risk_Rank_Keys!$C$2:$C$800),--(Risk_Rank_Keys!$C$2:$C$800&lt;Risk_Rank_Keys!C153))+(SUMPRODUCT(--ISNUMBER(Risk_Rank_Keys!$C$2:$C$800),--(Risk_Rank_Keys!$C$2:$C$800=Risk_Rank_Keys!C153))+1)/2)/COUNT(Risk_Rank_Keys!$C$2:$C$800))</f>
        <v>0.207810320781032</v>
      </c>
      <c r="O153" s="0" t="n">
        <f aca="false">IF(OR(B153="NW",COUNT(Risk_Rank_Keys!D153)=0),0.5,(SUMPRODUCT(--ISNUMBER(Risk_Rank_Keys!$D$2:$D$800),--(Risk_Rank_Keys!$D$2:$D$800&lt;Risk_Rank_Keys!D153))+(SUMPRODUCT(--ISNUMBER(Risk_Rank_Keys!$D$2:$D$800),--(Risk_Rank_Keys!$D$2:$D$800=Risk_Rank_Keys!D153))+1)/2)/COUNT(Risk_Rank_Keys!$D$2:$D$800))</f>
        <v>0.541143654114365</v>
      </c>
      <c r="P153" s="0" t="n">
        <f aca="false">AVERAGE(M153:O153)</f>
        <v>0.426778242677824</v>
      </c>
      <c r="Q153" s="0" t="n">
        <f aca="false">0.4*H153+0.4*I153+0.2*P153</f>
        <v>0.422276799974864</v>
      </c>
      <c r="R153" s="0" t="n">
        <f aca="false">PERCENTILE($Q$2:$Q$800,0.75)</f>
        <v>0.667715717403612</v>
      </c>
      <c r="S153" s="1" t="b">
        <f aca="false">OR(Q153&gt;=R153,AND(B153="CW",COUNT(J153:L153)&lt;3))</f>
        <v>0</v>
      </c>
      <c r="T153" s="0" t="n">
        <v>0.299281878649058</v>
      </c>
      <c r="U153" s="0" t="n">
        <v>6.08326460101218</v>
      </c>
      <c r="V153" s="0" t="n">
        <v>0.422276799974864</v>
      </c>
      <c r="W153" s="0" t="n">
        <f aca="false">Q153-V153</f>
        <v>0</v>
      </c>
    </row>
    <row r="154" customFormat="false" ht="15" hidden="false" customHeight="false" outlineLevel="0" collapsed="false">
      <c r="A154" s="0" t="s">
        <v>188</v>
      </c>
      <c r="B154" s="0" t="s">
        <v>3013</v>
      </c>
      <c r="C154" s="0" t="n">
        <v>1.73874549903915</v>
      </c>
      <c r="D154" s="0" t="n">
        <f aca="false">SUMPRODUCT(Risk_Inputs!B154:AJ154,Risk_Coefs!$B$2:$AJ$2)</f>
        <v>-1.08516701744805</v>
      </c>
      <c r="E154" s="0" t="n">
        <f aca="false">1/(1+EXP(-MAX(-25,MIN(25,D154))))</f>
        <v>0.252529452542528</v>
      </c>
      <c r="F154" s="0" t="n">
        <f aca="false">SUMPRODUCT(Risk_Inputs!B154:AJ154,Risk_Coefs!$B$3:$AJ$3)</f>
        <v>7.53098294799133</v>
      </c>
      <c r="G154" s="0" t="n">
        <f aca="false">MAX(0,F154)</f>
        <v>7.53098294799133</v>
      </c>
      <c r="H154" s="0" t="n">
        <f aca="false">(SUMPRODUCT(--ISNUMBER($E$2:$E$800),--($E$2:$E$800&lt;E154))+(SUMPRODUCT(--ISNUMBER($E$2:$E$800),--($E$2:$E$800=E154))+1)/2)/COUNT($E$2:$E$800)</f>
        <v>0.284105131414268</v>
      </c>
      <c r="I154" s="0" t="n">
        <f aca="false">(SUMPRODUCT(--ISNUMBER($G$2:$G$800),--($G$2:$G$800&lt;G154))+(SUMPRODUCT(--ISNUMBER($G$2:$G$800),--($G$2:$G$800=G154))+1)/2)/COUNT($G$2:$G$800)</f>
        <v>0.486858573216521</v>
      </c>
      <c r="J154" s="0" t="n">
        <v>8.32806446311675</v>
      </c>
      <c r="K154" s="0" t="n">
        <v>2.46495891735139</v>
      </c>
      <c r="L154" s="0" t="n">
        <v>0.386660222329627</v>
      </c>
      <c r="M154" s="0" t="n">
        <f aca="false">IF(OR(B154="NW",COUNT(Risk_Rank_Keys!B154)=0),0.5,(SUMPRODUCT(--ISNUMBER(Risk_Rank_Keys!$B$2:$B$800),--(Risk_Rank_Keys!$B$2:$B$800&lt;Risk_Rank_Keys!B154))+(SUMPRODUCT(--ISNUMBER(Risk_Rank_Keys!$B$2:$B$800),--(Risk_Rank_Keys!$B$2:$B$800=Risk_Rank_Keys!B154))+1)/2)/COUNT(Risk_Rank_Keys!$B$2:$B$800))</f>
        <v>0.403068340306834</v>
      </c>
      <c r="N154" s="0" t="n">
        <f aca="false">IF(OR(B154="NW",COUNT(Risk_Rank_Keys!C154)=0),0.5,(SUMPRODUCT(--ISNUMBER(Risk_Rank_Keys!$C$2:$C$800),--(Risk_Rank_Keys!$C$2:$C$800&lt;Risk_Rank_Keys!C154))+(SUMPRODUCT(--ISNUMBER(Risk_Rank_Keys!$C$2:$C$800),--(Risk_Rank_Keys!$C$2:$C$800=Risk_Rank_Keys!C154))+1)/2)/COUNT(Risk_Rank_Keys!$C$2:$C$800))</f>
        <v>0.384937238493724</v>
      </c>
      <c r="O154" s="0" t="n">
        <f aca="false">IF(OR(B154="NW",COUNT(Risk_Rank_Keys!D154)=0),0.5,(SUMPRODUCT(--ISNUMBER(Risk_Rank_Keys!$D$2:$D$800),--(Risk_Rank_Keys!$D$2:$D$800&lt;Risk_Rank_Keys!D154))+(SUMPRODUCT(--ISNUMBER(Risk_Rank_Keys!$D$2:$D$800),--(Risk_Rank_Keys!$D$2:$D$800=Risk_Rank_Keys!D154))+1)/2)/COUNT(Risk_Rank_Keys!$D$2:$D$800))</f>
        <v>0.870292887029289</v>
      </c>
      <c r="P154" s="0" t="n">
        <f aca="false">AVERAGE(M154:O154)</f>
        <v>0.552766155276616</v>
      </c>
      <c r="Q154" s="0" t="n">
        <f aca="false">0.4*H154+0.4*I154+0.2*P154</f>
        <v>0.418938712907639</v>
      </c>
      <c r="R154" s="0" t="n">
        <f aca="false">PERCENTILE($Q$2:$Q$800,0.75)</f>
        <v>0.667715717403612</v>
      </c>
      <c r="S154" s="1" t="b">
        <f aca="false">OR(Q154&gt;=R154,AND(B154="CW",COUNT(J154:L154)&lt;3))</f>
        <v>0</v>
      </c>
      <c r="T154" s="0" t="n">
        <v>0.252529452542528</v>
      </c>
      <c r="U154" s="0" t="n">
        <v>7.53098294799133</v>
      </c>
      <c r="V154" s="0" t="n">
        <v>0.418938712907639</v>
      </c>
      <c r="W154" s="0" t="n">
        <f aca="false">Q154-V154</f>
        <v>0</v>
      </c>
    </row>
    <row r="155" customFormat="false" ht="15" hidden="false" customHeight="false" outlineLevel="0" collapsed="false">
      <c r="A155" s="0" t="s">
        <v>189</v>
      </c>
      <c r="B155" s="0" t="s">
        <v>3013</v>
      </c>
      <c r="C155" s="0" t="n">
        <v>19.4167047222414</v>
      </c>
      <c r="D155" s="0" t="n">
        <f aca="false">SUMPRODUCT(Risk_Inputs!B155:AJ155,Risk_Coefs!$B$2:$AJ$2)</f>
        <v>-2.15452343765659</v>
      </c>
      <c r="E155" s="0" t="n">
        <f aca="false">1/(1+EXP(-MAX(-25,MIN(25,D155))))</f>
        <v>0.103909280877637</v>
      </c>
      <c r="F155" s="0" t="n">
        <f aca="false">SUMPRODUCT(Risk_Inputs!B155:AJ155,Risk_Coefs!$B$3:$AJ$3)</f>
        <v>-1.16809769729189</v>
      </c>
      <c r="G155" s="0" t="n">
        <f aca="false">MAX(0,F155)</f>
        <v>0</v>
      </c>
      <c r="H155" s="0" t="n">
        <f aca="false">(SUMPRODUCT(--ISNUMBER($E$2:$E$800),--($E$2:$E$800&lt;E155))+(SUMPRODUCT(--ISNUMBER($E$2:$E$800),--($E$2:$E$800=E155))+1)/2)/COUNT($E$2:$E$800)</f>
        <v>0.00250312891113892</v>
      </c>
      <c r="I155" s="0" t="n">
        <f aca="false">(SUMPRODUCT(--ISNUMBER($G$2:$G$800),--($G$2:$G$800&lt;G155))+(SUMPRODUCT(--ISNUMBER($G$2:$G$800),--($G$2:$G$800=G155))+1)/2)/COUNT($G$2:$G$800)</f>
        <v>0.00187734668335419</v>
      </c>
      <c r="J155" s="0" t="n">
        <v>26.0929350272112</v>
      </c>
      <c r="K155" s="0" t="n">
        <v>27.5142786193196</v>
      </c>
      <c r="L155" s="0" t="n">
        <v>0.47181524708219</v>
      </c>
      <c r="M155" s="0" t="n">
        <f aca="false">IF(OR(B155="NW",COUNT(Risk_Rank_Keys!B155)=0),0.5,(SUMPRODUCT(--ISNUMBER(Risk_Rank_Keys!$B$2:$B$800),--(Risk_Rank_Keys!$B$2:$B$800&lt;Risk_Rank_Keys!B155))+(SUMPRODUCT(--ISNUMBER(Risk_Rank_Keys!$B$2:$B$800),--(Risk_Rank_Keys!$B$2:$B$800=Risk_Rank_Keys!B155))+1)/2)/COUNT(Risk_Rank_Keys!$B$2:$B$800))</f>
        <v>0.868898186889819</v>
      </c>
      <c r="N155" s="0" t="n">
        <f aca="false">IF(OR(B155="NW",COUNT(Risk_Rank_Keys!C155)=0),0.5,(SUMPRODUCT(--ISNUMBER(Risk_Rank_Keys!$C$2:$C$800),--(Risk_Rank_Keys!$C$2:$C$800&lt;Risk_Rank_Keys!C155))+(SUMPRODUCT(--ISNUMBER(Risk_Rank_Keys!$C$2:$C$800),--(Risk_Rank_Keys!$C$2:$C$800=Risk_Rank_Keys!C155))+1)/2)/COUNT(Risk_Rank_Keys!$C$2:$C$800))</f>
        <v>0.98047419804742</v>
      </c>
      <c r="O155" s="0" t="n">
        <f aca="false">IF(OR(B155="NW",COUNT(Risk_Rank_Keys!D155)=0),0.5,(SUMPRODUCT(--ISNUMBER(Risk_Rank_Keys!$D$2:$D$800),--(Risk_Rank_Keys!$D$2:$D$800&lt;Risk_Rank_Keys!D155))+(SUMPRODUCT(--ISNUMBER(Risk_Rank_Keys!$D$2:$D$800),--(Risk_Rank_Keys!$D$2:$D$800=Risk_Rank_Keys!D155))+1)/2)/COUNT(Risk_Rank_Keys!$D$2:$D$800))</f>
        <v>0.940027894002789</v>
      </c>
      <c r="P155" s="0" t="n">
        <f aca="false">AVERAGE(M155:O155)</f>
        <v>0.929800092980009</v>
      </c>
      <c r="Q155" s="0" t="n">
        <f aca="false">0.4*H155+0.4*I155+0.2*P155</f>
        <v>0.187712208833799</v>
      </c>
      <c r="R155" s="0" t="n">
        <f aca="false">PERCENTILE($Q$2:$Q$800,0.75)</f>
        <v>0.667715717403612</v>
      </c>
      <c r="S155" s="1" t="b">
        <f aca="false">OR(Q155&gt;=R155,AND(B155="CW",COUNT(J155:L155)&lt;3))</f>
        <v>0</v>
      </c>
      <c r="T155" s="0" t="n">
        <v>0.103909280877637</v>
      </c>
      <c r="U155" s="0" t="n">
        <v>0</v>
      </c>
      <c r="V155" s="0" t="n">
        <v>0.187712208833799</v>
      </c>
      <c r="W155" s="0" t="n">
        <f aca="false">Q155-V155</f>
        <v>0</v>
      </c>
    </row>
    <row r="156" customFormat="false" ht="15" hidden="false" customHeight="false" outlineLevel="0" collapsed="false">
      <c r="A156" s="0" t="s">
        <v>190</v>
      </c>
      <c r="B156" s="0" t="s">
        <v>3013</v>
      </c>
      <c r="C156" s="0" t="n">
        <v>22.9576937619611</v>
      </c>
      <c r="D156" s="0" t="n">
        <f aca="false">SUMPRODUCT(Risk_Inputs!B156:AJ156,Risk_Coefs!$B$2:$AJ$2)</f>
        <v>-0.860920188939746</v>
      </c>
      <c r="E156" s="0" t="n">
        <f aca="false">1/(1+EXP(-MAX(-25,MIN(25,D156))))</f>
        <v>0.297147127673438</v>
      </c>
      <c r="F156" s="0" t="n">
        <f aca="false">SUMPRODUCT(Risk_Inputs!B156:AJ156,Risk_Coefs!$B$3:$AJ$3)</f>
        <v>7.33443715772342</v>
      </c>
      <c r="G156" s="0" t="n">
        <f aca="false">MAX(0,F156)</f>
        <v>7.33443715772342</v>
      </c>
      <c r="H156" s="0" t="n">
        <f aca="false">(SUMPRODUCT(--ISNUMBER($E$2:$E$800),--($E$2:$E$800&lt;E156))+(SUMPRODUCT(--ISNUMBER($E$2:$E$800),--($E$2:$E$800=E156))+1)/2)/COUNT($E$2:$E$800)</f>
        <v>0.554443053817272</v>
      </c>
      <c r="I156" s="0" t="n">
        <f aca="false">(SUMPRODUCT(--ISNUMBER($G$2:$G$800),--($G$2:$G$800&lt;G156))+(SUMPRODUCT(--ISNUMBER($G$2:$G$800),--($G$2:$G$800=G156))+1)/2)/COUNT($G$2:$G$800)</f>
        <v>0.453066332916145</v>
      </c>
      <c r="J156" s="0" t="n">
        <v>5.85628672380003</v>
      </c>
      <c r="K156" s="0" t="n">
        <v>2.57224515719277</v>
      </c>
      <c r="L156" s="0" t="n">
        <v>0.285805017465864</v>
      </c>
      <c r="M156" s="0" t="n">
        <f aca="false">IF(OR(B156="NW",COUNT(Risk_Rank_Keys!B156)=0),0.5,(SUMPRODUCT(--ISNUMBER(Risk_Rank_Keys!$B$2:$B$800),--(Risk_Rank_Keys!$B$2:$B$800&lt;Risk_Rank_Keys!B156))+(SUMPRODUCT(--ISNUMBER(Risk_Rank_Keys!$B$2:$B$800),--(Risk_Rank_Keys!$B$2:$B$800=Risk_Rank_Keys!B156))+1)/2)/COUNT(Risk_Rank_Keys!$B$2:$B$800))</f>
        <v>0.213389121338912</v>
      </c>
      <c r="N156" s="0" t="n">
        <f aca="false">IF(OR(B156="NW",COUNT(Risk_Rank_Keys!C156)=0),0.5,(SUMPRODUCT(--ISNUMBER(Risk_Rank_Keys!$C$2:$C$800),--(Risk_Rank_Keys!$C$2:$C$800&lt;Risk_Rank_Keys!C156))+(SUMPRODUCT(--ISNUMBER(Risk_Rank_Keys!$C$2:$C$800),--(Risk_Rank_Keys!$C$2:$C$800=Risk_Rank_Keys!C156))+1)/2)/COUNT(Risk_Rank_Keys!$C$2:$C$800))</f>
        <v>0.404463040446304</v>
      </c>
      <c r="O156" s="0" t="n">
        <f aca="false">IF(OR(B156="NW",COUNT(Risk_Rank_Keys!D156)=0),0.5,(SUMPRODUCT(--ISNUMBER(Risk_Rank_Keys!$D$2:$D$800),--(Risk_Rank_Keys!$D$2:$D$800&lt;Risk_Rank_Keys!D156))+(SUMPRODUCT(--ISNUMBER(Risk_Rank_Keys!$D$2:$D$800),--(Risk_Rank_Keys!$D$2:$D$800=Risk_Rank_Keys!D156))+1)/2)/COUNT(Risk_Rank_Keys!$D$2:$D$800))</f>
        <v>0.715481171548117</v>
      </c>
      <c r="P156" s="0" t="n">
        <f aca="false">AVERAGE(M156:O156)</f>
        <v>0.444444444444445</v>
      </c>
      <c r="Q156" s="0" t="n">
        <f aca="false">0.4*H156+0.4*I156+0.2*P156</f>
        <v>0.491892643582256</v>
      </c>
      <c r="R156" s="0" t="n">
        <f aca="false">PERCENTILE($Q$2:$Q$800,0.75)</f>
        <v>0.667715717403612</v>
      </c>
      <c r="S156" s="1" t="b">
        <f aca="false">OR(Q156&gt;=R156,AND(B156="CW",COUNT(J156:L156)&lt;3))</f>
        <v>0</v>
      </c>
      <c r="T156" s="0" t="n">
        <v>0.297147127673438</v>
      </c>
      <c r="U156" s="0" t="n">
        <v>7.33443715772342</v>
      </c>
      <c r="V156" s="0" t="n">
        <v>0.491892643582256</v>
      </c>
      <c r="W156" s="0" t="n">
        <f aca="false">Q156-V156</f>
        <v>0</v>
      </c>
    </row>
    <row r="157" customFormat="false" ht="15" hidden="false" customHeight="false" outlineLevel="0" collapsed="false">
      <c r="A157" s="0" t="s">
        <v>191</v>
      </c>
      <c r="B157" s="0" t="s">
        <v>3013</v>
      </c>
      <c r="C157" s="0" t="n">
        <v>-36.9530260074853</v>
      </c>
      <c r="D157" s="0" t="n">
        <f aca="false">SUMPRODUCT(Risk_Inputs!B157:AJ157,Risk_Coefs!$B$2:$AJ$2)</f>
        <v>-0.956122711479999</v>
      </c>
      <c r="E157" s="0" t="n">
        <f aca="false">1/(1+EXP(-MAX(-25,MIN(25,D157))))</f>
        <v>0.277655163821623</v>
      </c>
      <c r="F157" s="0" t="n">
        <f aca="false">SUMPRODUCT(Risk_Inputs!B157:AJ157,Risk_Coefs!$B$3:$AJ$3)</f>
        <v>8.5932102074187</v>
      </c>
      <c r="G157" s="0" t="n">
        <f aca="false">MAX(0,F157)</f>
        <v>8.5932102074187</v>
      </c>
      <c r="H157" s="0" t="n">
        <f aca="false">(SUMPRODUCT(--ISNUMBER($E$2:$E$800),--($E$2:$E$800&lt;E157))+(SUMPRODUCT(--ISNUMBER($E$2:$E$800),--($E$2:$E$800=E157))+1)/2)/COUNT($E$2:$E$800)</f>
        <v>0.449311639549437</v>
      </c>
      <c r="I157" s="0" t="n">
        <f aca="false">(SUMPRODUCT(--ISNUMBER($G$2:$G$800),--($G$2:$G$800&lt;G157))+(SUMPRODUCT(--ISNUMBER($G$2:$G$800),--($G$2:$G$800=G157))+1)/2)/COUNT($G$2:$G$800)</f>
        <v>0.619524405506884</v>
      </c>
      <c r="J157" s="0" t="n">
        <v>10.3243232685113</v>
      </c>
      <c r="K157" s="0" t="n">
        <v>5.43147208121828</v>
      </c>
      <c r="L157" s="0" t="n">
        <v>0.355329949238587</v>
      </c>
      <c r="M157" s="0" t="n">
        <f aca="false">IF(OR(B157="NW",COUNT(Risk_Rank_Keys!B157)=0),0.5,(SUMPRODUCT(--ISNUMBER(Risk_Rank_Keys!$B$2:$B$800),--(Risk_Rank_Keys!$B$2:$B$800&lt;Risk_Rank_Keys!B157))+(SUMPRODUCT(--ISNUMBER(Risk_Rank_Keys!$B$2:$B$800),--(Risk_Rank_Keys!$B$2:$B$800=Risk_Rank_Keys!B157))+1)/2)/COUNT(Risk_Rank_Keys!$B$2:$B$800))</f>
        <v>0.521617852161785</v>
      </c>
      <c r="N157" s="0" t="n">
        <f aca="false">IF(OR(B157="NW",COUNT(Risk_Rank_Keys!C157)=0),0.5,(SUMPRODUCT(--ISNUMBER(Risk_Rank_Keys!$C$2:$C$800),--(Risk_Rank_Keys!$C$2:$C$800&lt;Risk_Rank_Keys!C157))+(SUMPRODUCT(--ISNUMBER(Risk_Rank_Keys!$C$2:$C$800),--(Risk_Rank_Keys!$C$2:$C$800=Risk_Rank_Keys!C157))+1)/2)/COUNT(Risk_Rank_Keys!$C$2:$C$800))</f>
        <v>0.715481171548117</v>
      </c>
      <c r="O157" s="0" t="n">
        <f aca="false">IF(OR(B157="NW",COUNT(Risk_Rank_Keys!D157)=0),0.5,(SUMPRODUCT(--ISNUMBER(Risk_Rank_Keys!$D$2:$D$800),--(Risk_Rank_Keys!$D$2:$D$800&lt;Risk_Rank_Keys!D157))+(SUMPRODUCT(--ISNUMBER(Risk_Rank_Keys!$D$2:$D$800),--(Risk_Rank_Keys!$D$2:$D$800=Risk_Rank_Keys!D157))+1)/2)/COUNT(Risk_Rank_Keys!$D$2:$D$800))</f>
        <v>0.842398884239888</v>
      </c>
      <c r="P157" s="0" t="n">
        <f aca="false">AVERAGE(M157:O157)</f>
        <v>0.693165969316597</v>
      </c>
      <c r="Q157" s="0" t="n">
        <f aca="false">0.4*H157+0.4*I157+0.2*P157</f>
        <v>0.566167611885848</v>
      </c>
      <c r="R157" s="0" t="n">
        <f aca="false">PERCENTILE($Q$2:$Q$800,0.75)</f>
        <v>0.667715717403612</v>
      </c>
      <c r="S157" s="1" t="b">
        <f aca="false">OR(Q157&gt;=R157,AND(B157="CW",COUNT(J157:L157)&lt;3))</f>
        <v>0</v>
      </c>
      <c r="T157" s="0" t="n">
        <v>0.277655163821623</v>
      </c>
      <c r="U157" s="0" t="n">
        <v>8.5932102074187</v>
      </c>
      <c r="V157" s="0" t="n">
        <v>0.566167611885848</v>
      </c>
      <c r="W157" s="0" t="n">
        <f aca="false">Q157-V157</f>
        <v>0</v>
      </c>
    </row>
    <row r="158" customFormat="false" ht="15" hidden="false" customHeight="false" outlineLevel="0" collapsed="false">
      <c r="A158" s="0" t="s">
        <v>192</v>
      </c>
      <c r="B158" s="0" t="s">
        <v>3013</v>
      </c>
      <c r="C158" s="0" t="n">
        <v>-24.3516511952485</v>
      </c>
      <c r="D158" s="0" t="n">
        <f aca="false">SUMPRODUCT(Risk_Inputs!B158:AJ158,Risk_Coefs!$B$2:$AJ$2)</f>
        <v>-1.13013738229093</v>
      </c>
      <c r="E158" s="0" t="n">
        <f aca="false">1/(1+EXP(-MAX(-25,MIN(25,D158))))</f>
        <v>0.244135748381183</v>
      </c>
      <c r="F158" s="0" t="n">
        <f aca="false">SUMPRODUCT(Risk_Inputs!B158:AJ158,Risk_Coefs!$B$3:$AJ$3)</f>
        <v>5.79887535182355</v>
      </c>
      <c r="G158" s="0" t="n">
        <f aca="false">MAX(0,F158)</f>
        <v>5.79887535182355</v>
      </c>
      <c r="H158" s="0" t="n">
        <f aca="false">(SUMPRODUCT(--ISNUMBER($E$2:$E$800),--($E$2:$E$800&lt;E158))+(SUMPRODUCT(--ISNUMBER($E$2:$E$800),--($E$2:$E$800=E158))+1)/2)/COUNT($E$2:$E$800)</f>
        <v>0.240300375469337</v>
      </c>
      <c r="I158" s="0" t="n">
        <f aca="false">(SUMPRODUCT(--ISNUMBER($G$2:$G$800),--($G$2:$G$800&lt;G158))+(SUMPRODUCT(--ISNUMBER($G$2:$G$800),--($G$2:$G$800=G158))+1)/2)/COUNT($G$2:$G$800)</f>
        <v>0.241551939924906</v>
      </c>
      <c r="J158" s="0" t="n">
        <v>17.6978660946157</v>
      </c>
      <c r="K158" s="0" t="n">
        <v>2.77355623100302</v>
      </c>
      <c r="L158" s="0" t="n">
        <v>0.455927051671739</v>
      </c>
      <c r="M158" s="0" t="n">
        <f aca="false">IF(OR(B158="NW",COUNT(Risk_Rank_Keys!B158)=0),0.5,(SUMPRODUCT(--ISNUMBER(Risk_Rank_Keys!$B$2:$B$800),--(Risk_Rank_Keys!$B$2:$B$800&lt;Risk_Rank_Keys!B158))+(SUMPRODUCT(--ISNUMBER(Risk_Rank_Keys!$B$2:$B$800),--(Risk_Rank_Keys!$B$2:$B$800=Risk_Rank_Keys!B158))+1)/2)/COUNT(Risk_Rank_Keys!$B$2:$B$800))</f>
        <v>0.757322175732218</v>
      </c>
      <c r="N158" s="0" t="n">
        <f aca="false">IF(OR(B158="NW",COUNT(Risk_Rank_Keys!C158)=0),0.5,(SUMPRODUCT(--ISNUMBER(Risk_Rank_Keys!$C$2:$C$800),--(Risk_Rank_Keys!$C$2:$C$800&lt;Risk_Rank_Keys!C158))+(SUMPRODUCT(--ISNUMBER(Risk_Rank_Keys!$C$2:$C$800),--(Risk_Rank_Keys!$C$2:$C$800=Risk_Rank_Keys!C158))+1)/2)/COUNT(Risk_Rank_Keys!$C$2:$C$800))</f>
        <v>0.439330543933054</v>
      </c>
      <c r="O158" s="0" t="n">
        <f aca="false">IF(OR(B158="NW",COUNT(Risk_Rank_Keys!D158)=0),0.5,(SUMPRODUCT(--ISNUMBER(Risk_Rank_Keys!$D$2:$D$800),--(Risk_Rank_Keys!$D$2:$D$800&lt;Risk_Rank_Keys!D158))+(SUMPRODUCT(--ISNUMBER(Risk_Rank_Keys!$D$2:$D$800),--(Risk_Rank_Keys!$D$2:$D$800=Risk_Rank_Keys!D158))+1)/2)/COUNT(Risk_Rank_Keys!$D$2:$D$800))</f>
        <v>0.928870292887029</v>
      </c>
      <c r="P158" s="0" t="n">
        <f aca="false">AVERAGE(M158:O158)</f>
        <v>0.708507670850767</v>
      </c>
      <c r="Q158" s="0" t="n">
        <f aca="false">0.4*H158+0.4*I158+0.2*P158</f>
        <v>0.334442460327851</v>
      </c>
      <c r="R158" s="0" t="n">
        <f aca="false">PERCENTILE($Q$2:$Q$800,0.75)</f>
        <v>0.667715717403612</v>
      </c>
      <c r="S158" s="1" t="b">
        <f aca="false">OR(Q158&gt;=R158,AND(B158="CW",COUNT(J158:L158)&lt;3))</f>
        <v>0</v>
      </c>
      <c r="T158" s="0" t="n">
        <v>0.244135748381182</v>
      </c>
      <c r="U158" s="0" t="n">
        <v>5.79887535182355</v>
      </c>
      <c r="V158" s="0" t="n">
        <v>0.334442460327851</v>
      </c>
      <c r="W158" s="0" t="n">
        <f aca="false">Q158-V158</f>
        <v>0</v>
      </c>
    </row>
    <row r="159" customFormat="false" ht="15" hidden="false" customHeight="false" outlineLevel="0" collapsed="false">
      <c r="A159" s="0" t="s">
        <v>193</v>
      </c>
      <c r="B159" s="0" t="s">
        <v>3013</v>
      </c>
      <c r="C159" s="0" t="n">
        <v>14.2932630367523</v>
      </c>
      <c r="D159" s="0" t="n">
        <f aca="false">SUMPRODUCT(Risk_Inputs!B159:AJ159,Risk_Coefs!$B$2:$AJ$2)</f>
        <v>-1.05755601906973</v>
      </c>
      <c r="E159" s="0" t="n">
        <f aca="false">1/(1+EXP(-MAX(-25,MIN(25,D159))))</f>
        <v>0.257776779580653</v>
      </c>
      <c r="F159" s="0" t="n">
        <f aca="false">SUMPRODUCT(Risk_Inputs!B159:AJ159,Risk_Coefs!$B$3:$AJ$3)</f>
        <v>4.04189606908865</v>
      </c>
      <c r="G159" s="0" t="n">
        <f aca="false">MAX(0,F159)</f>
        <v>4.04189606908865</v>
      </c>
      <c r="H159" s="0" t="n">
        <f aca="false">(SUMPRODUCT(--ISNUMBER($E$2:$E$800),--($E$2:$E$800&lt;E159))+(SUMPRODUCT(--ISNUMBER($E$2:$E$800),--($E$2:$E$800=E159))+1)/2)/COUNT($E$2:$E$800)</f>
        <v>0.317897371714643</v>
      </c>
      <c r="I159" s="0" t="n">
        <f aca="false">(SUMPRODUCT(--ISNUMBER($G$2:$G$800),--($G$2:$G$800&lt;G159))+(SUMPRODUCT(--ISNUMBER($G$2:$G$800),--($G$2:$G$800=G159))+1)/2)/COUNT($G$2:$G$800)</f>
        <v>0.0550688360450563</v>
      </c>
      <c r="J159" s="0" t="n">
        <v>17.6018682836882</v>
      </c>
      <c r="K159" s="0" t="n">
        <v>1.85414091470952</v>
      </c>
      <c r="L159" s="0" t="n">
        <v>0.185414091470953</v>
      </c>
      <c r="M159" s="0" t="n">
        <f aca="false">IF(OR(B159="NW",COUNT(Risk_Rank_Keys!B159)=0),0.5,(SUMPRODUCT(--ISNUMBER(Risk_Rank_Keys!$B$2:$B$800),--(Risk_Rank_Keys!$B$2:$B$800&lt;Risk_Rank_Keys!B159))+(SUMPRODUCT(--ISNUMBER(Risk_Rank_Keys!$B$2:$B$800),--(Risk_Rank_Keys!$B$2:$B$800=Risk_Rank_Keys!B159))+1)/2)/COUNT(Risk_Rank_Keys!$B$2:$B$800))</f>
        <v>0.755927475592748</v>
      </c>
      <c r="N159" s="0" t="n">
        <f aca="false">IF(OR(B159="NW",COUNT(Risk_Rank_Keys!C159)=0),0.5,(SUMPRODUCT(--ISNUMBER(Risk_Rank_Keys!$C$2:$C$800),--(Risk_Rank_Keys!$C$2:$C$800&lt;Risk_Rank_Keys!C159))+(SUMPRODUCT(--ISNUMBER(Risk_Rank_Keys!$C$2:$C$800),--(Risk_Rank_Keys!$C$2:$C$800=Risk_Rank_Keys!C159))+1)/2)/COUNT(Risk_Rank_Keys!$C$2:$C$800))</f>
        <v>0.238493723849372</v>
      </c>
      <c r="O159" s="0" t="n">
        <f aca="false">IF(OR(B159="NW",COUNT(Risk_Rank_Keys!D159)=0),0.5,(SUMPRODUCT(--ISNUMBER(Risk_Rank_Keys!$D$2:$D$800),--(Risk_Rank_Keys!$D$2:$D$800&lt;Risk_Rank_Keys!D159))+(SUMPRODUCT(--ISNUMBER(Risk_Rank_Keys!$D$2:$D$800),--(Risk_Rank_Keys!$D$2:$D$800=Risk_Rank_Keys!D159))+1)/2)/COUNT(Risk_Rank_Keys!$D$2:$D$800))</f>
        <v>0.235704323570432</v>
      </c>
      <c r="P159" s="0" t="n">
        <f aca="false">AVERAGE(M159:O159)</f>
        <v>0.410041841004184</v>
      </c>
      <c r="Q159" s="0" t="n">
        <f aca="false">0.4*H159+0.4*I159+0.2*P159</f>
        <v>0.231194851304717</v>
      </c>
      <c r="R159" s="0" t="n">
        <f aca="false">PERCENTILE($Q$2:$Q$800,0.75)</f>
        <v>0.667715717403612</v>
      </c>
      <c r="S159" s="1" t="b">
        <f aca="false">OR(Q159&gt;=R159,AND(B159="CW",COUNT(J159:L159)&lt;3))</f>
        <v>0</v>
      </c>
      <c r="T159" s="0" t="n">
        <v>0.257776779580653</v>
      </c>
      <c r="U159" s="0" t="n">
        <v>4.04189606908865</v>
      </c>
      <c r="V159" s="0" t="n">
        <v>0.231194851304717</v>
      </c>
      <c r="W159" s="0" t="n">
        <f aca="false">Q159-V159</f>
        <v>0</v>
      </c>
    </row>
    <row r="160" customFormat="false" ht="15" hidden="false" customHeight="false" outlineLevel="0" collapsed="false">
      <c r="A160" s="0" t="s">
        <v>194</v>
      </c>
      <c r="B160" s="0" t="s">
        <v>3013</v>
      </c>
      <c r="C160" s="0" t="n">
        <v>54.3254075592551</v>
      </c>
      <c r="D160" s="0" t="n">
        <f aca="false">SUMPRODUCT(Risk_Inputs!B160:AJ160,Risk_Coefs!$B$2:$AJ$2)</f>
        <v>-1.04822182419904</v>
      </c>
      <c r="E160" s="0" t="n">
        <f aca="false">1/(1+EXP(-MAX(-25,MIN(25,D160))))</f>
        <v>0.259566705543536</v>
      </c>
      <c r="F160" s="0" t="n">
        <f aca="false">SUMPRODUCT(Risk_Inputs!B160:AJ160,Risk_Coefs!$B$3:$AJ$3)</f>
        <v>4.75096131460604</v>
      </c>
      <c r="G160" s="0" t="n">
        <f aca="false">MAX(0,F160)</f>
        <v>4.75096131460604</v>
      </c>
      <c r="H160" s="0" t="n">
        <f aca="false">(SUMPRODUCT(--ISNUMBER($E$2:$E$800),--($E$2:$E$800&lt;E160))+(SUMPRODUCT(--ISNUMBER($E$2:$E$800),--($E$2:$E$800=E160))+1)/2)/COUNT($E$2:$E$800)</f>
        <v>0.331664580725907</v>
      </c>
      <c r="I160" s="0" t="n">
        <f aca="false">(SUMPRODUCT(--ISNUMBER($G$2:$G$800),--($G$2:$G$800&lt;G160))+(SUMPRODUCT(--ISNUMBER($G$2:$G$800),--($G$2:$G$800=G160))+1)/2)/COUNT($G$2:$G$800)</f>
        <v>0.103879849812265</v>
      </c>
      <c r="J160" s="0" t="n">
        <v>9.07174380026271</v>
      </c>
      <c r="K160" s="0" t="n">
        <v>2.65460030165913</v>
      </c>
      <c r="L160" s="0" t="n">
        <v>0.361990950226241</v>
      </c>
      <c r="M160" s="0" t="n">
        <f aca="false">IF(OR(B160="NW",COUNT(Risk_Rank_Keys!B160)=0),0.5,(SUMPRODUCT(--ISNUMBER(Risk_Rank_Keys!$B$2:$B$800),--(Risk_Rank_Keys!$B$2:$B$800&lt;Risk_Rank_Keys!B160))+(SUMPRODUCT(--ISNUMBER(Risk_Rank_Keys!$B$2:$B$800),--(Risk_Rank_Keys!$B$2:$B$800=Risk_Rank_Keys!B160))+1)/2)/COUNT(Risk_Rank_Keys!$B$2:$B$800))</f>
        <v>0.450488145048815</v>
      </c>
      <c r="N160" s="0" t="n">
        <f aca="false">IF(OR(B160="NW",COUNT(Risk_Rank_Keys!C160)=0),0.5,(SUMPRODUCT(--ISNUMBER(Risk_Rank_Keys!$C$2:$C$800),--(Risk_Rank_Keys!$C$2:$C$800&lt;Risk_Rank_Keys!C160))+(SUMPRODUCT(--ISNUMBER(Risk_Rank_Keys!$C$2:$C$800),--(Risk_Rank_Keys!$C$2:$C$800=Risk_Rank_Keys!C160))+1)/2)/COUNT(Risk_Rank_Keys!$C$2:$C$800))</f>
        <v>0.417015341701534</v>
      </c>
      <c r="O160" s="0" t="n">
        <f aca="false">IF(OR(B160="NW",COUNT(Risk_Rank_Keys!D160)=0),0.5,(SUMPRODUCT(--ISNUMBER(Risk_Rank_Keys!$D$2:$D$800),--(Risk_Rank_Keys!$D$2:$D$800&lt;Risk_Rank_Keys!D160))+(SUMPRODUCT(--ISNUMBER(Risk_Rank_Keys!$D$2:$D$800),--(Risk_Rank_Keys!$D$2:$D$800=Risk_Rank_Keys!D160))+1)/2)/COUNT(Risk_Rank_Keys!$D$2:$D$800))</f>
        <v>0.850767085076709</v>
      </c>
      <c r="P160" s="0" t="n">
        <f aca="false">AVERAGE(M160:O160)</f>
        <v>0.572756857275686</v>
      </c>
      <c r="Q160" s="0" t="n">
        <f aca="false">0.4*H160+0.4*I160+0.2*P160</f>
        <v>0.288769143670406</v>
      </c>
      <c r="R160" s="0" t="n">
        <f aca="false">PERCENTILE($Q$2:$Q$800,0.75)</f>
        <v>0.667715717403612</v>
      </c>
      <c r="S160" s="1" t="b">
        <f aca="false">OR(Q160&gt;=R160,AND(B160="CW",COUNT(J160:L160)&lt;3))</f>
        <v>0</v>
      </c>
      <c r="T160" s="0" t="n">
        <v>0.259566705543536</v>
      </c>
      <c r="U160" s="0" t="n">
        <v>4.75096131460604</v>
      </c>
      <c r="V160" s="0" t="n">
        <v>0.288769143670406</v>
      </c>
      <c r="W160" s="0" t="n">
        <f aca="false">Q160-V160</f>
        <v>0</v>
      </c>
    </row>
    <row r="161" customFormat="false" ht="15" hidden="false" customHeight="false" outlineLevel="0" collapsed="false">
      <c r="A161" s="0" t="s">
        <v>195</v>
      </c>
      <c r="B161" s="0" t="s">
        <v>3013</v>
      </c>
      <c r="C161" s="0" t="n">
        <v>2.65053216144109</v>
      </c>
      <c r="D161" s="0" t="n">
        <f aca="false">SUMPRODUCT(Risk_Inputs!B161:AJ161,Risk_Coefs!$B$2:$AJ$2)</f>
        <v>-1.75270810832772</v>
      </c>
      <c r="E161" s="0" t="n">
        <f aca="false">1/(1+EXP(-MAX(-25,MIN(25,D161))))</f>
        <v>0.147705951885827</v>
      </c>
      <c r="F161" s="0" t="n">
        <f aca="false">SUMPRODUCT(Risk_Inputs!B161:AJ161,Risk_Coefs!$B$3:$AJ$3)</f>
        <v>4.11435320177129</v>
      </c>
      <c r="G161" s="0" t="n">
        <f aca="false">MAX(0,F161)</f>
        <v>4.11435320177129</v>
      </c>
      <c r="H161" s="0" t="n">
        <f aca="false">(SUMPRODUCT(--ISNUMBER($E$2:$E$800),--($E$2:$E$800&lt;E161))+(SUMPRODUCT(--ISNUMBER($E$2:$E$800),--($E$2:$E$800=E161))+1)/2)/COUNT($E$2:$E$800)</f>
        <v>0.0200250312891114</v>
      </c>
      <c r="I161" s="0" t="n">
        <f aca="false">(SUMPRODUCT(--ISNUMBER($G$2:$G$800),--($G$2:$G$800&lt;G161))+(SUMPRODUCT(--ISNUMBER($G$2:$G$800),--($G$2:$G$800=G161))+1)/2)/COUNT($G$2:$G$800)</f>
        <v>0.0600750938673342</v>
      </c>
      <c r="J161" s="0" t="n">
        <v>22.2601213090336</v>
      </c>
      <c r="K161" s="0" t="n">
        <v>31.284442560407</v>
      </c>
      <c r="L161" s="0" t="n">
        <v>0.932598558711314</v>
      </c>
      <c r="M161" s="0" t="n">
        <f aca="false">IF(OR(B161="NW",COUNT(Risk_Rank_Keys!B161)=0),0.5,(SUMPRODUCT(--ISNUMBER(Risk_Rank_Keys!$B$2:$B$800),--(Risk_Rank_Keys!$B$2:$B$800&lt;Risk_Rank_Keys!B161))+(SUMPRODUCT(--ISNUMBER(Risk_Rank_Keys!$B$2:$B$800),--(Risk_Rank_Keys!$B$2:$B$800=Risk_Rank_Keys!B161))+1)/2)/COUNT(Risk_Rank_Keys!$B$2:$B$800))</f>
        <v>0.825662482566248</v>
      </c>
      <c r="N161" s="0" t="n">
        <f aca="false">IF(OR(B161="NW",COUNT(Risk_Rank_Keys!C161)=0),0.5,(SUMPRODUCT(--ISNUMBER(Risk_Rank_Keys!$C$2:$C$800),--(Risk_Rank_Keys!$C$2:$C$800&lt;Risk_Rank_Keys!C161))+(SUMPRODUCT(--ISNUMBER(Risk_Rank_Keys!$C$2:$C$800),--(Risk_Rank_Keys!$C$2:$C$800=Risk_Rank_Keys!C161))+1)/2)/COUNT(Risk_Rank_Keys!$C$2:$C$800))</f>
        <v>0.99163179916318</v>
      </c>
      <c r="O161" s="0" t="n">
        <f aca="false">IF(OR(B161="NW",COUNT(Risk_Rank_Keys!D161)=0),0.5,(SUMPRODUCT(--ISNUMBER(Risk_Rank_Keys!$D$2:$D$800),--(Risk_Rank_Keys!$D$2:$D$800&lt;Risk_Rank_Keys!D161))+(SUMPRODUCT(--ISNUMBER(Risk_Rank_Keys!$D$2:$D$800),--(Risk_Rank_Keys!$D$2:$D$800=Risk_Rank_Keys!D161))+1)/2)/COUNT(Risk_Rank_Keys!$D$2:$D$800))</f>
        <v>0.99860529986053</v>
      </c>
      <c r="P161" s="0" t="n">
        <f aca="false">AVERAGE(M161:O161)</f>
        <v>0.938633193863319</v>
      </c>
      <c r="Q161" s="0" t="n">
        <f aca="false">0.4*H161+0.4*I161+0.2*P161</f>
        <v>0.219766688835242</v>
      </c>
      <c r="R161" s="0" t="n">
        <f aca="false">PERCENTILE($Q$2:$Q$800,0.75)</f>
        <v>0.667715717403612</v>
      </c>
      <c r="S161" s="1" t="b">
        <f aca="false">OR(Q161&gt;=R161,AND(B161="CW",COUNT(J161:L161)&lt;3))</f>
        <v>0</v>
      </c>
      <c r="T161" s="0" t="n">
        <v>0.147705951885828</v>
      </c>
      <c r="U161" s="0" t="n">
        <v>4.1143532017713</v>
      </c>
      <c r="V161" s="0" t="n">
        <v>0.219766688835242</v>
      </c>
      <c r="W161" s="0" t="n">
        <f aca="false">Q161-V161</f>
        <v>0</v>
      </c>
    </row>
    <row r="162" customFormat="false" ht="15" hidden="false" customHeight="false" outlineLevel="0" collapsed="false">
      <c r="A162" s="0" t="s">
        <v>196</v>
      </c>
      <c r="B162" s="0" t="s">
        <v>3013</v>
      </c>
      <c r="C162" s="0" t="n">
        <v>32.8187778410953</v>
      </c>
      <c r="D162" s="0" t="n">
        <f aca="false">SUMPRODUCT(Risk_Inputs!B162:AJ162,Risk_Coefs!$B$2:$AJ$2)</f>
        <v>-1.46968477579412</v>
      </c>
      <c r="E162" s="0" t="n">
        <f aca="false">1/(1+EXP(-MAX(-25,MIN(25,D162))))</f>
        <v>0.186990531222481</v>
      </c>
      <c r="F162" s="0" t="n">
        <f aca="false">SUMPRODUCT(Risk_Inputs!B162:AJ162,Risk_Coefs!$B$3:$AJ$3)</f>
        <v>2.23384986931937</v>
      </c>
      <c r="G162" s="0" t="n">
        <f aca="false">MAX(0,F162)</f>
        <v>2.23384986931937</v>
      </c>
      <c r="H162" s="0" t="n">
        <f aca="false">(SUMPRODUCT(--ISNUMBER($E$2:$E$800),--($E$2:$E$800&lt;E162))+(SUMPRODUCT(--ISNUMBER($E$2:$E$800),--($E$2:$E$800=E162))+1)/2)/COUNT($E$2:$E$800)</f>
        <v>0.0775969962453066</v>
      </c>
      <c r="I162" s="0" t="n">
        <f aca="false">(SUMPRODUCT(--ISNUMBER($G$2:$G$800),--($G$2:$G$800&lt;G162))+(SUMPRODUCT(--ISNUMBER($G$2:$G$800),--($G$2:$G$800=G162))+1)/2)/COUNT($G$2:$G$800)</f>
        <v>0.0112640801001252</v>
      </c>
      <c r="J162" s="0" t="n">
        <v>20.8039380325414</v>
      </c>
      <c r="K162" s="0" t="n">
        <v>5.55461759243626</v>
      </c>
      <c r="L162" s="0" t="n">
        <v>0.287016714502784</v>
      </c>
      <c r="M162" s="0" t="n">
        <f aca="false">IF(OR(B162="NW",COUNT(Risk_Rank_Keys!B162)=0),0.5,(SUMPRODUCT(--ISNUMBER(Risk_Rank_Keys!$B$2:$B$800),--(Risk_Rank_Keys!$B$2:$B$800&lt;Risk_Rank_Keys!B162))+(SUMPRODUCT(--ISNUMBER(Risk_Rank_Keys!$B$2:$B$800),--(Risk_Rank_Keys!$B$2:$B$800=Risk_Rank_Keys!B162))+1)/2)/COUNT(Risk_Rank_Keys!$B$2:$B$800))</f>
        <v>0.804741980474198</v>
      </c>
      <c r="N162" s="0" t="n">
        <f aca="false">IF(OR(B162="NW",COUNT(Risk_Rank_Keys!C162)=0),0.5,(SUMPRODUCT(--ISNUMBER(Risk_Rank_Keys!$C$2:$C$800),--(Risk_Rank_Keys!$C$2:$C$800&lt;Risk_Rank_Keys!C162))+(SUMPRODUCT(--ISNUMBER(Risk_Rank_Keys!$C$2:$C$800),--(Risk_Rank_Keys!$C$2:$C$800=Risk_Rank_Keys!C162))+1)/2)/COUNT(Risk_Rank_Keys!$C$2:$C$800))</f>
        <v>0.723849372384937</v>
      </c>
      <c r="O162" s="0" t="n">
        <f aca="false">IF(OR(B162="NW",COUNT(Risk_Rank_Keys!D162)=0),0.5,(SUMPRODUCT(--ISNUMBER(Risk_Rank_Keys!$D$2:$D$800),--(Risk_Rank_Keys!$D$2:$D$800&lt;Risk_Rank_Keys!D162))+(SUMPRODUCT(--ISNUMBER(Risk_Rank_Keys!$D$2:$D$800),--(Risk_Rank_Keys!$D$2:$D$800=Risk_Rank_Keys!D162))+1)/2)/COUNT(Risk_Rank_Keys!$D$2:$D$800))</f>
        <v>0.718270571827057</v>
      </c>
      <c r="P162" s="0" t="n">
        <f aca="false">AVERAGE(M162:O162)</f>
        <v>0.748953974895398</v>
      </c>
      <c r="Q162" s="0" t="n">
        <f aca="false">0.4*H162+0.4*I162+0.2*P162</f>
        <v>0.185335225517252</v>
      </c>
      <c r="R162" s="0" t="n">
        <f aca="false">PERCENTILE($Q$2:$Q$800,0.75)</f>
        <v>0.667715717403612</v>
      </c>
      <c r="S162" s="1" t="b">
        <f aca="false">OR(Q162&gt;=R162,AND(B162="CW",COUNT(J162:L162)&lt;3))</f>
        <v>0</v>
      </c>
      <c r="T162" s="0" t="n">
        <v>0.186990531222481</v>
      </c>
      <c r="U162" s="0" t="n">
        <v>2.23384986931937</v>
      </c>
      <c r="V162" s="0" t="n">
        <v>0.185335225517252</v>
      </c>
      <c r="W162" s="0" t="n">
        <f aca="false">Q162-V162</f>
        <v>0</v>
      </c>
    </row>
    <row r="163" customFormat="false" ht="15" hidden="false" customHeight="false" outlineLevel="0" collapsed="false">
      <c r="A163" s="0" t="s">
        <v>197</v>
      </c>
      <c r="B163" s="0" t="s">
        <v>3013</v>
      </c>
      <c r="C163" s="0" t="n">
        <v>20.3872247624413</v>
      </c>
      <c r="D163" s="0" t="n">
        <f aca="false">SUMPRODUCT(Risk_Inputs!B163:AJ163,Risk_Coefs!$B$2:$AJ$2)</f>
        <v>-0.430900164764674</v>
      </c>
      <c r="E163" s="0" t="n">
        <f aca="false">1/(1+EXP(-MAX(-25,MIN(25,D163))))</f>
        <v>0.393911401032456</v>
      </c>
      <c r="F163" s="0" t="n">
        <f aca="false">SUMPRODUCT(Risk_Inputs!B163:AJ163,Risk_Coefs!$B$3:$AJ$3)</f>
        <v>13.9224375599019</v>
      </c>
      <c r="G163" s="0" t="n">
        <f aca="false">MAX(0,F163)</f>
        <v>13.9224375599019</v>
      </c>
      <c r="H163" s="0" t="n">
        <f aca="false">(SUMPRODUCT(--ISNUMBER($E$2:$E$800),--($E$2:$E$800&lt;E163))+(SUMPRODUCT(--ISNUMBER($E$2:$E$800),--($E$2:$E$800=E163))+1)/2)/COUNT($E$2:$E$800)</f>
        <v>0.92991239048811</v>
      </c>
      <c r="I163" s="0" t="n">
        <f aca="false">(SUMPRODUCT(--ISNUMBER($G$2:$G$800),--($G$2:$G$800&lt;G163))+(SUMPRODUCT(--ISNUMBER($G$2:$G$800),--($G$2:$G$800=G163))+1)/2)/COUNT($G$2:$G$800)</f>
        <v>0.971214017521902</v>
      </c>
      <c r="J163" s="0" t="n">
        <v>22.7014755959155</v>
      </c>
      <c r="K163" s="0" t="n">
        <v>3.19387620430249</v>
      </c>
      <c r="L163" s="0" t="n">
        <v>0.316748053319253</v>
      </c>
      <c r="M163" s="0" t="n">
        <f aca="false">IF(OR(B163="NW",COUNT(Risk_Rank_Keys!B163)=0),0.5,(SUMPRODUCT(--ISNUMBER(Risk_Rank_Keys!$B$2:$B$800),--(Risk_Rank_Keys!$B$2:$B$800&lt;Risk_Rank_Keys!B163))+(SUMPRODUCT(--ISNUMBER(Risk_Rank_Keys!$B$2:$B$800),--(Risk_Rank_Keys!$B$2:$B$800=Risk_Rank_Keys!B163))+1)/2)/COUNT(Risk_Rank_Keys!$B$2:$B$800))</f>
        <v>0.831241283124128</v>
      </c>
      <c r="N163" s="0" t="n">
        <f aca="false">IF(OR(B163="NW",COUNT(Risk_Rank_Keys!C163)=0),0.5,(SUMPRODUCT(--ISNUMBER(Risk_Rank_Keys!$C$2:$C$800),--(Risk_Rank_Keys!$C$2:$C$800&lt;Risk_Rank_Keys!C163))+(SUMPRODUCT(--ISNUMBER(Risk_Rank_Keys!$C$2:$C$800),--(Risk_Rank_Keys!$C$2:$C$800=Risk_Rank_Keys!C163))+1)/2)/COUNT(Risk_Rank_Keys!$C$2:$C$800))</f>
        <v>0.490934449093445</v>
      </c>
      <c r="O163" s="0" t="n">
        <f aca="false">IF(OR(B163="NW",COUNT(Risk_Rank_Keys!D163)=0),0.5,(SUMPRODUCT(--ISNUMBER(Risk_Rank_Keys!$D$2:$D$800),--(Risk_Rank_Keys!$D$2:$D$800&lt;Risk_Rank_Keys!D163))+(SUMPRODUCT(--ISNUMBER(Risk_Rank_Keys!$D$2:$D$800),--(Risk_Rank_Keys!$D$2:$D$800=Risk_Rank_Keys!D163))+1)/2)/COUNT(Risk_Rank_Keys!$D$2:$D$800))</f>
        <v>0.768479776847978</v>
      </c>
      <c r="P163" s="0" t="n">
        <f aca="false">AVERAGE(M163:O163)</f>
        <v>0.696885169688517</v>
      </c>
      <c r="Q163" s="0" t="n">
        <f aca="false">0.4*H163+0.4*I163+0.2*P163</f>
        <v>0.899827597141709</v>
      </c>
      <c r="R163" s="0" t="n">
        <f aca="false">PERCENTILE($Q$2:$Q$800,0.75)</f>
        <v>0.667715717403612</v>
      </c>
      <c r="S163" s="1" t="b">
        <f aca="false">OR(Q163&gt;=R163,AND(B163="CW",COUNT(J163:L163)&lt;3))</f>
        <v>1</v>
      </c>
      <c r="T163" s="0" t="n">
        <v>0.393911401032455</v>
      </c>
      <c r="U163" s="0" t="n">
        <v>13.9224375599019</v>
      </c>
      <c r="V163" s="0" t="n">
        <v>0.899827597141709</v>
      </c>
      <c r="W163" s="0" t="n">
        <f aca="false">Q163-V163</f>
        <v>0</v>
      </c>
    </row>
    <row r="164" customFormat="false" ht="15" hidden="false" customHeight="false" outlineLevel="0" collapsed="false">
      <c r="A164" s="0" t="s">
        <v>198</v>
      </c>
      <c r="B164" s="0" t="s">
        <v>3013</v>
      </c>
      <c r="C164" s="0" t="n">
        <v>37.1293614178816</v>
      </c>
      <c r="D164" s="0" t="n">
        <f aca="false">SUMPRODUCT(Risk_Inputs!B164:AJ164,Risk_Coefs!$B$2:$AJ$2)</f>
        <v>-0.804663996740315</v>
      </c>
      <c r="E164" s="0" t="n">
        <f aca="false">1/(1+EXP(-MAX(-25,MIN(25,D164))))</f>
        <v>0.309028729747409</v>
      </c>
      <c r="F164" s="0" t="n">
        <f aca="false">SUMPRODUCT(Risk_Inputs!B164:AJ164,Risk_Coefs!$B$3:$AJ$3)</f>
        <v>9.72701083346467</v>
      </c>
      <c r="G164" s="0" t="n">
        <f aca="false">MAX(0,F164)</f>
        <v>9.72701083346467</v>
      </c>
      <c r="H164" s="0" t="n">
        <f aca="false">(SUMPRODUCT(--ISNUMBER($E$2:$E$800),--($E$2:$E$800&lt;E164))+(SUMPRODUCT(--ISNUMBER($E$2:$E$800),--($E$2:$E$800=E164))+1)/2)/COUNT($E$2:$E$800)</f>
        <v>0.610763454317897</v>
      </c>
      <c r="I164" s="0" t="n">
        <f aca="false">(SUMPRODUCT(--ISNUMBER($G$2:$G$800),--($G$2:$G$800&lt;G164))+(SUMPRODUCT(--ISNUMBER($G$2:$G$800),--($G$2:$G$800=G164))+1)/2)/COUNT($G$2:$G$800)</f>
        <v>0.754693366708386</v>
      </c>
      <c r="J164" s="0" t="n">
        <v>22.4091283378439</v>
      </c>
      <c r="K164" s="0" t="n">
        <v>4.38405797101448</v>
      </c>
      <c r="L164" s="0" t="n">
        <v>0.253623188405793</v>
      </c>
      <c r="M164" s="0" t="n">
        <f aca="false">IF(OR(B164="NW",COUNT(Risk_Rank_Keys!B164)=0),0.5,(SUMPRODUCT(--ISNUMBER(Risk_Rank_Keys!$B$2:$B$800),--(Risk_Rank_Keys!$B$2:$B$800&lt;Risk_Rank_Keys!B164))+(SUMPRODUCT(--ISNUMBER(Risk_Rank_Keys!$B$2:$B$800),--(Risk_Rank_Keys!$B$2:$B$800=Risk_Rank_Keys!B164))+1)/2)/COUNT(Risk_Rank_Keys!$B$2:$B$800))</f>
        <v>0.827057182705718</v>
      </c>
      <c r="N164" s="0" t="n">
        <f aca="false">IF(OR(B164="NW",COUNT(Risk_Rank_Keys!C164)=0),0.5,(SUMPRODUCT(--ISNUMBER(Risk_Rank_Keys!$C$2:$C$800),--(Risk_Rank_Keys!$C$2:$C$800&lt;Risk_Rank_Keys!C164))+(SUMPRODUCT(--ISNUMBER(Risk_Rank_Keys!$C$2:$C$800),--(Risk_Rank_Keys!$C$2:$C$800=Risk_Rank_Keys!C164))+1)/2)/COUNT(Risk_Rank_Keys!$C$2:$C$800))</f>
        <v>0.634588563458856</v>
      </c>
      <c r="O164" s="0" t="n">
        <f aca="false">IF(OR(B164="NW",COUNT(Risk_Rank_Keys!D164)=0),0.5,(SUMPRODUCT(--ISNUMBER(Risk_Rank_Keys!$D$2:$D$800),--(Risk_Rank_Keys!$D$2:$D$800&lt;Risk_Rank_Keys!D164))+(SUMPRODUCT(--ISNUMBER(Risk_Rank_Keys!$D$2:$D$800),--(Risk_Rank_Keys!$D$2:$D$800=Risk_Rank_Keys!D164))+1)/2)/COUNT(Risk_Rank_Keys!$D$2:$D$800))</f>
        <v>0.606694560669456</v>
      </c>
      <c r="P164" s="0" t="n">
        <f aca="false">AVERAGE(M164:O164)</f>
        <v>0.689446768944677</v>
      </c>
      <c r="Q164" s="0" t="n">
        <f aca="false">0.4*H164+0.4*I164+0.2*P164</f>
        <v>0.684072082199449</v>
      </c>
      <c r="R164" s="0" t="n">
        <f aca="false">PERCENTILE($Q$2:$Q$800,0.75)</f>
        <v>0.667715717403612</v>
      </c>
      <c r="S164" s="1" t="b">
        <f aca="false">OR(Q164&gt;=R164,AND(B164="CW",COUNT(J164:L164)&lt;3))</f>
        <v>1</v>
      </c>
      <c r="T164" s="0" t="n">
        <v>0.309028729747409</v>
      </c>
      <c r="U164" s="0" t="n">
        <v>9.72701083346467</v>
      </c>
      <c r="V164" s="0" t="n">
        <v>0.684072082199449</v>
      </c>
      <c r="W164" s="0" t="n">
        <f aca="false">Q164-V164</f>
        <v>0</v>
      </c>
    </row>
    <row r="165" customFormat="false" ht="15" hidden="false" customHeight="false" outlineLevel="0" collapsed="false">
      <c r="A165" s="0" t="s">
        <v>199</v>
      </c>
      <c r="B165" s="0" t="s">
        <v>3013</v>
      </c>
      <c r="C165" s="0" t="n">
        <v>63.2508092249549</v>
      </c>
      <c r="D165" s="0" t="n">
        <f aca="false">SUMPRODUCT(Risk_Inputs!B165:AJ165,Risk_Coefs!$B$2:$AJ$2)</f>
        <v>-1.83015128278491</v>
      </c>
      <c r="E165" s="0" t="n">
        <f aca="false">1/(1+EXP(-MAX(-25,MIN(25,D165))))</f>
        <v>0.13822025207466</v>
      </c>
      <c r="F165" s="0" t="n">
        <f aca="false">SUMPRODUCT(Risk_Inputs!B165:AJ165,Risk_Coefs!$B$3:$AJ$3)</f>
        <v>5.51161117061546</v>
      </c>
      <c r="G165" s="0" t="n">
        <f aca="false">MAX(0,F165)</f>
        <v>5.51161117061546</v>
      </c>
      <c r="H165" s="0" t="n">
        <f aca="false">(SUMPRODUCT(--ISNUMBER($E$2:$E$800),--($E$2:$E$800&lt;E165))+(SUMPRODUCT(--ISNUMBER($E$2:$E$800),--($E$2:$E$800=E165))+1)/2)/COUNT($E$2:$E$800)</f>
        <v>0.0150187734668335</v>
      </c>
      <c r="I165" s="0" t="n">
        <f aca="false">(SUMPRODUCT(--ISNUMBER($G$2:$G$800),--($G$2:$G$800&lt;G165))+(SUMPRODUCT(--ISNUMBER($G$2:$G$800),--($G$2:$G$800=G165))+1)/2)/COUNT($G$2:$G$800)</f>
        <v>0.202753441802253</v>
      </c>
      <c r="J165" s="0" t="n">
        <v>57.5004080110034</v>
      </c>
      <c r="K165" s="0" t="n">
        <v>13.9756097560976</v>
      </c>
      <c r="L165" s="0" t="n">
        <v>0.756097560975615</v>
      </c>
      <c r="M165" s="0" t="n">
        <f aca="false">IF(OR(B165="NW",COUNT(Risk_Rank_Keys!B165)=0),0.5,(SUMPRODUCT(--ISNUMBER(Risk_Rank_Keys!$B$2:$B$800),--(Risk_Rank_Keys!$B$2:$B$800&lt;Risk_Rank_Keys!B165))+(SUMPRODUCT(--ISNUMBER(Risk_Rank_Keys!$B$2:$B$800),--(Risk_Rank_Keys!$B$2:$B$800=Risk_Rank_Keys!B165))+1)/2)/COUNT(Risk_Rank_Keys!$B$2:$B$800))</f>
        <v>0.9860529986053</v>
      </c>
      <c r="N165" s="0" t="n">
        <f aca="false">IF(OR(B165="NW",COUNT(Risk_Rank_Keys!C165)=0),0.5,(SUMPRODUCT(--ISNUMBER(Risk_Rank_Keys!$C$2:$C$800),--(Risk_Rank_Keys!$C$2:$C$800&lt;Risk_Rank_Keys!C165))+(SUMPRODUCT(--ISNUMBER(Risk_Rank_Keys!$C$2:$C$800),--(Risk_Rank_Keys!$C$2:$C$800=Risk_Rank_Keys!C165))+1)/2)/COUNT(Risk_Rank_Keys!$C$2:$C$800))</f>
        <v>0.919107391910739</v>
      </c>
      <c r="O165" s="0" t="n">
        <f aca="false">IF(OR(B165="NW",COUNT(Risk_Rank_Keys!D165)=0),0.5,(SUMPRODUCT(--ISNUMBER(Risk_Rank_Keys!$D$2:$D$800),--(Risk_Rank_Keys!$D$2:$D$800&lt;Risk_Rank_Keys!D165))+(SUMPRODUCT(--ISNUMBER(Risk_Rank_Keys!$D$2:$D$800),--(Risk_Rank_Keys!$D$2:$D$800=Risk_Rank_Keys!D165))+1)/2)/COUNT(Risk_Rank_Keys!$D$2:$D$800))</f>
        <v>0.99023709902371</v>
      </c>
      <c r="P165" s="0" t="n">
        <f aca="false">AVERAGE(M165:O165)</f>
        <v>0.96513249651325</v>
      </c>
      <c r="Q165" s="0" t="n">
        <f aca="false">0.4*H165+0.4*I165+0.2*P165</f>
        <v>0.280135385410285</v>
      </c>
      <c r="R165" s="0" t="n">
        <f aca="false">PERCENTILE($Q$2:$Q$800,0.75)</f>
        <v>0.667715717403612</v>
      </c>
      <c r="S165" s="1" t="b">
        <f aca="false">OR(Q165&gt;=R165,AND(B165="CW",COUNT(J165:L165)&lt;3))</f>
        <v>0</v>
      </c>
      <c r="T165" s="0" t="n">
        <v>0.13822025207466</v>
      </c>
      <c r="U165" s="0" t="n">
        <v>5.51161117061546</v>
      </c>
      <c r="V165" s="0" t="n">
        <v>0.280135385410285</v>
      </c>
      <c r="W165" s="0" t="n">
        <f aca="false">Q165-V165</f>
        <v>0</v>
      </c>
    </row>
    <row r="166" customFormat="false" ht="15" hidden="false" customHeight="false" outlineLevel="0" collapsed="false">
      <c r="A166" s="0" t="s">
        <v>200</v>
      </c>
      <c r="B166" s="0" t="s">
        <v>3013</v>
      </c>
      <c r="C166" s="0" t="n">
        <v>18.2240640483653</v>
      </c>
      <c r="D166" s="0" t="n">
        <f aca="false">SUMPRODUCT(Risk_Inputs!B166:AJ166,Risk_Coefs!$B$2:$AJ$2)</f>
        <v>-1.45919943926935</v>
      </c>
      <c r="E166" s="0" t="n">
        <f aca="false">1/(1+EXP(-MAX(-25,MIN(25,D166))))</f>
        <v>0.188589799428772</v>
      </c>
      <c r="F166" s="0" t="n">
        <f aca="false">SUMPRODUCT(Risk_Inputs!B166:AJ166,Risk_Coefs!$B$3:$AJ$3)</f>
        <v>5.95074042580038</v>
      </c>
      <c r="G166" s="0" t="n">
        <f aca="false">MAX(0,F166)</f>
        <v>5.95074042580038</v>
      </c>
      <c r="H166" s="0" t="n">
        <f aca="false">(SUMPRODUCT(--ISNUMBER($E$2:$E$800),--($E$2:$E$800&lt;E166))+(SUMPRODUCT(--ISNUMBER($E$2:$E$800),--($E$2:$E$800=E166))+1)/2)/COUNT($E$2:$E$800)</f>
        <v>0.083854818523154</v>
      </c>
      <c r="I166" s="0" t="n">
        <f aca="false">(SUMPRODUCT(--ISNUMBER($G$2:$G$800),--($G$2:$G$800&lt;G166))+(SUMPRODUCT(--ISNUMBER($G$2:$G$800),--($G$2:$G$800=G166))+1)/2)/COUNT($G$2:$G$800)</f>
        <v>0.259073842302879</v>
      </c>
      <c r="J166" s="0" t="n">
        <v>31.2167538656618</v>
      </c>
      <c r="K166" s="0" t="n">
        <v>14.4333702473237</v>
      </c>
      <c r="L166" s="0" t="n">
        <v>0.849021779254342</v>
      </c>
      <c r="M166" s="0" t="n">
        <f aca="false">IF(OR(B166="NW",COUNT(Risk_Rank_Keys!B166)=0),0.5,(SUMPRODUCT(--ISNUMBER(Risk_Rank_Keys!$B$2:$B$800),--(Risk_Rank_Keys!$B$2:$B$800&lt;Risk_Rank_Keys!B166))+(SUMPRODUCT(--ISNUMBER(Risk_Rank_Keys!$B$2:$B$800),--(Risk_Rank_Keys!$B$2:$B$800=Risk_Rank_Keys!B166))+1)/2)/COUNT(Risk_Rank_Keys!$B$2:$B$800))</f>
        <v>0.909344490934449</v>
      </c>
      <c r="N166" s="0" t="n">
        <f aca="false">IF(OR(B166="NW",COUNT(Risk_Rank_Keys!C166)=0),0.5,(SUMPRODUCT(--ISNUMBER(Risk_Rank_Keys!$C$2:$C$800),--(Risk_Rank_Keys!$C$2:$C$800&lt;Risk_Rank_Keys!C166))+(SUMPRODUCT(--ISNUMBER(Risk_Rank_Keys!$C$2:$C$800),--(Risk_Rank_Keys!$C$2:$C$800=Risk_Rank_Keys!C166))+1)/2)/COUNT(Risk_Rank_Keys!$C$2:$C$800))</f>
        <v>0.924686192468619</v>
      </c>
      <c r="O166" s="0" t="n">
        <f aca="false">IF(OR(B166="NW",COUNT(Risk_Rank_Keys!D166)=0),0.5,(SUMPRODUCT(--ISNUMBER(Risk_Rank_Keys!$D$2:$D$800),--(Risk_Rank_Keys!$D$2:$D$800&lt;Risk_Rank_Keys!D166))+(SUMPRODUCT(--ISNUMBER(Risk_Rank_Keys!$D$2:$D$800),--(Risk_Rank_Keys!$D$2:$D$800=Risk_Rank_Keys!D166))+1)/2)/COUNT(Risk_Rank_Keys!$D$2:$D$800))</f>
        <v>0.99302649930265</v>
      </c>
      <c r="P166" s="0" t="n">
        <f aca="false">AVERAGE(M166:O166)</f>
        <v>0.94235239423524</v>
      </c>
      <c r="Q166" s="0" t="n">
        <f aca="false">0.4*H166+0.4*I166+0.2*P166</f>
        <v>0.325641943177461</v>
      </c>
      <c r="R166" s="0" t="n">
        <f aca="false">PERCENTILE($Q$2:$Q$800,0.75)</f>
        <v>0.667715717403612</v>
      </c>
      <c r="S166" s="1" t="b">
        <f aca="false">OR(Q166&gt;=R166,AND(B166="CW",COUNT(J166:L166)&lt;3))</f>
        <v>0</v>
      </c>
      <c r="T166" s="0" t="n">
        <v>0.188589799428772</v>
      </c>
      <c r="U166" s="0" t="n">
        <v>5.95074042580038</v>
      </c>
      <c r="V166" s="0" t="n">
        <v>0.325641943177461</v>
      </c>
      <c r="W166" s="0" t="n">
        <f aca="false">Q166-V166</f>
        <v>0</v>
      </c>
    </row>
    <row r="167" customFormat="false" ht="15" hidden="false" customHeight="false" outlineLevel="0" collapsed="false">
      <c r="A167" s="0" t="s">
        <v>201</v>
      </c>
      <c r="B167" s="0" t="s">
        <v>3013</v>
      </c>
      <c r="C167" s="0" t="n">
        <v>34.3132677749943</v>
      </c>
      <c r="D167" s="0" t="n">
        <f aca="false">SUMPRODUCT(Risk_Inputs!B167:AJ167,Risk_Coefs!$B$2:$AJ$2)</f>
        <v>-1.49851952656327</v>
      </c>
      <c r="E167" s="0" t="n">
        <f aca="false">1/(1+EXP(-MAX(-25,MIN(25,D167))))</f>
        <v>0.18264643499021</v>
      </c>
      <c r="F167" s="0" t="n">
        <f aca="false">SUMPRODUCT(Risk_Inputs!B167:AJ167,Risk_Coefs!$B$3:$AJ$3)</f>
        <v>6.78284863083933</v>
      </c>
      <c r="G167" s="0" t="n">
        <f aca="false">MAX(0,F167)</f>
        <v>6.78284863083933</v>
      </c>
      <c r="H167" s="0" t="n">
        <f aca="false">(SUMPRODUCT(--ISNUMBER($E$2:$E$800),--($E$2:$E$800&lt;E167))+(SUMPRODUCT(--ISNUMBER($E$2:$E$800),--($E$2:$E$800=E167))+1)/2)/COUNT($E$2:$E$800)</f>
        <v>0.0688360450563204</v>
      </c>
      <c r="I167" s="0" t="n">
        <f aca="false">(SUMPRODUCT(--ISNUMBER($G$2:$G$800),--($G$2:$G$800&lt;G167))+(SUMPRODUCT(--ISNUMBER($G$2:$G$800),--($G$2:$G$800=G167))+1)/2)/COUNT($G$2:$G$800)</f>
        <v>0.391739674593242</v>
      </c>
      <c r="J167" s="0" t="n">
        <v>31.5517927545394</v>
      </c>
      <c r="K167" s="0" t="n">
        <v>7.24429551619594</v>
      </c>
      <c r="L167" s="0" t="n">
        <v>0.462741343545561</v>
      </c>
      <c r="M167" s="0" t="n">
        <f aca="false">IF(OR(B167="NW",COUNT(Risk_Rank_Keys!B167)=0),0.5,(SUMPRODUCT(--ISNUMBER(Risk_Rank_Keys!$B$2:$B$800),--(Risk_Rank_Keys!$B$2:$B$800&lt;Risk_Rank_Keys!B167))+(SUMPRODUCT(--ISNUMBER(Risk_Rank_Keys!$B$2:$B$800),--(Risk_Rank_Keys!$B$2:$B$800=Risk_Rank_Keys!B167))+1)/2)/COUNT(Risk_Rank_Keys!$B$2:$B$800))</f>
        <v>0.913528591352859</v>
      </c>
      <c r="N167" s="0" t="n">
        <f aca="false">IF(OR(B167="NW",COUNT(Risk_Rank_Keys!C167)=0),0.5,(SUMPRODUCT(--ISNUMBER(Risk_Rank_Keys!$C$2:$C$800),--(Risk_Rank_Keys!$C$2:$C$800&lt;Risk_Rank_Keys!C167))+(SUMPRODUCT(--ISNUMBER(Risk_Rank_Keys!$C$2:$C$800),--(Risk_Rank_Keys!$C$2:$C$800=Risk_Rank_Keys!C167))+1)/2)/COUNT(Risk_Rank_Keys!$C$2:$C$800))</f>
        <v>0.794979079497908</v>
      </c>
      <c r="O167" s="0" t="n">
        <f aca="false">IF(OR(B167="NW",COUNT(Risk_Rank_Keys!D167)=0),0.5,(SUMPRODUCT(--ISNUMBER(Risk_Rank_Keys!$D$2:$D$800),--(Risk_Rank_Keys!$D$2:$D$800&lt;Risk_Rank_Keys!D167))+(SUMPRODUCT(--ISNUMBER(Risk_Rank_Keys!$D$2:$D$800),--(Risk_Rank_Keys!$D$2:$D$800=Risk_Rank_Keys!D167))+1)/2)/COUNT(Risk_Rank_Keys!$D$2:$D$800))</f>
        <v>0.933054393305439</v>
      </c>
      <c r="P167" s="0" t="n">
        <f aca="false">AVERAGE(M167:O167)</f>
        <v>0.880520688052069</v>
      </c>
      <c r="Q167" s="0" t="n">
        <f aca="false">0.4*H167+0.4*I167+0.2*P167</f>
        <v>0.360334425470239</v>
      </c>
      <c r="R167" s="0" t="n">
        <f aca="false">PERCENTILE($Q$2:$Q$800,0.75)</f>
        <v>0.667715717403612</v>
      </c>
      <c r="S167" s="1" t="b">
        <f aca="false">OR(Q167&gt;=R167,AND(B167="CW",COUNT(J167:L167)&lt;3))</f>
        <v>0</v>
      </c>
      <c r="T167" s="0" t="n">
        <v>0.18264643499021</v>
      </c>
      <c r="U167" s="0" t="n">
        <v>6.78284863083933</v>
      </c>
      <c r="V167" s="0" t="n">
        <v>0.360334425470239</v>
      </c>
      <c r="W167" s="0" t="n">
        <f aca="false">Q167-V167</f>
        <v>0</v>
      </c>
    </row>
    <row r="168" customFormat="false" ht="15" hidden="false" customHeight="false" outlineLevel="0" collapsed="false">
      <c r="A168" s="0" t="s">
        <v>202</v>
      </c>
      <c r="B168" s="0" t="s">
        <v>3013</v>
      </c>
      <c r="C168" s="0" t="n">
        <v>33.1900357511728</v>
      </c>
      <c r="D168" s="0" t="n">
        <f aca="false">SUMPRODUCT(Risk_Inputs!B168:AJ168,Risk_Coefs!$B$2:$AJ$2)</f>
        <v>-0.905076255816545</v>
      </c>
      <c r="E168" s="0" t="n">
        <f aca="false">1/(1+EXP(-MAX(-25,MIN(25,D168))))</f>
        <v>0.288008443348723</v>
      </c>
      <c r="F168" s="0" t="n">
        <f aca="false">SUMPRODUCT(Risk_Inputs!B168:AJ168,Risk_Coefs!$B$3:$AJ$3)</f>
        <v>7.52539680161534</v>
      </c>
      <c r="G168" s="0" t="n">
        <f aca="false">MAX(0,F168)</f>
        <v>7.52539680161534</v>
      </c>
      <c r="H168" s="0" t="n">
        <f aca="false">(SUMPRODUCT(--ISNUMBER($E$2:$E$800),--($E$2:$E$800&lt;E168))+(SUMPRODUCT(--ISNUMBER($E$2:$E$800),--($E$2:$E$800=E168))+1)/2)/COUNT($E$2:$E$800)</f>
        <v>0.508135168961202</v>
      </c>
      <c r="I168" s="0" t="n">
        <f aca="false">(SUMPRODUCT(--ISNUMBER($G$2:$G$800),--($G$2:$G$800&lt;G168))+(SUMPRODUCT(--ISNUMBER($G$2:$G$800),--($G$2:$G$800=G168))+1)/2)/COUNT($G$2:$G$800)</f>
        <v>0.484355444305382</v>
      </c>
      <c r="J168" s="0" t="n">
        <v>28.269107903973</v>
      </c>
      <c r="K168" s="0" t="n">
        <v>1.97772976566397</v>
      </c>
      <c r="L168" s="0" t="n">
        <v>0.332391557254446</v>
      </c>
      <c r="M168" s="0" t="n">
        <f aca="false">IF(OR(B168="NW",COUNT(Risk_Rank_Keys!B168)=0),0.5,(SUMPRODUCT(--ISNUMBER(Risk_Rank_Keys!$B$2:$B$800),--(Risk_Rank_Keys!$B$2:$B$800&lt;Risk_Rank_Keys!B168))+(SUMPRODUCT(--ISNUMBER(Risk_Rank_Keys!$B$2:$B$800),--(Risk_Rank_Keys!$B$2:$B$800=Risk_Rank_Keys!B168))+1)/2)/COUNT(Risk_Rank_Keys!$B$2:$B$800))</f>
        <v>0.898186889818689</v>
      </c>
      <c r="N168" s="0" t="n">
        <f aca="false">IF(OR(B168="NW",COUNT(Risk_Rank_Keys!C168)=0),0.5,(SUMPRODUCT(--ISNUMBER(Risk_Rank_Keys!$C$2:$C$800),--(Risk_Rank_Keys!$C$2:$C$800&lt;Risk_Rank_Keys!C168))+(SUMPRODUCT(--ISNUMBER(Risk_Rank_Keys!$C$2:$C$800),--(Risk_Rank_Keys!$C$2:$C$800=Risk_Rank_Keys!C168))+1)/2)/COUNT(Risk_Rank_Keys!$C$2:$C$800))</f>
        <v>0.263598326359833</v>
      </c>
      <c r="O168" s="0" t="n">
        <f aca="false">IF(OR(B168="NW",COUNT(Risk_Rank_Keys!D168)=0),0.5,(SUMPRODUCT(--ISNUMBER(Risk_Rank_Keys!$D$2:$D$800),--(Risk_Rank_Keys!$D$2:$D$800&lt;Risk_Rank_Keys!D168))+(SUMPRODUCT(--ISNUMBER(Risk_Rank_Keys!$D$2:$D$800),--(Risk_Rank_Keys!$D$2:$D$800=Risk_Rank_Keys!D168))+1)/2)/COUNT(Risk_Rank_Keys!$D$2:$D$800))</f>
        <v>0.800557880055788</v>
      </c>
      <c r="P168" s="0" t="n">
        <f aca="false">AVERAGE(M168:O168)</f>
        <v>0.654114365411437</v>
      </c>
      <c r="Q168" s="0" t="n">
        <f aca="false">0.4*H168+0.4*I168+0.2*P168</f>
        <v>0.527819118388921</v>
      </c>
      <c r="R168" s="0" t="n">
        <f aca="false">PERCENTILE($Q$2:$Q$800,0.75)</f>
        <v>0.667715717403612</v>
      </c>
      <c r="S168" s="1" t="b">
        <f aca="false">OR(Q168&gt;=R168,AND(B168="CW",COUNT(J168:L168)&lt;3))</f>
        <v>0</v>
      </c>
      <c r="T168" s="0" t="n">
        <v>0.288008443348723</v>
      </c>
      <c r="U168" s="0" t="n">
        <v>7.52539680161534</v>
      </c>
      <c r="V168" s="0" t="n">
        <v>0.527819118388921</v>
      </c>
      <c r="W168" s="0" t="n">
        <f aca="false">Q168-V168</f>
        <v>0</v>
      </c>
    </row>
    <row r="169" customFormat="false" ht="15" hidden="false" customHeight="false" outlineLevel="0" collapsed="false">
      <c r="A169" s="0" t="s">
        <v>203</v>
      </c>
      <c r="B169" s="0" t="s">
        <v>3013</v>
      </c>
      <c r="C169" s="0" t="n">
        <v>6.40537126831764</v>
      </c>
      <c r="D169" s="0" t="n">
        <f aca="false">SUMPRODUCT(Risk_Inputs!B169:AJ169,Risk_Coefs!$B$2:$AJ$2)</f>
        <v>-1.15948993347193</v>
      </c>
      <c r="E169" s="0" t="n">
        <f aca="false">1/(1+EXP(-MAX(-25,MIN(25,D169))))</f>
        <v>0.238759979257628</v>
      </c>
      <c r="F169" s="0" t="n">
        <f aca="false">SUMPRODUCT(Risk_Inputs!B169:AJ169,Risk_Coefs!$B$3:$AJ$3)</f>
        <v>7.13625979431713</v>
      </c>
      <c r="G169" s="0" t="n">
        <f aca="false">MAX(0,F169)</f>
        <v>7.13625979431713</v>
      </c>
      <c r="H169" s="0" t="n">
        <f aca="false">(SUMPRODUCT(--ISNUMBER($E$2:$E$800),--($E$2:$E$800&lt;E169))+(SUMPRODUCT(--ISNUMBER($E$2:$E$800),--($E$2:$E$800=E169))+1)/2)/COUNT($E$2:$E$800)</f>
        <v>0.217772215269086</v>
      </c>
      <c r="I169" s="0" t="n">
        <f aca="false">(SUMPRODUCT(--ISNUMBER($G$2:$G$800),--($G$2:$G$800&lt;G169))+(SUMPRODUCT(--ISNUMBER($G$2:$G$800),--($G$2:$G$800=G169))+1)/2)/COUNT($G$2:$G$800)</f>
        <v>0.433041301627034</v>
      </c>
      <c r="J169" s="0" t="n">
        <v>21.8236857389258</v>
      </c>
      <c r="K169" s="0" t="n">
        <v>2.86692340607617</v>
      </c>
      <c r="L169" s="0" t="n">
        <v>0.213949507916138</v>
      </c>
      <c r="M169" s="0" t="n">
        <f aca="false">IF(OR(B169="NW",COUNT(Risk_Rank_Keys!B169)=0),0.5,(SUMPRODUCT(--ISNUMBER(Risk_Rank_Keys!$B$2:$B$800),--(Risk_Rank_Keys!$B$2:$B$800&lt;Risk_Rank_Keys!B169))+(SUMPRODUCT(--ISNUMBER(Risk_Rank_Keys!$B$2:$B$800),--(Risk_Rank_Keys!$B$2:$B$800=Risk_Rank_Keys!B169))+1)/2)/COUNT(Risk_Rank_Keys!$B$2:$B$800))</f>
        <v>0.818688981868898</v>
      </c>
      <c r="N169" s="0" t="n">
        <f aca="false">IF(OR(B169="NW",COUNT(Risk_Rank_Keys!C169)=0),0.5,(SUMPRODUCT(--ISNUMBER(Risk_Rank_Keys!$C$2:$C$800),--(Risk_Rank_Keys!$C$2:$C$800&lt;Risk_Rank_Keys!C169))+(SUMPRODUCT(--ISNUMBER(Risk_Rank_Keys!$C$2:$C$800),--(Risk_Rank_Keys!$C$2:$C$800=Risk_Rank_Keys!C169))+1)/2)/COUNT(Risk_Rank_Keys!$C$2:$C$800))</f>
        <v>0.453277545327755</v>
      </c>
      <c r="O169" s="0" t="n">
        <f aca="false">IF(OR(B169="NW",COUNT(Risk_Rank_Keys!D169)=0),0.5,(SUMPRODUCT(--ISNUMBER(Risk_Rank_Keys!$D$2:$D$800),--(Risk_Rank_Keys!$D$2:$D$800&lt;Risk_Rank_Keys!D169))+(SUMPRODUCT(--ISNUMBER(Risk_Rank_Keys!$D$2:$D$800),--(Risk_Rank_Keys!$D$2:$D$800=Risk_Rank_Keys!D169))+1)/2)/COUNT(Risk_Rank_Keys!$D$2:$D$800))</f>
        <v>0.403068340306834</v>
      </c>
      <c r="P169" s="0" t="n">
        <f aca="false">AVERAGE(M169:O169)</f>
        <v>0.558344955834496</v>
      </c>
      <c r="Q169" s="0" t="n">
        <f aca="false">0.4*H169+0.4*I169+0.2*P169</f>
        <v>0.371994397925347</v>
      </c>
      <c r="R169" s="0" t="n">
        <f aca="false">PERCENTILE($Q$2:$Q$800,0.75)</f>
        <v>0.667715717403612</v>
      </c>
      <c r="S169" s="1" t="b">
        <f aca="false">OR(Q169&gt;=R169,AND(B169="CW",COUNT(J169:L169)&lt;3))</f>
        <v>0</v>
      </c>
      <c r="T169" s="0" t="n">
        <v>0.238759979257628</v>
      </c>
      <c r="U169" s="0" t="n">
        <v>7.13625979431713</v>
      </c>
      <c r="V169" s="0" t="n">
        <v>0.371994397925347</v>
      </c>
      <c r="W169" s="0" t="n">
        <f aca="false">Q169-V169</f>
        <v>0</v>
      </c>
    </row>
    <row r="170" customFormat="false" ht="15" hidden="false" customHeight="false" outlineLevel="0" collapsed="false">
      <c r="A170" s="0" t="s">
        <v>204</v>
      </c>
      <c r="B170" s="0" t="s">
        <v>3013</v>
      </c>
      <c r="C170" s="0" t="n">
        <v>7.28387735155353</v>
      </c>
      <c r="D170" s="0" t="n">
        <f aca="false">SUMPRODUCT(Risk_Inputs!B170:AJ170,Risk_Coefs!$B$2:$AJ$2)</f>
        <v>-0.794608914787278</v>
      </c>
      <c r="E170" s="0" t="n">
        <f aca="false">1/(1+EXP(-MAX(-25,MIN(25,D170))))</f>
        <v>0.311179903763032</v>
      </c>
      <c r="F170" s="0" t="n">
        <f aca="false">SUMPRODUCT(Risk_Inputs!B170:AJ170,Risk_Coefs!$B$3:$AJ$3)</f>
        <v>8.88170735857361</v>
      </c>
      <c r="G170" s="0" t="n">
        <f aca="false">MAX(0,F170)</f>
        <v>8.88170735857361</v>
      </c>
      <c r="H170" s="0" t="n">
        <f aca="false">(SUMPRODUCT(--ISNUMBER($E$2:$E$800),--($E$2:$E$800&lt;E170))+(SUMPRODUCT(--ISNUMBER($E$2:$E$800),--($E$2:$E$800=E170))+1)/2)/COUNT($E$2:$E$800)</f>
        <v>0.620775969962453</v>
      </c>
      <c r="I170" s="0" t="n">
        <f aca="false">(SUMPRODUCT(--ISNUMBER($G$2:$G$800),--($G$2:$G$800&lt;G170))+(SUMPRODUCT(--ISNUMBER($G$2:$G$800),--($G$2:$G$800=G170))+1)/2)/COUNT($G$2:$G$800)</f>
        <v>0.660826032540676</v>
      </c>
      <c r="J170" s="0" t="n">
        <v>11.723599577143</v>
      </c>
      <c r="K170" s="0" t="n">
        <v>2.24254942460904</v>
      </c>
      <c r="L170" s="0" t="n">
        <v>0.295072292711714</v>
      </c>
      <c r="M170" s="0" t="n">
        <f aca="false">IF(OR(B170="NW",COUNT(Risk_Rank_Keys!B170)=0),0.5,(SUMPRODUCT(--ISNUMBER(Risk_Rank_Keys!$B$2:$B$800),--(Risk_Rank_Keys!$B$2:$B$800&lt;Risk_Rank_Keys!B170))+(SUMPRODUCT(--ISNUMBER(Risk_Rank_Keys!$B$2:$B$800),--(Risk_Rank_Keys!$B$2:$B$800=Risk_Rank_Keys!B170))+1)/2)/COUNT(Risk_Rank_Keys!$B$2:$B$800))</f>
        <v>0.592747559274756</v>
      </c>
      <c r="N170" s="0" t="n">
        <f aca="false">IF(OR(B170="NW",COUNT(Risk_Rank_Keys!C170)=0),0.5,(SUMPRODUCT(--ISNUMBER(Risk_Rank_Keys!$C$2:$C$800),--(Risk_Rank_Keys!$C$2:$C$800&lt;Risk_Rank_Keys!C170))+(SUMPRODUCT(--ISNUMBER(Risk_Rank_Keys!$C$2:$C$800),--(Risk_Rank_Keys!$C$2:$C$800=Risk_Rank_Keys!C170))+1)/2)/COUNT(Risk_Rank_Keys!$C$2:$C$800))</f>
        <v>0.323570432357043</v>
      </c>
      <c r="O170" s="0" t="n">
        <f aca="false">IF(OR(B170="NW",COUNT(Risk_Rank_Keys!D170)=0),0.5,(SUMPRODUCT(--ISNUMBER(Risk_Rank_Keys!$D$2:$D$800),--(Risk_Rank_Keys!$D$2:$D$800&lt;Risk_Rank_Keys!D170))+(SUMPRODUCT(--ISNUMBER(Risk_Rank_Keys!$D$2:$D$800),--(Risk_Rank_Keys!$D$2:$D$800=Risk_Rank_Keys!D170))+1)/2)/COUNT(Risk_Rank_Keys!$D$2:$D$800))</f>
        <v>0.733612273361227</v>
      </c>
      <c r="P170" s="0" t="n">
        <f aca="false">AVERAGE(M170:O170)</f>
        <v>0.549976754997676</v>
      </c>
      <c r="Q170" s="0" t="n">
        <f aca="false">0.4*H170+0.4*I170+0.2*P170</f>
        <v>0.622636152000787</v>
      </c>
      <c r="R170" s="0" t="n">
        <f aca="false">PERCENTILE($Q$2:$Q$800,0.75)</f>
        <v>0.667715717403612</v>
      </c>
      <c r="S170" s="1" t="b">
        <f aca="false">OR(Q170&gt;=R170,AND(B170="CW",COUNT(J170:L170)&lt;3))</f>
        <v>0</v>
      </c>
      <c r="T170" s="0" t="n">
        <v>0.311179903763032</v>
      </c>
      <c r="U170" s="0" t="n">
        <v>8.88170735857361</v>
      </c>
      <c r="V170" s="0" t="n">
        <v>0.622636152000787</v>
      </c>
      <c r="W170" s="0" t="n">
        <f aca="false">Q170-V170</f>
        <v>0</v>
      </c>
    </row>
    <row r="171" customFormat="false" ht="15" hidden="false" customHeight="false" outlineLevel="0" collapsed="false">
      <c r="A171" s="0" t="s">
        <v>205</v>
      </c>
      <c r="B171" s="0" t="s">
        <v>3013</v>
      </c>
      <c r="C171" s="0" t="n">
        <v>-27.2643738500759</v>
      </c>
      <c r="D171" s="0" t="n">
        <f aca="false">SUMPRODUCT(Risk_Inputs!B171:AJ171,Risk_Coefs!$B$2:$AJ$2)</f>
        <v>-0.735158185949448</v>
      </c>
      <c r="E171" s="0" t="n">
        <f aca="false">1/(1+EXP(-MAX(-25,MIN(25,D171))))</f>
        <v>0.324063821237364</v>
      </c>
      <c r="F171" s="0" t="n">
        <f aca="false">SUMPRODUCT(Risk_Inputs!B171:AJ171,Risk_Coefs!$B$3:$AJ$3)</f>
        <v>8.33869809950238</v>
      </c>
      <c r="G171" s="0" t="n">
        <f aca="false">MAX(0,F171)</f>
        <v>8.33869809950238</v>
      </c>
      <c r="H171" s="0" t="n">
        <f aca="false">(SUMPRODUCT(--ISNUMBER($E$2:$E$800),--($E$2:$E$800&lt;E171))+(SUMPRODUCT(--ISNUMBER($E$2:$E$800),--($E$2:$E$800=E171))+1)/2)/COUNT($E$2:$E$800)</f>
        <v>0.69837296620776</v>
      </c>
      <c r="I171" s="0" t="n">
        <f aca="false">(SUMPRODUCT(--ISNUMBER($G$2:$G$800),--($G$2:$G$800&lt;G171))+(SUMPRODUCT(--ISNUMBER($G$2:$G$800),--($G$2:$G$800=G171))+1)/2)/COUNT($G$2:$G$800)</f>
        <v>0.586983729662078</v>
      </c>
      <c r="J171" s="0" t="n">
        <v>5.04876191236957</v>
      </c>
      <c r="K171" s="0" t="n">
        <v>3.53000504286435</v>
      </c>
      <c r="L171" s="0" t="n">
        <v>0.302571860816948</v>
      </c>
      <c r="M171" s="0" t="n">
        <f aca="false">IF(OR(B171="NW",COUNT(Risk_Rank_Keys!B171)=0),0.5,(SUMPRODUCT(--ISNUMBER(Risk_Rank_Keys!$B$2:$B$800),--(Risk_Rank_Keys!$B$2:$B$800&lt;Risk_Rank_Keys!B171))+(SUMPRODUCT(--ISNUMBER(Risk_Rank_Keys!$B$2:$B$800),--(Risk_Rank_Keys!$B$2:$B$800=Risk_Rank_Keys!B171))+1)/2)/COUNT(Risk_Rank_Keys!$B$2:$B$800))</f>
        <v>0.129707112970711</v>
      </c>
      <c r="N171" s="0" t="n">
        <f aca="false">IF(OR(B171="NW",COUNT(Risk_Rank_Keys!C171)=0),0.5,(SUMPRODUCT(--ISNUMBER(Risk_Rank_Keys!$C$2:$C$800),--(Risk_Rank_Keys!$C$2:$C$800&lt;Risk_Rank_Keys!C171))+(SUMPRODUCT(--ISNUMBER(Risk_Rank_Keys!$C$2:$C$800),--(Risk_Rank_Keys!$C$2:$C$800=Risk_Rank_Keys!C171))+1)/2)/COUNT(Risk_Rank_Keys!$C$2:$C$800))</f>
        <v>0.529986052998605</v>
      </c>
      <c r="O171" s="0" t="n">
        <f aca="false">IF(OR(B171="NW",COUNT(Risk_Rank_Keys!D171)=0),0.5,(SUMPRODUCT(--ISNUMBER(Risk_Rank_Keys!$D$2:$D$800),--(Risk_Rank_Keys!$D$2:$D$800&lt;Risk_Rank_Keys!D171))+(SUMPRODUCT(--ISNUMBER(Risk_Rank_Keys!$D$2:$D$800),--(Risk_Rank_Keys!$D$2:$D$800=Risk_Rank_Keys!D171))+1)/2)/COUNT(Risk_Rank_Keys!$D$2:$D$800))</f>
        <v>0.751743375174338</v>
      </c>
      <c r="P171" s="0" t="n">
        <f aca="false">AVERAGE(M171:O171)</f>
        <v>0.470478847047885</v>
      </c>
      <c r="Q171" s="0" t="n">
        <f aca="false">0.4*H171+0.4*I171+0.2*P171</f>
        <v>0.608238447757512</v>
      </c>
      <c r="R171" s="0" t="n">
        <f aca="false">PERCENTILE($Q$2:$Q$800,0.75)</f>
        <v>0.667715717403612</v>
      </c>
      <c r="S171" s="1" t="b">
        <f aca="false">OR(Q171&gt;=R171,AND(B171="CW",COUNT(J171:L171)&lt;3))</f>
        <v>0</v>
      </c>
      <c r="T171" s="0" t="n">
        <v>0.324063821237364</v>
      </c>
      <c r="U171" s="0" t="n">
        <v>8.33869809950238</v>
      </c>
      <c r="V171" s="0" t="n">
        <v>0.608238447757512</v>
      </c>
      <c r="W171" s="0" t="n">
        <f aca="false">Q171-V171</f>
        <v>0</v>
      </c>
    </row>
    <row r="172" customFormat="false" ht="15" hidden="false" customHeight="false" outlineLevel="0" collapsed="false">
      <c r="A172" s="0" t="s">
        <v>206</v>
      </c>
      <c r="B172" s="0" t="s">
        <v>3013</v>
      </c>
      <c r="C172" s="0" t="n">
        <v>32.2308528412196</v>
      </c>
      <c r="D172" s="0" t="n">
        <f aca="false">SUMPRODUCT(Risk_Inputs!B172:AJ172,Risk_Coefs!$B$2:$AJ$2)</f>
        <v>-1.71820928335085</v>
      </c>
      <c r="E172" s="0" t="n">
        <f aca="false">1/(1+EXP(-MAX(-25,MIN(25,D172))))</f>
        <v>0.152101963085125</v>
      </c>
      <c r="F172" s="0" t="n">
        <f aca="false">SUMPRODUCT(Risk_Inputs!B172:AJ172,Risk_Coefs!$B$3:$AJ$3)</f>
        <v>3.60260258136316</v>
      </c>
      <c r="G172" s="0" t="n">
        <f aca="false">MAX(0,F172)</f>
        <v>3.60260258136316</v>
      </c>
      <c r="H172" s="0" t="n">
        <f aca="false">(SUMPRODUCT(--ISNUMBER($E$2:$E$800),--($E$2:$E$800&lt;E172))+(SUMPRODUCT(--ISNUMBER($E$2:$E$800),--($E$2:$E$800=E172))+1)/2)/COUNT($E$2:$E$800)</f>
        <v>0.0262828535669587</v>
      </c>
      <c r="I172" s="0" t="n">
        <f aca="false">(SUMPRODUCT(--ISNUMBER($G$2:$G$800),--($G$2:$G$800&lt;G172))+(SUMPRODUCT(--ISNUMBER($G$2:$G$800),--($G$2:$G$800=G172))+1)/2)/COUNT($G$2:$G$800)</f>
        <v>0.0362953692115144</v>
      </c>
      <c r="J172" s="0" t="n">
        <v>28.2424381301554</v>
      </c>
      <c r="K172" s="0" t="n">
        <v>6.12947658402202</v>
      </c>
      <c r="L172" s="0" t="n">
        <v>0.585399449035819</v>
      </c>
      <c r="M172" s="0" t="n">
        <f aca="false">IF(OR(B172="NW",COUNT(Risk_Rank_Keys!B172)=0),0.5,(SUMPRODUCT(--ISNUMBER(Risk_Rank_Keys!$B$2:$B$800),--(Risk_Rank_Keys!$B$2:$B$800&lt;Risk_Rank_Keys!B172))+(SUMPRODUCT(--ISNUMBER(Risk_Rank_Keys!$B$2:$B$800),--(Risk_Rank_Keys!$B$2:$B$800=Risk_Rank_Keys!B172))+1)/2)/COUNT(Risk_Rank_Keys!$B$2:$B$800))</f>
        <v>0.896792189679219</v>
      </c>
      <c r="N172" s="0" t="n">
        <f aca="false">IF(OR(B172="NW",COUNT(Risk_Rank_Keys!C172)=0),0.5,(SUMPRODUCT(--ISNUMBER(Risk_Rank_Keys!$C$2:$C$800),--(Risk_Rank_Keys!$C$2:$C$800&lt;Risk_Rank_Keys!C172))+(SUMPRODUCT(--ISNUMBER(Risk_Rank_Keys!$C$2:$C$800),--(Risk_Rank_Keys!$C$2:$C$800=Risk_Rank_Keys!C172))+1)/2)/COUNT(Risk_Rank_Keys!$C$2:$C$800))</f>
        <v>0.751743375174338</v>
      </c>
      <c r="O172" s="0" t="n">
        <f aca="false">IF(OR(B172="NW",COUNT(Risk_Rank_Keys!D172)=0),0.5,(SUMPRODUCT(--ISNUMBER(Risk_Rank_Keys!$D$2:$D$800),--(Risk_Rank_Keys!$D$2:$D$800&lt;Risk_Rank_Keys!D172))+(SUMPRODUCT(--ISNUMBER(Risk_Rank_Keys!$D$2:$D$800),--(Risk_Rank_Keys!$D$2:$D$800=Risk_Rank_Keys!D172))+1)/2)/COUNT(Risk_Rank_Keys!$D$2:$D$800))</f>
        <v>0.9721059972106</v>
      </c>
      <c r="P172" s="0" t="n">
        <f aca="false">AVERAGE(M172:O172)</f>
        <v>0.873547187354719</v>
      </c>
      <c r="Q172" s="0" t="n">
        <f aca="false">0.4*H172+0.4*I172+0.2*P172</f>
        <v>0.199740726582333</v>
      </c>
      <c r="R172" s="0" t="n">
        <f aca="false">PERCENTILE($Q$2:$Q$800,0.75)</f>
        <v>0.667715717403612</v>
      </c>
      <c r="S172" s="1" t="b">
        <f aca="false">OR(Q172&gt;=R172,AND(B172="CW",COUNT(J172:L172)&lt;3))</f>
        <v>0</v>
      </c>
      <c r="T172" s="0" t="n">
        <v>0.152101963085125</v>
      </c>
      <c r="U172" s="0" t="n">
        <v>3.60260258136317</v>
      </c>
      <c r="V172" s="0" t="n">
        <v>0.199740726582333</v>
      </c>
      <c r="W172" s="0" t="n">
        <f aca="false">Q172-V172</f>
        <v>0</v>
      </c>
    </row>
    <row r="173" customFormat="false" ht="15" hidden="false" customHeight="false" outlineLevel="0" collapsed="false">
      <c r="A173" s="0" t="s">
        <v>207</v>
      </c>
      <c r="B173" s="0" t="s">
        <v>3013</v>
      </c>
      <c r="C173" s="0" t="n">
        <v>-10.0989397495657</v>
      </c>
      <c r="D173" s="0" t="n">
        <f aca="false">SUMPRODUCT(Risk_Inputs!B173:AJ173,Risk_Coefs!$B$2:$AJ$2)</f>
        <v>-0.687975704001751</v>
      </c>
      <c r="E173" s="0" t="n">
        <f aca="false">1/(1+EXP(-MAX(-25,MIN(25,D173))))</f>
        <v>0.334483539159903</v>
      </c>
      <c r="F173" s="0" t="n">
        <f aca="false">SUMPRODUCT(Risk_Inputs!B173:AJ173,Risk_Coefs!$B$3:$AJ$3)</f>
        <v>11.050891544741</v>
      </c>
      <c r="G173" s="0" t="n">
        <f aca="false">MAX(0,F173)</f>
        <v>11.050891544741</v>
      </c>
      <c r="H173" s="0" t="n">
        <f aca="false">(SUMPRODUCT(--ISNUMBER($E$2:$E$800),--($E$2:$E$800&lt;E173))+(SUMPRODUCT(--ISNUMBER($E$2:$E$800),--($E$2:$E$800=E173))+1)/2)/COUNT($E$2:$E$800)</f>
        <v>0.759699624530663</v>
      </c>
      <c r="I173" s="0" t="n">
        <f aca="false">(SUMPRODUCT(--ISNUMBER($G$2:$G$800),--($G$2:$G$800&lt;G173))+(SUMPRODUCT(--ISNUMBER($G$2:$G$800),--($G$2:$G$800=G173))+1)/2)/COUNT($G$2:$G$800)</f>
        <v>0.88485607008761</v>
      </c>
      <c r="J173" s="0" t="n">
        <v>19.7947967962715</v>
      </c>
      <c r="K173" s="0" t="n">
        <v>3.84615384615385</v>
      </c>
      <c r="L173" s="0" t="n">
        <v>0.27777777777778</v>
      </c>
      <c r="M173" s="0" t="n">
        <f aca="false">IF(OR(B173="NW",COUNT(Risk_Rank_Keys!B173)=0),0.5,(SUMPRODUCT(--ISNUMBER(Risk_Rank_Keys!$B$2:$B$800),--(Risk_Rank_Keys!$B$2:$B$800&lt;Risk_Rank_Keys!B173))+(SUMPRODUCT(--ISNUMBER(Risk_Rank_Keys!$B$2:$B$800),--(Risk_Rank_Keys!$B$2:$B$800=Risk_Rank_Keys!B173))+1)/2)/COUNT(Risk_Rank_Keys!$B$2:$B$800))</f>
        <v>0.785216178521618</v>
      </c>
      <c r="N173" s="0" t="n">
        <f aca="false">IF(OR(B173="NW",COUNT(Risk_Rank_Keys!C173)=0),0.5,(SUMPRODUCT(--ISNUMBER(Risk_Rank_Keys!$C$2:$C$800),--(Risk_Rank_Keys!$C$2:$C$800&lt;Risk_Rank_Keys!C173))+(SUMPRODUCT(--ISNUMBER(Risk_Rank_Keys!$C$2:$C$800),--(Risk_Rank_Keys!$C$2:$C$800=Risk_Rank_Keys!C173))+1)/2)/COUNT(Risk_Rank_Keys!$C$2:$C$800))</f>
        <v>0.574616457461646</v>
      </c>
      <c r="O173" s="0" t="n">
        <f aca="false">IF(OR(B173="NW",COUNT(Risk_Rank_Keys!D173)=0),0.5,(SUMPRODUCT(--ISNUMBER(Risk_Rank_Keys!$D$2:$D$800),--(Risk_Rank_Keys!$D$2:$D$800&lt;Risk_Rank_Keys!D173))+(SUMPRODUCT(--ISNUMBER(Risk_Rank_Keys!$D$2:$D$800),--(Risk_Rank_Keys!$D$2:$D$800=Risk_Rank_Keys!D173))+1)/2)/COUNT(Risk_Rank_Keys!$D$2:$D$800))</f>
        <v>0.690376569037657</v>
      </c>
      <c r="P173" s="0" t="n">
        <f aca="false">AVERAGE(M173:O173)</f>
        <v>0.683403068340307</v>
      </c>
      <c r="Q173" s="0" t="n">
        <f aca="false">0.4*H173+0.4*I173+0.2*P173</f>
        <v>0.794502891515371</v>
      </c>
      <c r="R173" s="0" t="n">
        <f aca="false">PERCENTILE($Q$2:$Q$800,0.75)</f>
        <v>0.667715717403612</v>
      </c>
      <c r="S173" s="1" t="b">
        <f aca="false">OR(Q173&gt;=R173,AND(B173="CW",COUNT(J173:L173)&lt;3))</f>
        <v>1</v>
      </c>
      <c r="T173" s="0" t="n">
        <v>0.334483539159903</v>
      </c>
      <c r="U173" s="0" t="n">
        <v>11.050891544741</v>
      </c>
      <c r="V173" s="0" t="n">
        <v>0.794502891515371</v>
      </c>
      <c r="W173" s="0" t="n">
        <f aca="false">Q173-V173</f>
        <v>0</v>
      </c>
    </row>
    <row r="174" customFormat="false" ht="15" hidden="false" customHeight="false" outlineLevel="0" collapsed="false">
      <c r="A174" s="0" t="s">
        <v>208</v>
      </c>
      <c r="B174" s="0" t="s">
        <v>3013</v>
      </c>
      <c r="C174" s="0" t="n">
        <v>-24.874694316613</v>
      </c>
      <c r="D174" s="0" t="n">
        <f aca="false">SUMPRODUCT(Risk_Inputs!B174:AJ174,Risk_Coefs!$B$2:$AJ$2)</f>
        <v>-0.823179478006956</v>
      </c>
      <c r="E174" s="0" t="n">
        <f aca="false">1/(1+EXP(-MAX(-25,MIN(25,D174))))</f>
        <v>0.305089162078051</v>
      </c>
      <c r="F174" s="0" t="n">
        <f aca="false">SUMPRODUCT(Risk_Inputs!B174:AJ174,Risk_Coefs!$B$3:$AJ$3)</f>
        <v>7.20531190688385</v>
      </c>
      <c r="G174" s="0" t="n">
        <f aca="false">MAX(0,F174)</f>
        <v>7.20531190688385</v>
      </c>
      <c r="H174" s="0" t="n">
        <f aca="false">(SUMPRODUCT(--ISNUMBER($E$2:$E$800),--($E$2:$E$800&lt;E174))+(SUMPRODUCT(--ISNUMBER($E$2:$E$800),--($E$2:$E$800=E174))+1)/2)/COUNT($E$2:$E$800)</f>
        <v>0.591989987484356</v>
      </c>
      <c r="I174" s="0" t="n">
        <f aca="false">(SUMPRODUCT(--ISNUMBER($G$2:$G$800),--($G$2:$G$800&lt;G174))+(SUMPRODUCT(--ISNUMBER($G$2:$G$800),--($G$2:$G$800=G174))+1)/2)/COUNT($G$2:$G$800)</f>
        <v>0.446808510638298</v>
      </c>
      <c r="J174" s="0" t="n">
        <v>10.7237987615734</v>
      </c>
      <c r="K174" s="0" t="n">
        <v>1.80655919955531</v>
      </c>
      <c r="L174" s="0" t="n">
        <v>0.277932184546971</v>
      </c>
      <c r="M174" s="0" t="n">
        <f aca="false">IF(OR(B174="NW",COUNT(Risk_Rank_Keys!B174)=0),0.5,(SUMPRODUCT(--ISNUMBER(Risk_Rank_Keys!$B$2:$B$800),--(Risk_Rank_Keys!$B$2:$B$800&lt;Risk_Rank_Keys!B174))+(SUMPRODUCT(--ISNUMBER(Risk_Rank_Keys!$B$2:$B$800),--(Risk_Rank_Keys!$B$2:$B$800=Risk_Rank_Keys!B174))+1)/2)/COUNT(Risk_Rank_Keys!$B$2:$B$800))</f>
        <v>0.536959553695955</v>
      </c>
      <c r="N174" s="0" t="n">
        <f aca="false">IF(OR(B174="NW",COUNT(Risk_Rank_Keys!C174)=0),0.5,(SUMPRODUCT(--ISNUMBER(Risk_Rank_Keys!$C$2:$C$800),--(Risk_Rank_Keys!$C$2:$C$800&lt;Risk_Rank_Keys!C174))+(SUMPRODUCT(--ISNUMBER(Risk_Rank_Keys!$C$2:$C$800),--(Risk_Rank_Keys!$C$2:$C$800=Risk_Rank_Keys!C174))+1)/2)/COUNT(Risk_Rank_Keys!$C$2:$C$800))</f>
        <v>0.216178521617852</v>
      </c>
      <c r="O174" s="0" t="n">
        <f aca="false">IF(OR(B174="NW",COUNT(Risk_Rank_Keys!D174)=0),0.5,(SUMPRODUCT(--ISNUMBER(Risk_Rank_Keys!$D$2:$D$800),--(Risk_Rank_Keys!$D$2:$D$800&lt;Risk_Rank_Keys!D174))+(SUMPRODUCT(--ISNUMBER(Risk_Rank_Keys!$D$2:$D$800),--(Risk_Rank_Keys!$D$2:$D$800=Risk_Rank_Keys!D174))+1)/2)/COUNT(Risk_Rank_Keys!$D$2:$D$800))</f>
        <v>0.691771269177127</v>
      </c>
      <c r="P174" s="0" t="n">
        <f aca="false">AVERAGE(M174:O174)</f>
        <v>0.481636448163645</v>
      </c>
      <c r="Q174" s="0" t="n">
        <f aca="false">0.4*H174+0.4*I174+0.2*P174</f>
        <v>0.51184668888179</v>
      </c>
      <c r="R174" s="0" t="n">
        <f aca="false">PERCENTILE($Q$2:$Q$800,0.75)</f>
        <v>0.667715717403612</v>
      </c>
      <c r="S174" s="1" t="b">
        <f aca="false">OR(Q174&gt;=R174,AND(B174="CW",COUNT(J174:L174)&lt;3))</f>
        <v>0</v>
      </c>
      <c r="T174" s="0" t="n">
        <v>0.305089162078051</v>
      </c>
      <c r="U174" s="0" t="n">
        <v>7.20531190688385</v>
      </c>
      <c r="V174" s="0" t="n">
        <v>0.51184668888179</v>
      </c>
      <c r="W174" s="0" t="n">
        <f aca="false">Q174-V174</f>
        <v>0</v>
      </c>
    </row>
    <row r="175" customFormat="false" ht="15" hidden="false" customHeight="false" outlineLevel="0" collapsed="false">
      <c r="A175" s="0" t="s">
        <v>209</v>
      </c>
      <c r="B175" s="0" t="s">
        <v>3013</v>
      </c>
      <c r="C175" s="0" t="n">
        <v>18.5971429137042</v>
      </c>
      <c r="D175" s="0" t="n">
        <f aca="false">SUMPRODUCT(Risk_Inputs!B175:AJ175,Risk_Coefs!$B$2:$AJ$2)</f>
        <v>-0.893847863495703</v>
      </c>
      <c r="E175" s="0" t="n">
        <f aca="false">1/(1+EXP(-MAX(-25,MIN(25,D175))))</f>
        <v>0.290316402203496</v>
      </c>
      <c r="F175" s="0" t="n">
        <f aca="false">SUMPRODUCT(Risk_Inputs!B175:AJ175,Risk_Coefs!$B$3:$AJ$3)</f>
        <v>9.1172239180453</v>
      </c>
      <c r="G175" s="0" t="n">
        <f aca="false">MAX(0,F175)</f>
        <v>9.1172239180453</v>
      </c>
      <c r="H175" s="0" t="n">
        <f aca="false">(SUMPRODUCT(--ISNUMBER($E$2:$E$800),--($E$2:$E$800&lt;E175))+(SUMPRODUCT(--ISNUMBER($E$2:$E$800),--($E$2:$E$800=E175))+1)/2)/COUNT($E$2:$E$800)</f>
        <v>0.526908635794744</v>
      </c>
      <c r="I175" s="0" t="n">
        <f aca="false">(SUMPRODUCT(--ISNUMBER($G$2:$G$800),--($G$2:$G$800&lt;G175))+(SUMPRODUCT(--ISNUMBER($G$2:$G$800),--($G$2:$G$800=G175))+1)/2)/COUNT($G$2:$G$800)</f>
        <v>0.692115143929912</v>
      </c>
      <c r="J175" s="0" t="n">
        <v>6.80452558617119</v>
      </c>
      <c r="K175" s="0" t="n">
        <v>2.46495891735138</v>
      </c>
      <c r="L175" s="0" t="n">
        <v>0.289995166747218</v>
      </c>
      <c r="M175" s="0" t="n">
        <f aca="false">IF(OR(B175="NW",COUNT(Risk_Rank_Keys!B175)=0),0.5,(SUMPRODUCT(--ISNUMBER(Risk_Rank_Keys!$B$2:$B$800),--(Risk_Rank_Keys!$B$2:$B$800&lt;Risk_Rank_Keys!B175))+(SUMPRODUCT(--ISNUMBER(Risk_Rank_Keys!$B$2:$B$800),--(Risk_Rank_Keys!$B$2:$B$800=Risk_Rank_Keys!B175))+1)/2)/COUNT(Risk_Rank_Keys!$B$2:$B$800))</f>
        <v>0.295676429567643</v>
      </c>
      <c r="N175" s="0" t="n">
        <f aca="false">IF(OR(B175="NW",COUNT(Risk_Rank_Keys!C175)=0),0.5,(SUMPRODUCT(--ISNUMBER(Risk_Rank_Keys!$C$2:$C$800),--(Risk_Rank_Keys!$C$2:$C$800&lt;Risk_Rank_Keys!C175))+(SUMPRODUCT(--ISNUMBER(Risk_Rank_Keys!$C$2:$C$800),--(Risk_Rank_Keys!$C$2:$C$800=Risk_Rank_Keys!C175))+1)/2)/COUNT(Risk_Rank_Keys!$C$2:$C$800))</f>
        <v>0.383542538354254</v>
      </c>
      <c r="O175" s="0" t="n">
        <f aca="false">IF(OR(B175="NW",COUNT(Risk_Rank_Keys!D175)=0),0.5,(SUMPRODUCT(--ISNUMBER(Risk_Rank_Keys!$D$2:$D$800),--(Risk_Rank_Keys!$D$2:$D$800&lt;Risk_Rank_Keys!D175))+(SUMPRODUCT(--ISNUMBER(Risk_Rank_Keys!$D$2:$D$800),--(Risk_Rank_Keys!$D$2:$D$800=Risk_Rank_Keys!D175))+1)/2)/COUNT(Risk_Rank_Keys!$D$2:$D$800))</f>
        <v>0.723849372384937</v>
      </c>
      <c r="P175" s="0" t="n">
        <f aca="false">AVERAGE(M175:O175)</f>
        <v>0.467689446768945</v>
      </c>
      <c r="Q175" s="0" t="n">
        <f aca="false">0.4*H175+0.4*I175+0.2*P175</f>
        <v>0.581147401243651</v>
      </c>
      <c r="R175" s="0" t="n">
        <f aca="false">PERCENTILE($Q$2:$Q$800,0.75)</f>
        <v>0.667715717403612</v>
      </c>
      <c r="S175" s="1" t="b">
        <f aca="false">OR(Q175&gt;=R175,AND(B175="CW",COUNT(J175:L175)&lt;3))</f>
        <v>0</v>
      </c>
      <c r="T175" s="0" t="n">
        <v>0.290316402203496</v>
      </c>
      <c r="U175" s="0" t="n">
        <v>9.1172239180453</v>
      </c>
      <c r="V175" s="0" t="n">
        <v>0.581147401243651</v>
      </c>
      <c r="W175" s="0" t="n">
        <f aca="false">Q175-V175</f>
        <v>0</v>
      </c>
    </row>
    <row r="176" customFormat="false" ht="15" hidden="false" customHeight="false" outlineLevel="0" collapsed="false">
      <c r="A176" s="0" t="s">
        <v>210</v>
      </c>
      <c r="B176" s="0" t="s">
        <v>3013</v>
      </c>
      <c r="C176" s="0" t="n">
        <v>13.2288820558992</v>
      </c>
      <c r="D176" s="0" t="n">
        <f aca="false">SUMPRODUCT(Risk_Inputs!B176:AJ176,Risk_Coefs!$B$2:$AJ$2)</f>
        <v>-0.614409089479613</v>
      </c>
      <c r="E176" s="0" t="n">
        <f aca="false">1/(1+EXP(-MAX(-25,MIN(25,D176))))</f>
        <v>0.351054082251614</v>
      </c>
      <c r="F176" s="0" t="n">
        <f aca="false">SUMPRODUCT(Risk_Inputs!B176:AJ176,Risk_Coefs!$B$3:$AJ$3)</f>
        <v>6.80939478628593</v>
      </c>
      <c r="G176" s="0" t="n">
        <f aca="false">MAX(0,F176)</f>
        <v>6.80939478628593</v>
      </c>
      <c r="H176" s="0" t="n">
        <f aca="false">(SUMPRODUCT(--ISNUMBER($E$2:$E$800),--($E$2:$E$800&lt;E176))+(SUMPRODUCT(--ISNUMBER($E$2:$E$800),--($E$2:$E$800=E176))+1)/2)/COUNT($E$2:$E$800)</f>
        <v>0.818523153942428</v>
      </c>
      <c r="I176" s="0" t="n">
        <f aca="false">(SUMPRODUCT(--ISNUMBER($G$2:$G$800),--($G$2:$G$800&lt;G176))+(SUMPRODUCT(--ISNUMBER($G$2:$G$800),--($G$2:$G$800=G176))+1)/2)/COUNT($G$2:$G$800)</f>
        <v>0.397997496871089</v>
      </c>
      <c r="J176" s="0" t="n">
        <v>10.3733512184225</v>
      </c>
      <c r="K176" s="0" t="n">
        <v>2.25137674117266</v>
      </c>
      <c r="L176" s="0" t="n">
        <v>0.210560414642049</v>
      </c>
      <c r="M176" s="0" t="n">
        <f aca="false">IF(OR(B176="NW",COUNT(Risk_Rank_Keys!B176)=0),0.5,(SUMPRODUCT(--ISNUMBER(Risk_Rank_Keys!$B$2:$B$800),--(Risk_Rank_Keys!$B$2:$B$800&lt;Risk_Rank_Keys!B176))+(SUMPRODUCT(--ISNUMBER(Risk_Rank_Keys!$B$2:$B$800),--(Risk_Rank_Keys!$B$2:$B$800=Risk_Rank_Keys!B176))+1)/2)/COUNT(Risk_Rank_Keys!$B$2:$B$800))</f>
        <v>0.524407252440725</v>
      </c>
      <c r="N176" s="0" t="n">
        <f aca="false">IF(OR(B176="NW",COUNT(Risk_Rank_Keys!C176)=0),0.5,(SUMPRODUCT(--ISNUMBER(Risk_Rank_Keys!$C$2:$C$800),--(Risk_Rank_Keys!$C$2:$C$800&lt;Risk_Rank_Keys!C176))+(SUMPRODUCT(--ISNUMBER(Risk_Rank_Keys!$C$2:$C$800),--(Risk_Rank_Keys!$C$2:$C$800=Risk_Rank_Keys!C176))+1)/2)/COUNT(Risk_Rank_Keys!$C$2:$C$800))</f>
        <v>0.324965132496513</v>
      </c>
      <c r="O176" s="0" t="n">
        <f aca="false">IF(OR(B176="NW",COUNT(Risk_Rank_Keys!D176)=0),0.5,(SUMPRODUCT(--ISNUMBER(Risk_Rank_Keys!$D$2:$D$800),--(Risk_Rank_Keys!$D$2:$D$800&lt;Risk_Rank_Keys!D176))+(SUMPRODUCT(--ISNUMBER(Risk_Rank_Keys!$D$2:$D$800),--(Risk_Rank_Keys!$D$2:$D$800=Risk_Rank_Keys!D176))+1)/2)/COUNT(Risk_Rank_Keys!$D$2:$D$800))</f>
        <v>0.383542538354254</v>
      </c>
      <c r="P176" s="0" t="n">
        <f aca="false">AVERAGE(M176:O176)</f>
        <v>0.410971641097164</v>
      </c>
      <c r="Q176" s="0" t="n">
        <f aca="false">0.4*H176+0.4*I176+0.2*P176</f>
        <v>0.56880258854484</v>
      </c>
      <c r="R176" s="0" t="n">
        <f aca="false">PERCENTILE($Q$2:$Q$800,0.75)</f>
        <v>0.667715717403612</v>
      </c>
      <c r="S176" s="1" t="b">
        <f aca="false">OR(Q176&gt;=R176,AND(B176="CW",COUNT(J176:L176)&lt;3))</f>
        <v>0</v>
      </c>
      <c r="T176" s="0" t="n">
        <v>0.351054082251614</v>
      </c>
      <c r="U176" s="0" t="n">
        <v>6.80939478628593</v>
      </c>
      <c r="V176" s="0" t="n">
        <v>0.56880258854484</v>
      </c>
      <c r="W176" s="0" t="n">
        <f aca="false">Q176-V176</f>
        <v>0</v>
      </c>
    </row>
    <row r="177" customFormat="false" ht="15" hidden="false" customHeight="false" outlineLevel="0" collapsed="false">
      <c r="A177" s="0" t="s">
        <v>211</v>
      </c>
      <c r="B177" s="0" t="s">
        <v>3013</v>
      </c>
      <c r="C177" s="0" t="n">
        <v>60.4211469714187</v>
      </c>
      <c r="D177" s="0" t="n">
        <f aca="false">SUMPRODUCT(Risk_Inputs!B177:AJ177,Risk_Coefs!$B$2:$AJ$2)</f>
        <v>-0.611306698517273</v>
      </c>
      <c r="E177" s="0" t="n">
        <f aca="false">1/(1+EXP(-MAX(-25,MIN(25,D177))))</f>
        <v>0.351761179975652</v>
      </c>
      <c r="F177" s="0" t="n">
        <f aca="false">SUMPRODUCT(Risk_Inputs!B177:AJ177,Risk_Coefs!$B$3:$AJ$3)</f>
        <v>8.59648096118775</v>
      </c>
      <c r="G177" s="0" t="n">
        <f aca="false">MAX(0,F177)</f>
        <v>8.59648096118775</v>
      </c>
      <c r="H177" s="0" t="n">
        <f aca="false">(SUMPRODUCT(--ISNUMBER($E$2:$E$800),--($E$2:$E$800&lt;E177))+(SUMPRODUCT(--ISNUMBER($E$2:$E$800),--($E$2:$E$800=E177))+1)/2)/COUNT($E$2:$E$800)</f>
        <v>0.822277847309136</v>
      </c>
      <c r="I177" s="0" t="n">
        <f aca="false">(SUMPRODUCT(--ISNUMBER($G$2:$G$800),--($G$2:$G$800&lt;G177))+(SUMPRODUCT(--ISNUMBER($G$2:$G$800),--($G$2:$G$800=G177))+1)/2)/COUNT($G$2:$G$800)</f>
        <v>0.620775969962453</v>
      </c>
      <c r="J177" s="0" t="n">
        <v>8.28892835997632</v>
      </c>
      <c r="K177" s="0" t="n">
        <v>1.50862068965518</v>
      </c>
      <c r="L177" s="0" t="n">
        <v>0.188577586206893</v>
      </c>
      <c r="M177" s="0" t="n">
        <f aca="false">IF(OR(B177="NW",COUNT(Risk_Rank_Keys!B177)=0),0.5,(SUMPRODUCT(--ISNUMBER(Risk_Rank_Keys!$B$2:$B$800),--(Risk_Rank_Keys!$B$2:$B$800&lt;Risk_Rank_Keys!B177))+(SUMPRODUCT(--ISNUMBER(Risk_Rank_Keys!$B$2:$B$800),--(Risk_Rank_Keys!$B$2:$B$800=Risk_Rank_Keys!B177))+1)/2)/COUNT(Risk_Rank_Keys!$B$2:$B$800))</f>
        <v>0.398884239888424</v>
      </c>
      <c r="N177" s="0" t="n">
        <f aca="false">IF(OR(B177="NW",COUNT(Risk_Rank_Keys!C177)=0),0.5,(SUMPRODUCT(--ISNUMBER(Risk_Rank_Keys!$C$2:$C$800),--(Risk_Rank_Keys!$C$2:$C$800&lt;Risk_Rank_Keys!C177))+(SUMPRODUCT(--ISNUMBER(Risk_Rank_Keys!$C$2:$C$800),--(Risk_Rank_Keys!$C$2:$C$800=Risk_Rank_Keys!C177))+1)/2)/COUNT(Risk_Rank_Keys!$C$2:$C$800))</f>
        <v>0.133891213389121</v>
      </c>
      <c r="O177" s="0" t="n">
        <f aca="false">IF(OR(B177="NW",COUNT(Risk_Rank_Keys!D177)=0),0.5,(SUMPRODUCT(--ISNUMBER(Risk_Rank_Keys!$D$2:$D$800),--(Risk_Rank_Keys!$D$2:$D$800&lt;Risk_Rank_Keys!D177))+(SUMPRODUCT(--ISNUMBER(Risk_Rank_Keys!$D$2:$D$800),--(Risk_Rank_Keys!$D$2:$D$800=Risk_Rank_Keys!D177))+1)/2)/COUNT(Risk_Rank_Keys!$D$2:$D$800))</f>
        <v>0.244072524407252</v>
      </c>
      <c r="P177" s="0" t="n">
        <f aca="false">AVERAGE(M177:O177)</f>
        <v>0.258949325894933</v>
      </c>
      <c r="Q177" s="0" t="n">
        <f aca="false">0.4*H177+0.4*I177+0.2*P177</f>
        <v>0.629011392087622</v>
      </c>
      <c r="R177" s="0" t="n">
        <f aca="false">PERCENTILE($Q$2:$Q$800,0.75)</f>
        <v>0.667715717403612</v>
      </c>
      <c r="S177" s="1" t="b">
        <f aca="false">OR(Q177&gt;=R177,AND(B177="CW",COUNT(J177:L177)&lt;3))</f>
        <v>0</v>
      </c>
      <c r="T177" s="0" t="n">
        <v>0.351761179975652</v>
      </c>
      <c r="U177" s="0" t="n">
        <v>8.59648096118775</v>
      </c>
      <c r="V177" s="0" t="n">
        <v>0.629011392087622</v>
      </c>
      <c r="W177" s="0" t="n">
        <f aca="false">Q177-V177</f>
        <v>0</v>
      </c>
    </row>
    <row r="178" customFormat="false" ht="15" hidden="false" customHeight="false" outlineLevel="0" collapsed="false">
      <c r="A178" s="0" t="s">
        <v>212</v>
      </c>
      <c r="B178" s="0" t="s">
        <v>3013</v>
      </c>
      <c r="C178" s="0" t="n">
        <v>46.6622940375151</v>
      </c>
      <c r="D178" s="0" t="n">
        <f aca="false">SUMPRODUCT(Risk_Inputs!B178:AJ178,Risk_Coefs!$B$2:$AJ$2)</f>
        <v>-0.782133930805748</v>
      </c>
      <c r="E178" s="0" t="n">
        <f aca="false">1/(1+EXP(-MAX(-25,MIN(25,D178))))</f>
        <v>0.313860157448187</v>
      </c>
      <c r="F178" s="0" t="n">
        <f aca="false">SUMPRODUCT(Risk_Inputs!B178:AJ178,Risk_Coefs!$B$3:$AJ$3)</f>
        <v>7.80115289088122</v>
      </c>
      <c r="G178" s="0" t="n">
        <f aca="false">MAX(0,F178)</f>
        <v>7.80115289088122</v>
      </c>
      <c r="H178" s="0" t="n">
        <f aca="false">(SUMPRODUCT(--ISNUMBER($E$2:$E$800),--($E$2:$E$800&lt;E178))+(SUMPRODUCT(--ISNUMBER($E$2:$E$800),--($E$2:$E$800=E178))+1)/2)/COUNT($E$2:$E$800)</f>
        <v>0.638297872340426</v>
      </c>
      <c r="I178" s="0" t="n">
        <f aca="false">(SUMPRODUCT(--ISNUMBER($G$2:$G$800),--($G$2:$G$800&lt;G178))+(SUMPRODUCT(--ISNUMBER($G$2:$G$800),--($G$2:$G$800=G178))+1)/2)/COUNT($G$2:$G$800)</f>
        <v>0.520650813516896</v>
      </c>
      <c r="J178" s="0" t="n">
        <v>8.97668701577918</v>
      </c>
      <c r="K178" s="0" t="n">
        <v>3.16488004083716</v>
      </c>
      <c r="L178" s="0" t="n">
        <v>0.357325165900971</v>
      </c>
      <c r="M178" s="0" t="n">
        <f aca="false">IF(OR(B178="NW",COUNT(Risk_Rank_Keys!B178)=0),0.5,(SUMPRODUCT(--ISNUMBER(Risk_Rank_Keys!$B$2:$B$800),--(Risk_Rank_Keys!$B$2:$B$800&lt;Risk_Rank_Keys!B178))+(SUMPRODUCT(--ISNUMBER(Risk_Rank_Keys!$B$2:$B$800),--(Risk_Rank_Keys!$B$2:$B$800=Risk_Rank_Keys!B178))+1)/2)/COUNT(Risk_Rank_Keys!$B$2:$B$800))</f>
        <v>0.440725244072524</v>
      </c>
      <c r="N178" s="0" t="n">
        <f aca="false">IF(OR(B178="NW",COUNT(Risk_Rank_Keys!C178)=0),0.5,(SUMPRODUCT(--ISNUMBER(Risk_Rank_Keys!$C$2:$C$800),--(Risk_Rank_Keys!$C$2:$C$800&lt;Risk_Rank_Keys!C178))+(SUMPRODUCT(--ISNUMBER(Risk_Rank_Keys!$C$2:$C$800),--(Risk_Rank_Keys!$C$2:$C$800=Risk_Rank_Keys!C178))+1)/2)/COUNT(Risk_Rank_Keys!$C$2:$C$800))</f>
        <v>0.489539748953975</v>
      </c>
      <c r="O178" s="0" t="n">
        <f aca="false">IF(OR(B178="NW",COUNT(Risk_Rank_Keys!D178)=0),0.5,(SUMPRODUCT(--ISNUMBER(Risk_Rank_Keys!$D$2:$D$800),--(Risk_Rank_Keys!$D$2:$D$800&lt;Risk_Rank_Keys!D178))+(SUMPRODUCT(--ISNUMBER(Risk_Rank_Keys!$D$2:$D$800),--(Risk_Rank_Keys!$D$2:$D$800=Risk_Rank_Keys!D178))+1)/2)/COUNT(Risk_Rank_Keys!$D$2:$D$800))</f>
        <v>0.845188284518828</v>
      </c>
      <c r="P178" s="0" t="n">
        <f aca="false">AVERAGE(M178:O178)</f>
        <v>0.591817759181776</v>
      </c>
      <c r="Q178" s="0" t="n">
        <f aca="false">0.4*H178+0.4*I178+0.2*P178</f>
        <v>0.581943026179284</v>
      </c>
      <c r="R178" s="0" t="n">
        <f aca="false">PERCENTILE($Q$2:$Q$800,0.75)</f>
        <v>0.667715717403612</v>
      </c>
      <c r="S178" s="1" t="b">
        <f aca="false">OR(Q178&gt;=R178,AND(B178="CW",COUNT(J178:L178)&lt;3))</f>
        <v>0</v>
      </c>
      <c r="T178" s="0" t="n">
        <v>0.313860157448187</v>
      </c>
      <c r="U178" s="0" t="n">
        <v>7.80115289088122</v>
      </c>
      <c r="V178" s="0" t="n">
        <v>0.581943026179284</v>
      </c>
      <c r="W178" s="0" t="n">
        <f aca="false">Q178-V178</f>
        <v>0</v>
      </c>
    </row>
    <row r="179" customFormat="false" ht="15" hidden="false" customHeight="false" outlineLevel="0" collapsed="false">
      <c r="A179" s="0" t="s">
        <v>213</v>
      </c>
      <c r="B179" s="0" t="s">
        <v>3013</v>
      </c>
      <c r="C179" s="0" t="n">
        <v>-2.34885638790922</v>
      </c>
      <c r="D179" s="0" t="n">
        <f aca="false">SUMPRODUCT(Risk_Inputs!B179:AJ179,Risk_Coefs!$B$2:$AJ$2)</f>
        <v>-1.27542696486511</v>
      </c>
      <c r="E179" s="0" t="n">
        <f aca="false">1/(1+EXP(-MAX(-25,MIN(25,D179))))</f>
        <v>0.218329660733561</v>
      </c>
      <c r="F179" s="0" t="n">
        <f aca="false">SUMPRODUCT(Risk_Inputs!B179:AJ179,Risk_Coefs!$B$3:$AJ$3)</f>
        <v>6.31746235296895</v>
      </c>
      <c r="G179" s="0" t="n">
        <f aca="false">MAX(0,F179)</f>
        <v>6.31746235296895</v>
      </c>
      <c r="H179" s="0" t="n">
        <f aca="false">(SUMPRODUCT(--ISNUMBER($E$2:$E$800),--($E$2:$E$800&lt;E179))+(SUMPRODUCT(--ISNUMBER($E$2:$E$800),--($E$2:$E$800=E179))+1)/2)/COUNT($E$2:$E$800)</f>
        <v>0.143929912390488</v>
      </c>
      <c r="I179" s="0" t="n">
        <f aca="false">(SUMPRODUCT(--ISNUMBER($G$2:$G$800),--($G$2:$G$800&lt;G179))+(SUMPRODUCT(--ISNUMBER($G$2:$G$800),--($G$2:$G$800=G179))+1)/2)/COUNT($G$2:$G$800)</f>
        <v>0.314142678347935</v>
      </c>
      <c r="J179" s="0" t="n">
        <v>20.7840649655495</v>
      </c>
      <c r="K179" s="0" t="n">
        <v>4.26950099081247</v>
      </c>
      <c r="L179" s="0" t="n">
        <v>0.360295442262666</v>
      </c>
      <c r="M179" s="0" t="n">
        <f aca="false">IF(OR(B179="NW",COUNT(Risk_Rank_Keys!B179)=0),0.5,(SUMPRODUCT(--ISNUMBER(Risk_Rank_Keys!$B$2:$B$800),--(Risk_Rank_Keys!$B$2:$B$800&lt;Risk_Rank_Keys!B179))+(SUMPRODUCT(--ISNUMBER(Risk_Rank_Keys!$B$2:$B$800),--(Risk_Rank_Keys!$B$2:$B$800=Risk_Rank_Keys!B179))+1)/2)/COUNT(Risk_Rank_Keys!$B$2:$B$800))</f>
        <v>0.803347280334728</v>
      </c>
      <c r="N179" s="0" t="n">
        <f aca="false">IF(OR(B179="NW",COUNT(Risk_Rank_Keys!C179)=0),0.5,(SUMPRODUCT(--ISNUMBER(Risk_Rank_Keys!$C$2:$C$800),--(Risk_Rank_Keys!$C$2:$C$800&lt;Risk_Rank_Keys!C179))+(SUMPRODUCT(--ISNUMBER(Risk_Rank_Keys!$C$2:$C$800),--(Risk_Rank_Keys!$C$2:$C$800=Risk_Rank_Keys!C179))+1)/2)/COUNT(Risk_Rank_Keys!$C$2:$C$800))</f>
        <v>0.626220362622036</v>
      </c>
      <c r="O179" s="0" t="n">
        <f aca="false">IF(OR(B179="NW",COUNT(Risk_Rank_Keys!D179)=0),0.5,(SUMPRODUCT(--ISNUMBER(Risk_Rank_Keys!$D$2:$D$800),--(Risk_Rank_Keys!$D$2:$D$800&lt;Risk_Rank_Keys!D179))+(SUMPRODUCT(--ISNUMBER(Risk_Rank_Keys!$D$2:$D$800),--(Risk_Rank_Keys!$D$2:$D$800=Risk_Rank_Keys!D179))+1)/2)/COUNT(Risk_Rank_Keys!$D$2:$D$800))</f>
        <v>0.849372384937239</v>
      </c>
      <c r="P179" s="0" t="n">
        <f aca="false">AVERAGE(M179:O179)</f>
        <v>0.759646675964668</v>
      </c>
      <c r="Q179" s="0" t="n">
        <f aca="false">0.4*H179+0.4*I179+0.2*P179</f>
        <v>0.335158371488303</v>
      </c>
      <c r="R179" s="0" t="n">
        <f aca="false">PERCENTILE($Q$2:$Q$800,0.75)</f>
        <v>0.667715717403612</v>
      </c>
      <c r="S179" s="1" t="b">
        <f aca="false">OR(Q179&gt;=R179,AND(B179="CW",COUNT(J179:L179)&lt;3))</f>
        <v>0</v>
      </c>
      <c r="T179" s="0" t="n">
        <v>0.218329660733561</v>
      </c>
      <c r="U179" s="0" t="n">
        <v>6.31746235296894</v>
      </c>
      <c r="V179" s="0" t="n">
        <v>0.335158371488303</v>
      </c>
      <c r="W179" s="0" t="n">
        <f aca="false">Q179-V179</f>
        <v>0</v>
      </c>
    </row>
    <row r="180" customFormat="false" ht="15" hidden="false" customHeight="false" outlineLevel="0" collapsed="false">
      <c r="A180" s="0" t="s">
        <v>214</v>
      </c>
      <c r="B180" s="0" t="s">
        <v>3013</v>
      </c>
      <c r="C180" s="0" t="n">
        <v>-7.35783428291859</v>
      </c>
      <c r="D180" s="0" t="n">
        <f aca="false">SUMPRODUCT(Risk_Inputs!B180:AJ180,Risk_Coefs!$B$2:$AJ$2)</f>
        <v>-1.66074975324705</v>
      </c>
      <c r="E180" s="0" t="n">
        <f aca="false">1/(1+EXP(-MAX(-25,MIN(25,D180))))</f>
        <v>0.15966137716363</v>
      </c>
      <c r="F180" s="0" t="n">
        <f aca="false">SUMPRODUCT(Risk_Inputs!B180:AJ180,Risk_Coefs!$B$3:$AJ$3)</f>
        <v>2.5654004296489</v>
      </c>
      <c r="G180" s="0" t="n">
        <f aca="false">MAX(0,F180)</f>
        <v>2.5654004296489</v>
      </c>
      <c r="H180" s="0" t="n">
        <f aca="false">(SUMPRODUCT(--ISNUMBER($E$2:$E$800),--($E$2:$E$800&lt;E180))+(SUMPRODUCT(--ISNUMBER($E$2:$E$800),--($E$2:$E$800=E180))+1)/2)/COUNT($E$2:$E$800)</f>
        <v>0.0350438047559449</v>
      </c>
      <c r="I180" s="0" t="n">
        <f aca="false">(SUMPRODUCT(--ISNUMBER($G$2:$G$800),--($G$2:$G$800&lt;G180))+(SUMPRODUCT(--ISNUMBER($G$2:$G$800),--($G$2:$G$800=G180))+1)/2)/COUNT($G$2:$G$800)</f>
        <v>0.0175219023779725</v>
      </c>
      <c r="J180" s="0" t="n">
        <v>42.2609457922682</v>
      </c>
      <c r="K180" s="0" t="n">
        <v>15.5836796373253</v>
      </c>
      <c r="L180" s="0" t="n">
        <v>0.321118247072166</v>
      </c>
      <c r="M180" s="0" t="n">
        <f aca="false">IF(OR(B180="NW",COUNT(Risk_Rank_Keys!B180)=0),0.5,(SUMPRODUCT(--ISNUMBER(Risk_Rank_Keys!$B$2:$B$800),--(Risk_Rank_Keys!$B$2:$B$800&lt;Risk_Rank_Keys!B180))+(SUMPRODUCT(--ISNUMBER(Risk_Rank_Keys!$B$2:$B$800),--(Risk_Rank_Keys!$B$2:$B$800=Risk_Rank_Keys!B180))+1)/2)/COUNT(Risk_Rank_Keys!$B$2:$B$800))</f>
        <v>0.95955369595537</v>
      </c>
      <c r="N180" s="0" t="n">
        <f aca="false">IF(OR(B180="NW",COUNT(Risk_Rank_Keys!C180)=0),0.5,(SUMPRODUCT(--ISNUMBER(Risk_Rank_Keys!$C$2:$C$800),--(Risk_Rank_Keys!$C$2:$C$800&lt;Risk_Rank_Keys!C180))+(SUMPRODUCT(--ISNUMBER(Risk_Rank_Keys!$C$2:$C$800),--(Risk_Rank_Keys!$C$2:$C$800=Risk_Rank_Keys!C180))+1)/2)/COUNT(Risk_Rank_Keys!$C$2:$C$800))</f>
        <v>0.935843793584379</v>
      </c>
      <c r="O180" s="0" t="n">
        <f aca="false">IF(OR(B180="NW",COUNT(Risk_Rank_Keys!D180)=0),0.5,(SUMPRODUCT(--ISNUMBER(Risk_Rank_Keys!$D$2:$D$800),--(Risk_Rank_Keys!$D$2:$D$800&lt;Risk_Rank_Keys!D180))+(SUMPRODUCT(--ISNUMBER(Risk_Rank_Keys!$D$2:$D$800),--(Risk_Rank_Keys!$D$2:$D$800=Risk_Rank_Keys!D180))+1)/2)/COUNT(Risk_Rank_Keys!$D$2:$D$800))</f>
        <v>0.776847977684798</v>
      </c>
      <c r="P180" s="0" t="n">
        <f aca="false">AVERAGE(M180:O180)</f>
        <v>0.890748489074849</v>
      </c>
      <c r="Q180" s="0" t="n">
        <f aca="false">0.4*H180+0.4*I180+0.2*P180</f>
        <v>0.199175980668537</v>
      </c>
      <c r="R180" s="0" t="n">
        <f aca="false">PERCENTILE($Q$2:$Q$800,0.75)</f>
        <v>0.667715717403612</v>
      </c>
      <c r="S180" s="1" t="b">
        <f aca="false">OR(Q180&gt;=R180,AND(B180="CW",COUNT(J180:L180)&lt;3))</f>
        <v>0</v>
      </c>
      <c r="T180" s="0" t="n">
        <v>0.15966137716363</v>
      </c>
      <c r="U180" s="0" t="n">
        <v>2.5654004296489</v>
      </c>
      <c r="V180" s="0" t="n">
        <v>0.199175980668537</v>
      </c>
      <c r="W180" s="0" t="n">
        <f aca="false">Q180-V180</f>
        <v>0</v>
      </c>
    </row>
    <row r="181" customFormat="false" ht="15" hidden="false" customHeight="false" outlineLevel="0" collapsed="false">
      <c r="A181" s="0" t="s">
        <v>215</v>
      </c>
      <c r="B181" s="0" t="s">
        <v>3013</v>
      </c>
      <c r="C181" s="0" t="n">
        <v>29.835692910722</v>
      </c>
      <c r="D181" s="0" t="n">
        <f aca="false">SUMPRODUCT(Risk_Inputs!B181:AJ181,Risk_Coefs!$B$2:$AJ$2)</f>
        <v>-1.09112583802637</v>
      </c>
      <c r="E181" s="0" t="n">
        <f aca="false">1/(1+EXP(-MAX(-25,MIN(25,D181))))</f>
        <v>0.251406335041403</v>
      </c>
      <c r="F181" s="0" t="n">
        <f aca="false">SUMPRODUCT(Risk_Inputs!B181:AJ181,Risk_Coefs!$B$3:$AJ$3)</f>
        <v>6.43957756734362</v>
      </c>
      <c r="G181" s="0" t="n">
        <f aca="false">MAX(0,F181)</f>
        <v>6.43957756734362</v>
      </c>
      <c r="H181" s="0" t="n">
        <f aca="false">(SUMPRODUCT(--ISNUMBER($E$2:$E$800),--($E$2:$E$800&lt;E181))+(SUMPRODUCT(--ISNUMBER($E$2:$E$800),--($E$2:$E$800=E181))+1)/2)/COUNT($E$2:$E$800)</f>
        <v>0.276595744680851</v>
      </c>
      <c r="I181" s="0" t="n">
        <f aca="false">(SUMPRODUCT(--ISNUMBER($G$2:$G$800),--($G$2:$G$800&lt;G181))+(SUMPRODUCT(--ISNUMBER($G$2:$G$800),--($G$2:$G$800=G181))+1)/2)/COUNT($G$2:$G$800)</f>
        <v>0.330413016270338</v>
      </c>
      <c r="J181" s="0" t="n">
        <v>12.1229740533461</v>
      </c>
      <c r="K181" s="0" t="n">
        <v>3.30417881438287</v>
      </c>
      <c r="L181" s="0" t="n">
        <v>0.259151279559447</v>
      </c>
      <c r="M181" s="0" t="n">
        <f aca="false">IF(OR(B181="NW",COUNT(Risk_Rank_Keys!B181)=0),0.5,(SUMPRODUCT(--ISNUMBER(Risk_Rank_Keys!$B$2:$B$800),--(Risk_Rank_Keys!$B$2:$B$800&lt;Risk_Rank_Keys!B181))+(SUMPRODUCT(--ISNUMBER(Risk_Rank_Keys!$B$2:$B$800),--(Risk_Rank_Keys!$B$2:$B$800=Risk_Rank_Keys!B181))+1)/2)/COUNT(Risk_Rank_Keys!$B$2:$B$800))</f>
        <v>0.606694560669456</v>
      </c>
      <c r="N181" s="0" t="n">
        <f aca="false">IF(OR(B181="NW",COUNT(Risk_Rank_Keys!C181)=0),0.5,(SUMPRODUCT(--ISNUMBER(Risk_Rank_Keys!$C$2:$C$800),--(Risk_Rank_Keys!$C$2:$C$800&lt;Risk_Rank_Keys!C181))+(SUMPRODUCT(--ISNUMBER(Risk_Rank_Keys!$C$2:$C$800),--(Risk_Rank_Keys!$C$2:$C$800=Risk_Rank_Keys!C181))+1)/2)/COUNT(Risk_Rank_Keys!$C$2:$C$800))</f>
        <v>0.507670850767085</v>
      </c>
      <c r="O181" s="0" t="n">
        <f aca="false">IF(OR(B181="NW",COUNT(Risk_Rank_Keys!D181)=0),0.5,(SUMPRODUCT(--ISNUMBER(Risk_Rank_Keys!$D$2:$D$800),--(Risk_Rank_Keys!$D$2:$D$800&lt;Risk_Rank_Keys!D181))+(SUMPRODUCT(--ISNUMBER(Risk_Rank_Keys!$D$2:$D$800),--(Risk_Rank_Keys!$D$2:$D$800=Risk_Rank_Keys!D181))+1)/2)/COUNT(Risk_Rank_Keys!$D$2:$D$800))</f>
        <v>0.624825662482566</v>
      </c>
      <c r="P181" s="0" t="n">
        <f aca="false">AVERAGE(M181:O181)</f>
        <v>0.579730357973036</v>
      </c>
      <c r="Q181" s="0" t="n">
        <f aca="false">0.4*H181+0.4*I181+0.2*P181</f>
        <v>0.358749575975083</v>
      </c>
      <c r="R181" s="0" t="n">
        <f aca="false">PERCENTILE($Q$2:$Q$800,0.75)</f>
        <v>0.667715717403612</v>
      </c>
      <c r="S181" s="1" t="b">
        <f aca="false">OR(Q181&gt;=R181,AND(B181="CW",COUNT(J181:L181)&lt;3))</f>
        <v>0</v>
      </c>
      <c r="T181" s="0" t="n">
        <v>0.251406335041403</v>
      </c>
      <c r="U181" s="0" t="n">
        <v>6.43957756734362</v>
      </c>
      <c r="V181" s="0" t="n">
        <v>0.358749575975083</v>
      </c>
      <c r="W181" s="0" t="n">
        <f aca="false">Q181-V181</f>
        <v>0</v>
      </c>
    </row>
    <row r="182" customFormat="false" ht="15" hidden="false" customHeight="false" outlineLevel="0" collapsed="false">
      <c r="A182" s="0" t="s">
        <v>216</v>
      </c>
      <c r="B182" s="0" t="s">
        <v>3013</v>
      </c>
      <c r="C182" s="0" t="n">
        <v>27.9538519365852</v>
      </c>
      <c r="D182" s="0" t="n">
        <f aca="false">SUMPRODUCT(Risk_Inputs!B182:AJ182,Risk_Coefs!$B$2:$AJ$2)</f>
        <v>-1.37599677960982</v>
      </c>
      <c r="E182" s="0" t="n">
        <f aca="false">1/(1+EXP(-MAX(-25,MIN(25,D182))))</f>
        <v>0.201652704093752</v>
      </c>
      <c r="F182" s="0" t="n">
        <f aca="false">SUMPRODUCT(Risk_Inputs!B182:AJ182,Risk_Coefs!$B$3:$AJ$3)</f>
        <v>6.54944279302069</v>
      </c>
      <c r="G182" s="0" t="n">
        <f aca="false">MAX(0,F182)</f>
        <v>6.54944279302069</v>
      </c>
      <c r="H182" s="0" t="n">
        <f aca="false">(SUMPRODUCT(--ISNUMBER($E$2:$E$800),--($E$2:$E$800&lt;E182))+(SUMPRODUCT(--ISNUMBER($E$2:$E$800),--($E$2:$E$800=E182))+1)/2)/COUNT($E$2:$E$800)</f>
        <v>0.105131414267835</v>
      </c>
      <c r="I182" s="0" t="n">
        <f aca="false">(SUMPRODUCT(--ISNUMBER($G$2:$G$800),--($G$2:$G$800&lt;G182))+(SUMPRODUCT(--ISNUMBER($G$2:$G$800),--($G$2:$G$800=G182))+1)/2)/COUNT($G$2:$G$800)</f>
        <v>0.350438047559449</v>
      </c>
      <c r="J182" s="0" t="n">
        <v>27.3205740233195</v>
      </c>
      <c r="K182" s="0" t="n">
        <v>7.53623188405798</v>
      </c>
      <c r="L182" s="0" t="n">
        <v>0.772946859903386</v>
      </c>
      <c r="M182" s="0" t="n">
        <f aca="false">IF(OR(B182="NW",COUNT(Risk_Rank_Keys!B182)=0),0.5,(SUMPRODUCT(--ISNUMBER(Risk_Rank_Keys!$B$2:$B$800),--(Risk_Rank_Keys!$B$2:$B$800&lt;Risk_Rank_Keys!B182))+(SUMPRODUCT(--ISNUMBER(Risk_Rank_Keys!$B$2:$B$800),--(Risk_Rank_Keys!$B$2:$B$800=Risk_Rank_Keys!B182))+1)/2)/COUNT(Risk_Rank_Keys!$B$2:$B$800))</f>
        <v>0.889818688981869</v>
      </c>
      <c r="N182" s="0" t="n">
        <f aca="false">IF(OR(B182="NW",COUNT(Risk_Rank_Keys!C182)=0),0.5,(SUMPRODUCT(--ISNUMBER(Risk_Rank_Keys!$C$2:$C$800),--(Risk_Rank_Keys!$C$2:$C$800&lt;Risk_Rank_Keys!C182))+(SUMPRODUCT(--ISNUMBER(Risk_Rank_Keys!$C$2:$C$800),--(Risk_Rank_Keys!$C$2:$C$800=Risk_Rank_Keys!C182))+1)/2)/COUNT(Risk_Rank_Keys!$C$2:$C$800))</f>
        <v>0.808926080892608</v>
      </c>
      <c r="O182" s="0" t="n">
        <f aca="false">IF(OR(B182="NW",COUNT(Risk_Rank_Keys!D182)=0),0.5,(SUMPRODUCT(--ISNUMBER(Risk_Rank_Keys!$D$2:$D$800),--(Risk_Rank_Keys!$D$2:$D$800&lt;Risk_Rank_Keys!D182))+(SUMPRODUCT(--ISNUMBER(Risk_Rank_Keys!$D$2:$D$800),--(Risk_Rank_Keys!$D$2:$D$800=Risk_Rank_Keys!D182))+1)/2)/COUNT(Risk_Rank_Keys!$D$2:$D$800))</f>
        <v>0.99163179916318</v>
      </c>
      <c r="P182" s="0" t="n">
        <f aca="false">AVERAGE(M182:O182)</f>
        <v>0.896792189679219</v>
      </c>
      <c r="Q182" s="0" t="n">
        <f aca="false">0.4*H182+0.4*I182+0.2*P182</f>
        <v>0.361586222666757</v>
      </c>
      <c r="R182" s="0" t="n">
        <f aca="false">PERCENTILE($Q$2:$Q$800,0.75)</f>
        <v>0.667715717403612</v>
      </c>
      <c r="S182" s="1" t="b">
        <f aca="false">OR(Q182&gt;=R182,AND(B182="CW",COUNT(J182:L182)&lt;3))</f>
        <v>0</v>
      </c>
      <c r="T182" s="0" t="n">
        <v>0.201652704093752</v>
      </c>
      <c r="U182" s="0" t="n">
        <v>6.54944279302069</v>
      </c>
      <c r="V182" s="0" t="n">
        <v>0.361586222666757</v>
      </c>
      <c r="W182" s="0" t="n">
        <f aca="false">Q182-V182</f>
        <v>0</v>
      </c>
    </row>
    <row r="183" customFormat="false" ht="15" hidden="false" customHeight="false" outlineLevel="0" collapsed="false">
      <c r="A183" s="0" t="s">
        <v>217</v>
      </c>
      <c r="B183" s="0" t="s">
        <v>3013</v>
      </c>
      <c r="C183" s="0" t="n">
        <v>18.0644366683728</v>
      </c>
      <c r="D183" s="0" t="n">
        <f aca="false">SUMPRODUCT(Risk_Inputs!B183:AJ183,Risk_Coefs!$B$2:$AJ$2)</f>
        <v>-1.28587147613067</v>
      </c>
      <c r="E183" s="0" t="n">
        <f aca="false">1/(1+EXP(-MAX(-25,MIN(25,D183))))</f>
        <v>0.216552426051159</v>
      </c>
      <c r="F183" s="0" t="n">
        <f aca="false">SUMPRODUCT(Risk_Inputs!B183:AJ183,Risk_Coefs!$B$3:$AJ$3)</f>
        <v>7.29330058921912</v>
      </c>
      <c r="G183" s="0" t="n">
        <f aca="false">MAX(0,F183)</f>
        <v>7.29330058921912</v>
      </c>
      <c r="H183" s="0" t="n">
        <f aca="false">(SUMPRODUCT(--ISNUMBER($E$2:$E$800),--($E$2:$E$800&lt;E183))+(SUMPRODUCT(--ISNUMBER($E$2:$E$800),--($E$2:$E$800=E183))+1)/2)/COUNT($E$2:$E$800)</f>
        <v>0.133917396745932</v>
      </c>
      <c r="I183" s="0" t="n">
        <f aca="false">(SUMPRODUCT(--ISNUMBER($G$2:$G$800),--($G$2:$G$800&lt;G183))+(SUMPRODUCT(--ISNUMBER($G$2:$G$800),--($G$2:$G$800=G183))+1)/2)/COUNT($G$2:$G$800)</f>
        <v>0.449311639549437</v>
      </c>
      <c r="J183" s="0" t="n">
        <v>13.1549274599735</v>
      </c>
      <c r="K183" s="0" t="n">
        <v>2.04797047970478</v>
      </c>
      <c r="L183" s="0" t="n">
        <v>0.239852398523977</v>
      </c>
      <c r="M183" s="0" t="n">
        <f aca="false">IF(OR(B183="NW",COUNT(Risk_Rank_Keys!B183)=0),0.5,(SUMPRODUCT(--ISNUMBER(Risk_Rank_Keys!$B$2:$B$800),--(Risk_Rank_Keys!$B$2:$B$800&lt;Risk_Rank_Keys!B183))+(SUMPRODUCT(--ISNUMBER(Risk_Rank_Keys!$B$2:$B$800),--(Risk_Rank_Keys!$B$2:$B$800=Risk_Rank_Keys!B183))+1)/2)/COUNT(Risk_Rank_Keys!$B$2:$B$800))</f>
        <v>0.648535564853557</v>
      </c>
      <c r="N183" s="0" t="n">
        <f aca="false">IF(OR(B183="NW",COUNT(Risk_Rank_Keys!C183)=0),0.5,(SUMPRODUCT(--ISNUMBER(Risk_Rank_Keys!$C$2:$C$800),--(Risk_Rank_Keys!$C$2:$C$800&lt;Risk_Rank_Keys!C183))+(SUMPRODUCT(--ISNUMBER(Risk_Rank_Keys!$C$2:$C$800),--(Risk_Rank_Keys!$C$2:$C$800=Risk_Rank_Keys!C183))+1)/2)/COUNT(Risk_Rank_Keys!$C$2:$C$800))</f>
        <v>0.284518828451883</v>
      </c>
      <c r="O183" s="0" t="n">
        <f aca="false">IF(OR(B183="NW",COUNT(Risk_Rank_Keys!D183)=0),0.5,(SUMPRODUCT(--ISNUMBER(Risk_Rank_Keys!$D$2:$D$800),--(Risk_Rank_Keys!$D$2:$D$800&lt;Risk_Rank_Keys!D183))+(SUMPRODUCT(--ISNUMBER(Risk_Rank_Keys!$D$2:$D$800),--(Risk_Rank_Keys!$D$2:$D$800=Risk_Rank_Keys!D183))+1)/2)/COUNT(Risk_Rank_Keys!$D$2:$D$800))</f>
        <v>0.542538354253836</v>
      </c>
      <c r="P183" s="0" t="n">
        <f aca="false">AVERAGE(M183:O183)</f>
        <v>0.491864249186425</v>
      </c>
      <c r="Q183" s="0" t="n">
        <f aca="false">0.4*H183+0.4*I183+0.2*P183</f>
        <v>0.331664464355433</v>
      </c>
      <c r="R183" s="0" t="n">
        <f aca="false">PERCENTILE($Q$2:$Q$800,0.75)</f>
        <v>0.667715717403612</v>
      </c>
      <c r="S183" s="1" t="b">
        <f aca="false">OR(Q183&gt;=R183,AND(B183="CW",COUNT(J183:L183)&lt;3))</f>
        <v>0</v>
      </c>
      <c r="T183" s="0" t="n">
        <v>0.216552426051159</v>
      </c>
      <c r="U183" s="0" t="n">
        <v>7.29330058921912</v>
      </c>
      <c r="V183" s="0" t="n">
        <v>0.331664464355433</v>
      </c>
      <c r="W183" s="0" t="n">
        <f aca="false">Q183-V183</f>
        <v>0</v>
      </c>
    </row>
    <row r="184" customFormat="false" ht="15" hidden="false" customHeight="false" outlineLevel="0" collapsed="false">
      <c r="A184" s="0" t="s">
        <v>218</v>
      </c>
      <c r="B184" s="0" t="s">
        <v>3013</v>
      </c>
      <c r="C184" s="0" t="n">
        <v>25.6997709960426</v>
      </c>
      <c r="D184" s="0" t="n">
        <f aca="false">SUMPRODUCT(Risk_Inputs!B184:AJ184,Risk_Coefs!$B$2:$AJ$2)</f>
        <v>-1.35838470207778</v>
      </c>
      <c r="E184" s="0" t="n">
        <f aca="false">1/(1+EXP(-MAX(-25,MIN(25,D184))))</f>
        <v>0.204502955942264</v>
      </c>
      <c r="F184" s="0" t="n">
        <f aca="false">SUMPRODUCT(Risk_Inputs!B184:AJ184,Risk_Coefs!$B$3:$AJ$3)</f>
        <v>4.25054420054004</v>
      </c>
      <c r="G184" s="0" t="n">
        <f aca="false">MAX(0,F184)</f>
        <v>4.25054420054004</v>
      </c>
      <c r="H184" s="0" t="n">
        <f aca="false">(SUMPRODUCT(--ISNUMBER($E$2:$E$800),--($E$2:$E$800&lt;E184))+(SUMPRODUCT(--ISNUMBER($E$2:$E$800),--($E$2:$E$800=E184))+1)/2)/COUNT($E$2:$E$800)</f>
        <v>0.108886107634543</v>
      </c>
      <c r="I184" s="0" t="n">
        <f aca="false">(SUMPRODUCT(--ISNUMBER($G$2:$G$800),--($G$2:$G$800&lt;G184))+(SUMPRODUCT(--ISNUMBER($G$2:$G$800),--($G$2:$G$800=G184))+1)/2)/COUNT($G$2:$G$800)</f>
        <v>0.0700876095118899</v>
      </c>
      <c r="J184" s="0" t="n">
        <v>18.1326996789312</v>
      </c>
      <c r="K184" s="0" t="n">
        <v>11.013431013431</v>
      </c>
      <c r="L184" s="0" t="n">
        <v>0.341880341880343</v>
      </c>
      <c r="M184" s="0" t="n">
        <f aca="false">IF(OR(B184="NW",COUNT(Risk_Rank_Keys!B184)=0),0.5,(SUMPRODUCT(--ISNUMBER(Risk_Rank_Keys!$B$2:$B$800),--(Risk_Rank_Keys!$B$2:$B$800&lt;Risk_Rank_Keys!B184))+(SUMPRODUCT(--ISNUMBER(Risk_Rank_Keys!$B$2:$B$800),--(Risk_Rank_Keys!$B$2:$B$800=Risk_Rank_Keys!B184))+1)/2)/COUNT(Risk_Rank_Keys!$B$2:$B$800))</f>
        <v>0.760111576011158</v>
      </c>
      <c r="N184" s="0" t="n">
        <f aca="false">IF(OR(B184="NW",COUNT(Risk_Rank_Keys!C184)=0),0.5,(SUMPRODUCT(--ISNUMBER(Risk_Rank_Keys!$C$2:$C$800),--(Risk_Rank_Keys!$C$2:$C$800&lt;Risk_Rank_Keys!C184))+(SUMPRODUCT(--ISNUMBER(Risk_Rank_Keys!$C$2:$C$800),--(Risk_Rank_Keys!$C$2:$C$800=Risk_Rank_Keys!C184))+1)/2)/COUNT(Risk_Rank_Keys!$C$2:$C$800))</f>
        <v>0.895397489539749</v>
      </c>
      <c r="O184" s="0" t="n">
        <f aca="false">IF(OR(B184="NW",COUNT(Risk_Rank_Keys!D184)=0),0.5,(SUMPRODUCT(--ISNUMBER(Risk_Rank_Keys!$D$2:$D$800),--(Risk_Rank_Keys!$D$2:$D$800&lt;Risk_Rank_Keys!D184))+(SUMPRODUCT(--ISNUMBER(Risk_Rank_Keys!$D$2:$D$800),--(Risk_Rank_Keys!$D$2:$D$800=Risk_Rank_Keys!D184))+1)/2)/COUNT(Risk_Rank_Keys!$D$2:$D$800))</f>
        <v>0.815899581589958</v>
      </c>
      <c r="P184" s="0" t="n">
        <f aca="false">AVERAGE(M184:O184)</f>
        <v>0.823802882380288</v>
      </c>
      <c r="Q184" s="0" t="n">
        <f aca="false">0.4*H184+0.4*I184+0.2*P184</f>
        <v>0.236350063334631</v>
      </c>
      <c r="R184" s="0" t="n">
        <f aca="false">PERCENTILE($Q$2:$Q$800,0.75)</f>
        <v>0.667715717403612</v>
      </c>
      <c r="S184" s="1" t="b">
        <f aca="false">OR(Q184&gt;=R184,AND(B184="CW",COUNT(J184:L184)&lt;3))</f>
        <v>0</v>
      </c>
      <c r="T184" s="0" t="n">
        <v>0.204502955942264</v>
      </c>
      <c r="U184" s="0" t="n">
        <v>4.25054420054004</v>
      </c>
      <c r="V184" s="0" t="n">
        <v>0.236350063334631</v>
      </c>
      <c r="W184" s="0" t="n">
        <f aca="false">Q184-V184</f>
        <v>0</v>
      </c>
    </row>
    <row r="185" customFormat="false" ht="15" hidden="false" customHeight="false" outlineLevel="0" collapsed="false">
      <c r="A185" s="0" t="s">
        <v>219</v>
      </c>
      <c r="B185" s="0" t="s">
        <v>3013</v>
      </c>
      <c r="C185" s="0" t="n">
        <v>13.3471401176538</v>
      </c>
      <c r="D185" s="0" t="n">
        <f aca="false">SUMPRODUCT(Risk_Inputs!B185:AJ185,Risk_Coefs!$B$2:$AJ$2)</f>
        <v>-0.914069577320279</v>
      </c>
      <c r="E185" s="0" t="n">
        <f aca="false">1/(1+EXP(-MAX(-25,MIN(25,D185))))</f>
        <v>0.286167798230148</v>
      </c>
      <c r="F185" s="0" t="n">
        <f aca="false">SUMPRODUCT(Risk_Inputs!B185:AJ185,Risk_Coefs!$B$3:$AJ$3)</f>
        <v>6.75392218070132</v>
      </c>
      <c r="G185" s="0" t="n">
        <f aca="false">MAX(0,F185)</f>
        <v>6.75392218070132</v>
      </c>
      <c r="H185" s="0" t="n">
        <f aca="false">(SUMPRODUCT(--ISNUMBER($E$2:$E$800),--($E$2:$E$800&lt;E185))+(SUMPRODUCT(--ISNUMBER($E$2:$E$800),--($E$2:$E$800=E185))+1)/2)/COUNT($E$2:$E$800)</f>
        <v>0.499374217772215</v>
      </c>
      <c r="I185" s="0" t="n">
        <f aca="false">(SUMPRODUCT(--ISNUMBER($G$2:$G$800),--($G$2:$G$800&lt;G185))+(SUMPRODUCT(--ISNUMBER($G$2:$G$800),--($G$2:$G$800=G185))+1)/2)/COUNT($G$2:$G$800)</f>
        <v>0.386733416770964</v>
      </c>
      <c r="J185" s="0" t="n">
        <v>12.8373310711158</v>
      </c>
      <c r="K185" s="0" t="n">
        <v>2.43161094224922</v>
      </c>
      <c r="L185" s="0" t="n">
        <v>0.202634245187425</v>
      </c>
      <c r="M185" s="0" t="n">
        <f aca="false">IF(OR(B185="NW",COUNT(Risk_Rank_Keys!B185)=0),0.5,(SUMPRODUCT(--ISNUMBER(Risk_Rank_Keys!$B$2:$B$800),--(Risk_Rank_Keys!$B$2:$B$800&lt;Risk_Rank_Keys!B185))+(SUMPRODUCT(--ISNUMBER(Risk_Rank_Keys!$B$2:$B$800),--(Risk_Rank_Keys!$B$2:$B$800=Risk_Rank_Keys!B185))+1)/2)/COUNT(Risk_Rank_Keys!$B$2:$B$800))</f>
        <v>0.631799163179916</v>
      </c>
      <c r="N185" s="0" t="n">
        <f aca="false">IF(OR(B185="NW",COUNT(Risk_Rank_Keys!C185)=0),0.5,(SUMPRODUCT(--ISNUMBER(Risk_Rank_Keys!$C$2:$C$800),--(Risk_Rank_Keys!$C$2:$C$800&lt;Risk_Rank_Keys!C185))+(SUMPRODUCT(--ISNUMBER(Risk_Rank_Keys!$C$2:$C$800),--(Risk_Rank_Keys!$C$2:$C$800=Risk_Rank_Keys!C185))+1)/2)/COUNT(Risk_Rank_Keys!$C$2:$C$800))</f>
        <v>0.372384937238494</v>
      </c>
      <c r="O185" s="0" t="n">
        <f aca="false">IF(OR(B185="NW",COUNT(Risk_Rank_Keys!D185)=0),0.5,(SUMPRODUCT(--ISNUMBER(Risk_Rank_Keys!$D$2:$D$800),--(Risk_Rank_Keys!$D$2:$D$800&lt;Risk_Rank_Keys!D185))+(SUMPRODUCT(--ISNUMBER(Risk_Rank_Keys!$D$2:$D$800),--(Risk_Rank_Keys!$D$2:$D$800=Risk_Rank_Keys!D185))+1)/2)/COUNT(Risk_Rank_Keys!$D$2:$D$800))</f>
        <v>0.329149232914923</v>
      </c>
      <c r="P185" s="0" t="n">
        <f aca="false">AVERAGE(M185:O185)</f>
        <v>0.444444444444445</v>
      </c>
      <c r="Q185" s="0" t="n">
        <f aca="false">0.4*H185+0.4*I185+0.2*P185</f>
        <v>0.443331942706161</v>
      </c>
      <c r="R185" s="0" t="n">
        <f aca="false">PERCENTILE($Q$2:$Q$800,0.75)</f>
        <v>0.667715717403612</v>
      </c>
      <c r="S185" s="1" t="b">
        <f aca="false">OR(Q185&gt;=R185,AND(B185="CW",COUNT(J185:L185)&lt;3))</f>
        <v>0</v>
      </c>
      <c r="T185" s="0" t="n">
        <v>0.286167798230148</v>
      </c>
      <c r="U185" s="0" t="n">
        <v>6.75392218070132</v>
      </c>
      <c r="V185" s="0" t="n">
        <v>0.443331942706161</v>
      </c>
      <c r="W185" s="0" t="n">
        <f aca="false">Q185-V185</f>
        <v>0</v>
      </c>
    </row>
    <row r="186" customFormat="false" ht="15" hidden="false" customHeight="false" outlineLevel="0" collapsed="false">
      <c r="A186" s="0" t="s">
        <v>220</v>
      </c>
      <c r="B186" s="0" t="s">
        <v>3013</v>
      </c>
      <c r="C186" s="0" t="n">
        <v>3.44838170072626</v>
      </c>
      <c r="D186" s="0" t="n">
        <f aca="false">SUMPRODUCT(Risk_Inputs!B186:AJ186,Risk_Coefs!$B$2:$AJ$2)</f>
        <v>-1.20054989020879</v>
      </c>
      <c r="E186" s="0" t="n">
        <f aca="false">1/(1+EXP(-MAX(-25,MIN(25,D186))))</f>
        <v>0.231377408534579</v>
      </c>
      <c r="F186" s="0" t="n">
        <f aca="false">SUMPRODUCT(Risk_Inputs!B186:AJ186,Risk_Coefs!$B$3:$AJ$3)</f>
        <v>5.28408030055412</v>
      </c>
      <c r="G186" s="0" t="n">
        <f aca="false">MAX(0,F186)</f>
        <v>5.28408030055412</v>
      </c>
      <c r="H186" s="0" t="n">
        <f aca="false">(SUMPRODUCT(--ISNUMBER($E$2:$E$800),--($E$2:$E$800&lt;E186))+(SUMPRODUCT(--ISNUMBER($E$2:$E$800),--($E$2:$E$800=E186))+1)/2)/COUNT($E$2:$E$800)</f>
        <v>0.180225281602003</v>
      </c>
      <c r="I186" s="0" t="n">
        <f aca="false">(SUMPRODUCT(--ISNUMBER($G$2:$G$800),--($G$2:$G$800&lt;G186))+(SUMPRODUCT(--ISNUMBER($G$2:$G$800),--($G$2:$G$800=G186))+1)/2)/COUNT($G$2:$G$800)</f>
        <v>0.167709637046308</v>
      </c>
      <c r="J186" s="0" t="n">
        <v>16.3081222884232</v>
      </c>
      <c r="K186" s="0" t="n">
        <v>5.71273122959739</v>
      </c>
      <c r="L186" s="0" t="n">
        <v>0.38084874863982</v>
      </c>
      <c r="M186" s="0" t="n">
        <f aca="false">IF(OR(B186="NW",COUNT(Risk_Rank_Keys!B186)=0),0.5,(SUMPRODUCT(--ISNUMBER(Risk_Rank_Keys!$B$2:$B$800),--(Risk_Rank_Keys!$B$2:$B$800&lt;Risk_Rank_Keys!B186))+(SUMPRODUCT(--ISNUMBER(Risk_Rank_Keys!$B$2:$B$800),--(Risk_Rank_Keys!$B$2:$B$800=Risk_Rank_Keys!B186))+1)/2)/COUNT(Risk_Rank_Keys!$B$2:$B$800))</f>
        <v>0.732217573221757</v>
      </c>
      <c r="N186" s="0" t="n">
        <f aca="false">IF(OR(B186="NW",COUNT(Risk_Rank_Keys!C186)=0),0.5,(SUMPRODUCT(--ISNUMBER(Risk_Rank_Keys!$C$2:$C$800),--(Risk_Rank_Keys!$C$2:$C$800&lt;Risk_Rank_Keys!C186))+(SUMPRODUCT(--ISNUMBER(Risk_Rank_Keys!$C$2:$C$800),--(Risk_Rank_Keys!$C$2:$C$800=Risk_Rank_Keys!C186))+1)/2)/COUNT(Risk_Rank_Keys!$C$2:$C$800))</f>
        <v>0.729428172942817</v>
      </c>
      <c r="O186" s="0" t="n">
        <f aca="false">IF(OR(B186="NW",COUNT(Risk_Rank_Keys!D186)=0),0.5,(SUMPRODUCT(--ISNUMBER(Risk_Rank_Keys!$D$2:$D$800),--(Risk_Rank_Keys!$D$2:$D$800&lt;Risk_Rank_Keys!D186))+(SUMPRODUCT(--ISNUMBER(Risk_Rank_Keys!$D$2:$D$800),--(Risk_Rank_Keys!$D$2:$D$800=Risk_Rank_Keys!D186))+1)/2)/COUNT(Risk_Rank_Keys!$D$2:$D$800))</f>
        <v>0.867503486750349</v>
      </c>
      <c r="P186" s="0" t="n">
        <f aca="false">AVERAGE(M186:O186)</f>
        <v>0.776383077638308</v>
      </c>
      <c r="Q186" s="0" t="n">
        <f aca="false">0.4*H186+0.4*I186+0.2*P186</f>
        <v>0.294450582986986</v>
      </c>
      <c r="R186" s="0" t="n">
        <f aca="false">PERCENTILE($Q$2:$Q$800,0.75)</f>
        <v>0.667715717403612</v>
      </c>
      <c r="S186" s="1" t="b">
        <f aca="false">OR(Q186&gt;=R186,AND(B186="CW",COUNT(J186:L186)&lt;3))</f>
        <v>0</v>
      </c>
      <c r="T186" s="0" t="n">
        <v>0.231377408534579</v>
      </c>
      <c r="U186" s="0" t="n">
        <v>5.28408030055412</v>
      </c>
      <c r="V186" s="0" t="n">
        <v>0.294450582986986</v>
      </c>
      <c r="W186" s="0" t="n">
        <f aca="false">Q186-V186</f>
        <v>0</v>
      </c>
    </row>
    <row r="187" customFormat="false" ht="15" hidden="false" customHeight="false" outlineLevel="0" collapsed="false">
      <c r="A187" s="0" t="s">
        <v>221</v>
      </c>
      <c r="B187" s="0" t="s">
        <v>3013</v>
      </c>
      <c r="C187" s="0" t="n">
        <v>28.8035531811003</v>
      </c>
      <c r="D187" s="0" t="n">
        <f aca="false">SUMPRODUCT(Risk_Inputs!B187:AJ187,Risk_Coefs!$B$2:$AJ$2)</f>
        <v>-1.09287248354102</v>
      </c>
      <c r="E187" s="0" t="n">
        <f aca="false">1/(1+EXP(-MAX(-25,MIN(25,D187))))</f>
        <v>0.25107775703124</v>
      </c>
      <c r="F187" s="0" t="n">
        <f aca="false">SUMPRODUCT(Risk_Inputs!B187:AJ187,Risk_Coefs!$B$3:$AJ$3)</f>
        <v>5.46264319758043</v>
      </c>
      <c r="G187" s="0" t="n">
        <f aca="false">MAX(0,F187)</f>
        <v>5.46264319758043</v>
      </c>
      <c r="H187" s="0" t="n">
        <f aca="false">(SUMPRODUCT(--ISNUMBER($E$2:$E$800),--($E$2:$E$800&lt;E187))+(SUMPRODUCT(--ISNUMBER($E$2:$E$800),--($E$2:$E$800=E187))+1)/2)/COUNT($E$2:$E$800)</f>
        <v>0.270337922403004</v>
      </c>
      <c r="I187" s="0" t="n">
        <f aca="false">(SUMPRODUCT(--ISNUMBER($G$2:$G$800),--($G$2:$G$800&lt;G187))+(SUMPRODUCT(--ISNUMBER($G$2:$G$800),--($G$2:$G$800=G187))+1)/2)/COUNT($G$2:$G$800)</f>
        <v>0.193992490613267</v>
      </c>
      <c r="J187" s="0" t="n">
        <v>8.39504941442533</v>
      </c>
      <c r="K187" s="0" t="n">
        <v>3.70804975357897</v>
      </c>
      <c r="L187" s="0" t="n">
        <v>0.234686693264492</v>
      </c>
      <c r="M187" s="0" t="n">
        <f aca="false">IF(OR(B187="NW",COUNT(Risk_Rank_Keys!B187)=0),0.5,(SUMPRODUCT(--ISNUMBER(Risk_Rank_Keys!$B$2:$B$800),--(Risk_Rank_Keys!$B$2:$B$800&lt;Risk_Rank_Keys!B187))+(SUMPRODUCT(--ISNUMBER(Risk_Rank_Keys!$B$2:$B$800),--(Risk_Rank_Keys!$B$2:$B$800=Risk_Rank_Keys!B187))+1)/2)/COUNT(Risk_Rank_Keys!$B$2:$B$800))</f>
        <v>0.408647140864714</v>
      </c>
      <c r="N187" s="0" t="n">
        <f aca="false">IF(OR(B187="NW",COUNT(Risk_Rank_Keys!C187)=0),0.5,(SUMPRODUCT(--ISNUMBER(Risk_Rank_Keys!$C$2:$C$800),--(Risk_Rank_Keys!$C$2:$C$800&lt;Risk_Rank_Keys!C187))+(SUMPRODUCT(--ISNUMBER(Risk_Rank_Keys!$C$2:$C$800),--(Risk_Rank_Keys!$C$2:$C$800=Risk_Rank_Keys!C187))+1)/2)/COUNT(Risk_Rank_Keys!$C$2:$C$800))</f>
        <v>0.559274755927476</v>
      </c>
      <c r="O187" s="0" t="n">
        <f aca="false">IF(OR(B187="NW",COUNT(Risk_Rank_Keys!D187)=0),0.5,(SUMPRODUCT(--ISNUMBER(Risk_Rank_Keys!$D$2:$D$800),--(Risk_Rank_Keys!$D$2:$D$800&lt;Risk_Rank_Keys!D187))+(SUMPRODUCT(--ISNUMBER(Risk_Rank_Keys!$D$2:$D$800),--(Risk_Rank_Keys!$D$2:$D$800=Risk_Rank_Keys!D187))+1)/2)/COUNT(Risk_Rank_Keys!$D$2:$D$800))</f>
        <v>0.521617852161785</v>
      </c>
      <c r="P187" s="0" t="n">
        <f aca="false">AVERAGE(M187:O187)</f>
        <v>0.496513249651325</v>
      </c>
      <c r="Q187" s="0" t="n">
        <f aca="false">0.4*H187+0.4*I187+0.2*P187</f>
        <v>0.285034815136773</v>
      </c>
      <c r="R187" s="0" t="n">
        <f aca="false">PERCENTILE($Q$2:$Q$800,0.75)</f>
        <v>0.667715717403612</v>
      </c>
      <c r="S187" s="1" t="b">
        <f aca="false">OR(Q187&gt;=R187,AND(B187="CW",COUNT(J187:L187)&lt;3))</f>
        <v>0</v>
      </c>
      <c r="T187" s="0" t="n">
        <v>0.25107775703124</v>
      </c>
      <c r="U187" s="0" t="n">
        <v>5.46264319758043</v>
      </c>
      <c r="V187" s="0" t="n">
        <v>0.285034815136773</v>
      </c>
      <c r="W187" s="0" t="n">
        <f aca="false">Q187-V187</f>
        <v>0</v>
      </c>
    </row>
    <row r="188" customFormat="false" ht="15" hidden="false" customHeight="false" outlineLevel="0" collapsed="false">
      <c r="A188" s="0" t="s">
        <v>222</v>
      </c>
      <c r="B188" s="0" t="s">
        <v>3013</v>
      </c>
      <c r="C188" s="0" t="n">
        <v>34.3932041229934</v>
      </c>
      <c r="D188" s="0" t="n">
        <f aca="false">SUMPRODUCT(Risk_Inputs!B188:AJ188,Risk_Coefs!$B$2:$AJ$2)</f>
        <v>-1.37160593094655</v>
      </c>
      <c r="E188" s="0" t="n">
        <f aca="false">1/(1+EXP(-MAX(-25,MIN(25,D188))))</f>
        <v>0.202360508035158</v>
      </c>
      <c r="F188" s="0" t="n">
        <f aca="false">SUMPRODUCT(Risk_Inputs!B188:AJ188,Risk_Coefs!$B$3:$AJ$3)</f>
        <v>6.74122622095225</v>
      </c>
      <c r="G188" s="0" t="n">
        <f aca="false">MAX(0,F188)</f>
        <v>6.74122622095225</v>
      </c>
      <c r="H188" s="0" t="n">
        <f aca="false">(SUMPRODUCT(--ISNUMBER($E$2:$E$800),--($E$2:$E$800&lt;E188))+(SUMPRODUCT(--ISNUMBER($E$2:$E$800),--($E$2:$E$800=E188))+1)/2)/COUNT($E$2:$E$800)</f>
        <v>0.106382978723404</v>
      </c>
      <c r="I188" s="0" t="n">
        <f aca="false">(SUMPRODUCT(--ISNUMBER($G$2:$G$800),--($G$2:$G$800&lt;G188))+(SUMPRODUCT(--ISNUMBER($G$2:$G$800),--($G$2:$G$800=G188))+1)/2)/COUNT($G$2:$G$800)</f>
        <v>0.384230287859825</v>
      </c>
      <c r="J188" s="0" t="n">
        <v>10.4416918295832</v>
      </c>
      <c r="K188" s="0" t="n">
        <v>5.00478163850813</v>
      </c>
      <c r="L188" s="0" t="n">
        <v>0.605674211029648</v>
      </c>
      <c r="M188" s="0" t="n">
        <f aca="false">IF(OR(B188="NW",COUNT(Risk_Rank_Keys!B188)=0),0.5,(SUMPRODUCT(--ISNUMBER(Risk_Rank_Keys!$B$2:$B$800),--(Risk_Rank_Keys!$B$2:$B$800&lt;Risk_Rank_Keys!B188))+(SUMPRODUCT(--ISNUMBER(Risk_Rank_Keys!$B$2:$B$800),--(Risk_Rank_Keys!$B$2:$B$800=Risk_Rank_Keys!B188))+1)/2)/COUNT(Risk_Rank_Keys!$B$2:$B$800))</f>
        <v>0.527196652719665</v>
      </c>
      <c r="N188" s="0" t="n">
        <f aca="false">IF(OR(B188="NW",COUNT(Risk_Rank_Keys!C188)=0),0.5,(SUMPRODUCT(--ISNUMBER(Risk_Rank_Keys!$C$2:$C$800),--(Risk_Rank_Keys!$C$2:$C$800&lt;Risk_Rank_Keys!C188))+(SUMPRODUCT(--ISNUMBER(Risk_Rank_Keys!$C$2:$C$800),--(Risk_Rank_Keys!$C$2:$C$800=Risk_Rank_Keys!C188))+1)/2)/COUNT(Risk_Rank_Keys!$C$2:$C$800))</f>
        <v>0.690376569037657</v>
      </c>
      <c r="O188" s="0" t="n">
        <f aca="false">IF(OR(B188="NW",COUNT(Risk_Rank_Keys!D188)=0),0.5,(SUMPRODUCT(--ISNUMBER(Risk_Rank_Keys!$D$2:$D$800),--(Risk_Rank_Keys!$D$2:$D$800&lt;Risk_Rank_Keys!D188))+(SUMPRODUCT(--ISNUMBER(Risk_Rank_Keys!$D$2:$D$800),--(Risk_Rank_Keys!$D$2:$D$800=Risk_Rank_Keys!D188))+1)/2)/COUNT(Risk_Rank_Keys!$D$2:$D$800))</f>
        <v>0.97768479776848</v>
      </c>
      <c r="P188" s="0" t="n">
        <f aca="false">AVERAGE(M188:O188)</f>
        <v>0.731752673175267</v>
      </c>
      <c r="Q188" s="0" t="n">
        <f aca="false">0.4*H188+0.4*I188+0.2*P188</f>
        <v>0.342595841268345</v>
      </c>
      <c r="R188" s="0" t="n">
        <f aca="false">PERCENTILE($Q$2:$Q$800,0.75)</f>
        <v>0.667715717403612</v>
      </c>
      <c r="S188" s="1" t="b">
        <f aca="false">OR(Q188&gt;=R188,AND(B188="CW",COUNT(J188:L188)&lt;3))</f>
        <v>0</v>
      </c>
      <c r="T188" s="0" t="n">
        <v>0.202360508035158</v>
      </c>
      <c r="U188" s="0" t="n">
        <v>6.74122622095225</v>
      </c>
      <c r="V188" s="0" t="n">
        <v>0.342595841268345</v>
      </c>
      <c r="W188" s="0" t="n">
        <f aca="false">Q188-V188</f>
        <v>0</v>
      </c>
    </row>
    <row r="189" customFormat="false" ht="15" hidden="false" customHeight="false" outlineLevel="0" collapsed="false">
      <c r="A189" s="0" t="s">
        <v>223</v>
      </c>
      <c r="B189" s="0" t="s">
        <v>3013</v>
      </c>
      <c r="C189" s="0" t="n">
        <v>39.5755218093785</v>
      </c>
      <c r="D189" s="0" t="n">
        <f aca="false">SUMPRODUCT(Risk_Inputs!B189:AJ189,Risk_Coefs!$B$2:$AJ$2)</f>
        <v>-1.86068939726826</v>
      </c>
      <c r="E189" s="0" t="n">
        <f aca="false">1/(1+EXP(-MAX(-25,MIN(25,D189))))</f>
        <v>0.134622717323124</v>
      </c>
      <c r="F189" s="0" t="n">
        <f aca="false">SUMPRODUCT(Risk_Inputs!B189:AJ189,Risk_Coefs!$B$3:$AJ$3)</f>
        <v>2.43327723861872</v>
      </c>
      <c r="G189" s="0" t="n">
        <f aca="false">MAX(0,F189)</f>
        <v>2.43327723861872</v>
      </c>
      <c r="H189" s="0" t="n">
        <f aca="false">(SUMPRODUCT(--ISNUMBER($E$2:$E$800),--($E$2:$E$800&lt;E189))+(SUMPRODUCT(--ISNUMBER($E$2:$E$800),--($E$2:$E$800=E189))+1)/2)/COUNT($E$2:$E$800)</f>
        <v>0.0100125156445557</v>
      </c>
      <c r="I189" s="0" t="n">
        <f aca="false">(SUMPRODUCT(--ISNUMBER($G$2:$G$800),--($G$2:$G$800&lt;G189))+(SUMPRODUCT(--ISNUMBER($G$2:$G$800),--($G$2:$G$800=G189))+1)/2)/COUNT($G$2:$G$800)</f>
        <v>0.0137672090112641</v>
      </c>
      <c r="J189" s="0" t="n">
        <v>24.4900872802542</v>
      </c>
      <c r="K189" s="0" t="n">
        <v>30.492135971588</v>
      </c>
      <c r="L189" s="0" t="n">
        <v>0.507356671740241</v>
      </c>
      <c r="M189" s="0" t="n">
        <f aca="false">IF(OR(B189="NW",COUNT(Risk_Rank_Keys!B189)=0),0.5,(SUMPRODUCT(--ISNUMBER(Risk_Rank_Keys!$B$2:$B$800),--(Risk_Rank_Keys!$B$2:$B$800&lt;Risk_Rank_Keys!B189))+(SUMPRODUCT(--ISNUMBER(Risk_Rank_Keys!$B$2:$B$800),--(Risk_Rank_Keys!$B$2:$B$800=Risk_Rank_Keys!B189))+1)/2)/COUNT(Risk_Rank_Keys!$B$2:$B$800))</f>
        <v>0.849372384937239</v>
      </c>
      <c r="N189" s="0" t="n">
        <f aca="false">IF(OR(B189="NW",COUNT(Risk_Rank_Keys!C189)=0),0.5,(SUMPRODUCT(--ISNUMBER(Risk_Rank_Keys!$C$2:$C$800),--(Risk_Rank_Keys!$C$2:$C$800&lt;Risk_Rank_Keys!C189))+(SUMPRODUCT(--ISNUMBER(Risk_Rank_Keys!$C$2:$C$800),--(Risk_Rank_Keys!$C$2:$C$800=Risk_Rank_Keys!C189))+1)/2)/COUNT(Risk_Rank_Keys!$C$2:$C$800))</f>
        <v>0.99023709902371</v>
      </c>
      <c r="O189" s="0" t="n">
        <f aca="false">IF(OR(B189="NW",COUNT(Risk_Rank_Keys!D189)=0),0.5,(SUMPRODUCT(--ISNUMBER(Risk_Rank_Keys!$D$2:$D$800),--(Risk_Rank_Keys!$D$2:$D$800&lt;Risk_Rank_Keys!D189))+(SUMPRODUCT(--ISNUMBER(Risk_Rank_Keys!$D$2:$D$800),--(Risk_Rank_Keys!$D$2:$D$800=Risk_Rank_Keys!D189))+1)/2)/COUNT(Risk_Rank_Keys!$D$2:$D$800))</f>
        <v>0.95676429567643</v>
      </c>
      <c r="P189" s="0" t="n">
        <f aca="false">AVERAGE(M189:O189)</f>
        <v>0.932124593212459</v>
      </c>
      <c r="Q189" s="0" t="n">
        <f aca="false">0.4*H189+0.4*I189+0.2*P189</f>
        <v>0.19593680850482</v>
      </c>
      <c r="R189" s="0" t="n">
        <f aca="false">PERCENTILE($Q$2:$Q$800,0.75)</f>
        <v>0.667715717403612</v>
      </c>
      <c r="S189" s="1" t="b">
        <f aca="false">OR(Q189&gt;=R189,AND(B189="CW",COUNT(J189:L189)&lt;3))</f>
        <v>0</v>
      </c>
      <c r="T189" s="0" t="n">
        <v>0.134622717323124</v>
      </c>
      <c r="U189" s="0" t="n">
        <v>2.43327723861872</v>
      </c>
      <c r="V189" s="0" t="n">
        <v>0.19593680850482</v>
      </c>
      <c r="W189" s="0" t="n">
        <f aca="false">Q189-V189</f>
        <v>0</v>
      </c>
    </row>
    <row r="190" customFormat="false" ht="15" hidden="false" customHeight="false" outlineLevel="0" collapsed="false">
      <c r="A190" s="0" t="s">
        <v>224</v>
      </c>
      <c r="B190" s="0" t="s">
        <v>3013</v>
      </c>
      <c r="C190" s="0" t="n">
        <v>7.76683393358136</v>
      </c>
      <c r="D190" s="0" t="n">
        <f aca="false">SUMPRODUCT(Risk_Inputs!B190:AJ190,Risk_Coefs!$B$2:$AJ$2)</f>
        <v>-0.970746672151343</v>
      </c>
      <c r="E190" s="0" t="n">
        <f aca="false">1/(1+EXP(-MAX(-25,MIN(25,D190))))</f>
        <v>0.274731699631425</v>
      </c>
      <c r="F190" s="0" t="n">
        <f aca="false">SUMPRODUCT(Risk_Inputs!B190:AJ190,Risk_Coefs!$B$3:$AJ$3)</f>
        <v>4.86879710680115</v>
      </c>
      <c r="G190" s="0" t="n">
        <f aca="false">MAX(0,F190)</f>
        <v>4.86879710680115</v>
      </c>
      <c r="H190" s="0" t="n">
        <f aca="false">(SUMPRODUCT(--ISNUMBER($E$2:$E$800),--($E$2:$E$800&lt;E190))+(SUMPRODUCT(--ISNUMBER($E$2:$E$800),--($E$2:$E$800=E190))+1)/2)/COUNT($E$2:$E$800)</f>
        <v>0.423028785982478</v>
      </c>
      <c r="I190" s="0" t="n">
        <f aca="false">(SUMPRODUCT(--ISNUMBER($G$2:$G$800),--($G$2:$G$800&lt;G190))+(SUMPRODUCT(--ISNUMBER($G$2:$G$800),--($G$2:$G$800=G190))+1)/2)/COUNT($G$2:$G$800)</f>
        <v>0.118898623279099</v>
      </c>
      <c r="J190" s="0" t="n">
        <v>8.9344065651327</v>
      </c>
      <c r="K190" s="0" t="n">
        <v>1.11651359625427</v>
      </c>
      <c r="L190" s="0" t="n">
        <v>0.144066270484425</v>
      </c>
      <c r="M190" s="0" t="n">
        <f aca="false">IF(OR(B190="NW",COUNT(Risk_Rank_Keys!B190)=0),0.5,(SUMPRODUCT(--ISNUMBER(Risk_Rank_Keys!$B$2:$B$800),--(Risk_Rank_Keys!$B$2:$B$800&lt;Risk_Rank_Keys!B190))+(SUMPRODUCT(--ISNUMBER(Risk_Rank_Keys!$B$2:$B$800),--(Risk_Rank_Keys!$B$2:$B$800=Risk_Rank_Keys!B190))+1)/2)/COUNT(Risk_Rank_Keys!$B$2:$B$800))</f>
        <v>0.437935843793584</v>
      </c>
      <c r="N190" s="0" t="n">
        <f aca="false">IF(OR(B190="NW",COUNT(Risk_Rank_Keys!C190)=0),0.5,(SUMPRODUCT(--ISNUMBER(Risk_Rank_Keys!$C$2:$C$800),--(Risk_Rank_Keys!$C$2:$C$800&lt;Risk_Rank_Keys!C190))+(SUMPRODUCT(--ISNUMBER(Risk_Rank_Keys!$C$2:$C$800),--(Risk_Rank_Keys!$C$2:$C$800=Risk_Rank_Keys!C190))+1)/2)/COUNT(Risk_Rank_Keys!$C$2:$C$800))</f>
        <v>0.0460251046025105</v>
      </c>
      <c r="O190" s="0" t="n">
        <f aca="false">IF(OR(B190="NW",COUNT(Risk_Rank_Keys!D190)=0),0.5,(SUMPRODUCT(--ISNUMBER(Risk_Rank_Keys!$D$2:$D$800),--(Risk_Rank_Keys!$D$2:$D$800&lt;Risk_Rank_Keys!D190))+(SUMPRODUCT(--ISNUMBER(Risk_Rank_Keys!$D$2:$D$800),--(Risk_Rank_Keys!$D$2:$D$800=Risk_Rank_Keys!D190))+1)/2)/COUNT(Risk_Rank_Keys!$D$2:$D$800))</f>
        <v>0.0920502092050209</v>
      </c>
      <c r="P190" s="0" t="n">
        <f aca="false">AVERAGE(M190:O190)</f>
        <v>0.192003719200372</v>
      </c>
      <c r="Q190" s="0" t="n">
        <f aca="false">0.4*H190+0.4*I190+0.2*P190</f>
        <v>0.255171707544705</v>
      </c>
      <c r="R190" s="0" t="n">
        <f aca="false">PERCENTILE($Q$2:$Q$800,0.75)</f>
        <v>0.667715717403612</v>
      </c>
      <c r="S190" s="1" t="b">
        <f aca="false">OR(Q190&gt;=R190,AND(B190="CW",COUNT(J190:L190)&lt;3))</f>
        <v>0</v>
      </c>
      <c r="T190" s="0" t="n">
        <v>0.274731699631425</v>
      </c>
      <c r="U190" s="0" t="n">
        <v>4.86879710680115</v>
      </c>
      <c r="V190" s="0" t="n">
        <v>0.255171707544705</v>
      </c>
      <c r="W190" s="0" t="n">
        <f aca="false">Q190-V190</f>
        <v>0</v>
      </c>
    </row>
    <row r="191" customFormat="false" ht="15" hidden="false" customHeight="false" outlineLevel="0" collapsed="false">
      <c r="A191" s="0" t="s">
        <v>225</v>
      </c>
      <c r="B191" s="0" t="s">
        <v>3013</v>
      </c>
      <c r="C191" s="0" t="n">
        <v>37.5140339510302</v>
      </c>
      <c r="D191" s="0" t="n">
        <f aca="false">SUMPRODUCT(Risk_Inputs!B191:AJ191,Risk_Coefs!$B$2:$AJ$2)</f>
        <v>-0.971619801874341</v>
      </c>
      <c r="E191" s="0" t="n">
        <f aca="false">1/(1+EXP(-MAX(-25,MIN(25,D191))))</f>
        <v>0.274557759096361</v>
      </c>
      <c r="F191" s="0" t="n">
        <f aca="false">SUMPRODUCT(Risk_Inputs!B191:AJ191,Risk_Coefs!$B$3:$AJ$3)</f>
        <v>6.85752130072359</v>
      </c>
      <c r="G191" s="0" t="n">
        <f aca="false">MAX(0,F191)</f>
        <v>6.85752130072359</v>
      </c>
      <c r="H191" s="0" t="n">
        <f aca="false">(SUMPRODUCT(--ISNUMBER($E$2:$E$800),--($E$2:$E$800&lt;E191))+(SUMPRODUCT(--ISNUMBER($E$2:$E$800),--($E$2:$E$800=E191))+1)/2)/COUNT($E$2:$E$800)</f>
        <v>0.41927409261577</v>
      </c>
      <c r="I191" s="0" t="n">
        <f aca="false">(SUMPRODUCT(--ISNUMBER($G$2:$G$800),--($G$2:$G$800&lt;G191))+(SUMPRODUCT(--ISNUMBER($G$2:$G$800),--($G$2:$G$800=G191))+1)/2)/COUNT($G$2:$G$800)</f>
        <v>0.403003754693367</v>
      </c>
      <c r="J191" s="0" t="n">
        <v>13.8888888888877</v>
      </c>
      <c r="K191" s="0" t="n">
        <v>3.126347563605</v>
      </c>
      <c r="L191" s="0" t="n">
        <v>0.172488141440278</v>
      </c>
      <c r="M191" s="0" t="n">
        <f aca="false">IF(OR(B191="NW",COUNT(Risk_Rank_Keys!B191)=0),0.5,(SUMPRODUCT(--ISNUMBER(Risk_Rank_Keys!$B$2:$B$800),--(Risk_Rank_Keys!$B$2:$B$800&lt;Risk_Rank_Keys!B191))+(SUMPRODUCT(--ISNUMBER(Risk_Rank_Keys!$B$2:$B$800),--(Risk_Rank_Keys!$B$2:$B$800=Risk_Rank_Keys!B191))+1)/2)/COUNT(Risk_Rank_Keys!$B$2:$B$800))</f>
        <v>0.675034867503487</v>
      </c>
      <c r="N191" s="0" t="n">
        <f aca="false">IF(OR(B191="NW",COUNT(Risk_Rank_Keys!C191)=0),0.5,(SUMPRODUCT(--ISNUMBER(Risk_Rank_Keys!$C$2:$C$800),--(Risk_Rank_Keys!$C$2:$C$800&lt;Risk_Rank_Keys!C191))+(SUMPRODUCT(--ISNUMBER(Risk_Rank_Keys!$C$2:$C$800),--(Risk_Rank_Keys!$C$2:$C$800=Risk_Rank_Keys!C191))+1)/2)/COUNT(Risk_Rank_Keys!$C$2:$C$800))</f>
        <v>0.481171548117155</v>
      </c>
      <c r="O191" s="0" t="n">
        <f aca="false">IF(OR(B191="NW",COUNT(Risk_Rank_Keys!D191)=0),0.5,(SUMPRODUCT(--ISNUMBER(Risk_Rank_Keys!$D$2:$D$800),--(Risk_Rank_Keys!$D$2:$D$800&lt;Risk_Rank_Keys!D191))+(SUMPRODUCT(--ISNUMBER(Risk_Rank_Keys!$D$2:$D$800),--(Risk_Rank_Keys!$D$2:$D$800=Risk_Rank_Keys!D191))+1)/2)/COUNT(Risk_Rank_Keys!$D$2:$D$800))</f>
        <v>0.181311018131102</v>
      </c>
      <c r="P191" s="0" t="n">
        <f aca="false">AVERAGE(M191:O191)</f>
        <v>0.445839144583914</v>
      </c>
      <c r="Q191" s="0" t="n">
        <f aca="false">0.4*H191+0.4*I191+0.2*P191</f>
        <v>0.418078967840437</v>
      </c>
      <c r="R191" s="0" t="n">
        <f aca="false">PERCENTILE($Q$2:$Q$800,0.75)</f>
        <v>0.667715717403612</v>
      </c>
      <c r="S191" s="1" t="b">
        <f aca="false">OR(Q191&gt;=R191,AND(B191="CW",COUNT(J191:L191)&lt;3))</f>
        <v>0</v>
      </c>
      <c r="T191" s="0" t="n">
        <v>0.274557759096361</v>
      </c>
      <c r="U191" s="0" t="n">
        <v>6.85752130072359</v>
      </c>
      <c r="V191" s="0" t="n">
        <v>0.418078967840438</v>
      </c>
      <c r="W191" s="0" t="n">
        <f aca="false">Q191-V191</f>
        <v>0</v>
      </c>
    </row>
    <row r="192" customFormat="false" ht="15" hidden="false" customHeight="false" outlineLevel="0" collapsed="false">
      <c r="A192" s="0" t="s">
        <v>226</v>
      </c>
      <c r="B192" s="0" t="s">
        <v>3013</v>
      </c>
      <c r="C192" s="0" t="n">
        <v>-36.0688984851355</v>
      </c>
      <c r="D192" s="0" t="n">
        <f aca="false">SUMPRODUCT(Risk_Inputs!B192:AJ192,Risk_Coefs!$B$2:$AJ$2)</f>
        <v>-1.06193280192802</v>
      </c>
      <c r="E192" s="0" t="n">
        <f aca="false">1/(1+EXP(-MAX(-25,MIN(25,D192))))</f>
        <v>0.256940267028542</v>
      </c>
      <c r="F192" s="0" t="n">
        <f aca="false">SUMPRODUCT(Risk_Inputs!B192:AJ192,Risk_Coefs!$B$3:$AJ$3)</f>
        <v>6.56937204956602</v>
      </c>
      <c r="G192" s="0" t="n">
        <f aca="false">MAX(0,F192)</f>
        <v>6.56937204956602</v>
      </c>
      <c r="H192" s="0" t="n">
        <f aca="false">(SUMPRODUCT(--ISNUMBER($E$2:$E$800),--($E$2:$E$800&lt;E192))+(SUMPRODUCT(--ISNUMBER($E$2:$E$800),--($E$2:$E$800=E192))+1)/2)/COUNT($E$2:$E$800)</f>
        <v>0.311639549436796</v>
      </c>
      <c r="I192" s="0" t="n">
        <f aca="false">(SUMPRODUCT(--ISNUMBER($G$2:$G$800),--($G$2:$G$800&lt;G192))+(SUMPRODUCT(--ISNUMBER($G$2:$G$800),--($G$2:$G$800=G192))+1)/2)/COUNT($G$2:$G$800)</f>
        <v>0.356695869837297</v>
      </c>
      <c r="J192" s="0" t="n">
        <v>11.6932923023232</v>
      </c>
      <c r="K192" s="0" t="n">
        <v>1.84632093402118</v>
      </c>
      <c r="L192" s="0" t="n">
        <v>0.162910670648934</v>
      </c>
      <c r="M192" s="0" t="n">
        <f aca="false">IF(OR(B192="NW",COUNT(Risk_Rank_Keys!B192)=0),0.5,(SUMPRODUCT(--ISNUMBER(Risk_Rank_Keys!$B$2:$B$800),--(Risk_Rank_Keys!$B$2:$B$800&lt;Risk_Rank_Keys!B192))+(SUMPRODUCT(--ISNUMBER(Risk_Rank_Keys!$B$2:$B$800),--(Risk_Rank_Keys!$B$2:$B$800=Risk_Rank_Keys!B192))+1)/2)/COUNT(Risk_Rank_Keys!$B$2:$B$800))</f>
        <v>0.589958158995816</v>
      </c>
      <c r="N192" s="0" t="n">
        <f aca="false">IF(OR(B192="NW",COUNT(Risk_Rank_Keys!C192)=0),0.5,(SUMPRODUCT(--ISNUMBER(Risk_Rank_Keys!$C$2:$C$800),--(Risk_Rank_Keys!$C$2:$C$800&lt;Risk_Rank_Keys!C192))+(SUMPRODUCT(--ISNUMBER(Risk_Rank_Keys!$C$2:$C$800),--(Risk_Rank_Keys!$C$2:$C$800=Risk_Rank_Keys!C192))+1)/2)/COUNT(Risk_Rank_Keys!$C$2:$C$800))</f>
        <v>0.230125523012552</v>
      </c>
      <c r="O192" s="0" t="n">
        <f aca="false">IF(OR(B192="NW",COUNT(Risk_Rank_Keys!D192)=0),0.5,(SUMPRODUCT(--ISNUMBER(Risk_Rank_Keys!$D$2:$D$800),--(Risk_Rank_Keys!$D$2:$D$800&lt;Risk_Rank_Keys!D192))+(SUMPRODUCT(--ISNUMBER(Risk_Rank_Keys!$D$2:$D$800),--(Risk_Rank_Keys!$D$2:$D$800=Risk_Rank_Keys!D192))+1)/2)/COUNT(Risk_Rank_Keys!$D$2:$D$800))</f>
        <v>0.145048814504881</v>
      </c>
      <c r="P192" s="0" t="n">
        <f aca="false">AVERAGE(M192:O192)</f>
        <v>0.321710832171083</v>
      </c>
      <c r="Q192" s="0" t="n">
        <f aca="false">0.4*H192+0.4*I192+0.2*P192</f>
        <v>0.331676334143854</v>
      </c>
      <c r="R192" s="0" t="n">
        <f aca="false">PERCENTILE($Q$2:$Q$800,0.75)</f>
        <v>0.667715717403612</v>
      </c>
      <c r="S192" s="1" t="b">
        <f aca="false">OR(Q192&gt;=R192,AND(B192="CW",COUNT(J192:L192)&lt;3))</f>
        <v>0</v>
      </c>
      <c r="T192" s="0" t="n">
        <v>0.256940267028542</v>
      </c>
      <c r="U192" s="0" t="n">
        <v>6.56937204956602</v>
      </c>
      <c r="V192" s="0" t="n">
        <v>0.331676334143854</v>
      </c>
      <c r="W192" s="0" t="n">
        <f aca="false">Q192-V192</f>
        <v>0</v>
      </c>
    </row>
    <row r="193" customFormat="false" ht="15" hidden="false" customHeight="false" outlineLevel="0" collapsed="false">
      <c r="A193" s="0" t="s">
        <v>227</v>
      </c>
      <c r="B193" s="0" t="s">
        <v>3013</v>
      </c>
      <c r="C193" s="0" t="n">
        <v>32.333905963879</v>
      </c>
      <c r="D193" s="0" t="n">
        <f aca="false">SUMPRODUCT(Risk_Inputs!B193:AJ193,Risk_Coefs!$B$2:$AJ$2)</f>
        <v>-0.871094149613364</v>
      </c>
      <c r="E193" s="0" t="n">
        <f aca="false">1/(1+EXP(-MAX(-25,MIN(25,D193))))</f>
        <v>0.295026683241024</v>
      </c>
      <c r="F193" s="0" t="n">
        <f aca="false">SUMPRODUCT(Risk_Inputs!B193:AJ193,Risk_Coefs!$B$3:$AJ$3)</f>
        <v>7.66676678191841</v>
      </c>
      <c r="G193" s="0" t="n">
        <f aca="false">MAX(0,F193)</f>
        <v>7.66676678191841</v>
      </c>
      <c r="H193" s="0" t="n">
        <f aca="false">(SUMPRODUCT(--ISNUMBER($E$2:$E$800),--($E$2:$E$800&lt;E193))+(SUMPRODUCT(--ISNUMBER($E$2:$E$800),--($E$2:$E$800=E193))+1)/2)/COUNT($E$2:$E$800)</f>
        <v>0.548185231539424</v>
      </c>
      <c r="I193" s="0" t="n">
        <f aca="false">(SUMPRODUCT(--ISNUMBER($G$2:$G$800),--($G$2:$G$800&lt;G193))+(SUMPRODUCT(--ISNUMBER($G$2:$G$800),--($G$2:$G$800=G193))+1)/2)/COUNT($G$2:$G$800)</f>
        <v>0.509386733416771</v>
      </c>
      <c r="J193" s="0" t="n">
        <v>13.185887775908</v>
      </c>
      <c r="K193" s="0" t="n">
        <v>4.73496128648006</v>
      </c>
      <c r="L193" s="0" t="n">
        <v>0.238237045860635</v>
      </c>
      <c r="M193" s="0" t="n">
        <f aca="false">IF(OR(B193="NW",COUNT(Risk_Rank_Keys!B193)=0),0.5,(SUMPRODUCT(--ISNUMBER(Risk_Rank_Keys!$B$2:$B$800),--(Risk_Rank_Keys!$B$2:$B$800&lt;Risk_Rank_Keys!B193))+(SUMPRODUCT(--ISNUMBER(Risk_Rank_Keys!$B$2:$B$800),--(Risk_Rank_Keys!$B$2:$B$800=Risk_Rank_Keys!B193))+1)/2)/COUNT(Risk_Rank_Keys!$B$2:$B$800))</f>
        <v>0.651324965132497</v>
      </c>
      <c r="N193" s="0" t="n">
        <f aca="false">IF(OR(B193="NW",COUNT(Risk_Rank_Keys!C193)=0),0.5,(SUMPRODUCT(--ISNUMBER(Risk_Rank_Keys!$C$2:$C$800),--(Risk_Rank_Keys!$C$2:$C$800&lt;Risk_Rank_Keys!C193))+(SUMPRODUCT(--ISNUMBER(Risk_Rank_Keys!$C$2:$C$800),--(Risk_Rank_Keys!$C$2:$C$800=Risk_Rank_Keys!C193))+1)/2)/COUNT(Risk_Rank_Keys!$C$2:$C$800))</f>
        <v>0.665271966527197</v>
      </c>
      <c r="O193" s="0" t="n">
        <f aca="false">IF(OR(B193="NW",COUNT(Risk_Rank_Keys!D193)=0),0.5,(SUMPRODUCT(--ISNUMBER(Risk_Rank_Keys!$D$2:$D$800),--(Risk_Rank_Keys!$D$2:$D$800&lt;Risk_Rank_Keys!D193))+(SUMPRODUCT(--ISNUMBER(Risk_Rank_Keys!$D$2:$D$800),--(Risk_Rank_Keys!$D$2:$D$800=Risk_Rank_Keys!D193))+1)/2)/COUNT(Risk_Rank_Keys!$D$2:$D$800))</f>
        <v>0.532775453277545</v>
      </c>
      <c r="P193" s="0" t="n">
        <f aca="false">AVERAGE(M193:O193)</f>
        <v>0.616457461645746</v>
      </c>
      <c r="Q193" s="0" t="n">
        <f aca="false">0.4*H193+0.4*I193+0.2*P193</f>
        <v>0.546320278311627</v>
      </c>
      <c r="R193" s="0" t="n">
        <f aca="false">PERCENTILE($Q$2:$Q$800,0.75)</f>
        <v>0.667715717403612</v>
      </c>
      <c r="S193" s="1" t="b">
        <f aca="false">OR(Q193&gt;=R193,AND(B193="CW",COUNT(J193:L193)&lt;3))</f>
        <v>0</v>
      </c>
      <c r="T193" s="0" t="n">
        <v>0.295026683241024</v>
      </c>
      <c r="U193" s="0" t="n">
        <v>7.66676678191841</v>
      </c>
      <c r="V193" s="0" t="n">
        <v>0.546320278311627</v>
      </c>
      <c r="W193" s="0" t="n">
        <f aca="false">Q193-V193</f>
        <v>0</v>
      </c>
    </row>
    <row r="194" customFormat="false" ht="15" hidden="false" customHeight="false" outlineLevel="0" collapsed="false">
      <c r="A194" s="0" t="s">
        <v>228</v>
      </c>
      <c r="B194" s="0" t="s">
        <v>3013</v>
      </c>
      <c r="C194" s="0" t="n">
        <v>0.92693536907282</v>
      </c>
      <c r="D194" s="0" t="n">
        <f aca="false">SUMPRODUCT(Risk_Inputs!B194:AJ194,Risk_Coefs!$B$2:$AJ$2)</f>
        <v>-0.885388777628476</v>
      </c>
      <c r="E194" s="0" t="n">
        <f aca="false">1/(1+EXP(-MAX(-25,MIN(25,D194))))</f>
        <v>0.292062337665355</v>
      </c>
      <c r="F194" s="0" t="n">
        <f aca="false">SUMPRODUCT(Risk_Inputs!B194:AJ194,Risk_Coefs!$B$3:$AJ$3)</f>
        <v>6.33212658058487</v>
      </c>
      <c r="G194" s="0" t="n">
        <f aca="false">MAX(0,F194)</f>
        <v>6.33212658058487</v>
      </c>
      <c r="H194" s="0" t="n">
        <f aca="false">(SUMPRODUCT(--ISNUMBER($E$2:$E$800),--($E$2:$E$800&lt;E194))+(SUMPRODUCT(--ISNUMBER($E$2:$E$800),--($E$2:$E$800=E194))+1)/2)/COUNT($E$2:$E$800)</f>
        <v>0.53441802252816</v>
      </c>
      <c r="I194" s="0" t="n">
        <f aca="false">(SUMPRODUCT(--ISNUMBER($G$2:$G$800),--($G$2:$G$800&lt;G194))+(SUMPRODUCT(--ISNUMBER($G$2:$G$800),--($G$2:$G$800=G194))+1)/2)/COUNT($G$2:$G$800)</f>
        <v>0.317897371714643</v>
      </c>
      <c r="J194" s="0" t="n">
        <v>8.96219961973633</v>
      </c>
      <c r="K194" s="0" t="n">
        <v>3.95778364116097</v>
      </c>
      <c r="L194" s="0" t="n">
        <v>0.263852242744063</v>
      </c>
      <c r="M194" s="0" t="n">
        <f aca="false">IF(OR(B194="NW",COUNT(Risk_Rank_Keys!B194)=0),0.5,(SUMPRODUCT(--ISNUMBER(Risk_Rank_Keys!$B$2:$B$800),--(Risk_Rank_Keys!$B$2:$B$800&lt;Risk_Rank_Keys!B194))+(SUMPRODUCT(--ISNUMBER(Risk_Rank_Keys!$B$2:$B$800),--(Risk_Rank_Keys!$B$2:$B$800=Risk_Rank_Keys!B194))+1)/2)/COUNT(Risk_Rank_Keys!$B$2:$B$800))</f>
        <v>0.439330543933054</v>
      </c>
      <c r="N194" s="0" t="n">
        <f aca="false">IF(OR(B194="NW",COUNT(Risk_Rank_Keys!C194)=0),0.5,(SUMPRODUCT(--ISNUMBER(Risk_Rank_Keys!$C$2:$C$800),--(Risk_Rank_Keys!$C$2:$C$800&lt;Risk_Rank_Keys!C194))+(SUMPRODUCT(--ISNUMBER(Risk_Rank_Keys!$C$2:$C$800),--(Risk_Rank_Keys!$C$2:$C$800=Risk_Rank_Keys!C194))+1)/2)/COUNT(Risk_Rank_Keys!$C$2:$C$800))</f>
        <v>0.591352859135286</v>
      </c>
      <c r="O194" s="0" t="n">
        <f aca="false">IF(OR(B194="NW",COUNT(Risk_Rank_Keys!D194)=0),0.5,(SUMPRODUCT(--ISNUMBER(Risk_Rank_Keys!$D$2:$D$800),--(Risk_Rank_Keys!$D$2:$D$800&lt;Risk_Rank_Keys!D194))+(SUMPRODUCT(--ISNUMBER(Risk_Rank_Keys!$D$2:$D$800),--(Risk_Rank_Keys!$D$2:$D$800=Risk_Rank_Keys!D194))+1)/2)/COUNT(Risk_Rank_Keys!$D$2:$D$800))</f>
        <v>0.648535564853557</v>
      </c>
      <c r="P194" s="0" t="n">
        <f aca="false">AVERAGE(M194:O194)</f>
        <v>0.559739655973966</v>
      </c>
      <c r="Q194" s="0" t="n">
        <f aca="false">0.4*H194+0.4*I194+0.2*P194</f>
        <v>0.452874088891915</v>
      </c>
      <c r="R194" s="0" t="n">
        <f aca="false">PERCENTILE($Q$2:$Q$800,0.75)</f>
        <v>0.667715717403612</v>
      </c>
      <c r="S194" s="1" t="b">
        <f aca="false">OR(Q194&gt;=R194,AND(B194="CW",COUNT(J194:L194)&lt;3))</f>
        <v>0</v>
      </c>
      <c r="T194" s="0" t="n">
        <v>0.292062337665355</v>
      </c>
      <c r="U194" s="0" t="n">
        <v>6.33212658058487</v>
      </c>
      <c r="V194" s="0" t="n">
        <v>0.452874088891915</v>
      </c>
      <c r="W194" s="0" t="n">
        <f aca="false">Q194-V194</f>
        <v>0</v>
      </c>
    </row>
    <row r="195" customFormat="false" ht="15" hidden="false" customHeight="false" outlineLevel="0" collapsed="false">
      <c r="A195" s="0" t="s">
        <v>229</v>
      </c>
      <c r="B195" s="0" t="s">
        <v>3013</v>
      </c>
      <c r="C195" s="0" t="n">
        <v>10.1640908139733</v>
      </c>
      <c r="D195" s="0" t="n">
        <f aca="false">SUMPRODUCT(Risk_Inputs!B195:AJ195,Risk_Coefs!$B$2:$AJ$2)</f>
        <v>-1.7721482209687</v>
      </c>
      <c r="E195" s="0" t="n">
        <f aca="false">1/(1+EXP(-MAX(-25,MIN(25,D195))))</f>
        <v>0.145275380065894</v>
      </c>
      <c r="F195" s="0" t="n">
        <f aca="false">SUMPRODUCT(Risk_Inputs!B195:AJ195,Risk_Coefs!$B$3:$AJ$3)</f>
        <v>3.21365022316752</v>
      </c>
      <c r="G195" s="0" t="n">
        <f aca="false">MAX(0,F195)</f>
        <v>3.21365022316752</v>
      </c>
      <c r="H195" s="0" t="n">
        <f aca="false">(SUMPRODUCT(--ISNUMBER($E$2:$E$800),--($E$2:$E$800&lt;E195))+(SUMPRODUCT(--ISNUMBER($E$2:$E$800),--($E$2:$E$800=E195))+1)/2)/COUNT($E$2:$E$800)</f>
        <v>0.0175219023779725</v>
      </c>
      <c r="I195" s="0" t="n">
        <f aca="false">(SUMPRODUCT(--ISNUMBER($G$2:$G$800),--($G$2:$G$800&lt;G195))+(SUMPRODUCT(--ISNUMBER($G$2:$G$800),--($G$2:$G$800=G195))+1)/2)/COUNT($G$2:$G$800)</f>
        <v>0.0287859824780976</v>
      </c>
      <c r="J195" s="0" t="n">
        <v>66.1104945087702</v>
      </c>
      <c r="K195" s="0" t="n">
        <v>7.62264150943395</v>
      </c>
      <c r="L195" s="0" t="n">
        <v>0.392452830188683</v>
      </c>
      <c r="M195" s="0" t="n">
        <f aca="false">IF(OR(B195="NW",COUNT(Risk_Rank_Keys!B195)=0),0.5,(SUMPRODUCT(--ISNUMBER(Risk_Rank_Keys!$B$2:$B$800),--(Risk_Rank_Keys!$B$2:$B$800&lt;Risk_Rank_Keys!B195))+(SUMPRODUCT(--ISNUMBER(Risk_Rank_Keys!$B$2:$B$800),--(Risk_Rank_Keys!$B$2:$B$800=Risk_Rank_Keys!B195))+1)/2)/COUNT(Risk_Rank_Keys!$B$2:$B$800))</f>
        <v>0.99581589958159</v>
      </c>
      <c r="N195" s="0" t="n">
        <f aca="false">IF(OR(B195="NW",COUNT(Risk_Rank_Keys!C195)=0),0.5,(SUMPRODUCT(--ISNUMBER(Risk_Rank_Keys!$C$2:$C$800),--(Risk_Rank_Keys!$C$2:$C$800&lt;Risk_Rank_Keys!C195))+(SUMPRODUCT(--ISNUMBER(Risk_Rank_Keys!$C$2:$C$800),--(Risk_Rank_Keys!$C$2:$C$800=Risk_Rank_Keys!C195))+1)/2)/COUNT(Risk_Rank_Keys!$C$2:$C$800))</f>
        <v>0.813110181311018</v>
      </c>
      <c r="O195" s="0" t="n">
        <f aca="false">IF(OR(B195="NW",COUNT(Risk_Rank_Keys!D195)=0),0.5,(SUMPRODUCT(--ISNUMBER(Risk_Rank_Keys!$D$2:$D$800),--(Risk_Rank_Keys!$D$2:$D$800&lt;Risk_Rank_Keys!D195))+(SUMPRODUCT(--ISNUMBER(Risk_Rank_Keys!$D$2:$D$800),--(Risk_Rank_Keys!$D$2:$D$800=Risk_Rank_Keys!D195))+1)/2)/COUNT(Risk_Rank_Keys!$D$2:$D$800))</f>
        <v>0.875871687587169</v>
      </c>
      <c r="P195" s="0" t="n">
        <f aca="false">AVERAGE(M195:O195)</f>
        <v>0.894932589493259</v>
      </c>
      <c r="Q195" s="0" t="n">
        <f aca="false">0.4*H195+0.4*I195+0.2*P195</f>
        <v>0.19750967184108</v>
      </c>
      <c r="R195" s="0" t="n">
        <f aca="false">PERCENTILE($Q$2:$Q$800,0.75)</f>
        <v>0.667715717403612</v>
      </c>
      <c r="S195" s="1" t="b">
        <f aca="false">OR(Q195&gt;=R195,AND(B195="CW",COUNT(J195:L195)&lt;3))</f>
        <v>0</v>
      </c>
      <c r="T195" s="0" t="n">
        <v>0.145275380065894</v>
      </c>
      <c r="U195" s="0" t="n">
        <v>3.21365022316753</v>
      </c>
      <c r="V195" s="0" t="n">
        <v>0.19750967184108</v>
      </c>
      <c r="W195" s="0" t="n">
        <f aca="false">Q195-V195</f>
        <v>0</v>
      </c>
    </row>
    <row r="196" customFormat="false" ht="15" hidden="false" customHeight="false" outlineLevel="0" collapsed="false">
      <c r="A196" s="0" t="s">
        <v>230</v>
      </c>
      <c r="B196" s="0" t="s">
        <v>3013</v>
      </c>
      <c r="C196" s="0" t="n">
        <v>-55.7715633229256</v>
      </c>
      <c r="D196" s="0" t="n">
        <f aca="false">SUMPRODUCT(Risk_Inputs!B196:AJ196,Risk_Coefs!$B$2:$AJ$2)</f>
        <v>-0.317686691079034</v>
      </c>
      <c r="E196" s="0" t="n">
        <f aca="false">1/(1+EXP(-MAX(-25,MIN(25,D196))))</f>
        <v>0.421239622182551</v>
      </c>
      <c r="F196" s="0" t="n">
        <f aca="false">SUMPRODUCT(Risk_Inputs!B196:AJ196,Risk_Coefs!$B$3:$AJ$3)</f>
        <v>13.7898483038957</v>
      </c>
      <c r="G196" s="0" t="n">
        <f aca="false">MAX(0,F196)</f>
        <v>13.7898483038957</v>
      </c>
      <c r="H196" s="0" t="n">
        <f aca="false">(SUMPRODUCT(--ISNUMBER($E$2:$E$800),--($E$2:$E$800&lt;E196))+(SUMPRODUCT(--ISNUMBER($E$2:$E$800),--($E$2:$E$800=E196))+1)/2)/COUNT($E$2:$E$800)</f>
        <v>0.964956195244055</v>
      </c>
      <c r="I196" s="0" t="n">
        <f aca="false">(SUMPRODUCT(--ISNUMBER($G$2:$G$800),--($G$2:$G$800&lt;G196))+(SUMPRODUCT(--ISNUMBER($G$2:$G$800),--($G$2:$G$800=G196))+1)/2)/COUNT($G$2:$G$800)</f>
        <v>0.967459324155194</v>
      </c>
      <c r="J196" s="0" t="n">
        <v>13.4865873713357</v>
      </c>
      <c r="K196" s="0" t="n">
        <v>4.05099150141642</v>
      </c>
      <c r="L196" s="0" t="n">
        <v>0.198300283286116</v>
      </c>
      <c r="M196" s="0" t="n">
        <f aca="false">IF(OR(B196="NW",COUNT(Risk_Rank_Keys!B196)=0),0.5,(SUMPRODUCT(--ISNUMBER(Risk_Rank_Keys!$B$2:$B$800),--(Risk_Rank_Keys!$B$2:$B$800&lt;Risk_Rank_Keys!B196))+(SUMPRODUCT(--ISNUMBER(Risk_Rank_Keys!$B$2:$B$800),--(Risk_Rank_Keys!$B$2:$B$800=Risk_Rank_Keys!B196))+1)/2)/COUNT(Risk_Rank_Keys!$B$2:$B$800))</f>
        <v>0.661087866108787</v>
      </c>
      <c r="N196" s="0" t="n">
        <f aca="false">IF(OR(B196="NW",COUNT(Risk_Rank_Keys!C196)=0),0.5,(SUMPRODUCT(--ISNUMBER(Risk_Rank_Keys!$C$2:$C$800),--(Risk_Rank_Keys!$C$2:$C$800&lt;Risk_Rank_Keys!C196))+(SUMPRODUCT(--ISNUMBER(Risk_Rank_Keys!$C$2:$C$800),--(Risk_Rank_Keys!$C$2:$C$800=Risk_Rank_Keys!C196))+1)/2)/COUNT(Risk_Rank_Keys!$C$2:$C$800))</f>
        <v>0.603905160390516</v>
      </c>
      <c r="O196" s="0" t="n">
        <f aca="false">IF(OR(B196="NW",COUNT(Risk_Rank_Keys!D196)=0),0.5,(SUMPRODUCT(--ISNUMBER(Risk_Rank_Keys!$D$2:$D$800),--(Risk_Rank_Keys!$D$2:$D$800&lt;Risk_Rank_Keys!D196))+(SUMPRODUCT(--ISNUMBER(Risk_Rank_Keys!$D$2:$D$800),--(Risk_Rank_Keys!$D$2:$D$800=Risk_Rank_Keys!D196))+1)/2)/COUNT(Risk_Rank_Keys!$D$2:$D$800))</f>
        <v>0.305439330543933</v>
      </c>
      <c r="P196" s="0" t="n">
        <f aca="false">AVERAGE(M196:O196)</f>
        <v>0.523477452347745</v>
      </c>
      <c r="Q196" s="0" t="n">
        <f aca="false">0.4*H196+0.4*I196+0.2*P196</f>
        <v>0.877661698229249</v>
      </c>
      <c r="R196" s="0" t="n">
        <f aca="false">PERCENTILE($Q$2:$Q$800,0.75)</f>
        <v>0.667715717403612</v>
      </c>
      <c r="S196" s="1" t="b">
        <f aca="false">OR(Q196&gt;=R196,AND(B196="CW",COUNT(J196:L196)&lt;3))</f>
        <v>1</v>
      </c>
      <c r="T196" s="0" t="n">
        <v>0.421239622182551</v>
      </c>
      <c r="U196" s="0" t="n">
        <v>13.7898483038957</v>
      </c>
      <c r="V196" s="0" t="n">
        <v>0.877661698229249</v>
      </c>
      <c r="W196" s="0" t="n">
        <f aca="false">Q196-V196</f>
        <v>0</v>
      </c>
    </row>
    <row r="197" customFormat="false" ht="15" hidden="false" customHeight="false" outlineLevel="0" collapsed="false">
      <c r="A197" s="0" t="s">
        <v>231</v>
      </c>
      <c r="B197" s="0" t="s">
        <v>3013</v>
      </c>
      <c r="C197" s="0" t="n">
        <v>47.3210273743482</v>
      </c>
      <c r="D197" s="0" t="n">
        <f aca="false">SUMPRODUCT(Risk_Inputs!B197:AJ197,Risk_Coefs!$B$2:$AJ$2)</f>
        <v>-0.948247919716062</v>
      </c>
      <c r="E197" s="0" t="n">
        <f aca="false">1/(1+EXP(-MAX(-25,MIN(25,D197))))</f>
        <v>0.279237315945684</v>
      </c>
      <c r="F197" s="0" t="n">
        <f aca="false">SUMPRODUCT(Risk_Inputs!B197:AJ197,Risk_Coefs!$B$3:$AJ$3)</f>
        <v>7.76494496377592</v>
      </c>
      <c r="G197" s="0" t="n">
        <f aca="false">MAX(0,F197)</f>
        <v>7.76494496377592</v>
      </c>
      <c r="H197" s="0" t="n">
        <f aca="false">(SUMPRODUCT(--ISNUMBER($E$2:$E$800),--($E$2:$E$800&lt;E197))+(SUMPRODUCT(--ISNUMBER($E$2:$E$800),--($E$2:$E$800=E197))+1)/2)/COUNT($E$2:$E$800)</f>
        <v>0.460575719649562</v>
      </c>
      <c r="I197" s="0" t="n">
        <f aca="false">(SUMPRODUCT(--ISNUMBER($G$2:$G$800),--($G$2:$G$800&lt;G197))+(SUMPRODUCT(--ISNUMBER($G$2:$G$800),--($G$2:$G$800=G197))+1)/2)/COUNT($G$2:$G$800)</f>
        <v>0.519399249061327</v>
      </c>
      <c r="J197" s="0" t="n">
        <v>14.1561431455014</v>
      </c>
      <c r="K197" s="0" t="n">
        <v>1.51668351870576</v>
      </c>
      <c r="L197" s="0" t="n">
        <v>0.303336703741148</v>
      </c>
      <c r="M197" s="0" t="n">
        <f aca="false">IF(OR(B197="NW",COUNT(Risk_Rank_Keys!B197)=0),0.5,(SUMPRODUCT(--ISNUMBER(Risk_Rank_Keys!$B$2:$B$800),--(Risk_Rank_Keys!$B$2:$B$800&lt;Risk_Rank_Keys!B197))+(SUMPRODUCT(--ISNUMBER(Risk_Rank_Keys!$B$2:$B$800),--(Risk_Rank_Keys!$B$2:$B$800=Risk_Rank_Keys!B197))+1)/2)/COUNT(Risk_Rank_Keys!$B$2:$B$800))</f>
        <v>0.679218967921897</v>
      </c>
      <c r="N197" s="0" t="n">
        <f aca="false">IF(OR(B197="NW",COUNT(Risk_Rank_Keys!C197)=0),0.5,(SUMPRODUCT(--ISNUMBER(Risk_Rank_Keys!$C$2:$C$800),--(Risk_Rank_Keys!$C$2:$C$800&lt;Risk_Rank_Keys!C197))+(SUMPRODUCT(--ISNUMBER(Risk_Rank_Keys!$C$2:$C$800),--(Risk_Rank_Keys!$C$2:$C$800=Risk_Rank_Keys!C197))+1)/2)/COUNT(Risk_Rank_Keys!$C$2:$C$800))</f>
        <v>0.136680613668061</v>
      </c>
      <c r="O197" s="0" t="n">
        <f aca="false">IF(OR(B197="NW",COUNT(Risk_Rank_Keys!D197)=0),0.5,(SUMPRODUCT(--ISNUMBER(Risk_Rank_Keys!$D$2:$D$800),--(Risk_Rank_Keys!$D$2:$D$800&lt;Risk_Rank_Keys!D197))+(SUMPRODUCT(--ISNUMBER(Risk_Rank_Keys!$D$2:$D$800),--(Risk_Rank_Keys!$D$2:$D$800=Risk_Rank_Keys!D197))+1)/2)/COUNT(Risk_Rank_Keys!$D$2:$D$800))</f>
        <v>0.753138075313808</v>
      </c>
      <c r="P197" s="0" t="n">
        <f aca="false">AVERAGE(M197:O197)</f>
        <v>0.523012552301255</v>
      </c>
      <c r="Q197" s="0" t="n">
        <f aca="false">0.4*H197+0.4*I197+0.2*P197</f>
        <v>0.496592497944606</v>
      </c>
      <c r="R197" s="0" t="n">
        <f aca="false">PERCENTILE($Q$2:$Q$800,0.75)</f>
        <v>0.667715717403612</v>
      </c>
      <c r="S197" s="1" t="b">
        <f aca="false">OR(Q197&gt;=R197,AND(B197="CW",COUNT(J197:L197)&lt;3))</f>
        <v>0</v>
      </c>
      <c r="T197" s="0" t="n">
        <v>0.279237315945684</v>
      </c>
      <c r="U197" s="0" t="n">
        <v>7.76494496377592</v>
      </c>
      <c r="V197" s="0" t="n">
        <v>0.496592497944607</v>
      </c>
      <c r="W197" s="0" t="n">
        <f aca="false">Q197-V197</f>
        <v>0</v>
      </c>
    </row>
    <row r="198" customFormat="false" ht="15" hidden="false" customHeight="false" outlineLevel="0" collapsed="false">
      <c r="A198" s="0" t="s">
        <v>232</v>
      </c>
      <c r="B198" s="0" t="s">
        <v>3013</v>
      </c>
      <c r="C198" s="0" t="n">
        <v>96.7596974591369</v>
      </c>
      <c r="D198" s="0" t="n">
        <f aca="false">SUMPRODUCT(Risk_Inputs!B198:AJ198,Risk_Coefs!$B$2:$AJ$2)</f>
        <v>-0.522644840281269</v>
      </c>
      <c r="E198" s="0" t="n">
        <f aca="false">1/(1+EXP(-MAX(-25,MIN(25,D198))))</f>
        <v>0.372233989837838</v>
      </c>
      <c r="F198" s="0" t="n">
        <f aca="false">SUMPRODUCT(Risk_Inputs!B198:AJ198,Risk_Coefs!$B$3:$AJ$3)</f>
        <v>9.70140782354614</v>
      </c>
      <c r="G198" s="0" t="n">
        <f aca="false">MAX(0,F198)</f>
        <v>9.70140782354614</v>
      </c>
      <c r="H198" s="0" t="n">
        <f aca="false">(SUMPRODUCT(--ISNUMBER($E$2:$E$800),--($E$2:$E$800&lt;E198))+(SUMPRODUCT(--ISNUMBER($E$2:$E$800),--($E$2:$E$800=E198))+1)/2)/COUNT($E$2:$E$800)</f>
        <v>0.882352941176471</v>
      </c>
      <c r="I198" s="0" t="n">
        <f aca="false">(SUMPRODUCT(--ISNUMBER($G$2:$G$800),--($G$2:$G$800&lt;G198))+(SUMPRODUCT(--ISNUMBER($G$2:$G$800),--($G$2:$G$800=G198))+1)/2)/COUNT($G$2:$G$800)</f>
        <v>0.747183979974969</v>
      </c>
      <c r="J198" s="0" t="n">
        <v>11.7834901519481</v>
      </c>
      <c r="K198" s="0" t="n">
        <v>2.36083499005964</v>
      </c>
      <c r="L198" s="0" t="n">
        <v>0.298210735586485</v>
      </c>
      <c r="M198" s="0" t="n">
        <f aca="false">IF(OR(B198="NW",COUNT(Risk_Rank_Keys!B198)=0),0.5,(SUMPRODUCT(--ISNUMBER(Risk_Rank_Keys!$B$2:$B$800),--(Risk_Rank_Keys!$B$2:$B$800&lt;Risk_Rank_Keys!B198))+(SUMPRODUCT(--ISNUMBER(Risk_Rank_Keys!$B$2:$B$800),--(Risk_Rank_Keys!$B$2:$B$800=Risk_Rank_Keys!B198))+1)/2)/COUNT(Risk_Rank_Keys!$B$2:$B$800))</f>
        <v>0.594142259414226</v>
      </c>
      <c r="N198" s="0" t="n">
        <f aca="false">IF(OR(B198="NW",COUNT(Risk_Rank_Keys!C198)=0),0.5,(SUMPRODUCT(--ISNUMBER(Risk_Rank_Keys!$C$2:$C$800),--(Risk_Rank_Keys!$C$2:$C$800&lt;Risk_Rank_Keys!C198))+(SUMPRODUCT(--ISNUMBER(Risk_Rank_Keys!$C$2:$C$800),--(Risk_Rank_Keys!$C$2:$C$800=Risk_Rank_Keys!C198))+1)/2)/COUNT(Risk_Rank_Keys!$C$2:$C$800))</f>
        <v>0.355648535564854</v>
      </c>
      <c r="O198" s="0" t="n">
        <f aca="false">IF(OR(B198="NW",COUNT(Risk_Rank_Keys!D198)=0),0.5,(SUMPRODUCT(--ISNUMBER(Risk_Rank_Keys!$D$2:$D$800),--(Risk_Rank_Keys!$D$2:$D$800&lt;Risk_Rank_Keys!D198))+(SUMPRODUCT(--ISNUMBER(Risk_Rank_Keys!$D$2:$D$800),--(Risk_Rank_Keys!$D$2:$D$800=Risk_Rank_Keys!D198))+1)/2)/COUNT(Risk_Rank_Keys!$D$2:$D$800))</f>
        <v>0.741980474198048</v>
      </c>
      <c r="P198" s="0" t="n">
        <f aca="false">AVERAGE(M198:O198)</f>
        <v>0.563923756392376</v>
      </c>
      <c r="Q198" s="0" t="n">
        <f aca="false">0.4*H198+0.4*I198+0.2*P198</f>
        <v>0.764599519739051</v>
      </c>
      <c r="R198" s="0" t="n">
        <f aca="false">PERCENTILE($Q$2:$Q$800,0.75)</f>
        <v>0.667715717403612</v>
      </c>
      <c r="S198" s="1" t="b">
        <f aca="false">OR(Q198&gt;=R198,AND(B198="CW",COUNT(J198:L198)&lt;3))</f>
        <v>1</v>
      </c>
      <c r="T198" s="0" t="n">
        <v>0.372233989837838</v>
      </c>
      <c r="U198" s="0" t="n">
        <v>9.70140782354614</v>
      </c>
      <c r="V198" s="0" t="n">
        <v>0.764599519739051</v>
      </c>
      <c r="W198" s="0" t="n">
        <f aca="false">Q198-V198</f>
        <v>0</v>
      </c>
    </row>
    <row r="199" customFormat="false" ht="15" hidden="false" customHeight="false" outlineLevel="0" collapsed="false">
      <c r="A199" s="0" t="s">
        <v>233</v>
      </c>
      <c r="B199" s="0" t="s">
        <v>3013</v>
      </c>
      <c r="C199" s="0" t="n">
        <v>-45.9133605746526</v>
      </c>
      <c r="D199" s="0" t="n">
        <f aca="false">SUMPRODUCT(Risk_Inputs!B199:AJ199,Risk_Coefs!$B$2:$AJ$2)</f>
        <v>-0.742032287990593</v>
      </c>
      <c r="E199" s="0" t="n">
        <f aca="false">1/(1+EXP(-MAX(-25,MIN(25,D199))))</f>
        <v>0.322559898284086</v>
      </c>
      <c r="F199" s="0" t="n">
        <f aca="false">SUMPRODUCT(Risk_Inputs!B199:AJ199,Risk_Coefs!$B$3:$AJ$3)</f>
        <v>12.0911348710274</v>
      </c>
      <c r="G199" s="0" t="n">
        <f aca="false">MAX(0,F199)</f>
        <v>12.0911348710274</v>
      </c>
      <c r="H199" s="0" t="n">
        <f aca="false">(SUMPRODUCT(--ISNUMBER($E$2:$E$800),--($E$2:$E$800&lt;E199))+(SUMPRODUCT(--ISNUMBER($E$2:$E$800),--($E$2:$E$800=E199))+1)/2)/COUNT($E$2:$E$800)</f>
        <v>0.683354192740926</v>
      </c>
      <c r="I199" s="0" t="n">
        <f aca="false">(SUMPRODUCT(--ISNUMBER($G$2:$G$800),--($G$2:$G$800&lt;G199))+(SUMPRODUCT(--ISNUMBER($G$2:$G$800),--($G$2:$G$800=G199))+1)/2)/COUNT($G$2:$G$800)</f>
        <v>0.922403003754693</v>
      </c>
      <c r="J199" s="0" t="n">
        <v>27.2084846522167</v>
      </c>
      <c r="K199" s="0" t="n">
        <v>9.46655006558811</v>
      </c>
      <c r="L199" s="0" t="n">
        <v>0.284215128989946</v>
      </c>
      <c r="M199" s="0" t="n">
        <f aca="false">IF(OR(B199="NW",COUNT(Risk_Rank_Keys!B199)=0),0.5,(SUMPRODUCT(--ISNUMBER(Risk_Rank_Keys!$B$2:$B$800),--(Risk_Rank_Keys!$B$2:$B$800&lt;Risk_Rank_Keys!B199))+(SUMPRODUCT(--ISNUMBER(Risk_Rank_Keys!$B$2:$B$800),--(Risk_Rank_Keys!$B$2:$B$800=Risk_Rank_Keys!B199))+1)/2)/COUNT(Risk_Rank_Keys!$B$2:$B$800))</f>
        <v>0.887029288702929</v>
      </c>
      <c r="N199" s="0" t="n">
        <f aca="false">IF(OR(B199="NW",COUNT(Risk_Rank_Keys!C199)=0),0.5,(SUMPRODUCT(--ISNUMBER(Risk_Rank_Keys!$C$2:$C$800),--(Risk_Rank_Keys!$C$2:$C$800&lt;Risk_Rank_Keys!C199))+(SUMPRODUCT(--ISNUMBER(Risk_Rank_Keys!$C$2:$C$800),--(Risk_Rank_Keys!$C$2:$C$800=Risk_Rank_Keys!C199))+1)/2)/COUNT(Risk_Rank_Keys!$C$2:$C$800))</f>
        <v>0.864714086471409</v>
      </c>
      <c r="O199" s="0" t="n">
        <f aca="false">IF(OR(B199="NW",COUNT(Risk_Rank_Keys!D199)=0),0.5,(SUMPRODUCT(--ISNUMBER(Risk_Rank_Keys!$D$2:$D$800),--(Risk_Rank_Keys!$D$2:$D$800&lt;Risk_Rank_Keys!D199))+(SUMPRODUCT(--ISNUMBER(Risk_Rank_Keys!$D$2:$D$800),--(Risk_Rank_Keys!$D$2:$D$800=Risk_Rank_Keys!D199))+1)/2)/COUNT(Risk_Rank_Keys!$D$2:$D$800))</f>
        <v>0.708507670850767</v>
      </c>
      <c r="P199" s="0" t="n">
        <f aca="false">AVERAGE(M199:O199)</f>
        <v>0.820083682008368</v>
      </c>
      <c r="Q199" s="0" t="n">
        <f aca="false">0.4*H199+0.4*I199+0.2*P199</f>
        <v>0.806319614999922</v>
      </c>
      <c r="R199" s="0" t="n">
        <f aca="false">PERCENTILE($Q$2:$Q$800,0.75)</f>
        <v>0.667715717403612</v>
      </c>
      <c r="S199" s="1" t="b">
        <f aca="false">OR(Q199&gt;=R199,AND(B199="CW",COUNT(J199:L199)&lt;3))</f>
        <v>1</v>
      </c>
      <c r="T199" s="0" t="n">
        <v>0.322559898284086</v>
      </c>
      <c r="U199" s="0" t="n">
        <v>12.0911348710274</v>
      </c>
      <c r="V199" s="0" t="n">
        <v>0.806319614999922</v>
      </c>
      <c r="W199" s="0" t="n">
        <f aca="false">Q199-V199</f>
        <v>0</v>
      </c>
    </row>
    <row r="200" customFormat="false" ht="15" hidden="false" customHeight="false" outlineLevel="0" collapsed="false">
      <c r="A200" s="0" t="s">
        <v>234</v>
      </c>
      <c r="B200" s="0" t="s">
        <v>3013</v>
      </c>
      <c r="C200" s="0" t="n">
        <v>-12.4011895110848</v>
      </c>
      <c r="D200" s="0" t="n">
        <f aca="false">SUMPRODUCT(Risk_Inputs!B200:AJ200,Risk_Coefs!$B$2:$AJ$2)</f>
        <v>-0.250733977802473</v>
      </c>
      <c r="E200" s="0" t="n">
        <f aca="false">1/(1+EXP(-MAX(-25,MIN(25,D200))))</f>
        <v>0.437642850413265</v>
      </c>
      <c r="F200" s="0" t="n">
        <f aca="false">SUMPRODUCT(Risk_Inputs!B200:AJ200,Risk_Coefs!$B$3:$AJ$3)</f>
        <v>10.6705345869689</v>
      </c>
      <c r="G200" s="0" t="n">
        <f aca="false">MAX(0,F200)</f>
        <v>10.6705345869689</v>
      </c>
      <c r="H200" s="0" t="n">
        <f aca="false">(SUMPRODUCT(--ISNUMBER($E$2:$E$800),--($E$2:$E$800&lt;E200))+(SUMPRODUCT(--ISNUMBER($E$2:$E$800),--($E$2:$E$800=E200))+1)/2)/COUNT($E$2:$E$800)</f>
        <v>0.97747183979975</v>
      </c>
      <c r="I200" s="0" t="n">
        <f aca="false">(SUMPRODUCT(--ISNUMBER($G$2:$G$800),--($G$2:$G$800&lt;G200))+(SUMPRODUCT(--ISNUMBER($G$2:$G$800),--($G$2:$G$800=G200))+1)/2)/COUNT($G$2:$G$800)</f>
        <v>0.854818523153943</v>
      </c>
      <c r="J200" s="0" t="n">
        <v>8.98506019131716</v>
      </c>
      <c r="K200" s="0" t="n">
        <v>1.43860823017731</v>
      </c>
      <c r="L200" s="0" t="n">
        <v>0.211888033902089</v>
      </c>
      <c r="M200" s="0" t="n">
        <f aca="false">IF(OR(B200="NW",COUNT(Risk_Rank_Keys!B200)=0),0.5,(SUMPRODUCT(--ISNUMBER(Risk_Rank_Keys!$B$2:$B$800),--(Risk_Rank_Keys!$B$2:$B$800&lt;Risk_Rank_Keys!B200))+(SUMPRODUCT(--ISNUMBER(Risk_Rank_Keys!$B$2:$B$800),--(Risk_Rank_Keys!$B$2:$B$800=Risk_Rank_Keys!B200))+1)/2)/COUNT(Risk_Rank_Keys!$B$2:$B$800))</f>
        <v>0.443514644351464</v>
      </c>
      <c r="N200" s="0" t="n">
        <f aca="false">IF(OR(B200="NW",COUNT(Risk_Rank_Keys!C200)=0),0.5,(SUMPRODUCT(--ISNUMBER(Risk_Rank_Keys!$C$2:$C$800),--(Risk_Rank_Keys!$C$2:$C$800&lt;Risk_Rank_Keys!C200))+(SUMPRODUCT(--ISNUMBER(Risk_Rank_Keys!$C$2:$C$800),--(Risk_Rank_Keys!$C$2:$C$800=Risk_Rank_Keys!C200))+1)/2)/COUNT(Risk_Rank_Keys!$C$2:$C$800))</f>
        <v>0.114365411436541</v>
      </c>
      <c r="O200" s="0" t="n">
        <f aca="false">IF(OR(B200="NW",COUNT(Risk_Rank_Keys!D200)=0),0.5,(SUMPRODUCT(--ISNUMBER(Risk_Rank_Keys!$D$2:$D$800),--(Risk_Rank_Keys!$D$2:$D$800&lt;Risk_Rank_Keys!D200))+(SUMPRODUCT(--ISNUMBER(Risk_Rank_Keys!$D$2:$D$800),--(Risk_Rank_Keys!$D$2:$D$800=Risk_Rank_Keys!D200))+1)/2)/COUNT(Risk_Rank_Keys!$D$2:$D$800))</f>
        <v>0.391910739191074</v>
      </c>
      <c r="P200" s="0" t="n">
        <f aca="false">AVERAGE(M200:O200)</f>
        <v>0.316596931659693</v>
      </c>
      <c r="Q200" s="0" t="n">
        <f aca="false">0.4*H200+0.4*I200+0.2*P200</f>
        <v>0.796235531513416</v>
      </c>
      <c r="R200" s="0" t="n">
        <f aca="false">PERCENTILE($Q$2:$Q$800,0.75)</f>
        <v>0.667715717403612</v>
      </c>
      <c r="S200" s="1" t="b">
        <f aca="false">OR(Q200&gt;=R200,AND(B200="CW",COUNT(J200:L200)&lt;3))</f>
        <v>1</v>
      </c>
      <c r="T200" s="0" t="n">
        <v>0.437642850413265</v>
      </c>
      <c r="U200" s="0" t="n">
        <v>10.6705345869689</v>
      </c>
      <c r="V200" s="0" t="n">
        <v>0.796235531513416</v>
      </c>
      <c r="W200" s="0" t="n">
        <f aca="false">Q200-V200</f>
        <v>0</v>
      </c>
    </row>
    <row r="201" customFormat="false" ht="15" hidden="false" customHeight="false" outlineLevel="0" collapsed="false">
      <c r="A201" s="0" t="s">
        <v>235</v>
      </c>
      <c r="B201" s="0" t="s">
        <v>3013</v>
      </c>
      <c r="C201" s="0" t="n">
        <v>7.97830837644725</v>
      </c>
      <c r="D201" s="0" t="n">
        <f aca="false">SUMPRODUCT(Risk_Inputs!B201:AJ201,Risk_Coefs!$B$2:$AJ$2)</f>
        <v>-1.18097303461142</v>
      </c>
      <c r="E201" s="0" t="n">
        <f aca="false">1/(1+EXP(-MAX(-25,MIN(25,D201))))</f>
        <v>0.234877287129544</v>
      </c>
      <c r="F201" s="0" t="n">
        <f aca="false">SUMPRODUCT(Risk_Inputs!B201:AJ201,Risk_Coefs!$B$3:$AJ$3)</f>
        <v>4.38628595959316</v>
      </c>
      <c r="G201" s="0" t="n">
        <f aca="false">MAX(0,F201)</f>
        <v>4.38628595959316</v>
      </c>
      <c r="H201" s="0" t="n">
        <f aca="false">(SUMPRODUCT(--ISNUMBER($E$2:$E$800),--($E$2:$E$800&lt;E201))+(SUMPRODUCT(--ISNUMBER($E$2:$E$800),--($E$2:$E$800=E201))+1)/2)/COUNT($E$2:$E$800)</f>
        <v>0.198998748435544</v>
      </c>
      <c r="I201" s="0" t="n">
        <f aca="false">(SUMPRODUCT(--ISNUMBER($G$2:$G$800),--($G$2:$G$800&lt;G201))+(SUMPRODUCT(--ISNUMBER($G$2:$G$800),--($G$2:$G$800=G201))+1)/2)/COUNT($G$2:$G$800)</f>
        <v>0.0801001251564456</v>
      </c>
      <c r="J201" s="0" t="n">
        <v>13.4178999295274</v>
      </c>
      <c r="K201" s="0" t="n">
        <v>3.38266384778012</v>
      </c>
      <c r="L201" s="0" t="n">
        <v>0.422832980972507</v>
      </c>
      <c r="M201" s="0" t="n">
        <f aca="false">IF(OR(B201="NW",COUNT(Risk_Rank_Keys!B201)=0),0.5,(SUMPRODUCT(--ISNUMBER(Risk_Rank_Keys!$B$2:$B$800),--(Risk_Rank_Keys!$B$2:$B$800&lt;Risk_Rank_Keys!B201))+(SUMPRODUCT(--ISNUMBER(Risk_Rank_Keys!$B$2:$B$800),--(Risk_Rank_Keys!$B$2:$B$800=Risk_Rank_Keys!B201))+1)/2)/COUNT(Risk_Rank_Keys!$B$2:$B$800))</f>
        <v>0.656903765690377</v>
      </c>
      <c r="N201" s="0" t="n">
        <f aca="false">IF(OR(B201="NW",COUNT(Risk_Rank_Keys!C201)=0),0.5,(SUMPRODUCT(--ISNUMBER(Risk_Rank_Keys!$C$2:$C$800),--(Risk_Rank_Keys!$C$2:$C$800&lt;Risk_Rank_Keys!C201))+(SUMPRODUCT(--ISNUMBER(Risk_Rank_Keys!$C$2:$C$800),--(Risk_Rank_Keys!$C$2:$C$800=Risk_Rank_Keys!C201))+1)/2)/COUNT(Risk_Rank_Keys!$C$2:$C$800))</f>
        <v>0.514644351464435</v>
      </c>
      <c r="O201" s="0" t="n">
        <f aca="false">IF(OR(B201="NW",COUNT(Risk_Rank_Keys!D201)=0),0.5,(SUMPRODUCT(--ISNUMBER(Risk_Rank_Keys!$D$2:$D$800),--(Risk_Rank_Keys!$D$2:$D$800&lt;Risk_Rank_Keys!D201))+(SUMPRODUCT(--ISNUMBER(Risk_Rank_Keys!$D$2:$D$800),--(Risk_Rank_Keys!$D$2:$D$800=Risk_Rank_Keys!D201))+1)/2)/COUNT(Risk_Rank_Keys!$D$2:$D$800))</f>
        <v>0.900976290097629</v>
      </c>
      <c r="P201" s="0" t="n">
        <f aca="false">AVERAGE(M201:O201)</f>
        <v>0.690841469084147</v>
      </c>
      <c r="Q201" s="0" t="n">
        <f aca="false">0.4*H201+0.4*I201+0.2*P201</f>
        <v>0.249807843253625</v>
      </c>
      <c r="R201" s="0" t="n">
        <f aca="false">PERCENTILE($Q$2:$Q$800,0.75)</f>
        <v>0.667715717403612</v>
      </c>
      <c r="S201" s="1" t="b">
        <f aca="false">OR(Q201&gt;=R201,AND(B201="CW",COUNT(J201:L201)&lt;3))</f>
        <v>0</v>
      </c>
      <c r="T201" s="0" t="n">
        <v>0.234877287129544</v>
      </c>
      <c r="U201" s="0" t="n">
        <v>4.38628595959316</v>
      </c>
      <c r="V201" s="0" t="n">
        <v>0.249807843253625</v>
      </c>
      <c r="W201" s="0" t="n">
        <f aca="false">Q201-V201</f>
        <v>0</v>
      </c>
    </row>
    <row r="202" customFormat="false" ht="15" hidden="false" customHeight="false" outlineLevel="0" collapsed="false">
      <c r="A202" s="0" t="s">
        <v>236</v>
      </c>
      <c r="B202" s="0" t="s">
        <v>3013</v>
      </c>
      <c r="C202" s="0" t="n">
        <v>34.8667161966572</v>
      </c>
      <c r="D202" s="0" t="n">
        <f aca="false">SUMPRODUCT(Risk_Inputs!B202:AJ202,Risk_Coefs!$B$2:$AJ$2)</f>
        <v>-0.942129848258725</v>
      </c>
      <c r="E202" s="0" t="n">
        <f aca="false">1/(1+EXP(-MAX(-25,MIN(25,D202))))</f>
        <v>0.280470323990504</v>
      </c>
      <c r="F202" s="0" t="n">
        <f aca="false">SUMPRODUCT(Risk_Inputs!B202:AJ202,Risk_Coefs!$B$3:$AJ$3)</f>
        <v>8.07135391331694</v>
      </c>
      <c r="G202" s="0" t="n">
        <f aca="false">MAX(0,F202)</f>
        <v>8.07135391331694</v>
      </c>
      <c r="H202" s="0" t="n">
        <f aca="false">(SUMPRODUCT(--ISNUMBER($E$2:$E$800),--($E$2:$E$800&lt;E202))+(SUMPRODUCT(--ISNUMBER($E$2:$E$800),--($E$2:$E$800=E202))+1)/2)/COUNT($E$2:$E$800)</f>
        <v>0.46433041301627</v>
      </c>
      <c r="I202" s="0" t="n">
        <f aca="false">(SUMPRODUCT(--ISNUMBER($G$2:$G$800),--($G$2:$G$800&lt;G202))+(SUMPRODUCT(--ISNUMBER($G$2:$G$800),--($G$2:$G$800=G202))+1)/2)/COUNT($G$2:$G$800)</f>
        <v>0.551939924906133</v>
      </c>
      <c r="J202" s="0" t="n">
        <v>7.64558709835581</v>
      </c>
      <c r="K202" s="0" t="n">
        <v>1.42835887516739</v>
      </c>
      <c r="L202" s="0" t="n">
        <v>0.238059812527893</v>
      </c>
      <c r="M202" s="0" t="n">
        <f aca="false">IF(OR(B202="NW",COUNT(Risk_Rank_Keys!B202)=0),0.5,(SUMPRODUCT(--ISNUMBER(Risk_Rank_Keys!$B$2:$B$800),--(Risk_Rank_Keys!$B$2:$B$800&lt;Risk_Rank_Keys!B202))+(SUMPRODUCT(--ISNUMBER(Risk_Rank_Keys!$B$2:$B$800),--(Risk_Rank_Keys!$B$2:$B$800=Risk_Rank_Keys!B202))+1)/2)/COUNT(Risk_Rank_Keys!$B$2:$B$800))</f>
        <v>0.365411436541144</v>
      </c>
      <c r="N202" s="0" t="n">
        <f aca="false">IF(OR(B202="NW",COUNT(Risk_Rank_Keys!C202)=0),0.5,(SUMPRODUCT(--ISNUMBER(Risk_Rank_Keys!$C$2:$C$800),--(Risk_Rank_Keys!$C$2:$C$800&lt;Risk_Rank_Keys!C202))+(SUMPRODUCT(--ISNUMBER(Risk_Rank_Keys!$C$2:$C$800),--(Risk_Rank_Keys!$C$2:$C$800=Risk_Rank_Keys!C202))+1)/2)/COUNT(Risk_Rank_Keys!$C$2:$C$800))</f>
        <v>0.111576011157601</v>
      </c>
      <c r="O202" s="0" t="n">
        <f aca="false">IF(OR(B202="NW",COUNT(Risk_Rank_Keys!D202)=0),0.5,(SUMPRODUCT(--ISNUMBER(Risk_Rank_Keys!$D$2:$D$800),--(Risk_Rank_Keys!$D$2:$D$800&lt;Risk_Rank_Keys!D202))+(SUMPRODUCT(--ISNUMBER(Risk_Rank_Keys!$D$2:$D$800),--(Risk_Rank_Keys!$D$2:$D$800=Risk_Rank_Keys!D202))+1)/2)/COUNT(Risk_Rank_Keys!$D$2:$D$800))</f>
        <v>0.531380753138075</v>
      </c>
      <c r="P202" s="0" t="n">
        <f aca="false">AVERAGE(M202:O202)</f>
        <v>0.336122733612273</v>
      </c>
      <c r="Q202" s="0" t="n">
        <f aca="false">0.4*H202+0.4*I202+0.2*P202</f>
        <v>0.473732681891416</v>
      </c>
      <c r="R202" s="0" t="n">
        <f aca="false">PERCENTILE($Q$2:$Q$800,0.75)</f>
        <v>0.667715717403612</v>
      </c>
      <c r="S202" s="1" t="b">
        <f aca="false">OR(Q202&gt;=R202,AND(B202="CW",COUNT(J202:L202)&lt;3))</f>
        <v>0</v>
      </c>
      <c r="T202" s="0" t="n">
        <v>0.280470323990504</v>
      </c>
      <c r="U202" s="0" t="n">
        <v>8.07135391331694</v>
      </c>
      <c r="V202" s="0" t="n">
        <v>0.473732681891416</v>
      </c>
      <c r="W202" s="0" t="n">
        <f aca="false">Q202-V202</f>
        <v>0</v>
      </c>
    </row>
    <row r="203" customFormat="false" ht="15" hidden="false" customHeight="false" outlineLevel="0" collapsed="false">
      <c r="A203" s="0" t="s">
        <v>237</v>
      </c>
      <c r="B203" s="0" t="s">
        <v>33</v>
      </c>
      <c r="C203" s="0" t="n">
        <v>47.2700233610214</v>
      </c>
      <c r="D203" s="0" t="n">
        <f aca="false">SUMPRODUCT(Risk_Inputs!B203:AJ203,Risk_Coefs!$B$2:$AJ$2)</f>
        <v>-0.506375024992474</v>
      </c>
      <c r="E203" s="0" t="n">
        <f aca="false">1/(1+EXP(-MAX(-25,MIN(25,D203))))</f>
        <v>0.376043687994341</v>
      </c>
      <c r="F203" s="0" t="n">
        <f aca="false">SUMPRODUCT(Risk_Inputs!B203:AJ203,Risk_Coefs!$B$3:$AJ$3)</f>
        <v>11.4136634674926</v>
      </c>
      <c r="G203" s="0" t="n">
        <f aca="false">MAX(0,F203)</f>
        <v>11.4136634674926</v>
      </c>
      <c r="H203" s="0" t="n">
        <f aca="false">(SUMPRODUCT(--ISNUMBER($E$2:$E$800),--($E$2:$E$800&lt;E203))+(SUMPRODUCT(--ISNUMBER($E$2:$E$800),--($E$2:$E$800=E203))+1)/2)/COUNT($E$2:$E$800)</f>
        <v>0.889862327909887</v>
      </c>
      <c r="I203" s="0" t="n">
        <f aca="false">(SUMPRODUCT(--ISNUMBER($G$2:$G$800),--($G$2:$G$800&lt;G203))+(SUMPRODUCT(--ISNUMBER($G$2:$G$800),--($G$2:$G$800=G203))+1)/2)/COUNT($G$2:$G$800)</f>
        <v>0.902377972465582</v>
      </c>
      <c r="M203" s="0" t="n">
        <f aca="false">IF(OR(B203="NW",COUNT(Risk_Rank_Keys!B203)=0),0.5,(SUMPRODUCT(--ISNUMBER(Risk_Rank_Keys!$B$2:$B$800),--(Risk_Rank_Keys!$B$2:$B$800&lt;Risk_Rank_Keys!B203))+(SUMPRODUCT(--ISNUMBER(Risk_Rank_Keys!$B$2:$B$800),--(Risk_Rank_Keys!$B$2:$B$800=Risk_Rank_Keys!B203))+1)/2)/COUNT(Risk_Rank_Keys!$B$2:$B$800))</f>
        <v>0.5</v>
      </c>
      <c r="N203" s="0" t="n">
        <f aca="false">IF(OR(B203="NW",COUNT(Risk_Rank_Keys!C203)=0),0.5,(SUMPRODUCT(--ISNUMBER(Risk_Rank_Keys!$C$2:$C$800),--(Risk_Rank_Keys!$C$2:$C$800&lt;Risk_Rank_Keys!C203))+(SUMPRODUCT(--ISNUMBER(Risk_Rank_Keys!$C$2:$C$800),--(Risk_Rank_Keys!$C$2:$C$800=Risk_Rank_Keys!C203))+1)/2)/COUNT(Risk_Rank_Keys!$C$2:$C$800))</f>
        <v>0.5</v>
      </c>
      <c r="O203" s="0" t="n">
        <f aca="false">IF(OR(B203="NW",COUNT(Risk_Rank_Keys!D203)=0),0.5,(SUMPRODUCT(--ISNUMBER(Risk_Rank_Keys!$D$2:$D$800),--(Risk_Rank_Keys!$D$2:$D$800&lt;Risk_Rank_Keys!D203))+(SUMPRODUCT(--ISNUMBER(Risk_Rank_Keys!$D$2:$D$800),--(Risk_Rank_Keys!$D$2:$D$800=Risk_Rank_Keys!D203))+1)/2)/COUNT(Risk_Rank_Keys!$D$2:$D$800))</f>
        <v>0.5</v>
      </c>
      <c r="P203" s="0" t="n">
        <f aca="false">AVERAGE(M203:O203)</f>
        <v>0.5</v>
      </c>
      <c r="Q203" s="0" t="n">
        <f aca="false">0.4*H203+0.4*I203+0.2*P203</f>
        <v>0.816896120150188</v>
      </c>
      <c r="R203" s="0" t="n">
        <f aca="false">PERCENTILE($Q$2:$Q$800,0.75)</f>
        <v>0.667715717403612</v>
      </c>
      <c r="S203" s="1" t="b">
        <f aca="false">OR(Q203&gt;=R203,AND(B203="CW",COUNT(J203:L203)&lt;3))</f>
        <v>1</v>
      </c>
      <c r="T203" s="0" t="n">
        <v>0.376043687994341</v>
      </c>
      <c r="U203" s="0" t="n">
        <v>11.4136634674926</v>
      </c>
      <c r="V203" s="0" t="n">
        <v>0.816896120150188</v>
      </c>
      <c r="W203" s="0" t="n">
        <f aca="false">Q203-V203</f>
        <v>0</v>
      </c>
    </row>
    <row r="204" customFormat="false" ht="15" hidden="false" customHeight="false" outlineLevel="0" collapsed="false">
      <c r="A204" s="0" t="s">
        <v>238</v>
      </c>
      <c r="B204" s="0" t="s">
        <v>3013</v>
      </c>
      <c r="C204" s="0" t="n">
        <v>5.85311289776548</v>
      </c>
      <c r="D204" s="0" t="n">
        <f aca="false">SUMPRODUCT(Risk_Inputs!B204:AJ204,Risk_Coefs!$B$2:$AJ$2)</f>
        <v>-0.757178117138425</v>
      </c>
      <c r="E204" s="0" t="n">
        <f aca="false">1/(1+EXP(-MAX(-25,MIN(25,D204))))</f>
        <v>0.319259240810643</v>
      </c>
      <c r="F204" s="0" t="n">
        <f aca="false">SUMPRODUCT(Risk_Inputs!B204:AJ204,Risk_Coefs!$B$3:$AJ$3)</f>
        <v>9.55423671945592</v>
      </c>
      <c r="G204" s="0" t="n">
        <f aca="false">MAX(0,F204)</f>
        <v>9.55423671945592</v>
      </c>
      <c r="H204" s="0" t="n">
        <f aca="false">(SUMPRODUCT(--ISNUMBER($E$2:$E$800),--($E$2:$E$800&lt;E204))+(SUMPRODUCT(--ISNUMBER($E$2:$E$800),--($E$2:$E$800=E204))+1)/2)/COUNT($E$2:$E$800)</f>
        <v>0.663329161451815</v>
      </c>
      <c r="I204" s="0" t="n">
        <f aca="false">(SUMPRODUCT(--ISNUMBER($G$2:$G$800),--($G$2:$G$800&lt;G204))+(SUMPRODUCT(--ISNUMBER($G$2:$G$800),--($G$2:$G$800=G204))+1)/2)/COUNT($G$2:$G$800)</f>
        <v>0.730913642052566</v>
      </c>
      <c r="J204" s="0" t="n">
        <v>14.4440194337712</v>
      </c>
      <c r="K204" s="0" t="n">
        <v>5.78592092574734</v>
      </c>
      <c r="L204" s="0" t="n">
        <v>0.241080038572813</v>
      </c>
      <c r="M204" s="0" t="n">
        <f aca="false">IF(OR(B204="NW",COUNT(Risk_Rank_Keys!B204)=0),0.5,(SUMPRODUCT(--ISNUMBER(Risk_Rank_Keys!$B$2:$B$800),--(Risk_Rank_Keys!$B$2:$B$800&lt;Risk_Rank_Keys!B204))+(SUMPRODUCT(--ISNUMBER(Risk_Rank_Keys!$B$2:$B$800),--(Risk_Rank_Keys!$B$2:$B$800=Risk_Rank_Keys!B204))+1)/2)/COUNT(Risk_Rank_Keys!$B$2:$B$800))</f>
        <v>0.691771269177127</v>
      </c>
      <c r="N204" s="0" t="n">
        <f aca="false">IF(OR(B204="NW",COUNT(Risk_Rank_Keys!C204)=0),0.5,(SUMPRODUCT(--ISNUMBER(Risk_Rank_Keys!$C$2:$C$800),--(Risk_Rank_Keys!$C$2:$C$800&lt;Risk_Rank_Keys!C204))+(SUMPRODUCT(--ISNUMBER(Risk_Rank_Keys!$C$2:$C$800),--(Risk_Rank_Keys!$C$2:$C$800=Risk_Rank_Keys!C204))+1)/2)/COUNT(Risk_Rank_Keys!$C$2:$C$800))</f>
        <v>0.735006973500697</v>
      </c>
      <c r="O204" s="0" t="n">
        <f aca="false">IF(OR(B204="NW",COUNT(Risk_Rank_Keys!D204)=0),0.5,(SUMPRODUCT(--ISNUMBER(Risk_Rank_Keys!$D$2:$D$800),--(Risk_Rank_Keys!$D$2:$D$800&lt;Risk_Rank_Keys!D204))+(SUMPRODUCT(--ISNUMBER(Risk_Rank_Keys!$D$2:$D$800),--(Risk_Rank_Keys!$D$2:$D$800=Risk_Rank_Keys!D204))+1)/2)/COUNT(Risk_Rank_Keys!$D$2:$D$800))</f>
        <v>0.548117154811716</v>
      </c>
      <c r="P204" s="0" t="n">
        <f aca="false">AVERAGE(M204:O204)</f>
        <v>0.658298465829847</v>
      </c>
      <c r="Q204" s="0" t="n">
        <f aca="false">0.4*H204+0.4*I204+0.2*P204</f>
        <v>0.689356814567722</v>
      </c>
      <c r="R204" s="0" t="n">
        <f aca="false">PERCENTILE($Q$2:$Q$800,0.75)</f>
        <v>0.667715717403612</v>
      </c>
      <c r="S204" s="1" t="b">
        <f aca="false">OR(Q204&gt;=R204,AND(B204="CW",COUNT(J204:L204)&lt;3))</f>
        <v>1</v>
      </c>
      <c r="T204" s="0" t="n">
        <v>0.319259240810643</v>
      </c>
      <c r="U204" s="0" t="n">
        <v>9.55423671945592</v>
      </c>
      <c r="V204" s="0" t="n">
        <v>0.689356814567722</v>
      </c>
      <c r="W204" s="0" t="n">
        <f aca="false">Q204-V204</f>
        <v>0</v>
      </c>
    </row>
    <row r="205" customFormat="false" ht="15" hidden="false" customHeight="false" outlineLevel="0" collapsed="false">
      <c r="A205" s="0" t="s">
        <v>239</v>
      </c>
      <c r="B205" s="0" t="s">
        <v>3013</v>
      </c>
      <c r="C205" s="0" t="n">
        <v>-4.33676418189009</v>
      </c>
      <c r="D205" s="0" t="n">
        <f aca="false">SUMPRODUCT(Risk_Inputs!B205:AJ205,Risk_Coefs!$B$2:$AJ$2)</f>
        <v>-1.0932099519901</v>
      </c>
      <c r="E205" s="0" t="n">
        <f aca="false">1/(1+EXP(-MAX(-25,MIN(25,D205))))</f>
        <v>0.251014305565271</v>
      </c>
      <c r="F205" s="0" t="n">
        <f aca="false">SUMPRODUCT(Risk_Inputs!B205:AJ205,Risk_Coefs!$B$3:$AJ$3)</f>
        <v>4.90058193934564</v>
      </c>
      <c r="G205" s="0" t="n">
        <f aca="false">MAX(0,F205)</f>
        <v>4.90058193934564</v>
      </c>
      <c r="H205" s="0" t="n">
        <f aca="false">(SUMPRODUCT(--ISNUMBER($E$2:$E$800),--($E$2:$E$800&lt;E205))+(SUMPRODUCT(--ISNUMBER($E$2:$E$800),--($E$2:$E$800=E205))+1)/2)/COUNT($E$2:$E$800)</f>
        <v>0.269086357947434</v>
      </c>
      <c r="I205" s="0" t="n">
        <f aca="false">(SUMPRODUCT(--ISNUMBER($G$2:$G$800),--($G$2:$G$800&lt;G205))+(SUMPRODUCT(--ISNUMBER($G$2:$G$800),--($G$2:$G$800=G205))+1)/2)/COUNT($G$2:$G$800)</f>
        <v>0.122653316645807</v>
      </c>
      <c r="J205" s="0" t="n">
        <v>11.6322152045998</v>
      </c>
      <c r="K205" s="0" t="n">
        <v>1.33615773179078</v>
      </c>
      <c r="L205" s="0" t="n">
        <v>0.195535277823039</v>
      </c>
      <c r="M205" s="0" t="n">
        <f aca="false">IF(OR(B205="NW",COUNT(Risk_Rank_Keys!B205)=0),0.5,(SUMPRODUCT(--ISNUMBER(Risk_Rank_Keys!$B$2:$B$800),--(Risk_Rank_Keys!$B$2:$B$800&lt;Risk_Rank_Keys!B205))+(SUMPRODUCT(--ISNUMBER(Risk_Rank_Keys!$B$2:$B$800),--(Risk_Rank_Keys!$B$2:$B$800=Risk_Rank_Keys!B205))+1)/2)/COUNT(Risk_Rank_Keys!$B$2:$B$800))</f>
        <v>0.578800557880056</v>
      </c>
      <c r="N205" s="0" t="n">
        <f aca="false">IF(OR(B205="NW",COUNT(Risk_Rank_Keys!C205)=0),0.5,(SUMPRODUCT(--ISNUMBER(Risk_Rank_Keys!$C$2:$C$800),--(Risk_Rank_Keys!$C$2:$C$800&lt;Risk_Rank_Keys!C205))+(SUMPRODUCT(--ISNUMBER(Risk_Rank_Keys!$C$2:$C$800),--(Risk_Rank_Keys!$C$2:$C$800=Risk_Rank_Keys!C205))+1)/2)/COUNT(Risk_Rank_Keys!$C$2:$C$800))</f>
        <v>0.0934449093444909</v>
      </c>
      <c r="O205" s="0" t="n">
        <f aca="false">IF(OR(B205="NW",COUNT(Risk_Rank_Keys!D205)=0),0.5,(SUMPRODUCT(--ISNUMBER(Risk_Rank_Keys!$D$2:$D$800),--(Risk_Rank_Keys!$D$2:$D$800&lt;Risk_Rank_Keys!D205))+(SUMPRODUCT(--ISNUMBER(Risk_Rank_Keys!$D$2:$D$800),--(Risk_Rank_Keys!$D$2:$D$800=Risk_Rank_Keys!D205))+1)/2)/COUNT(Risk_Rank_Keys!$D$2:$D$800))</f>
        <v>0.292887029288703</v>
      </c>
      <c r="P205" s="0" t="n">
        <f aca="false">AVERAGE(M205:O205)</f>
        <v>0.321710832171083</v>
      </c>
      <c r="Q205" s="0" t="n">
        <f aca="false">0.4*H205+0.4*I205+0.2*P205</f>
        <v>0.221038036271513</v>
      </c>
      <c r="R205" s="0" t="n">
        <f aca="false">PERCENTILE($Q$2:$Q$800,0.75)</f>
        <v>0.667715717403612</v>
      </c>
      <c r="S205" s="1" t="b">
        <f aca="false">OR(Q205&gt;=R205,AND(B205="CW",COUNT(J205:L205)&lt;3))</f>
        <v>0</v>
      </c>
      <c r="T205" s="0" t="n">
        <v>0.251014305565271</v>
      </c>
      <c r="U205" s="0" t="n">
        <v>4.90058193934564</v>
      </c>
      <c r="V205" s="0" t="n">
        <v>0.221038036271513</v>
      </c>
      <c r="W205" s="0" t="n">
        <f aca="false">Q205-V205</f>
        <v>0</v>
      </c>
    </row>
    <row r="206" customFormat="false" ht="15" hidden="false" customHeight="false" outlineLevel="0" collapsed="false">
      <c r="A206" s="0" t="s">
        <v>240</v>
      </c>
      <c r="B206" s="0" t="s">
        <v>3013</v>
      </c>
      <c r="C206" s="0" t="n">
        <v>-40.0380059239502</v>
      </c>
      <c r="D206" s="0" t="n">
        <f aca="false">SUMPRODUCT(Risk_Inputs!B206:AJ206,Risk_Coefs!$B$2:$AJ$2)</f>
        <v>-0.64379348282945</v>
      </c>
      <c r="E206" s="0" t="n">
        <f aca="false">1/(1+EXP(-MAX(-25,MIN(25,D206))))</f>
        <v>0.344389521560554</v>
      </c>
      <c r="F206" s="0" t="n">
        <f aca="false">SUMPRODUCT(Risk_Inputs!B206:AJ206,Risk_Coefs!$B$3:$AJ$3)</f>
        <v>7.15389553092164</v>
      </c>
      <c r="G206" s="0" t="n">
        <f aca="false">MAX(0,F206)</f>
        <v>7.15389553092164</v>
      </c>
      <c r="H206" s="0" t="n">
        <f aca="false">(SUMPRODUCT(--ISNUMBER($E$2:$E$800),--($E$2:$E$800&lt;E206))+(SUMPRODUCT(--ISNUMBER($E$2:$E$800),--($E$2:$E$800=E206))+1)/2)/COUNT($E$2:$E$800)</f>
        <v>0.801001251564456</v>
      </c>
      <c r="I206" s="0" t="n">
        <f aca="false">(SUMPRODUCT(--ISNUMBER($G$2:$G$800),--($G$2:$G$800&lt;G206))+(SUMPRODUCT(--ISNUMBER($G$2:$G$800),--($G$2:$G$800=G206))+1)/2)/COUNT($G$2:$G$800)</f>
        <v>0.435544430538173</v>
      </c>
      <c r="J206" s="0" t="n">
        <v>22.1226571900098</v>
      </c>
      <c r="K206" s="0" t="n">
        <v>7.11851571374478</v>
      </c>
      <c r="L206" s="0" t="n">
        <v>0.176700744667421</v>
      </c>
      <c r="M206" s="0" t="n">
        <f aca="false">IF(OR(B206="NW",COUNT(Risk_Rank_Keys!B206)=0),0.5,(SUMPRODUCT(--ISNUMBER(Risk_Rank_Keys!$B$2:$B$800),--(Risk_Rank_Keys!$B$2:$B$800&lt;Risk_Rank_Keys!B206))+(SUMPRODUCT(--ISNUMBER(Risk_Rank_Keys!$B$2:$B$800),--(Risk_Rank_Keys!$B$2:$B$800=Risk_Rank_Keys!B206))+1)/2)/COUNT(Risk_Rank_Keys!$B$2:$B$800))</f>
        <v>0.821478382147838</v>
      </c>
      <c r="N206" s="0" t="n">
        <f aca="false">IF(OR(B206="NW",COUNT(Risk_Rank_Keys!C206)=0),0.5,(SUMPRODUCT(--ISNUMBER(Risk_Rank_Keys!$C$2:$C$800),--(Risk_Rank_Keys!$C$2:$C$800&lt;Risk_Rank_Keys!C206))+(SUMPRODUCT(--ISNUMBER(Risk_Rank_Keys!$C$2:$C$800),--(Risk_Rank_Keys!$C$2:$C$800=Risk_Rank_Keys!C206))+1)/2)/COUNT(Risk_Rank_Keys!$C$2:$C$800))</f>
        <v>0.792189679218968</v>
      </c>
      <c r="O206" s="0" t="n">
        <f aca="false">IF(OR(B206="NW",COUNT(Risk_Rank_Keys!D206)=0),0.5,(SUMPRODUCT(--ISNUMBER(Risk_Rank_Keys!$D$2:$D$800),--(Risk_Rank_Keys!$D$2:$D$800&lt;Risk_Rank_Keys!D206))+(SUMPRODUCT(--ISNUMBER(Risk_Rank_Keys!$D$2:$D$800),--(Risk_Rank_Keys!$D$2:$D$800=Risk_Rank_Keys!D206))+1)/2)/COUNT(Risk_Rank_Keys!$D$2:$D$800))</f>
        <v>0.195258019525802</v>
      </c>
      <c r="P206" s="0" t="n">
        <f aca="false">AVERAGE(M206:O206)</f>
        <v>0.602975360297536</v>
      </c>
      <c r="Q206" s="0" t="n">
        <f aca="false">0.4*H206+0.4*I206+0.2*P206</f>
        <v>0.615213344900559</v>
      </c>
      <c r="R206" s="0" t="n">
        <f aca="false">PERCENTILE($Q$2:$Q$800,0.75)</f>
        <v>0.667715717403612</v>
      </c>
      <c r="S206" s="1" t="b">
        <f aca="false">OR(Q206&gt;=R206,AND(B206="CW",COUNT(J206:L206)&lt;3))</f>
        <v>0</v>
      </c>
      <c r="T206" s="0" t="n">
        <v>0.344389521560555</v>
      </c>
      <c r="U206" s="0" t="n">
        <v>7.15389553092164</v>
      </c>
      <c r="V206" s="0" t="n">
        <v>0.615213344900559</v>
      </c>
      <c r="W206" s="0" t="n">
        <f aca="false">Q206-V206</f>
        <v>0</v>
      </c>
    </row>
    <row r="207" customFormat="false" ht="15" hidden="false" customHeight="false" outlineLevel="0" collapsed="false">
      <c r="A207" s="0" t="s">
        <v>241</v>
      </c>
      <c r="B207" s="0" t="s">
        <v>33</v>
      </c>
      <c r="C207" s="0" t="n">
        <v>-44.6178228968935</v>
      </c>
      <c r="D207" s="0" t="n">
        <f aca="false">SUMPRODUCT(Risk_Inputs!B207:AJ207,Risk_Coefs!$B$2:$AJ$2)</f>
        <v>-0.318177679063876</v>
      </c>
      <c r="E207" s="0" t="n">
        <f aca="false">1/(1+EXP(-MAX(-25,MIN(25,D207))))</f>
        <v>0.421119925512714</v>
      </c>
      <c r="F207" s="0" t="n">
        <f aca="false">SUMPRODUCT(Risk_Inputs!B207:AJ207,Risk_Coefs!$B$3:$AJ$3)</f>
        <v>13.8729745089347</v>
      </c>
      <c r="G207" s="0" t="n">
        <f aca="false">MAX(0,F207)</f>
        <v>13.8729745089347</v>
      </c>
      <c r="H207" s="0" t="n">
        <f aca="false">(SUMPRODUCT(--ISNUMBER($E$2:$E$800),--($E$2:$E$800&lt;E207))+(SUMPRODUCT(--ISNUMBER($E$2:$E$800),--($E$2:$E$800=E207))+1)/2)/COUNT($E$2:$E$800)</f>
        <v>0.963704630788486</v>
      </c>
      <c r="I207" s="0" t="n">
        <f aca="false">(SUMPRODUCT(--ISNUMBER($G$2:$G$800),--($G$2:$G$800&lt;G207))+(SUMPRODUCT(--ISNUMBER($G$2:$G$800),--($G$2:$G$800=G207))+1)/2)/COUNT($G$2:$G$800)</f>
        <v>0.969962453066333</v>
      </c>
      <c r="M207" s="0" t="n">
        <f aca="false">IF(OR(B207="NW",COUNT(Risk_Rank_Keys!B207)=0),0.5,(SUMPRODUCT(--ISNUMBER(Risk_Rank_Keys!$B$2:$B$800),--(Risk_Rank_Keys!$B$2:$B$800&lt;Risk_Rank_Keys!B207))+(SUMPRODUCT(--ISNUMBER(Risk_Rank_Keys!$B$2:$B$800),--(Risk_Rank_Keys!$B$2:$B$800=Risk_Rank_Keys!B207))+1)/2)/COUNT(Risk_Rank_Keys!$B$2:$B$800))</f>
        <v>0.5</v>
      </c>
      <c r="N207" s="0" t="n">
        <f aca="false">IF(OR(B207="NW",COUNT(Risk_Rank_Keys!C207)=0),0.5,(SUMPRODUCT(--ISNUMBER(Risk_Rank_Keys!$C$2:$C$800),--(Risk_Rank_Keys!$C$2:$C$800&lt;Risk_Rank_Keys!C207))+(SUMPRODUCT(--ISNUMBER(Risk_Rank_Keys!$C$2:$C$800),--(Risk_Rank_Keys!$C$2:$C$800=Risk_Rank_Keys!C207))+1)/2)/COUNT(Risk_Rank_Keys!$C$2:$C$800))</f>
        <v>0.5</v>
      </c>
      <c r="O207" s="0" t="n">
        <f aca="false">IF(OR(B207="NW",COUNT(Risk_Rank_Keys!D207)=0),0.5,(SUMPRODUCT(--ISNUMBER(Risk_Rank_Keys!$D$2:$D$800),--(Risk_Rank_Keys!$D$2:$D$800&lt;Risk_Rank_Keys!D207))+(SUMPRODUCT(--ISNUMBER(Risk_Rank_Keys!$D$2:$D$800),--(Risk_Rank_Keys!$D$2:$D$800=Risk_Rank_Keys!D207))+1)/2)/COUNT(Risk_Rank_Keys!$D$2:$D$800))</f>
        <v>0.5</v>
      </c>
      <c r="P207" s="0" t="n">
        <f aca="false">AVERAGE(M207:O207)</f>
        <v>0.5</v>
      </c>
      <c r="Q207" s="0" t="n">
        <f aca="false">0.4*H207+0.4*I207+0.2*P207</f>
        <v>0.873466833541927</v>
      </c>
      <c r="R207" s="0" t="n">
        <f aca="false">PERCENTILE($Q$2:$Q$800,0.75)</f>
        <v>0.667715717403612</v>
      </c>
      <c r="S207" s="1" t="b">
        <f aca="false">OR(Q207&gt;=R207,AND(B207="CW",COUNT(J207:L207)&lt;3))</f>
        <v>1</v>
      </c>
      <c r="T207" s="0" t="n">
        <v>0.421119925512714</v>
      </c>
      <c r="U207" s="0" t="n">
        <v>13.8729745089347</v>
      </c>
      <c r="V207" s="0" t="n">
        <v>0.873466833541927</v>
      </c>
      <c r="W207" s="0" t="n">
        <f aca="false">Q207-V207</f>
        <v>0</v>
      </c>
    </row>
    <row r="208" customFormat="false" ht="15" hidden="false" customHeight="false" outlineLevel="0" collapsed="false">
      <c r="A208" s="0" t="s">
        <v>242</v>
      </c>
      <c r="B208" s="0" t="s">
        <v>3013</v>
      </c>
      <c r="C208" s="0" t="n">
        <v>-35.1024101244863</v>
      </c>
      <c r="D208" s="0" t="n">
        <f aca="false">SUMPRODUCT(Risk_Inputs!B208:AJ208,Risk_Coefs!$B$2:$AJ$2)</f>
        <v>-0.927883285190608</v>
      </c>
      <c r="E208" s="0" t="n">
        <f aca="false">1/(1+EXP(-MAX(-25,MIN(25,D208))))</f>
        <v>0.283354347302426</v>
      </c>
      <c r="F208" s="0" t="n">
        <f aca="false">SUMPRODUCT(Risk_Inputs!B208:AJ208,Risk_Coefs!$B$3:$AJ$3)</f>
        <v>8.79683556599926</v>
      </c>
      <c r="G208" s="0" t="n">
        <f aca="false">MAX(0,F208)</f>
        <v>8.79683556599926</v>
      </c>
      <c r="H208" s="0" t="n">
        <f aca="false">(SUMPRODUCT(--ISNUMBER($E$2:$E$800),--($E$2:$E$800&lt;E208))+(SUMPRODUCT(--ISNUMBER($E$2:$E$800),--($E$2:$E$800=E208))+1)/2)/COUNT($E$2:$E$800)</f>
        <v>0.476846057571965</v>
      </c>
      <c r="I208" s="0" t="n">
        <f aca="false">(SUMPRODUCT(--ISNUMBER($G$2:$G$800),--($G$2:$G$800&lt;G208))+(SUMPRODUCT(--ISNUMBER($G$2:$G$800),--($G$2:$G$800=G208))+1)/2)/COUNT($G$2:$G$800)</f>
        <v>0.648310387984981</v>
      </c>
      <c r="J208" s="0" t="n">
        <v>12.4100843426115</v>
      </c>
      <c r="K208" s="0" t="n">
        <v>2.43217960710944</v>
      </c>
      <c r="L208" s="0" t="n">
        <v>0.233863423760524</v>
      </c>
      <c r="M208" s="0" t="n">
        <f aca="false">IF(OR(B208="NW",COUNT(Risk_Rank_Keys!B208)=0),0.5,(SUMPRODUCT(--ISNUMBER(Risk_Rank_Keys!$B$2:$B$800),--(Risk_Rank_Keys!$B$2:$B$800&lt;Risk_Rank_Keys!B208))+(SUMPRODUCT(--ISNUMBER(Risk_Rank_Keys!$B$2:$B$800),--(Risk_Rank_Keys!$B$2:$B$800=Risk_Rank_Keys!B208))+1)/2)/COUNT(Risk_Rank_Keys!$B$2:$B$800))</f>
        <v>0.613668061366806</v>
      </c>
      <c r="N208" s="0" t="n">
        <f aca="false">IF(OR(B208="NW",COUNT(Risk_Rank_Keys!C208)=0),0.5,(SUMPRODUCT(--ISNUMBER(Risk_Rank_Keys!$C$2:$C$800),--(Risk_Rank_Keys!$C$2:$C$800&lt;Risk_Rank_Keys!C208))+(SUMPRODUCT(--ISNUMBER(Risk_Rank_Keys!$C$2:$C$800),--(Risk_Rank_Keys!$C$2:$C$800=Risk_Rank_Keys!C208))+1)/2)/COUNT(Risk_Rank_Keys!$C$2:$C$800))</f>
        <v>0.373779637377964</v>
      </c>
      <c r="O208" s="0" t="n">
        <f aca="false">IF(OR(B208="NW",COUNT(Risk_Rank_Keys!D208)=0),0.5,(SUMPRODUCT(--ISNUMBER(Risk_Rank_Keys!$D$2:$D$800),--(Risk_Rank_Keys!$D$2:$D$800&lt;Risk_Rank_Keys!D208))+(SUMPRODUCT(--ISNUMBER(Risk_Rank_Keys!$D$2:$D$800),--(Risk_Rank_Keys!$D$2:$D$800=Risk_Rank_Keys!D208))+1)/2)/COUNT(Risk_Rank_Keys!$D$2:$D$800))</f>
        <v>0.516039051603905</v>
      </c>
      <c r="P208" s="0" t="n">
        <f aca="false">AVERAGE(M208:O208)</f>
        <v>0.501162250116225</v>
      </c>
      <c r="Q208" s="0" t="n">
        <f aca="false">0.4*H208+0.4*I208+0.2*P208</f>
        <v>0.550295028246024</v>
      </c>
      <c r="R208" s="0" t="n">
        <f aca="false">PERCENTILE($Q$2:$Q$800,0.75)</f>
        <v>0.667715717403612</v>
      </c>
      <c r="S208" s="1" t="b">
        <f aca="false">OR(Q208&gt;=R208,AND(B208="CW",COUNT(J208:L208)&lt;3))</f>
        <v>0</v>
      </c>
      <c r="T208" s="0" t="n">
        <v>0.283354347302426</v>
      </c>
      <c r="U208" s="0" t="n">
        <v>8.79683556599926</v>
      </c>
      <c r="V208" s="0" t="n">
        <v>0.550295028246024</v>
      </c>
      <c r="W208" s="0" t="n">
        <f aca="false">Q208-V208</f>
        <v>0</v>
      </c>
    </row>
    <row r="209" customFormat="false" ht="15" hidden="false" customHeight="false" outlineLevel="0" collapsed="false">
      <c r="A209" s="0" t="s">
        <v>243</v>
      </c>
      <c r="B209" s="0" t="s">
        <v>3013</v>
      </c>
      <c r="C209" s="0" t="n">
        <v>46.5121413205106</v>
      </c>
      <c r="D209" s="0" t="n">
        <f aca="false">SUMPRODUCT(Risk_Inputs!B209:AJ209,Risk_Coefs!$B$2:$AJ$2)</f>
        <v>-1.8378850849778</v>
      </c>
      <c r="E209" s="0" t="n">
        <f aca="false">1/(1+EXP(-MAX(-25,MIN(25,D209))))</f>
        <v>0.137301611897186</v>
      </c>
      <c r="F209" s="0" t="n">
        <f aca="false">SUMPRODUCT(Risk_Inputs!B209:AJ209,Risk_Coefs!$B$3:$AJ$3)</f>
        <v>4.62049530103948</v>
      </c>
      <c r="G209" s="0" t="n">
        <f aca="false">MAX(0,F209)</f>
        <v>4.62049530103948</v>
      </c>
      <c r="H209" s="0" t="n">
        <f aca="false">(SUMPRODUCT(--ISNUMBER($E$2:$E$800),--($E$2:$E$800&lt;E209))+(SUMPRODUCT(--ISNUMBER($E$2:$E$800),--($E$2:$E$800=E209))+1)/2)/COUNT($E$2:$E$800)</f>
        <v>0.0125156445556946</v>
      </c>
      <c r="I209" s="0" t="n">
        <f aca="false">(SUMPRODUCT(--ISNUMBER($G$2:$G$800),--($G$2:$G$800&lt;G209))+(SUMPRODUCT(--ISNUMBER($G$2:$G$800),--($G$2:$G$800=G209))+1)/2)/COUNT($G$2:$G$800)</f>
        <v>0.0963704630788486</v>
      </c>
      <c r="J209" s="0" t="n">
        <v>35.4104777953439</v>
      </c>
      <c r="K209" s="0" t="n">
        <v>21.3759213759214</v>
      </c>
      <c r="L209" s="0" t="n">
        <v>0.290373017645741</v>
      </c>
      <c r="M209" s="0" t="n">
        <f aca="false">IF(OR(B209="NW",COUNT(Risk_Rank_Keys!B209)=0),0.5,(SUMPRODUCT(--ISNUMBER(Risk_Rank_Keys!$B$2:$B$800),--(Risk_Rank_Keys!$B$2:$B$800&lt;Risk_Rank_Keys!B209))+(SUMPRODUCT(--ISNUMBER(Risk_Rank_Keys!$B$2:$B$800),--(Risk_Rank_Keys!$B$2:$B$800=Risk_Rank_Keys!B209))+1)/2)/COUNT(Risk_Rank_Keys!$B$2:$B$800))</f>
        <v>0.930264993026499</v>
      </c>
      <c r="N209" s="0" t="n">
        <f aca="false">IF(OR(B209="NW",COUNT(Risk_Rank_Keys!C209)=0),0.5,(SUMPRODUCT(--ISNUMBER(Risk_Rank_Keys!$C$2:$C$800),--(Risk_Rank_Keys!$C$2:$C$800&lt;Risk_Rank_Keys!C209))+(SUMPRODUCT(--ISNUMBER(Risk_Rank_Keys!$C$2:$C$800),--(Risk_Rank_Keys!$C$2:$C$800=Risk_Rank_Keys!C209))+1)/2)/COUNT(Risk_Rank_Keys!$C$2:$C$800))</f>
        <v>0.96513249651325</v>
      </c>
      <c r="O209" s="0" t="n">
        <f aca="false">IF(OR(B209="NW",COUNT(Risk_Rank_Keys!D209)=0),0.5,(SUMPRODUCT(--ISNUMBER(Risk_Rank_Keys!$D$2:$D$800),--(Risk_Rank_Keys!$D$2:$D$800&lt;Risk_Rank_Keys!D209))+(SUMPRODUCT(--ISNUMBER(Risk_Rank_Keys!$D$2:$D$800),--(Risk_Rank_Keys!$D$2:$D$800=Risk_Rank_Keys!D209))+1)/2)/COUNT(Risk_Rank_Keys!$D$2:$D$800))</f>
        <v>0.726638772663877</v>
      </c>
      <c r="P209" s="0" t="n">
        <f aca="false">AVERAGE(M209:O209)</f>
        <v>0.874012087401209</v>
      </c>
      <c r="Q209" s="0" t="n">
        <f aca="false">0.4*H209+0.4*I209+0.2*P209</f>
        <v>0.218356860534059</v>
      </c>
      <c r="R209" s="0" t="n">
        <f aca="false">PERCENTILE($Q$2:$Q$800,0.75)</f>
        <v>0.667715717403612</v>
      </c>
      <c r="S209" s="1" t="b">
        <f aca="false">OR(Q209&gt;=R209,AND(B209="CW",COUNT(J209:L209)&lt;3))</f>
        <v>0</v>
      </c>
      <c r="T209" s="0" t="n">
        <v>0.137301611897186</v>
      </c>
      <c r="U209" s="0" t="n">
        <v>4.62049530103948</v>
      </c>
      <c r="V209" s="0" t="n">
        <v>0.218356860534059</v>
      </c>
      <c r="W209" s="0" t="n">
        <f aca="false">Q209-V209</f>
        <v>0</v>
      </c>
    </row>
    <row r="210" customFormat="false" ht="15" hidden="false" customHeight="false" outlineLevel="0" collapsed="false">
      <c r="A210" s="0" t="s">
        <v>244</v>
      </c>
      <c r="B210" s="0" t="s">
        <v>3013</v>
      </c>
      <c r="C210" s="0" t="n">
        <v>59.0799556162279</v>
      </c>
      <c r="D210" s="0" t="n">
        <f aca="false">SUMPRODUCT(Risk_Inputs!B210:AJ210,Risk_Coefs!$B$2:$AJ$2)</f>
        <v>-0.99283852744953</v>
      </c>
      <c r="E210" s="0" t="n">
        <f aca="false">1/(1+EXP(-MAX(-25,MIN(25,D210))))</f>
        <v>0.270351780053538</v>
      </c>
      <c r="F210" s="0" t="n">
        <f aca="false">SUMPRODUCT(Risk_Inputs!B210:AJ210,Risk_Coefs!$B$3:$AJ$3)</f>
        <v>7.47372240247916</v>
      </c>
      <c r="G210" s="0" t="n">
        <f aca="false">MAX(0,F210)</f>
        <v>7.47372240247916</v>
      </c>
      <c r="H210" s="0" t="n">
        <f aca="false">(SUMPRODUCT(--ISNUMBER($E$2:$E$800),--($E$2:$E$800&lt;E210))+(SUMPRODUCT(--ISNUMBER($E$2:$E$800),--($E$2:$E$800=E210))+1)/2)/COUNT($E$2:$E$800)</f>
        <v>0.391739674593242</v>
      </c>
      <c r="I210" s="0" t="n">
        <f aca="false">(SUMPRODUCT(--ISNUMBER($G$2:$G$800),--($G$2:$G$800&lt;G210))+(SUMPRODUCT(--ISNUMBER($G$2:$G$800),--($G$2:$G$800=G210))+1)/2)/COUNT($G$2:$G$800)</f>
        <v>0.479349186483104</v>
      </c>
      <c r="J210" s="0" t="n">
        <v>38.3165135749108</v>
      </c>
      <c r="K210" s="0" t="n">
        <v>4.67238042576722</v>
      </c>
      <c r="L210" s="0" t="n">
        <v>0.276472214542439</v>
      </c>
      <c r="M210" s="0" t="n">
        <f aca="false">IF(OR(B210="NW",COUNT(Risk_Rank_Keys!B210)=0),0.5,(SUMPRODUCT(--ISNUMBER(Risk_Rank_Keys!$B$2:$B$800),--(Risk_Rank_Keys!$B$2:$B$800&lt;Risk_Rank_Keys!B210))+(SUMPRODUCT(--ISNUMBER(Risk_Rank_Keys!$B$2:$B$800),--(Risk_Rank_Keys!$B$2:$B$800=Risk_Rank_Keys!B210))+1)/2)/COUNT(Risk_Rank_Keys!$B$2:$B$800))</f>
        <v>0.94560669456067</v>
      </c>
      <c r="N210" s="0" t="n">
        <f aca="false">IF(OR(B210="NW",COUNT(Risk_Rank_Keys!C210)=0),0.5,(SUMPRODUCT(--ISNUMBER(Risk_Rank_Keys!$C$2:$C$800),--(Risk_Rank_Keys!$C$2:$C$800&lt;Risk_Rank_Keys!C210))+(SUMPRODUCT(--ISNUMBER(Risk_Rank_Keys!$C$2:$C$800),--(Risk_Rank_Keys!$C$2:$C$800=Risk_Rank_Keys!C210))+1)/2)/COUNT(Risk_Rank_Keys!$C$2:$C$800))</f>
        <v>0.661087866108787</v>
      </c>
      <c r="O210" s="0" t="n">
        <f aca="false">IF(OR(B210="NW",COUNT(Risk_Rank_Keys!D210)=0),0.5,(SUMPRODUCT(--ISNUMBER(Risk_Rank_Keys!$D$2:$D$800),--(Risk_Rank_Keys!$D$2:$D$800&lt;Risk_Rank_Keys!D210))+(SUMPRODUCT(--ISNUMBER(Risk_Rank_Keys!$D$2:$D$800),--(Risk_Rank_Keys!$D$2:$D$800=Risk_Rank_Keys!D210))+1)/2)/COUNT(Risk_Rank_Keys!$D$2:$D$800))</f>
        <v>0.684797768479777</v>
      </c>
      <c r="P210" s="0" t="n">
        <f aca="false">AVERAGE(M210:O210)</f>
        <v>0.763830776383078</v>
      </c>
      <c r="Q210" s="0" t="n">
        <f aca="false">0.4*H210+0.4*I210+0.2*P210</f>
        <v>0.501201699707154</v>
      </c>
      <c r="R210" s="0" t="n">
        <f aca="false">PERCENTILE($Q$2:$Q$800,0.75)</f>
        <v>0.667715717403612</v>
      </c>
      <c r="S210" s="1" t="b">
        <f aca="false">OR(Q210&gt;=R210,AND(B210="CW",COUNT(J210:L210)&lt;3))</f>
        <v>0</v>
      </c>
      <c r="T210" s="0" t="n">
        <v>0.270351780053538</v>
      </c>
      <c r="U210" s="0" t="n">
        <v>7.47372240247916</v>
      </c>
      <c r="V210" s="0" t="n">
        <v>0.501201699707154</v>
      </c>
      <c r="W210" s="0" t="n">
        <f aca="false">Q210-V210</f>
        <v>0</v>
      </c>
    </row>
    <row r="211" customFormat="false" ht="15" hidden="false" customHeight="false" outlineLevel="0" collapsed="false">
      <c r="A211" s="0" t="s">
        <v>245</v>
      </c>
      <c r="B211" s="0" t="s">
        <v>3013</v>
      </c>
      <c r="C211" s="0" t="n">
        <v>82.6614885319566</v>
      </c>
      <c r="D211" s="0" t="n">
        <f aca="false">SUMPRODUCT(Risk_Inputs!B211:AJ211,Risk_Coefs!$B$2:$AJ$2)</f>
        <v>-2.02260674240549</v>
      </c>
      <c r="E211" s="0" t="n">
        <f aca="false">1/(1+EXP(-MAX(-25,MIN(25,D211))))</f>
        <v>0.116849717058437</v>
      </c>
      <c r="F211" s="0" t="n">
        <f aca="false">SUMPRODUCT(Risk_Inputs!B211:AJ211,Risk_Coefs!$B$3:$AJ$3)</f>
        <v>-0.177191129629938</v>
      </c>
      <c r="G211" s="0" t="n">
        <f aca="false">MAX(0,F211)</f>
        <v>0</v>
      </c>
      <c r="H211" s="0" t="n">
        <f aca="false">(SUMPRODUCT(--ISNUMBER($E$2:$E$800),--($E$2:$E$800&lt;E211))+(SUMPRODUCT(--ISNUMBER($E$2:$E$800),--($E$2:$E$800=E211))+1)/2)/COUNT($E$2:$E$800)</f>
        <v>0.00375469336670839</v>
      </c>
      <c r="I211" s="0" t="n">
        <f aca="false">(SUMPRODUCT(--ISNUMBER($G$2:$G$800),--($G$2:$G$800&lt;G211))+(SUMPRODUCT(--ISNUMBER($G$2:$G$800),--($G$2:$G$800=G211))+1)/2)/COUNT($G$2:$G$800)</f>
        <v>0.00187734668335419</v>
      </c>
      <c r="J211" s="0" t="n">
        <v>131.822181798851</v>
      </c>
      <c r="K211" s="0" t="n">
        <v>31.6926241551572</v>
      </c>
      <c r="L211" s="0" t="n">
        <v>0.455480458419037</v>
      </c>
      <c r="M211" s="0" t="n">
        <f aca="false">IF(OR(B211="NW",COUNT(Risk_Rank_Keys!B211)=0),0.5,(SUMPRODUCT(--ISNUMBER(Risk_Rank_Keys!$B$2:$B$800),--(Risk_Rank_Keys!$B$2:$B$800&lt;Risk_Rank_Keys!B211))+(SUMPRODUCT(--ISNUMBER(Risk_Rank_Keys!$B$2:$B$800),--(Risk_Rank_Keys!$B$2:$B$800=Risk_Rank_Keys!B211))+1)/2)/COUNT(Risk_Rank_Keys!$B$2:$B$800))</f>
        <v>1</v>
      </c>
      <c r="N211" s="0" t="n">
        <f aca="false">IF(OR(B211="NW",COUNT(Risk_Rank_Keys!C211)=0),0.5,(SUMPRODUCT(--ISNUMBER(Risk_Rank_Keys!$C$2:$C$800),--(Risk_Rank_Keys!$C$2:$C$800&lt;Risk_Rank_Keys!C211))+(SUMPRODUCT(--ISNUMBER(Risk_Rank_Keys!$C$2:$C$800),--(Risk_Rank_Keys!$C$2:$C$800=Risk_Rank_Keys!C211))+1)/2)/COUNT(Risk_Rank_Keys!$C$2:$C$800))</f>
        <v>0.99442119944212</v>
      </c>
      <c r="O211" s="0" t="n">
        <f aca="false">IF(OR(B211="NW",COUNT(Risk_Rank_Keys!D211)=0),0.5,(SUMPRODUCT(--ISNUMBER(Risk_Rank_Keys!$D$2:$D$800),--(Risk_Rank_Keys!$D$2:$D$800&lt;Risk_Rank_Keys!D211))+(SUMPRODUCT(--ISNUMBER(Risk_Rank_Keys!$D$2:$D$800),--(Risk_Rank_Keys!$D$2:$D$800=Risk_Rank_Keys!D211))+1)/2)/COUNT(Risk_Rank_Keys!$D$2:$D$800))</f>
        <v>0.927475592747559</v>
      </c>
      <c r="P211" s="0" t="n">
        <f aca="false">AVERAGE(M211:O211)</f>
        <v>0.97396559739656</v>
      </c>
      <c r="Q211" s="0" t="n">
        <f aca="false">0.4*H211+0.4*I211+0.2*P211</f>
        <v>0.197045935499337</v>
      </c>
      <c r="R211" s="0" t="n">
        <f aca="false">PERCENTILE($Q$2:$Q$800,0.75)</f>
        <v>0.667715717403612</v>
      </c>
      <c r="S211" s="1" t="b">
        <f aca="false">OR(Q211&gt;=R211,AND(B211="CW",COUNT(J211:L211)&lt;3))</f>
        <v>0</v>
      </c>
      <c r="T211" s="0" t="n">
        <v>0.116849717058437</v>
      </c>
      <c r="U211" s="0" t="n">
        <v>0</v>
      </c>
      <c r="V211" s="0" t="n">
        <v>0.197045935499337</v>
      </c>
      <c r="W211" s="0" t="n">
        <f aca="false">Q211-V211</f>
        <v>0</v>
      </c>
    </row>
    <row r="212" customFormat="false" ht="15" hidden="false" customHeight="false" outlineLevel="0" collapsed="false">
      <c r="A212" s="0" t="s">
        <v>246</v>
      </c>
      <c r="B212" s="0" t="s">
        <v>33</v>
      </c>
      <c r="C212" s="0" t="n">
        <v>60.0603726285112</v>
      </c>
      <c r="D212" s="0" t="n">
        <f aca="false">SUMPRODUCT(Risk_Inputs!B212:AJ212,Risk_Coefs!$B$2:$AJ$2)</f>
        <v>-0.419985570245247</v>
      </c>
      <c r="E212" s="0" t="n">
        <f aca="false">1/(1+EXP(-MAX(-25,MIN(25,D212))))</f>
        <v>0.396520203054006</v>
      </c>
      <c r="F212" s="0" t="n">
        <f aca="false">SUMPRODUCT(Risk_Inputs!B212:AJ212,Risk_Coefs!$B$3:$AJ$3)</f>
        <v>14.4696251574662</v>
      </c>
      <c r="G212" s="0" t="n">
        <f aca="false">MAX(0,F212)</f>
        <v>14.4696251574662</v>
      </c>
      <c r="H212" s="0" t="n">
        <f aca="false">(SUMPRODUCT(--ISNUMBER($E$2:$E$800),--($E$2:$E$800&lt;E212))+(SUMPRODUCT(--ISNUMBER($E$2:$E$800),--($E$2:$E$800=E212))+1)/2)/COUNT($E$2:$E$800)</f>
        <v>0.933667083854819</v>
      </c>
      <c r="I212" s="0" t="n">
        <f aca="false">(SUMPRODUCT(--ISNUMBER($G$2:$G$800),--($G$2:$G$800&lt;G212))+(SUMPRODUCT(--ISNUMBER($G$2:$G$800),--($G$2:$G$800=G212))+1)/2)/COUNT($G$2:$G$800)</f>
        <v>0.979974968710889</v>
      </c>
      <c r="M212" s="0" t="n">
        <f aca="false">IF(OR(B212="NW",COUNT(Risk_Rank_Keys!B212)=0),0.5,(SUMPRODUCT(--ISNUMBER(Risk_Rank_Keys!$B$2:$B$800),--(Risk_Rank_Keys!$B$2:$B$800&lt;Risk_Rank_Keys!B212))+(SUMPRODUCT(--ISNUMBER(Risk_Rank_Keys!$B$2:$B$800),--(Risk_Rank_Keys!$B$2:$B$800=Risk_Rank_Keys!B212))+1)/2)/COUNT(Risk_Rank_Keys!$B$2:$B$800))</f>
        <v>0.5</v>
      </c>
      <c r="N212" s="0" t="n">
        <f aca="false">IF(OR(B212="NW",COUNT(Risk_Rank_Keys!C212)=0),0.5,(SUMPRODUCT(--ISNUMBER(Risk_Rank_Keys!$C$2:$C$800),--(Risk_Rank_Keys!$C$2:$C$800&lt;Risk_Rank_Keys!C212))+(SUMPRODUCT(--ISNUMBER(Risk_Rank_Keys!$C$2:$C$800),--(Risk_Rank_Keys!$C$2:$C$800=Risk_Rank_Keys!C212))+1)/2)/COUNT(Risk_Rank_Keys!$C$2:$C$800))</f>
        <v>0.5</v>
      </c>
      <c r="O212" s="0" t="n">
        <f aca="false">IF(OR(B212="NW",COUNT(Risk_Rank_Keys!D212)=0),0.5,(SUMPRODUCT(--ISNUMBER(Risk_Rank_Keys!$D$2:$D$800),--(Risk_Rank_Keys!$D$2:$D$800&lt;Risk_Rank_Keys!D212))+(SUMPRODUCT(--ISNUMBER(Risk_Rank_Keys!$D$2:$D$800),--(Risk_Rank_Keys!$D$2:$D$800=Risk_Rank_Keys!D212))+1)/2)/COUNT(Risk_Rank_Keys!$D$2:$D$800))</f>
        <v>0.5</v>
      </c>
      <c r="P212" s="0" t="n">
        <f aca="false">AVERAGE(M212:O212)</f>
        <v>0.5</v>
      </c>
      <c r="Q212" s="0" t="n">
        <f aca="false">0.4*H212+0.4*I212+0.2*P212</f>
        <v>0.865456821026283</v>
      </c>
      <c r="R212" s="0" t="n">
        <f aca="false">PERCENTILE($Q$2:$Q$800,0.75)</f>
        <v>0.667715717403612</v>
      </c>
      <c r="S212" s="1" t="b">
        <f aca="false">OR(Q212&gt;=R212,AND(B212="CW",COUNT(J212:L212)&lt;3))</f>
        <v>1</v>
      </c>
      <c r="T212" s="0" t="n">
        <v>0.396520203054006</v>
      </c>
      <c r="U212" s="0" t="n">
        <v>14.4696251574662</v>
      </c>
      <c r="V212" s="0" t="n">
        <v>0.865456821026283</v>
      </c>
      <c r="W212" s="0" t="n">
        <f aca="false">Q212-V212</f>
        <v>0</v>
      </c>
    </row>
    <row r="213" customFormat="false" ht="15" hidden="false" customHeight="false" outlineLevel="0" collapsed="false">
      <c r="A213" s="0" t="s">
        <v>247</v>
      </c>
      <c r="B213" s="0" t="s">
        <v>3013</v>
      </c>
      <c r="C213" s="0" t="n">
        <v>16.4784496636018</v>
      </c>
      <c r="D213" s="0" t="n">
        <f aca="false">SUMPRODUCT(Risk_Inputs!B213:AJ213,Risk_Coefs!$B$2:$AJ$2)</f>
        <v>-0.401365870392424</v>
      </c>
      <c r="E213" s="0" t="n">
        <f aca="false">1/(1+EXP(-MAX(-25,MIN(25,D213))))</f>
        <v>0.400984219128381</v>
      </c>
      <c r="F213" s="0" t="n">
        <f aca="false">SUMPRODUCT(Risk_Inputs!B213:AJ213,Risk_Coefs!$B$3:$AJ$3)</f>
        <v>7.94952333691108</v>
      </c>
      <c r="G213" s="0" t="n">
        <f aca="false">MAX(0,F213)</f>
        <v>7.94952333691108</v>
      </c>
      <c r="H213" s="0" t="n">
        <f aca="false">(SUMPRODUCT(--ISNUMBER($E$2:$E$800),--($E$2:$E$800&lt;E213))+(SUMPRODUCT(--ISNUMBER($E$2:$E$800),--($E$2:$E$800=E213))+1)/2)/COUNT($E$2:$E$800)</f>
        <v>0.948685857321652</v>
      </c>
      <c r="I213" s="0" t="n">
        <f aca="false">(SUMPRODUCT(--ISNUMBER($G$2:$G$800),--($G$2:$G$800&lt;G213))+(SUMPRODUCT(--ISNUMBER($G$2:$G$800),--($G$2:$G$800=G213))+1)/2)/COUNT($G$2:$G$800)</f>
        <v>0.533166458072591</v>
      </c>
      <c r="J213" s="0" t="n">
        <v>16.5579272948286</v>
      </c>
      <c r="K213" s="0" t="n">
        <v>6.81769147788566</v>
      </c>
      <c r="L213" s="0" t="n">
        <v>0.323624595469256</v>
      </c>
      <c r="M213" s="0" t="n">
        <f aca="false">IF(OR(B213="NW",COUNT(Risk_Rank_Keys!B213)=0),0.5,(SUMPRODUCT(--ISNUMBER(Risk_Rank_Keys!$B$2:$B$800),--(Risk_Rank_Keys!$B$2:$B$800&lt;Risk_Rank_Keys!B213))+(SUMPRODUCT(--ISNUMBER(Risk_Rank_Keys!$B$2:$B$800),--(Risk_Rank_Keys!$B$2:$B$800=Risk_Rank_Keys!B213))+1)/2)/COUNT(Risk_Rank_Keys!$B$2:$B$800))</f>
        <v>0.737796373779637</v>
      </c>
      <c r="N213" s="0" t="n">
        <f aca="false">IF(OR(B213="NW",COUNT(Risk_Rank_Keys!C213)=0),0.5,(SUMPRODUCT(--ISNUMBER(Risk_Rank_Keys!$C$2:$C$800),--(Risk_Rank_Keys!$C$2:$C$800&lt;Risk_Rank_Keys!C213))+(SUMPRODUCT(--ISNUMBER(Risk_Rank_Keys!$C$2:$C$800),--(Risk_Rank_Keys!$C$2:$C$800=Risk_Rank_Keys!C213))+1)/2)/COUNT(Risk_Rank_Keys!$C$2:$C$800))</f>
        <v>0.778242677824268</v>
      </c>
      <c r="O213" s="0" t="n">
        <f aca="false">IF(OR(B213="NW",COUNT(Risk_Rank_Keys!D213)=0),0.5,(SUMPRODUCT(--ISNUMBER(Risk_Rank_Keys!$D$2:$D$800),--(Risk_Rank_Keys!$D$2:$D$800&lt;Risk_Rank_Keys!D213))+(SUMPRODUCT(--ISNUMBER(Risk_Rank_Keys!$D$2:$D$800),--(Risk_Rank_Keys!$D$2:$D$800=Risk_Rank_Keys!D213))+1)/2)/COUNT(Risk_Rank_Keys!$D$2:$D$800))</f>
        <v>0.785216178521618</v>
      </c>
      <c r="P213" s="0" t="n">
        <f aca="false">AVERAGE(M213:O213)</f>
        <v>0.767085076708508</v>
      </c>
      <c r="Q213" s="0" t="n">
        <f aca="false">0.4*H213+0.4*I213+0.2*P213</f>
        <v>0.746157941499399</v>
      </c>
      <c r="R213" s="0" t="n">
        <f aca="false">PERCENTILE($Q$2:$Q$800,0.75)</f>
        <v>0.667715717403612</v>
      </c>
      <c r="S213" s="1" t="b">
        <f aca="false">OR(Q213&gt;=R213,AND(B213="CW",COUNT(J213:L213)&lt;3))</f>
        <v>1</v>
      </c>
      <c r="T213" s="0" t="n">
        <v>0.400984219128381</v>
      </c>
      <c r="U213" s="0" t="n">
        <v>7.94952333691108</v>
      </c>
      <c r="V213" s="0" t="n">
        <v>0.746157941499399</v>
      </c>
      <c r="W213" s="0" t="n">
        <f aca="false">Q213-V213</f>
        <v>0</v>
      </c>
    </row>
    <row r="214" customFormat="false" ht="15" hidden="false" customHeight="false" outlineLevel="0" collapsed="false">
      <c r="A214" s="0" t="s">
        <v>248</v>
      </c>
      <c r="B214" s="0" t="s">
        <v>3013</v>
      </c>
      <c r="C214" s="0" t="n">
        <v>38.4278988391193</v>
      </c>
      <c r="D214" s="0" t="n">
        <f aca="false">SUMPRODUCT(Risk_Inputs!B214:AJ214,Risk_Coefs!$B$2:$AJ$2)</f>
        <v>-0.146223424578057</v>
      </c>
      <c r="E214" s="0" t="n">
        <f aca="false">1/(1+EXP(-MAX(-25,MIN(25,D214))))</f>
        <v>0.463509139170455</v>
      </c>
      <c r="F214" s="0" t="n">
        <f aca="false">SUMPRODUCT(Risk_Inputs!B214:AJ214,Risk_Coefs!$B$3:$AJ$3)</f>
        <v>12.3806972021063</v>
      </c>
      <c r="G214" s="0" t="n">
        <f aca="false">MAX(0,F214)</f>
        <v>12.3806972021063</v>
      </c>
      <c r="H214" s="0" t="n">
        <f aca="false">(SUMPRODUCT(--ISNUMBER($E$2:$E$800),--($E$2:$E$800&lt;E214))+(SUMPRODUCT(--ISNUMBER($E$2:$E$800),--($E$2:$E$800=E214))+1)/2)/COUNT($E$2:$E$800)</f>
        <v>0.984981226533166</v>
      </c>
      <c r="I214" s="0" t="n">
        <f aca="false">(SUMPRODUCT(--ISNUMBER($G$2:$G$800),--($G$2:$G$800&lt;G214))+(SUMPRODUCT(--ISNUMBER($G$2:$G$800),--($G$2:$G$800=G214))+1)/2)/COUNT($G$2:$G$800)</f>
        <v>0.937421777221527</v>
      </c>
      <c r="J214" s="0" t="n">
        <v>28.9593305036288</v>
      </c>
      <c r="K214" s="0" t="n">
        <v>1.59828844701734</v>
      </c>
      <c r="L214" s="0" t="n">
        <v>0.125849484017123</v>
      </c>
      <c r="M214" s="0" t="n">
        <f aca="false">IF(OR(B214="NW",COUNT(Risk_Rank_Keys!B214)=0),0.5,(SUMPRODUCT(--ISNUMBER(Risk_Rank_Keys!$B$2:$B$800),--(Risk_Rank_Keys!$B$2:$B$800&lt;Risk_Rank_Keys!B214))+(SUMPRODUCT(--ISNUMBER(Risk_Rank_Keys!$B$2:$B$800),--(Risk_Rank_Keys!$B$2:$B$800=Risk_Rank_Keys!B214))+1)/2)/COUNT(Risk_Rank_Keys!$B$2:$B$800))</f>
        <v>0.902370990237099</v>
      </c>
      <c r="N214" s="0" t="n">
        <f aca="false">IF(OR(B214="NW",COUNT(Risk_Rank_Keys!C214)=0),0.5,(SUMPRODUCT(--ISNUMBER(Risk_Rank_Keys!$C$2:$C$800),--(Risk_Rank_Keys!$C$2:$C$800&lt;Risk_Rank_Keys!C214))+(SUMPRODUCT(--ISNUMBER(Risk_Rank_Keys!$C$2:$C$800),--(Risk_Rank_Keys!$C$2:$C$800=Risk_Rank_Keys!C214))+1)/2)/COUNT(Risk_Rank_Keys!$C$2:$C$800))</f>
        <v>0.157601115760112</v>
      </c>
      <c r="O214" s="0" t="n">
        <f aca="false">IF(OR(B214="NW",COUNT(Risk_Rank_Keys!D214)=0),0.5,(SUMPRODUCT(--ISNUMBER(Risk_Rank_Keys!$D$2:$D$800),--(Risk_Rank_Keys!$D$2:$D$800&lt;Risk_Rank_Keys!D214))+(SUMPRODUCT(--ISNUMBER(Risk_Rank_Keys!$D$2:$D$800),--(Risk_Rank_Keys!$D$2:$D$800=Risk_Rank_Keys!D214))+1)/2)/COUNT(Risk_Rank_Keys!$D$2:$D$800))</f>
        <v>0.0516039051603905</v>
      </c>
      <c r="P214" s="0" t="n">
        <f aca="false">AVERAGE(M214:O214)</f>
        <v>0.370525337052534</v>
      </c>
      <c r="Q214" s="0" t="n">
        <f aca="false">0.4*H214+0.4*I214+0.2*P214</f>
        <v>0.843066268912384</v>
      </c>
      <c r="R214" s="0" t="n">
        <f aca="false">PERCENTILE($Q$2:$Q$800,0.75)</f>
        <v>0.667715717403612</v>
      </c>
      <c r="S214" s="1" t="b">
        <f aca="false">OR(Q214&gt;=R214,AND(B214="CW",COUNT(J214:L214)&lt;3))</f>
        <v>1</v>
      </c>
      <c r="T214" s="0" t="n">
        <v>0.463509139170455</v>
      </c>
      <c r="U214" s="0" t="n">
        <v>12.3806972021063</v>
      </c>
      <c r="V214" s="0" t="n">
        <v>0.843066268912384</v>
      </c>
      <c r="W214" s="0" t="n">
        <f aca="false">Q214-V214</f>
        <v>0</v>
      </c>
    </row>
    <row r="215" customFormat="false" ht="15" hidden="false" customHeight="false" outlineLevel="0" collapsed="false">
      <c r="A215" s="0" t="s">
        <v>249</v>
      </c>
      <c r="B215" s="0" t="s">
        <v>33</v>
      </c>
      <c r="C215" s="0" t="n">
        <v>88.3541395574045</v>
      </c>
      <c r="D215" s="0" t="n">
        <f aca="false">SUMPRODUCT(Risk_Inputs!B215:AJ215,Risk_Coefs!$B$2:$AJ$2)</f>
        <v>0.0805509821419476</v>
      </c>
      <c r="E215" s="0" t="n">
        <f aca="false">1/(1+EXP(-MAX(-25,MIN(25,D215))))</f>
        <v>0.52012686401495</v>
      </c>
      <c r="F215" s="0" t="n">
        <f aca="false">SUMPRODUCT(Risk_Inputs!B215:AJ215,Risk_Coefs!$B$3:$AJ$3)</f>
        <v>18.7283406676864</v>
      </c>
      <c r="G215" s="0" t="n">
        <f aca="false">MAX(0,F215)</f>
        <v>18.7283406676864</v>
      </c>
      <c r="H215" s="0" t="n">
        <f aca="false">(SUMPRODUCT(--ISNUMBER($E$2:$E$800),--($E$2:$E$800&lt;E215))+(SUMPRODUCT(--ISNUMBER($E$2:$E$800),--($E$2:$E$800=E215))+1)/2)/COUNT($E$2:$E$800)</f>
        <v>0.998748435544431</v>
      </c>
      <c r="I215" s="0" t="n">
        <f aca="false">(SUMPRODUCT(--ISNUMBER($G$2:$G$800),--($G$2:$G$800&lt;G215))+(SUMPRODUCT(--ISNUMBER($G$2:$G$800),--($G$2:$G$800=G215))+1)/2)/COUNT($G$2:$G$800)</f>
        <v>1</v>
      </c>
      <c r="M215" s="0" t="n">
        <f aca="false">IF(OR(B215="NW",COUNT(Risk_Rank_Keys!B215)=0),0.5,(SUMPRODUCT(--ISNUMBER(Risk_Rank_Keys!$B$2:$B$800),--(Risk_Rank_Keys!$B$2:$B$800&lt;Risk_Rank_Keys!B215))+(SUMPRODUCT(--ISNUMBER(Risk_Rank_Keys!$B$2:$B$800),--(Risk_Rank_Keys!$B$2:$B$800=Risk_Rank_Keys!B215))+1)/2)/COUNT(Risk_Rank_Keys!$B$2:$B$800))</f>
        <v>0.5</v>
      </c>
      <c r="N215" s="0" t="n">
        <f aca="false">IF(OR(B215="NW",COUNT(Risk_Rank_Keys!C215)=0),0.5,(SUMPRODUCT(--ISNUMBER(Risk_Rank_Keys!$C$2:$C$800),--(Risk_Rank_Keys!$C$2:$C$800&lt;Risk_Rank_Keys!C215))+(SUMPRODUCT(--ISNUMBER(Risk_Rank_Keys!$C$2:$C$800),--(Risk_Rank_Keys!$C$2:$C$800=Risk_Rank_Keys!C215))+1)/2)/COUNT(Risk_Rank_Keys!$C$2:$C$800))</f>
        <v>0.5</v>
      </c>
      <c r="O215" s="0" t="n">
        <f aca="false">IF(OR(B215="NW",COUNT(Risk_Rank_Keys!D215)=0),0.5,(SUMPRODUCT(--ISNUMBER(Risk_Rank_Keys!$D$2:$D$800),--(Risk_Rank_Keys!$D$2:$D$800&lt;Risk_Rank_Keys!D215))+(SUMPRODUCT(--ISNUMBER(Risk_Rank_Keys!$D$2:$D$800),--(Risk_Rank_Keys!$D$2:$D$800=Risk_Rank_Keys!D215))+1)/2)/COUNT(Risk_Rank_Keys!$D$2:$D$800))</f>
        <v>0.5</v>
      </c>
      <c r="P215" s="0" t="n">
        <f aca="false">AVERAGE(M215:O215)</f>
        <v>0.5</v>
      </c>
      <c r="Q215" s="0" t="n">
        <f aca="false">0.4*H215+0.4*I215+0.2*P215</f>
        <v>0.899499374217772</v>
      </c>
      <c r="R215" s="0" t="n">
        <f aca="false">PERCENTILE($Q$2:$Q$800,0.75)</f>
        <v>0.667715717403612</v>
      </c>
      <c r="S215" s="1" t="b">
        <f aca="false">OR(Q215&gt;=R215,AND(B215="CW",COUNT(J215:L215)&lt;3))</f>
        <v>1</v>
      </c>
      <c r="T215" s="0" t="n">
        <v>0.52012686401495</v>
      </c>
      <c r="U215" s="0" t="n">
        <v>18.7283406676864</v>
      </c>
      <c r="V215" s="0" t="n">
        <v>0.899499374217772</v>
      </c>
      <c r="W215" s="0" t="n">
        <f aca="false">Q215-V215</f>
        <v>0</v>
      </c>
    </row>
    <row r="216" customFormat="false" ht="15" hidden="false" customHeight="false" outlineLevel="0" collapsed="false">
      <c r="A216" s="0" t="s">
        <v>250</v>
      </c>
      <c r="B216" s="0" t="s">
        <v>3013</v>
      </c>
      <c r="C216" s="0" t="n">
        <v>-1.43239649144712</v>
      </c>
      <c r="D216" s="0" t="n">
        <f aca="false">SUMPRODUCT(Risk_Inputs!B216:AJ216,Risk_Coefs!$B$2:$AJ$2)</f>
        <v>-0.493244850341611</v>
      </c>
      <c r="E216" s="0" t="n">
        <f aca="false">1/(1+EXP(-MAX(-25,MIN(25,D216))))</f>
        <v>0.379129462302103</v>
      </c>
      <c r="F216" s="0" t="n">
        <f aca="false">SUMPRODUCT(Risk_Inputs!B216:AJ216,Risk_Coefs!$B$3:$AJ$3)</f>
        <v>8.7348060088602</v>
      </c>
      <c r="G216" s="0" t="n">
        <f aca="false">MAX(0,F216)</f>
        <v>8.7348060088602</v>
      </c>
      <c r="H216" s="0" t="n">
        <f aca="false">(SUMPRODUCT(--ISNUMBER($E$2:$E$800),--($E$2:$E$800&lt;E216))+(SUMPRODUCT(--ISNUMBER($E$2:$E$800),--($E$2:$E$800=E216))+1)/2)/COUNT($E$2:$E$800)</f>
        <v>0.896120150187735</v>
      </c>
      <c r="I216" s="0" t="n">
        <f aca="false">(SUMPRODUCT(--ISNUMBER($G$2:$G$800),--($G$2:$G$800&lt;G216))+(SUMPRODUCT(--ISNUMBER($G$2:$G$800),--($G$2:$G$800=G216))+1)/2)/COUNT($G$2:$G$800)</f>
        <v>0.639549436795995</v>
      </c>
      <c r="J216" s="0" t="n">
        <v>18.2203257856542</v>
      </c>
      <c r="K216" s="0" t="n">
        <v>4.61837627613029</v>
      </c>
      <c r="L216" s="0" t="n">
        <v>0.226867606546756</v>
      </c>
      <c r="M216" s="0" t="n">
        <f aca="false">IF(OR(B216="NW",COUNT(Risk_Rank_Keys!B216)=0),0.5,(SUMPRODUCT(--ISNUMBER(Risk_Rank_Keys!$B$2:$B$800),--(Risk_Rank_Keys!$B$2:$B$800&lt;Risk_Rank_Keys!B216))+(SUMPRODUCT(--ISNUMBER(Risk_Rank_Keys!$B$2:$B$800),--(Risk_Rank_Keys!$B$2:$B$800=Risk_Rank_Keys!B216))+1)/2)/COUNT(Risk_Rank_Keys!$B$2:$B$800))</f>
        <v>0.765690376569038</v>
      </c>
      <c r="N216" s="0" t="n">
        <f aca="false">IF(OR(B216="NW",COUNT(Risk_Rank_Keys!C216)=0),0.5,(SUMPRODUCT(--ISNUMBER(Risk_Rank_Keys!$C$2:$C$800),--(Risk_Rank_Keys!$C$2:$C$800&lt;Risk_Rank_Keys!C216))+(SUMPRODUCT(--ISNUMBER(Risk_Rank_Keys!$C$2:$C$800),--(Risk_Rank_Keys!$C$2:$C$800=Risk_Rank_Keys!C216))+1)/2)/COUNT(Risk_Rank_Keys!$C$2:$C$800))</f>
        <v>0.654114365411437</v>
      </c>
      <c r="O216" s="0" t="n">
        <f aca="false">IF(OR(B216="NW",COUNT(Risk_Rank_Keys!D216)=0),0.5,(SUMPRODUCT(--ISNUMBER(Risk_Rank_Keys!$D$2:$D$800),--(Risk_Rank_Keys!$D$2:$D$800&lt;Risk_Rank_Keys!D216))+(SUMPRODUCT(--ISNUMBER(Risk_Rank_Keys!$D$2:$D$800),--(Risk_Rank_Keys!$D$2:$D$800=Risk_Rank_Keys!D216))+1)/2)/COUNT(Risk_Rank_Keys!$D$2:$D$800))</f>
        <v>0.478382147838215</v>
      </c>
      <c r="P216" s="0" t="n">
        <f aca="false">AVERAGE(M216:O216)</f>
        <v>0.632728963272896</v>
      </c>
      <c r="Q216" s="0" t="n">
        <f aca="false">0.4*H216+0.4*I216+0.2*P216</f>
        <v>0.740813627448071</v>
      </c>
      <c r="R216" s="0" t="n">
        <f aca="false">PERCENTILE($Q$2:$Q$800,0.75)</f>
        <v>0.667715717403612</v>
      </c>
      <c r="S216" s="1" t="b">
        <f aca="false">OR(Q216&gt;=R216,AND(B216="CW",COUNT(J216:L216)&lt;3))</f>
        <v>1</v>
      </c>
      <c r="T216" s="0" t="n">
        <v>0.379129462302103</v>
      </c>
      <c r="U216" s="0" t="n">
        <v>8.7348060088602</v>
      </c>
      <c r="V216" s="0" t="n">
        <v>0.740813627448071</v>
      </c>
      <c r="W216" s="0" t="n">
        <f aca="false">Q216-V216</f>
        <v>0</v>
      </c>
    </row>
    <row r="217" customFormat="false" ht="15" hidden="false" customHeight="false" outlineLevel="0" collapsed="false">
      <c r="A217" s="0" t="s">
        <v>251</v>
      </c>
      <c r="B217" s="0" t="s">
        <v>3013</v>
      </c>
      <c r="C217" s="0" t="n">
        <v>6.69537980065136</v>
      </c>
      <c r="D217" s="0" t="n">
        <f aca="false">SUMPRODUCT(Risk_Inputs!B217:AJ217,Risk_Coefs!$B$2:$AJ$2)</f>
        <v>-0.513542638054206</v>
      </c>
      <c r="E217" s="0" t="n">
        <f aca="false">1/(1+EXP(-MAX(-25,MIN(25,D217))))</f>
        <v>0.374363416368666</v>
      </c>
      <c r="F217" s="0" t="n">
        <f aca="false">SUMPRODUCT(Risk_Inputs!B217:AJ217,Risk_Coefs!$B$3:$AJ$3)</f>
        <v>9.81965363239397</v>
      </c>
      <c r="G217" s="0" t="n">
        <f aca="false">MAX(0,F217)</f>
        <v>9.81965363239397</v>
      </c>
      <c r="H217" s="0" t="n">
        <f aca="false">(SUMPRODUCT(--ISNUMBER($E$2:$E$800),--($E$2:$E$800&lt;E217))+(SUMPRODUCT(--ISNUMBER($E$2:$E$800),--($E$2:$E$800=E217))+1)/2)/COUNT($E$2:$E$800)</f>
        <v>0.886107634543179</v>
      </c>
      <c r="I217" s="0" t="n">
        <f aca="false">(SUMPRODUCT(--ISNUMBER($G$2:$G$800),--($G$2:$G$800&lt;G217))+(SUMPRODUCT(--ISNUMBER($G$2:$G$800),--($G$2:$G$800=G217))+1)/2)/COUNT($G$2:$G$800)</f>
        <v>0.76846057571965</v>
      </c>
      <c r="J217" s="0" t="n">
        <v>9.01998877780704</v>
      </c>
      <c r="K217" s="0" t="n">
        <v>1.8103270931907</v>
      </c>
      <c r="L217" s="0" t="n">
        <v>0.246862785435093</v>
      </c>
      <c r="M217" s="0" t="n">
        <f aca="false">IF(OR(B217="NW",COUNT(Risk_Rank_Keys!B217)=0),0.5,(SUMPRODUCT(--ISNUMBER(Risk_Rank_Keys!$B$2:$B$800),--(Risk_Rank_Keys!$B$2:$B$800&lt;Risk_Rank_Keys!B217))+(SUMPRODUCT(--ISNUMBER(Risk_Rank_Keys!$B$2:$B$800),--(Risk_Rank_Keys!$B$2:$B$800=Risk_Rank_Keys!B217))+1)/2)/COUNT(Risk_Rank_Keys!$B$2:$B$800))</f>
        <v>0.446304044630404</v>
      </c>
      <c r="N217" s="0" t="n">
        <f aca="false">IF(OR(B217="NW",COUNT(Risk_Rank_Keys!C217)=0),0.5,(SUMPRODUCT(--ISNUMBER(Risk_Rank_Keys!$C$2:$C$800),--(Risk_Rank_Keys!$C$2:$C$800&lt;Risk_Rank_Keys!C217))+(SUMPRODUCT(--ISNUMBER(Risk_Rank_Keys!$C$2:$C$800),--(Risk_Rank_Keys!$C$2:$C$800=Risk_Rank_Keys!C217))+1)/2)/COUNT(Risk_Rank_Keys!$C$2:$C$800))</f>
        <v>0.217573221757322</v>
      </c>
      <c r="O217" s="0" t="n">
        <f aca="false">IF(OR(B217="NW",COUNT(Risk_Rank_Keys!D217)=0),0.5,(SUMPRODUCT(--ISNUMBER(Risk_Rank_Keys!$D$2:$D$800),--(Risk_Rank_Keys!$D$2:$D$800&lt;Risk_Rank_Keys!D217))+(SUMPRODUCT(--ISNUMBER(Risk_Rank_Keys!$D$2:$D$800),--(Risk_Rank_Keys!$D$2:$D$800=Risk_Rank_Keys!D217))+1)/2)/COUNT(Risk_Rank_Keys!$D$2:$D$800))</f>
        <v>0.571827057182706</v>
      </c>
      <c r="P217" s="0" t="n">
        <f aca="false">AVERAGE(M217:O217)</f>
        <v>0.411901441190144</v>
      </c>
      <c r="Q217" s="0" t="n">
        <f aca="false">0.4*H217+0.4*I217+0.2*P217</f>
        <v>0.74420757234316</v>
      </c>
      <c r="R217" s="0" t="n">
        <f aca="false">PERCENTILE($Q$2:$Q$800,0.75)</f>
        <v>0.667715717403612</v>
      </c>
      <c r="S217" s="1" t="b">
        <f aca="false">OR(Q217&gt;=R217,AND(B217="CW",COUNT(J217:L217)&lt;3))</f>
        <v>1</v>
      </c>
      <c r="T217" s="0" t="n">
        <v>0.374363416368666</v>
      </c>
      <c r="U217" s="0" t="n">
        <v>9.81965363239397</v>
      </c>
      <c r="V217" s="0" t="n">
        <v>0.74420757234316</v>
      </c>
      <c r="W217" s="0" t="n">
        <f aca="false">Q217-V217</f>
        <v>0</v>
      </c>
    </row>
    <row r="218" customFormat="false" ht="15" hidden="false" customHeight="false" outlineLevel="0" collapsed="false">
      <c r="A218" s="0" t="s">
        <v>252</v>
      </c>
      <c r="B218" s="0" t="s">
        <v>3013</v>
      </c>
      <c r="C218" s="0" t="n">
        <v>-13.688755730081</v>
      </c>
      <c r="D218" s="0" t="n">
        <f aca="false">SUMPRODUCT(Risk_Inputs!B218:AJ218,Risk_Coefs!$B$2:$AJ$2)</f>
        <v>-0.219454456584446</v>
      </c>
      <c r="E218" s="0" t="n">
        <f aca="false">1/(1+EXP(-MAX(-25,MIN(25,D218))))</f>
        <v>0.445355517722978</v>
      </c>
      <c r="F218" s="0" t="n">
        <f aca="false">SUMPRODUCT(Risk_Inputs!B218:AJ218,Risk_Coefs!$B$3:$AJ$3)</f>
        <v>8.73544813177365</v>
      </c>
      <c r="G218" s="0" t="n">
        <f aca="false">MAX(0,F218)</f>
        <v>8.73544813177365</v>
      </c>
      <c r="H218" s="0" t="n">
        <f aca="false">(SUMPRODUCT(--ISNUMBER($E$2:$E$800),--($E$2:$E$800&lt;E218))+(SUMPRODUCT(--ISNUMBER($E$2:$E$800),--($E$2:$E$800=E218))+1)/2)/COUNT($E$2:$E$800)</f>
        <v>0.978723404255319</v>
      </c>
      <c r="I218" s="0" t="n">
        <f aca="false">(SUMPRODUCT(--ISNUMBER($G$2:$G$800),--($G$2:$G$800&lt;G218))+(SUMPRODUCT(--ISNUMBER($G$2:$G$800),--($G$2:$G$800=G218))+1)/2)/COUNT($G$2:$G$800)</f>
        <v>0.640801001251565</v>
      </c>
      <c r="J218" s="0" t="n">
        <v>14.5392409616884</v>
      </c>
      <c r="K218" s="0" t="n">
        <v>1.1542991755006</v>
      </c>
      <c r="L218" s="0" t="n">
        <v>0.176678445229682</v>
      </c>
      <c r="M218" s="0" t="n">
        <f aca="false">IF(OR(B218="NW",COUNT(Risk_Rank_Keys!B218)=0),0.5,(SUMPRODUCT(--ISNUMBER(Risk_Rank_Keys!$B$2:$B$800),--(Risk_Rank_Keys!$B$2:$B$800&lt;Risk_Rank_Keys!B218))+(SUMPRODUCT(--ISNUMBER(Risk_Rank_Keys!$B$2:$B$800),--(Risk_Rank_Keys!$B$2:$B$800=Risk_Rank_Keys!B218))+1)/2)/COUNT(Risk_Rank_Keys!$B$2:$B$800))</f>
        <v>0.693165969316597</v>
      </c>
      <c r="N218" s="0" t="n">
        <f aca="false">IF(OR(B218="NW",COUNT(Risk_Rank_Keys!C218)=0),0.5,(SUMPRODUCT(--ISNUMBER(Risk_Rank_Keys!$C$2:$C$800),--(Risk_Rank_Keys!$C$2:$C$800&lt;Risk_Rank_Keys!C218))+(SUMPRODUCT(--ISNUMBER(Risk_Rank_Keys!$C$2:$C$800),--(Risk_Rank_Keys!$C$2:$C$800=Risk_Rank_Keys!C218))+1)/2)/COUNT(Risk_Rank_Keys!$C$2:$C$800))</f>
        <v>0.0543933054393306</v>
      </c>
      <c r="O218" s="0" t="n">
        <f aca="false">IF(OR(B218="NW",COUNT(Risk_Rank_Keys!D218)=0),0.5,(SUMPRODUCT(--ISNUMBER(Risk_Rank_Keys!$D$2:$D$800),--(Risk_Rank_Keys!$D$2:$D$800&lt;Risk_Rank_Keys!D218))+(SUMPRODUCT(--ISNUMBER(Risk_Rank_Keys!$D$2:$D$800),--(Risk_Rank_Keys!$D$2:$D$800=Risk_Rank_Keys!D218))+1)/2)/COUNT(Risk_Rank_Keys!$D$2:$D$800))</f>
        <v>0.193863319386332</v>
      </c>
      <c r="P218" s="0" t="n">
        <f aca="false">AVERAGE(M218:O218)</f>
        <v>0.313807531380753</v>
      </c>
      <c r="Q218" s="0" t="n">
        <f aca="false">0.4*H218+0.4*I218+0.2*P218</f>
        <v>0.710571268478904</v>
      </c>
      <c r="R218" s="0" t="n">
        <f aca="false">PERCENTILE($Q$2:$Q$800,0.75)</f>
        <v>0.667715717403612</v>
      </c>
      <c r="S218" s="1" t="b">
        <f aca="false">OR(Q218&gt;=R218,AND(B218="CW",COUNT(J218:L218)&lt;3))</f>
        <v>1</v>
      </c>
      <c r="T218" s="0" t="n">
        <v>0.445355517722978</v>
      </c>
      <c r="U218" s="0" t="n">
        <v>8.73544813177365</v>
      </c>
      <c r="V218" s="0" t="n">
        <v>0.710571268478904</v>
      </c>
      <c r="W218" s="0" t="n">
        <f aca="false">Q218-V218</f>
        <v>0</v>
      </c>
    </row>
    <row r="219" customFormat="false" ht="15" hidden="false" customHeight="false" outlineLevel="0" collapsed="false">
      <c r="A219" s="0" t="s">
        <v>253</v>
      </c>
      <c r="B219" s="0" t="s">
        <v>3013</v>
      </c>
      <c r="C219" s="0" t="n">
        <v>2.72731713664936</v>
      </c>
      <c r="D219" s="0" t="n">
        <f aca="false">SUMPRODUCT(Risk_Inputs!B219:AJ219,Risk_Coefs!$B$2:$AJ$2)</f>
        <v>-0.266872166700109</v>
      </c>
      <c r="E219" s="0" t="n">
        <f aca="false">1/(1+EXP(-MAX(-25,MIN(25,D219))))</f>
        <v>0.433675134100608</v>
      </c>
      <c r="F219" s="0" t="n">
        <f aca="false">SUMPRODUCT(Risk_Inputs!B219:AJ219,Risk_Coefs!$B$3:$AJ$3)</f>
        <v>8.56782433247661</v>
      </c>
      <c r="G219" s="0" t="n">
        <f aca="false">MAX(0,F219)</f>
        <v>8.56782433247661</v>
      </c>
      <c r="H219" s="0" t="n">
        <f aca="false">(SUMPRODUCT(--ISNUMBER($E$2:$E$800),--($E$2:$E$800&lt;E219))+(SUMPRODUCT(--ISNUMBER($E$2:$E$800),--($E$2:$E$800=E219))+1)/2)/COUNT($E$2:$E$800)</f>
        <v>0.972465581977472</v>
      </c>
      <c r="I219" s="0" t="n">
        <f aca="false">(SUMPRODUCT(--ISNUMBER($G$2:$G$800),--($G$2:$G$800&lt;G219))+(SUMPRODUCT(--ISNUMBER($G$2:$G$800),--($G$2:$G$800=G219))+1)/2)/COUNT($G$2:$G$800)</f>
        <v>0.614518147684606</v>
      </c>
      <c r="J219" s="0" t="n">
        <v>7.71750958035629</v>
      </c>
      <c r="K219" s="0" t="n">
        <v>0.806451612903214</v>
      </c>
      <c r="L219" s="0" t="n">
        <v>0.105764145954515</v>
      </c>
      <c r="M219" s="0" t="n">
        <f aca="false">IF(OR(B219="NW",COUNT(Risk_Rank_Keys!B219)=0),0.5,(SUMPRODUCT(--ISNUMBER(Risk_Rank_Keys!$B$2:$B$800),--(Risk_Rank_Keys!$B$2:$B$800&lt;Risk_Rank_Keys!B219))+(SUMPRODUCT(--ISNUMBER(Risk_Rank_Keys!$B$2:$B$800),--(Risk_Rank_Keys!$B$2:$B$800=Risk_Rank_Keys!B219))+1)/2)/COUNT(Risk_Rank_Keys!$B$2:$B$800))</f>
        <v>0.368200836820084</v>
      </c>
      <c r="N219" s="0" t="n">
        <f aca="false">IF(OR(B219="NW",COUNT(Risk_Rank_Keys!C219)=0),0.5,(SUMPRODUCT(--ISNUMBER(Risk_Rank_Keys!$C$2:$C$800),--(Risk_Rank_Keys!$C$2:$C$800&lt;Risk_Rank_Keys!C219))+(SUMPRODUCT(--ISNUMBER(Risk_Rank_Keys!$C$2:$C$800),--(Risk_Rank_Keys!$C$2:$C$800=Risk_Rank_Keys!C219))+1)/2)/COUNT(Risk_Rank_Keys!$C$2:$C$800))</f>
        <v>0.00836820083682008</v>
      </c>
      <c r="O219" s="0" t="n">
        <f aca="false">IF(OR(B219="NW",COUNT(Risk_Rank_Keys!D219)=0),0.5,(SUMPRODUCT(--ISNUMBER(Risk_Rank_Keys!$D$2:$D$800),--(Risk_Rank_Keys!$D$2:$D$800&lt;Risk_Rank_Keys!D219))+(SUMPRODUCT(--ISNUMBER(Risk_Rank_Keys!$D$2:$D$800),--(Risk_Rank_Keys!$D$2:$D$800=Risk_Rank_Keys!D219))+1)/2)/COUNT(Risk_Rank_Keys!$D$2:$D$800))</f>
        <v>0.0223152022315202</v>
      </c>
      <c r="P219" s="0" t="n">
        <f aca="false">AVERAGE(M219:O219)</f>
        <v>0.132961413296141</v>
      </c>
      <c r="Q219" s="0" t="n">
        <f aca="false">0.4*H219+0.4*I219+0.2*P219</f>
        <v>0.661385774524059</v>
      </c>
      <c r="R219" s="0" t="n">
        <f aca="false">PERCENTILE($Q$2:$Q$800,0.75)</f>
        <v>0.667715717403612</v>
      </c>
      <c r="S219" s="1" t="b">
        <f aca="false">OR(Q219&gt;=R219,AND(B219="CW",COUNT(J219:L219)&lt;3))</f>
        <v>0</v>
      </c>
      <c r="T219" s="0" t="n">
        <v>0.433675134100608</v>
      </c>
      <c r="U219" s="0" t="n">
        <v>8.56782433247661</v>
      </c>
      <c r="V219" s="0" t="n">
        <v>0.661385774524059</v>
      </c>
      <c r="W219" s="0" t="n">
        <f aca="false">Q219-V219</f>
        <v>0</v>
      </c>
    </row>
    <row r="220" customFormat="false" ht="15" hidden="false" customHeight="false" outlineLevel="0" collapsed="false">
      <c r="A220" s="0" t="s">
        <v>254</v>
      </c>
      <c r="B220" s="0" t="s">
        <v>33</v>
      </c>
      <c r="C220" s="0" t="n">
        <v>14.522624337035</v>
      </c>
      <c r="D220" s="0" t="n">
        <f aca="false">SUMPRODUCT(Risk_Inputs!B220:AJ220,Risk_Coefs!$B$2:$AJ$2)</f>
        <v>-0.179043595992863</v>
      </c>
      <c r="E220" s="0" t="n">
        <f aca="false">1/(1+EXP(-MAX(-25,MIN(25,D220))))</f>
        <v>0.455358292483018</v>
      </c>
      <c r="F220" s="0" t="n">
        <f aca="false">SUMPRODUCT(Risk_Inputs!B220:AJ220,Risk_Coefs!$B$3:$AJ$3)</f>
        <v>15.4558739227922</v>
      </c>
      <c r="G220" s="0" t="n">
        <f aca="false">MAX(0,F220)</f>
        <v>15.4558739227922</v>
      </c>
      <c r="H220" s="0" t="n">
        <f aca="false">(SUMPRODUCT(--ISNUMBER($E$2:$E$800),--($E$2:$E$800&lt;E220))+(SUMPRODUCT(--ISNUMBER($E$2:$E$800),--($E$2:$E$800=E220))+1)/2)/COUNT($E$2:$E$800)</f>
        <v>0.982478097622028</v>
      </c>
      <c r="I220" s="0" t="n">
        <f aca="false">(SUMPRODUCT(--ISNUMBER($G$2:$G$800),--($G$2:$G$800&lt;G220))+(SUMPRODUCT(--ISNUMBER($G$2:$G$800),--($G$2:$G$800=G220))+1)/2)/COUNT($G$2:$G$800)</f>
        <v>0.988735919899875</v>
      </c>
      <c r="M220" s="0" t="n">
        <f aca="false">IF(OR(B220="NW",COUNT(Risk_Rank_Keys!B220)=0),0.5,(SUMPRODUCT(--ISNUMBER(Risk_Rank_Keys!$B$2:$B$800),--(Risk_Rank_Keys!$B$2:$B$800&lt;Risk_Rank_Keys!B220))+(SUMPRODUCT(--ISNUMBER(Risk_Rank_Keys!$B$2:$B$800),--(Risk_Rank_Keys!$B$2:$B$800=Risk_Rank_Keys!B220))+1)/2)/COUNT(Risk_Rank_Keys!$B$2:$B$800))</f>
        <v>0.5</v>
      </c>
      <c r="N220" s="0" t="n">
        <f aca="false">IF(OR(B220="NW",COUNT(Risk_Rank_Keys!C220)=0),0.5,(SUMPRODUCT(--ISNUMBER(Risk_Rank_Keys!$C$2:$C$800),--(Risk_Rank_Keys!$C$2:$C$800&lt;Risk_Rank_Keys!C220))+(SUMPRODUCT(--ISNUMBER(Risk_Rank_Keys!$C$2:$C$800),--(Risk_Rank_Keys!$C$2:$C$800=Risk_Rank_Keys!C220))+1)/2)/COUNT(Risk_Rank_Keys!$C$2:$C$800))</f>
        <v>0.5</v>
      </c>
      <c r="O220" s="0" t="n">
        <f aca="false">IF(OR(B220="NW",COUNT(Risk_Rank_Keys!D220)=0),0.5,(SUMPRODUCT(--ISNUMBER(Risk_Rank_Keys!$D$2:$D$800),--(Risk_Rank_Keys!$D$2:$D$800&lt;Risk_Rank_Keys!D220))+(SUMPRODUCT(--ISNUMBER(Risk_Rank_Keys!$D$2:$D$800),--(Risk_Rank_Keys!$D$2:$D$800=Risk_Rank_Keys!D220))+1)/2)/COUNT(Risk_Rank_Keys!$D$2:$D$800))</f>
        <v>0.5</v>
      </c>
      <c r="P220" s="0" t="n">
        <f aca="false">AVERAGE(M220:O220)</f>
        <v>0.5</v>
      </c>
      <c r="Q220" s="0" t="n">
        <f aca="false">0.4*H220+0.4*I220+0.2*P220</f>
        <v>0.888485607008761</v>
      </c>
      <c r="R220" s="0" t="n">
        <f aca="false">PERCENTILE($Q$2:$Q$800,0.75)</f>
        <v>0.667715717403612</v>
      </c>
      <c r="S220" s="1" t="b">
        <f aca="false">OR(Q220&gt;=R220,AND(B220="CW",COUNT(J220:L220)&lt;3))</f>
        <v>1</v>
      </c>
      <c r="T220" s="0" t="n">
        <v>0.455358292483018</v>
      </c>
      <c r="U220" s="0" t="n">
        <v>15.4558739227922</v>
      </c>
      <c r="V220" s="0" t="n">
        <v>0.888485607008761</v>
      </c>
      <c r="W220" s="0" t="n">
        <f aca="false">Q220-V220</f>
        <v>0</v>
      </c>
    </row>
    <row r="221" customFormat="false" ht="15" hidden="false" customHeight="false" outlineLevel="0" collapsed="false">
      <c r="A221" s="0" t="s">
        <v>255</v>
      </c>
      <c r="B221" s="0" t="s">
        <v>33</v>
      </c>
      <c r="C221" s="0" t="n">
        <v>28.8591595753765</v>
      </c>
      <c r="D221" s="0" t="n">
        <f aca="false">SUMPRODUCT(Risk_Inputs!B221:AJ221,Risk_Coefs!$B$2:$AJ$2)</f>
        <v>-0.274897179449151</v>
      </c>
      <c r="E221" s="0" t="n">
        <f aca="false">1/(1+EXP(-MAX(-25,MIN(25,D221))))</f>
        <v>0.431705241909369</v>
      </c>
      <c r="F221" s="0" t="n">
        <f aca="false">SUMPRODUCT(Risk_Inputs!B221:AJ221,Risk_Coefs!$B$3:$AJ$3)</f>
        <v>14.2706168784731</v>
      </c>
      <c r="G221" s="0" t="n">
        <f aca="false">MAX(0,F221)</f>
        <v>14.2706168784731</v>
      </c>
      <c r="H221" s="0" t="n">
        <f aca="false">(SUMPRODUCT(--ISNUMBER($E$2:$E$800),--($E$2:$E$800&lt;E221))+(SUMPRODUCT(--ISNUMBER($E$2:$E$800),--($E$2:$E$800=E221))+1)/2)/COUNT($E$2:$E$800)</f>
        <v>0.971214017521902</v>
      </c>
      <c r="I221" s="0" t="n">
        <f aca="false">(SUMPRODUCT(--ISNUMBER($G$2:$G$800),--($G$2:$G$800&lt;G221))+(SUMPRODUCT(--ISNUMBER($G$2:$G$800),--($G$2:$G$800=G221))+1)/2)/COUNT($G$2:$G$800)</f>
        <v>0.97622027534418</v>
      </c>
      <c r="M221" s="0" t="n">
        <f aca="false">IF(OR(B221="NW",COUNT(Risk_Rank_Keys!B221)=0),0.5,(SUMPRODUCT(--ISNUMBER(Risk_Rank_Keys!$B$2:$B$800),--(Risk_Rank_Keys!$B$2:$B$800&lt;Risk_Rank_Keys!B221))+(SUMPRODUCT(--ISNUMBER(Risk_Rank_Keys!$B$2:$B$800),--(Risk_Rank_Keys!$B$2:$B$800=Risk_Rank_Keys!B221))+1)/2)/COUNT(Risk_Rank_Keys!$B$2:$B$800))</f>
        <v>0.5</v>
      </c>
      <c r="N221" s="0" t="n">
        <f aca="false">IF(OR(B221="NW",COUNT(Risk_Rank_Keys!C221)=0),0.5,(SUMPRODUCT(--ISNUMBER(Risk_Rank_Keys!$C$2:$C$800),--(Risk_Rank_Keys!$C$2:$C$800&lt;Risk_Rank_Keys!C221))+(SUMPRODUCT(--ISNUMBER(Risk_Rank_Keys!$C$2:$C$800),--(Risk_Rank_Keys!$C$2:$C$800=Risk_Rank_Keys!C221))+1)/2)/COUNT(Risk_Rank_Keys!$C$2:$C$800))</f>
        <v>0.5</v>
      </c>
      <c r="O221" s="0" t="n">
        <f aca="false">IF(OR(B221="NW",COUNT(Risk_Rank_Keys!D221)=0),0.5,(SUMPRODUCT(--ISNUMBER(Risk_Rank_Keys!$D$2:$D$800),--(Risk_Rank_Keys!$D$2:$D$800&lt;Risk_Rank_Keys!D221))+(SUMPRODUCT(--ISNUMBER(Risk_Rank_Keys!$D$2:$D$800),--(Risk_Rank_Keys!$D$2:$D$800=Risk_Rank_Keys!D221))+1)/2)/COUNT(Risk_Rank_Keys!$D$2:$D$800))</f>
        <v>0.5</v>
      </c>
      <c r="P221" s="0" t="n">
        <f aca="false">AVERAGE(M221:O221)</f>
        <v>0.5</v>
      </c>
      <c r="Q221" s="0" t="n">
        <f aca="false">0.4*H221+0.4*I221+0.2*P221</f>
        <v>0.878973717146433</v>
      </c>
      <c r="R221" s="0" t="n">
        <f aca="false">PERCENTILE($Q$2:$Q$800,0.75)</f>
        <v>0.667715717403612</v>
      </c>
      <c r="S221" s="1" t="b">
        <f aca="false">OR(Q221&gt;=R221,AND(B221="CW",COUNT(J221:L221)&lt;3))</f>
        <v>1</v>
      </c>
      <c r="T221" s="0" t="n">
        <v>0.431705241909369</v>
      </c>
      <c r="U221" s="0" t="n">
        <v>14.2706168784731</v>
      </c>
      <c r="V221" s="0" t="n">
        <v>0.878973717146433</v>
      </c>
      <c r="W221" s="0" t="n">
        <f aca="false">Q221-V221</f>
        <v>0</v>
      </c>
    </row>
    <row r="222" customFormat="false" ht="15" hidden="false" customHeight="false" outlineLevel="0" collapsed="false">
      <c r="A222" s="0" t="s">
        <v>256</v>
      </c>
      <c r="B222" s="0" t="s">
        <v>3013</v>
      </c>
      <c r="C222" s="0" t="n">
        <v>-0.142031740325466</v>
      </c>
      <c r="D222" s="0" t="n">
        <f aca="false">SUMPRODUCT(Risk_Inputs!B222:AJ222,Risk_Coefs!$B$2:$AJ$2)</f>
        <v>-0.40432778080738</v>
      </c>
      <c r="E222" s="0" t="n">
        <f aca="false">1/(1+EXP(-MAX(-25,MIN(25,D222))))</f>
        <v>0.400272989570611</v>
      </c>
      <c r="F222" s="0" t="n">
        <f aca="false">SUMPRODUCT(Risk_Inputs!B222:AJ222,Risk_Coefs!$B$3:$AJ$3)</f>
        <v>6.82384828084958</v>
      </c>
      <c r="G222" s="0" t="n">
        <f aca="false">MAX(0,F222)</f>
        <v>6.82384828084958</v>
      </c>
      <c r="H222" s="0" t="n">
        <f aca="false">(SUMPRODUCT(--ISNUMBER($E$2:$E$800),--($E$2:$E$800&lt;E222))+(SUMPRODUCT(--ISNUMBER($E$2:$E$800),--($E$2:$E$800=E222))+1)/2)/COUNT($E$2:$E$800)</f>
        <v>0.942428035043805</v>
      </c>
      <c r="I222" s="0" t="n">
        <f aca="false">(SUMPRODUCT(--ISNUMBER($G$2:$G$800),--($G$2:$G$800&lt;G222))+(SUMPRODUCT(--ISNUMBER($G$2:$G$800),--($G$2:$G$800=G222))+1)/2)/COUNT($G$2:$G$800)</f>
        <v>0.399249061326658</v>
      </c>
      <c r="J222" s="0" t="n">
        <v>15.9281700238217</v>
      </c>
      <c r="K222" s="0" t="n">
        <v>1.88507540301612</v>
      </c>
      <c r="L222" s="0" t="n">
        <v>0.156006240249609</v>
      </c>
      <c r="M222" s="0" t="n">
        <f aca="false">IF(OR(B222="NW",COUNT(Risk_Rank_Keys!B222)=0),0.5,(SUMPRODUCT(--ISNUMBER(Risk_Rank_Keys!$B$2:$B$800),--(Risk_Rank_Keys!$B$2:$B$800&lt;Risk_Rank_Keys!B222))+(SUMPRODUCT(--ISNUMBER(Risk_Rank_Keys!$B$2:$B$800),--(Risk_Rank_Keys!$B$2:$B$800=Risk_Rank_Keys!B222))+1)/2)/COUNT(Risk_Rank_Keys!$B$2:$B$800))</f>
        <v>0.728033472803347</v>
      </c>
      <c r="N222" s="0" t="n">
        <f aca="false">IF(OR(B222="NW",COUNT(Risk_Rank_Keys!C222)=0),0.5,(SUMPRODUCT(--ISNUMBER(Risk_Rank_Keys!$C$2:$C$800),--(Risk_Rank_Keys!$C$2:$C$800&lt;Risk_Rank_Keys!C222))+(SUMPRODUCT(--ISNUMBER(Risk_Rank_Keys!$C$2:$C$800),--(Risk_Rank_Keys!$C$2:$C$800=Risk_Rank_Keys!C222))+1)/2)/COUNT(Risk_Rank_Keys!$C$2:$C$800))</f>
        <v>0.242677824267782</v>
      </c>
      <c r="O222" s="0" t="n">
        <f aca="false">IF(OR(B222="NW",COUNT(Risk_Rank_Keys!D222)=0),0.5,(SUMPRODUCT(--ISNUMBER(Risk_Rank_Keys!$D$2:$D$800),--(Risk_Rank_Keys!$D$2:$D$800&lt;Risk_Rank_Keys!D222))+(SUMPRODUCT(--ISNUMBER(Risk_Rank_Keys!$D$2:$D$800),--(Risk_Rank_Keys!$D$2:$D$800=Risk_Rank_Keys!D222))+1)/2)/COUNT(Risk_Rank_Keys!$D$2:$D$800))</f>
        <v>0.122733612273361</v>
      </c>
      <c r="P222" s="0" t="n">
        <f aca="false">AVERAGE(M222:O222)</f>
        <v>0.364481636448164</v>
      </c>
      <c r="Q222" s="0" t="n">
        <f aca="false">0.4*H222+0.4*I222+0.2*P222</f>
        <v>0.609567165837818</v>
      </c>
      <c r="R222" s="0" t="n">
        <f aca="false">PERCENTILE($Q$2:$Q$800,0.75)</f>
        <v>0.667715717403612</v>
      </c>
      <c r="S222" s="1" t="b">
        <f aca="false">OR(Q222&gt;=R222,AND(B222="CW",COUNT(J222:L222)&lt;3))</f>
        <v>0</v>
      </c>
      <c r="T222" s="0" t="n">
        <v>0.400272989570611</v>
      </c>
      <c r="U222" s="0" t="n">
        <v>6.82384828084958</v>
      </c>
      <c r="V222" s="0" t="n">
        <v>0.609567165837818</v>
      </c>
      <c r="W222" s="0" t="n">
        <f aca="false">Q222-V222</f>
        <v>0</v>
      </c>
    </row>
    <row r="223" customFormat="false" ht="15" hidden="false" customHeight="false" outlineLevel="0" collapsed="false">
      <c r="A223" s="0" t="s">
        <v>257</v>
      </c>
      <c r="B223" s="0" t="s">
        <v>3013</v>
      </c>
      <c r="C223" s="0" t="n">
        <v>10.5110589995524</v>
      </c>
      <c r="D223" s="0" t="n">
        <f aca="false">SUMPRODUCT(Risk_Inputs!B223:AJ223,Risk_Coefs!$B$2:$AJ$2)</f>
        <v>-0.450945764814088</v>
      </c>
      <c r="E223" s="0" t="n">
        <f aca="false">1/(1+EXP(-MAX(-25,MIN(25,D223))))</f>
        <v>0.389135925536037</v>
      </c>
      <c r="F223" s="0" t="n">
        <f aca="false">SUMPRODUCT(Risk_Inputs!B223:AJ223,Risk_Coefs!$B$3:$AJ$3)</f>
        <v>7.43937806319662</v>
      </c>
      <c r="G223" s="0" t="n">
        <f aca="false">MAX(0,F223)</f>
        <v>7.43937806319662</v>
      </c>
      <c r="H223" s="0" t="n">
        <f aca="false">(SUMPRODUCT(--ISNUMBER($E$2:$E$800),--($E$2:$E$800&lt;E223))+(SUMPRODUCT(--ISNUMBER($E$2:$E$800),--($E$2:$E$800=E223))+1)/2)/COUNT($E$2:$E$800)</f>
        <v>0.919899874843554</v>
      </c>
      <c r="I223" s="0" t="n">
        <f aca="false">(SUMPRODUCT(--ISNUMBER($G$2:$G$800),--($G$2:$G$800&lt;G223))+(SUMPRODUCT(--ISNUMBER($G$2:$G$800),--($G$2:$G$800=G223))+1)/2)/COUNT($G$2:$G$800)</f>
        <v>0.470588235294118</v>
      </c>
      <c r="J223" s="0" t="n">
        <v>15.3060181277005</v>
      </c>
      <c r="K223" s="0" t="n">
        <v>1.28408599047756</v>
      </c>
      <c r="L223" s="0" t="n">
        <v>0.18756312220459</v>
      </c>
      <c r="M223" s="0" t="n">
        <f aca="false">IF(OR(B223="NW",COUNT(Risk_Rank_Keys!B223)=0),0.5,(SUMPRODUCT(--ISNUMBER(Risk_Rank_Keys!$B$2:$B$800),--(Risk_Rank_Keys!$B$2:$B$800&lt;Risk_Rank_Keys!B223))+(SUMPRODUCT(--ISNUMBER(Risk_Rank_Keys!$B$2:$B$800),--(Risk_Rank_Keys!$B$2:$B$800=Risk_Rank_Keys!B223))+1)/2)/COUNT(Risk_Rank_Keys!$B$2:$B$800))</f>
        <v>0.712691771269177</v>
      </c>
      <c r="N223" s="0" t="n">
        <f aca="false">IF(OR(B223="NW",COUNT(Risk_Rank_Keys!C223)=0),0.5,(SUMPRODUCT(--ISNUMBER(Risk_Rank_Keys!$C$2:$C$800),--(Risk_Rank_Keys!$C$2:$C$800&lt;Risk_Rank_Keys!C223))+(SUMPRODUCT(--ISNUMBER(Risk_Rank_Keys!$C$2:$C$800),--(Risk_Rank_Keys!$C$2:$C$800=Risk_Rank_Keys!C223))+1)/2)/COUNT(Risk_Rank_Keys!$C$2:$C$800))</f>
        <v>0.0850767085076709</v>
      </c>
      <c r="O223" s="0" t="n">
        <f aca="false">IF(OR(B223="NW",COUNT(Risk_Rank_Keys!D223)=0),0.5,(SUMPRODUCT(--ISNUMBER(Risk_Rank_Keys!$D$2:$D$800),--(Risk_Rank_Keys!$D$2:$D$800&lt;Risk_Rank_Keys!D223))+(SUMPRODUCT(--ISNUMBER(Risk_Rank_Keys!$D$2:$D$800),--(Risk_Rank_Keys!$D$2:$D$800=Risk_Rank_Keys!D223))+1)/2)/COUNT(Risk_Rank_Keys!$D$2:$D$800))</f>
        <v>0.241283124128312</v>
      </c>
      <c r="P223" s="0" t="n">
        <f aca="false">AVERAGE(M223:O223)</f>
        <v>0.346350534635054</v>
      </c>
      <c r="Q223" s="0" t="n">
        <f aca="false">0.4*H223+0.4*I223+0.2*P223</f>
        <v>0.62546535098208</v>
      </c>
      <c r="R223" s="0" t="n">
        <f aca="false">PERCENTILE($Q$2:$Q$800,0.75)</f>
        <v>0.667715717403612</v>
      </c>
      <c r="S223" s="1" t="b">
        <f aca="false">OR(Q223&gt;=R223,AND(B223="CW",COUNT(J223:L223)&lt;3))</f>
        <v>0</v>
      </c>
      <c r="T223" s="0" t="n">
        <v>0.389135925536037</v>
      </c>
      <c r="U223" s="0" t="n">
        <v>7.43937806319661</v>
      </c>
      <c r="V223" s="0" t="n">
        <v>0.62546535098208</v>
      </c>
      <c r="W223" s="0" t="n">
        <f aca="false">Q223-V223</f>
        <v>0</v>
      </c>
    </row>
    <row r="224" customFormat="false" ht="15" hidden="false" customHeight="false" outlineLevel="0" collapsed="false">
      <c r="A224" s="0" t="s">
        <v>258</v>
      </c>
      <c r="B224" s="0" t="s">
        <v>3013</v>
      </c>
      <c r="C224" s="0" t="n">
        <v>5.89984320508864</v>
      </c>
      <c r="D224" s="0" t="n">
        <f aca="false">SUMPRODUCT(Risk_Inputs!B224:AJ224,Risk_Coefs!$B$2:$AJ$2)</f>
        <v>-0.419755067077129</v>
      </c>
      <c r="E224" s="0" t="n">
        <f aca="false">1/(1+EXP(-MAX(-25,MIN(25,D224))))</f>
        <v>0.396575361917778</v>
      </c>
      <c r="F224" s="0" t="n">
        <f aca="false">SUMPRODUCT(Risk_Inputs!B224:AJ224,Risk_Coefs!$B$3:$AJ$3)</f>
        <v>6.80115057141593</v>
      </c>
      <c r="G224" s="0" t="n">
        <f aca="false">MAX(0,F224)</f>
        <v>6.80115057141593</v>
      </c>
      <c r="H224" s="0" t="n">
        <f aca="false">(SUMPRODUCT(--ISNUMBER($E$2:$E$800),--($E$2:$E$800&lt;E224))+(SUMPRODUCT(--ISNUMBER($E$2:$E$800),--($E$2:$E$800=E224))+1)/2)/COUNT($E$2:$E$800)</f>
        <v>0.934918648310388</v>
      </c>
      <c r="I224" s="0" t="n">
        <f aca="false">(SUMPRODUCT(--ISNUMBER($G$2:$G$800),--($G$2:$G$800&lt;G224))+(SUMPRODUCT(--ISNUMBER($G$2:$G$800),--($G$2:$G$800=G224))+1)/2)/COUNT($G$2:$G$800)</f>
        <v>0.39549436795995</v>
      </c>
      <c r="J224" s="0" t="n">
        <v>9.09871096810775</v>
      </c>
      <c r="K224" s="0" t="n">
        <v>1.2606005042402</v>
      </c>
      <c r="L224" s="0" t="n">
        <v>0.206280082512034</v>
      </c>
      <c r="M224" s="0" t="n">
        <f aca="false">IF(OR(B224="NW",COUNT(Risk_Rank_Keys!B224)=0),0.5,(SUMPRODUCT(--ISNUMBER(Risk_Rank_Keys!$B$2:$B$800),--(Risk_Rank_Keys!$B$2:$B$800&lt;Risk_Rank_Keys!B224))+(SUMPRODUCT(--ISNUMBER(Risk_Rank_Keys!$B$2:$B$800),--(Risk_Rank_Keys!$B$2:$B$800=Risk_Rank_Keys!B224))+1)/2)/COUNT(Risk_Rank_Keys!$B$2:$B$800))</f>
        <v>0.451882845188285</v>
      </c>
      <c r="N224" s="0" t="n">
        <f aca="false">IF(OR(B224="NW",COUNT(Risk_Rank_Keys!C224)=0),0.5,(SUMPRODUCT(--ISNUMBER(Risk_Rank_Keys!$C$2:$C$800),--(Risk_Rank_Keys!$C$2:$C$800&lt;Risk_Rank_Keys!C224))+(SUMPRODUCT(--ISNUMBER(Risk_Rank_Keys!$C$2:$C$800),--(Risk_Rank_Keys!$C$2:$C$800=Risk_Rank_Keys!C224))+1)/2)/COUNT(Risk_Rank_Keys!$C$2:$C$800))</f>
        <v>0.0808926080892608</v>
      </c>
      <c r="O224" s="0" t="n">
        <f aca="false">IF(OR(B224="NW",COUNT(Risk_Rank_Keys!D224)=0),0.5,(SUMPRODUCT(--ISNUMBER(Risk_Rank_Keys!$D$2:$D$800),--(Risk_Rank_Keys!$D$2:$D$800&lt;Risk_Rank_Keys!D224))+(SUMPRODUCT(--ISNUMBER(Risk_Rank_Keys!$D$2:$D$800),--(Risk_Rank_Keys!$D$2:$D$800=Risk_Rank_Keys!D224))+1)/2)/COUNT(Risk_Rank_Keys!$D$2:$D$800))</f>
        <v>0.351464435146444</v>
      </c>
      <c r="P224" s="0" t="n">
        <f aca="false">AVERAGE(M224:O224)</f>
        <v>0.294746629474663</v>
      </c>
      <c r="Q224" s="0" t="n">
        <f aca="false">0.4*H224+0.4*I224+0.2*P224</f>
        <v>0.591114532403068</v>
      </c>
      <c r="R224" s="0" t="n">
        <f aca="false">PERCENTILE($Q$2:$Q$800,0.75)</f>
        <v>0.667715717403612</v>
      </c>
      <c r="S224" s="1" t="b">
        <f aca="false">OR(Q224&gt;=R224,AND(B224="CW",COUNT(J224:L224)&lt;3))</f>
        <v>0</v>
      </c>
      <c r="T224" s="0" t="n">
        <v>0.396575361917778</v>
      </c>
      <c r="U224" s="0" t="n">
        <v>6.80115057141593</v>
      </c>
      <c r="V224" s="0" t="n">
        <v>0.591114532403068</v>
      </c>
      <c r="W224" s="0" t="n">
        <f aca="false">Q224-V224</f>
        <v>0</v>
      </c>
    </row>
    <row r="225" customFormat="false" ht="15" hidden="false" customHeight="false" outlineLevel="0" collapsed="false">
      <c r="A225" s="0" t="s">
        <v>259</v>
      </c>
      <c r="B225" s="0" t="s">
        <v>3013</v>
      </c>
      <c r="C225" s="0" t="n">
        <v>8.62620518724703</v>
      </c>
      <c r="D225" s="0" t="n">
        <f aca="false">SUMPRODUCT(Risk_Inputs!B225:AJ225,Risk_Coefs!$B$2:$AJ$2)</f>
        <v>-0.45272469545497</v>
      </c>
      <c r="E225" s="0" t="n">
        <f aca="false">1/(1+EXP(-MAX(-25,MIN(25,D225))))</f>
        <v>0.388713140925908</v>
      </c>
      <c r="F225" s="0" t="n">
        <f aca="false">SUMPRODUCT(Risk_Inputs!B225:AJ225,Risk_Coefs!$B$3:$AJ$3)</f>
        <v>5.92924900593585</v>
      </c>
      <c r="G225" s="0" t="n">
        <f aca="false">MAX(0,F225)</f>
        <v>5.92924900593585</v>
      </c>
      <c r="H225" s="0" t="n">
        <f aca="false">(SUMPRODUCT(--ISNUMBER($E$2:$E$800),--($E$2:$E$800&lt;E225))+(SUMPRODUCT(--ISNUMBER($E$2:$E$800),--($E$2:$E$800=E225))+1)/2)/COUNT($E$2:$E$800)</f>
        <v>0.918648310387985</v>
      </c>
      <c r="I225" s="0" t="n">
        <f aca="false">(SUMPRODUCT(--ISNUMBER($G$2:$G$800),--($G$2:$G$800&lt;G225))+(SUMPRODUCT(--ISNUMBER($G$2:$G$800),--($G$2:$G$800=G225))+1)/2)/COUNT($G$2:$G$800)</f>
        <v>0.25657071339174</v>
      </c>
      <c r="J225" s="0" t="n">
        <v>5.71405248765314</v>
      </c>
      <c r="K225" s="0" t="n">
        <v>2.56991685563115</v>
      </c>
      <c r="L225" s="0" t="n">
        <v>0.226757369614521</v>
      </c>
      <c r="M225" s="0" t="n">
        <f aca="false">IF(OR(B225="NW",COUNT(Risk_Rank_Keys!B225)=0),0.5,(SUMPRODUCT(--ISNUMBER(Risk_Rank_Keys!$B$2:$B$800),--(Risk_Rank_Keys!$B$2:$B$800&lt;Risk_Rank_Keys!B225))+(SUMPRODUCT(--ISNUMBER(Risk_Rank_Keys!$B$2:$B$800),--(Risk_Rank_Keys!$B$2:$B$800=Risk_Rank_Keys!B225))+1)/2)/COUNT(Risk_Rank_Keys!$B$2:$B$800))</f>
        <v>0.192468619246862</v>
      </c>
      <c r="N225" s="0" t="n">
        <f aca="false">IF(OR(B225="NW",COUNT(Risk_Rank_Keys!C225)=0),0.5,(SUMPRODUCT(--ISNUMBER(Risk_Rank_Keys!$C$2:$C$800),--(Risk_Rank_Keys!$C$2:$C$800&lt;Risk_Rank_Keys!C225))+(SUMPRODUCT(--ISNUMBER(Risk_Rank_Keys!$C$2:$C$800),--(Risk_Rank_Keys!$C$2:$C$800=Risk_Rank_Keys!C225))+1)/2)/COUNT(Risk_Rank_Keys!$C$2:$C$800))</f>
        <v>0.400278940027894</v>
      </c>
      <c r="O225" s="0" t="n">
        <f aca="false">IF(OR(B225="NW",COUNT(Risk_Rank_Keys!D225)=0),0.5,(SUMPRODUCT(--ISNUMBER(Risk_Rank_Keys!$D$2:$D$800),--(Risk_Rank_Keys!$D$2:$D$800&lt;Risk_Rank_Keys!D225))+(SUMPRODUCT(--ISNUMBER(Risk_Rank_Keys!$D$2:$D$800),--(Risk_Rank_Keys!$D$2:$D$800=Risk_Rank_Keys!D225))+1)/2)/COUNT(Risk_Rank_Keys!$D$2:$D$800))</f>
        <v>0.476987447698745</v>
      </c>
      <c r="P225" s="0" t="n">
        <f aca="false">AVERAGE(M225:O225)</f>
        <v>0.356578335657834</v>
      </c>
      <c r="Q225" s="0" t="n">
        <f aca="false">0.4*H225+0.4*I225+0.2*P225</f>
        <v>0.541403276643457</v>
      </c>
      <c r="R225" s="0" t="n">
        <f aca="false">PERCENTILE($Q$2:$Q$800,0.75)</f>
        <v>0.667715717403612</v>
      </c>
      <c r="S225" s="1" t="b">
        <f aca="false">OR(Q225&gt;=R225,AND(B225="CW",COUNT(J225:L225)&lt;3))</f>
        <v>0</v>
      </c>
      <c r="T225" s="0" t="n">
        <v>0.388713140925908</v>
      </c>
      <c r="U225" s="0" t="n">
        <v>5.92924900593585</v>
      </c>
      <c r="V225" s="0" t="n">
        <v>0.541403276643457</v>
      </c>
      <c r="W225" s="0" t="n">
        <f aca="false">Q225-V225</f>
        <v>0</v>
      </c>
    </row>
    <row r="226" customFormat="false" ht="15" hidden="false" customHeight="false" outlineLevel="0" collapsed="false">
      <c r="A226" s="0" t="s">
        <v>260</v>
      </c>
      <c r="B226" s="0" t="s">
        <v>3013</v>
      </c>
      <c r="C226" s="0" t="n">
        <v>37.3815588778881</v>
      </c>
      <c r="D226" s="0" t="n">
        <f aca="false">SUMPRODUCT(Risk_Inputs!B226:AJ226,Risk_Coefs!$B$2:$AJ$2)</f>
        <v>-1.04167721057909</v>
      </c>
      <c r="E226" s="0" t="n">
        <f aca="false">1/(1+EXP(-MAX(-25,MIN(25,D226))))</f>
        <v>0.260826504669273</v>
      </c>
      <c r="F226" s="0" t="n">
        <f aca="false">SUMPRODUCT(Risk_Inputs!B226:AJ226,Risk_Coefs!$B$3:$AJ$3)</f>
        <v>7.52376673558911</v>
      </c>
      <c r="G226" s="0" t="n">
        <f aca="false">MAX(0,F226)</f>
        <v>7.52376673558911</v>
      </c>
      <c r="H226" s="0" t="n">
        <f aca="false">(SUMPRODUCT(--ISNUMBER($E$2:$E$800),--($E$2:$E$800&lt;E226))+(SUMPRODUCT(--ISNUMBER($E$2:$E$800),--($E$2:$E$800=E226))+1)/2)/COUNT($E$2:$E$800)</f>
        <v>0.336670838548185</v>
      </c>
      <c r="I226" s="0" t="n">
        <f aca="false">(SUMPRODUCT(--ISNUMBER($G$2:$G$800),--($G$2:$G$800&lt;G226))+(SUMPRODUCT(--ISNUMBER($G$2:$G$800),--($G$2:$G$800=G226))+1)/2)/COUNT($G$2:$G$800)</f>
        <v>0.483103879849812</v>
      </c>
      <c r="J226" s="0" t="n">
        <v>15.0667864283024</v>
      </c>
      <c r="K226" s="0" t="n">
        <v>1.69025157232706</v>
      </c>
      <c r="L226" s="0" t="n">
        <v>0.209643605870024</v>
      </c>
      <c r="M226" s="0" t="n">
        <f aca="false">IF(OR(B226="NW",COUNT(Risk_Rank_Keys!B226)=0),0.5,(SUMPRODUCT(--ISNUMBER(Risk_Rank_Keys!$B$2:$B$800),--(Risk_Rank_Keys!$B$2:$B$800&lt;Risk_Rank_Keys!B226))+(SUMPRODUCT(--ISNUMBER(Risk_Rank_Keys!$B$2:$B$800),--(Risk_Rank_Keys!$B$2:$B$800=Risk_Rank_Keys!B226))+1)/2)/COUNT(Risk_Rank_Keys!$B$2:$B$800))</f>
        <v>0.707112970711297</v>
      </c>
      <c r="N226" s="0" t="n">
        <f aca="false">IF(OR(B226="NW",COUNT(Risk_Rank_Keys!C226)=0),0.5,(SUMPRODUCT(--ISNUMBER(Risk_Rank_Keys!$C$2:$C$800),--(Risk_Rank_Keys!$C$2:$C$800&lt;Risk_Rank_Keys!C226))+(SUMPRODUCT(--ISNUMBER(Risk_Rank_Keys!$C$2:$C$800),--(Risk_Rank_Keys!$C$2:$C$800=Risk_Rank_Keys!C226))+1)/2)/COUNT(Risk_Rank_Keys!$C$2:$C$800))</f>
        <v>0.185495118549512</v>
      </c>
      <c r="O226" s="0" t="n">
        <f aca="false">IF(OR(B226="NW",COUNT(Risk_Rank_Keys!D226)=0),0.5,(SUMPRODUCT(--ISNUMBER(Risk_Rank_Keys!$D$2:$D$800),--(Risk_Rank_Keys!$D$2:$D$800&lt;Risk_Rank_Keys!D226))+(SUMPRODUCT(--ISNUMBER(Risk_Rank_Keys!$D$2:$D$800),--(Risk_Rank_Keys!$D$2:$D$800=Risk_Rank_Keys!D226))+1)/2)/COUNT(Risk_Rank_Keys!$D$2:$D$800))</f>
        <v>0.375174337517434</v>
      </c>
      <c r="P226" s="0" t="n">
        <f aca="false">AVERAGE(M226:O226)</f>
        <v>0.422594142259414</v>
      </c>
      <c r="Q226" s="0" t="n">
        <f aca="false">0.4*H226+0.4*I226+0.2*P226</f>
        <v>0.412428715811082</v>
      </c>
      <c r="R226" s="0" t="n">
        <f aca="false">PERCENTILE($Q$2:$Q$800,0.75)</f>
        <v>0.667715717403612</v>
      </c>
      <c r="S226" s="1" t="b">
        <f aca="false">OR(Q226&gt;=R226,AND(B226="CW",COUNT(J226:L226)&lt;3))</f>
        <v>0</v>
      </c>
      <c r="T226" s="0" t="n">
        <v>0.260826504669273</v>
      </c>
      <c r="U226" s="0" t="n">
        <v>7.5237667355891</v>
      </c>
      <c r="V226" s="0" t="n">
        <v>0.412428715811082</v>
      </c>
      <c r="W226" s="0" t="n">
        <f aca="false">Q226-V226</f>
        <v>0</v>
      </c>
    </row>
    <row r="227" customFormat="false" ht="15" hidden="false" customHeight="false" outlineLevel="0" collapsed="false">
      <c r="A227" s="0" t="s">
        <v>261</v>
      </c>
      <c r="B227" s="0" t="s">
        <v>3013</v>
      </c>
      <c r="C227" s="0" t="n">
        <v>55.3849190385832</v>
      </c>
      <c r="D227" s="0" t="n">
        <f aca="false">SUMPRODUCT(Risk_Inputs!B227:AJ227,Risk_Coefs!$B$2:$AJ$2)</f>
        <v>-0.676342016540902</v>
      </c>
      <c r="E227" s="0" t="n">
        <f aca="false">1/(1+EXP(-MAX(-25,MIN(25,D227))))</f>
        <v>0.337078214984827</v>
      </c>
      <c r="F227" s="0" t="n">
        <f aca="false">SUMPRODUCT(Risk_Inputs!B227:AJ227,Risk_Coefs!$B$3:$AJ$3)</f>
        <v>8.46866739751903</v>
      </c>
      <c r="G227" s="0" t="n">
        <f aca="false">MAX(0,F227)</f>
        <v>8.46866739751903</v>
      </c>
      <c r="H227" s="0" t="n">
        <f aca="false">(SUMPRODUCT(--ISNUMBER($E$2:$E$800),--($E$2:$E$800&lt;E227))+(SUMPRODUCT(--ISNUMBER($E$2:$E$800),--($E$2:$E$800=E227))+1)/2)/COUNT($E$2:$E$800)</f>
        <v>0.76720901126408</v>
      </c>
      <c r="I227" s="0" t="n">
        <f aca="false">(SUMPRODUCT(--ISNUMBER($G$2:$G$800),--($G$2:$G$800&lt;G227))+(SUMPRODUCT(--ISNUMBER($G$2:$G$800),--($G$2:$G$800=G227))+1)/2)/COUNT($G$2:$G$800)</f>
        <v>0.596996245306633</v>
      </c>
      <c r="J227" s="0" t="n">
        <v>12.2597910885023</v>
      </c>
      <c r="K227" s="0" t="n">
        <v>3.23417238749047</v>
      </c>
      <c r="L227" s="0" t="n">
        <v>0.22883295194508</v>
      </c>
      <c r="M227" s="0" t="n">
        <f aca="false">IF(OR(B227="NW",COUNT(Risk_Rank_Keys!B227)=0),0.5,(SUMPRODUCT(--ISNUMBER(Risk_Rank_Keys!$B$2:$B$800),--(Risk_Rank_Keys!$B$2:$B$800&lt;Risk_Rank_Keys!B227))+(SUMPRODUCT(--ISNUMBER(Risk_Rank_Keys!$B$2:$B$800),--(Risk_Rank_Keys!$B$2:$B$800=Risk_Rank_Keys!B227))+1)/2)/COUNT(Risk_Rank_Keys!$B$2:$B$800))</f>
        <v>0.609483960948396</v>
      </c>
      <c r="N227" s="0" t="n">
        <f aca="false">IF(OR(B227="NW",COUNT(Risk_Rank_Keys!C227)=0),0.5,(SUMPRODUCT(--ISNUMBER(Risk_Rank_Keys!$C$2:$C$800),--(Risk_Rank_Keys!$C$2:$C$800&lt;Risk_Rank_Keys!C227))+(SUMPRODUCT(--ISNUMBER(Risk_Rank_Keys!$C$2:$C$800),--(Risk_Rank_Keys!$C$2:$C$800=Risk_Rank_Keys!C227))+1)/2)/COUNT(Risk_Rank_Keys!$C$2:$C$800))</f>
        <v>0.503486750348675</v>
      </c>
      <c r="O227" s="0" t="n">
        <f aca="false">IF(OR(B227="NW",COUNT(Risk_Rank_Keys!D227)=0),0.5,(SUMPRODUCT(--ISNUMBER(Risk_Rank_Keys!$D$2:$D$800),--(Risk_Rank_Keys!$D$2:$D$800&lt;Risk_Rank_Keys!D227))+(SUMPRODUCT(--ISNUMBER(Risk_Rank_Keys!$D$2:$D$800),--(Risk_Rank_Keys!$D$2:$D$800=Risk_Rank_Keys!D227))+1)/2)/COUNT(Risk_Rank_Keys!$D$2:$D$800))</f>
        <v>0.492329149232915</v>
      </c>
      <c r="P227" s="0" t="n">
        <f aca="false">AVERAGE(M227:O227)</f>
        <v>0.535099953509995</v>
      </c>
      <c r="Q227" s="0" t="n">
        <f aca="false">0.4*H227+0.4*I227+0.2*P227</f>
        <v>0.652702093330285</v>
      </c>
      <c r="R227" s="0" t="n">
        <f aca="false">PERCENTILE($Q$2:$Q$800,0.75)</f>
        <v>0.667715717403612</v>
      </c>
      <c r="S227" s="1" t="b">
        <f aca="false">OR(Q227&gt;=R227,AND(B227="CW",COUNT(J227:L227)&lt;3))</f>
        <v>0</v>
      </c>
      <c r="T227" s="0" t="n">
        <v>0.337078214984827</v>
      </c>
      <c r="U227" s="0" t="n">
        <v>8.46866739751903</v>
      </c>
      <c r="V227" s="0" t="n">
        <v>0.652702093330285</v>
      </c>
      <c r="W227" s="0" t="n">
        <f aca="false">Q227-V227</f>
        <v>0</v>
      </c>
    </row>
    <row r="228" customFormat="false" ht="15" hidden="false" customHeight="false" outlineLevel="0" collapsed="false">
      <c r="A228" s="0" t="s">
        <v>262</v>
      </c>
      <c r="B228" s="0" t="s">
        <v>3013</v>
      </c>
      <c r="C228" s="0" t="n">
        <v>41.4701499545527</v>
      </c>
      <c r="D228" s="0" t="n">
        <f aca="false">SUMPRODUCT(Risk_Inputs!B228:AJ228,Risk_Coefs!$B$2:$AJ$2)</f>
        <v>-1.00301875842447</v>
      </c>
      <c r="E228" s="0" t="n">
        <f aca="false">1/(1+EXP(-MAX(-25,MIN(25,D228))))</f>
        <v>0.268348311590605</v>
      </c>
      <c r="F228" s="0" t="n">
        <f aca="false">SUMPRODUCT(Risk_Inputs!B228:AJ228,Risk_Coefs!$B$3:$AJ$3)</f>
        <v>5.48623181112438</v>
      </c>
      <c r="G228" s="0" t="n">
        <f aca="false">MAX(0,F228)</f>
        <v>5.48623181112438</v>
      </c>
      <c r="H228" s="0" t="n">
        <f aca="false">(SUMPRODUCT(--ISNUMBER($E$2:$E$800),--($E$2:$E$800&lt;E228))+(SUMPRODUCT(--ISNUMBER($E$2:$E$800),--($E$2:$E$800=E228))+1)/2)/COUNT($E$2:$E$800)</f>
        <v>0.384230287859825</v>
      </c>
      <c r="I228" s="0" t="n">
        <f aca="false">(SUMPRODUCT(--ISNUMBER($G$2:$G$800),--($G$2:$G$800&lt;G228))+(SUMPRODUCT(--ISNUMBER($G$2:$G$800),--($G$2:$G$800=G228))+1)/2)/COUNT($G$2:$G$800)</f>
        <v>0.197747183979975</v>
      </c>
      <c r="J228" s="0" t="n">
        <v>5.08385471729682</v>
      </c>
      <c r="K228" s="0" t="n">
        <v>4.08117752007137</v>
      </c>
      <c r="L228" s="0" t="n">
        <v>0.111507582515611</v>
      </c>
      <c r="M228" s="0" t="n">
        <f aca="false">IF(OR(B228="NW",COUNT(Risk_Rank_Keys!B228)=0),0.5,(SUMPRODUCT(--ISNUMBER(Risk_Rank_Keys!$B$2:$B$800),--(Risk_Rank_Keys!$B$2:$B$800&lt;Risk_Rank_Keys!B228))+(SUMPRODUCT(--ISNUMBER(Risk_Rank_Keys!$B$2:$B$800),--(Risk_Rank_Keys!$B$2:$B$800=Risk_Rank_Keys!B228))+1)/2)/COUNT(Risk_Rank_Keys!$B$2:$B$800))</f>
        <v>0.136680613668061</v>
      </c>
      <c r="N228" s="0" t="n">
        <f aca="false">IF(OR(B228="NW",COUNT(Risk_Rank_Keys!C228)=0),0.5,(SUMPRODUCT(--ISNUMBER(Risk_Rank_Keys!$C$2:$C$800),--(Risk_Rank_Keys!$C$2:$C$800&lt;Risk_Rank_Keys!C228))+(SUMPRODUCT(--ISNUMBER(Risk_Rank_Keys!$C$2:$C$800),--(Risk_Rank_Keys!$C$2:$C$800=Risk_Rank_Keys!C228))+1)/2)/COUNT(Risk_Rank_Keys!$C$2:$C$800))</f>
        <v>0.606694560669456</v>
      </c>
      <c r="O228" s="0" t="n">
        <f aca="false">IF(OR(B228="NW",COUNT(Risk_Rank_Keys!D228)=0),0.5,(SUMPRODUCT(--ISNUMBER(Risk_Rank_Keys!$D$2:$D$800),--(Risk_Rank_Keys!$D$2:$D$800&lt;Risk_Rank_Keys!D228))+(SUMPRODUCT(--ISNUMBER(Risk_Rank_Keys!$D$2:$D$800),--(Risk_Rank_Keys!$D$2:$D$800=Risk_Rank_Keys!D228))+1)/2)/COUNT(Risk_Rank_Keys!$D$2:$D$800))</f>
        <v>0.0348675034867504</v>
      </c>
      <c r="P228" s="0" t="n">
        <f aca="false">AVERAGE(M228:O228)</f>
        <v>0.259414225941423</v>
      </c>
      <c r="Q228" s="0" t="n">
        <f aca="false">0.4*H228+0.4*I228+0.2*P228</f>
        <v>0.284673833924204</v>
      </c>
      <c r="R228" s="0" t="n">
        <f aca="false">PERCENTILE($Q$2:$Q$800,0.75)</f>
        <v>0.667715717403612</v>
      </c>
      <c r="S228" s="1" t="b">
        <f aca="false">OR(Q228&gt;=R228,AND(B228="CW",COUNT(J228:L228)&lt;3))</f>
        <v>0</v>
      </c>
      <c r="T228" s="0" t="n">
        <v>0.268348311590605</v>
      </c>
      <c r="U228" s="0" t="n">
        <v>5.48623181112438</v>
      </c>
      <c r="V228" s="0" t="n">
        <v>0.284673833924204</v>
      </c>
      <c r="W228" s="0" t="n">
        <f aca="false">Q228-V228</f>
        <v>0</v>
      </c>
    </row>
    <row r="229" customFormat="false" ht="15" hidden="false" customHeight="false" outlineLevel="0" collapsed="false">
      <c r="A229" s="0" t="s">
        <v>263</v>
      </c>
      <c r="B229" s="0" t="s">
        <v>33</v>
      </c>
      <c r="C229" s="0" t="n">
        <v>-13.3972304363723</v>
      </c>
      <c r="D229" s="0" t="n">
        <f aca="false">SUMPRODUCT(Risk_Inputs!B229:AJ229,Risk_Coefs!$B$2:$AJ$2)</f>
        <v>-0.566097272233093</v>
      </c>
      <c r="E229" s="0" t="n">
        <f aca="false">1/(1+EXP(-MAX(-25,MIN(25,D229))))</f>
        <v>0.362137845724529</v>
      </c>
      <c r="F229" s="0" t="n">
        <f aca="false">SUMPRODUCT(Risk_Inputs!B229:AJ229,Risk_Coefs!$B$3:$AJ$3)</f>
        <v>11.0856036736471</v>
      </c>
      <c r="G229" s="0" t="n">
        <f aca="false">MAX(0,F229)</f>
        <v>11.0856036736471</v>
      </c>
      <c r="H229" s="0" t="n">
        <f aca="false">(SUMPRODUCT(--ISNUMBER($E$2:$E$800),--($E$2:$E$800&lt;E229))+(SUMPRODUCT(--ISNUMBER($E$2:$E$800),--($E$2:$E$800=E229))+1)/2)/COUNT($E$2:$E$800)</f>
        <v>0.849812265331665</v>
      </c>
      <c r="I229" s="0" t="n">
        <f aca="false">(SUMPRODUCT(--ISNUMBER($G$2:$G$800),--($G$2:$G$800&lt;G229))+(SUMPRODUCT(--ISNUMBER($G$2:$G$800),--($G$2:$G$800=G229))+1)/2)/COUNT($G$2:$G$800)</f>
        <v>0.887359198998749</v>
      </c>
      <c r="M229" s="0" t="n">
        <f aca="false">IF(OR(B229="NW",COUNT(Risk_Rank_Keys!B229)=0),0.5,(SUMPRODUCT(--ISNUMBER(Risk_Rank_Keys!$B$2:$B$800),--(Risk_Rank_Keys!$B$2:$B$800&lt;Risk_Rank_Keys!B229))+(SUMPRODUCT(--ISNUMBER(Risk_Rank_Keys!$B$2:$B$800),--(Risk_Rank_Keys!$B$2:$B$800=Risk_Rank_Keys!B229))+1)/2)/COUNT(Risk_Rank_Keys!$B$2:$B$800))</f>
        <v>0.5</v>
      </c>
      <c r="N229" s="0" t="n">
        <f aca="false">IF(OR(B229="NW",COUNT(Risk_Rank_Keys!C229)=0),0.5,(SUMPRODUCT(--ISNUMBER(Risk_Rank_Keys!$C$2:$C$800),--(Risk_Rank_Keys!$C$2:$C$800&lt;Risk_Rank_Keys!C229))+(SUMPRODUCT(--ISNUMBER(Risk_Rank_Keys!$C$2:$C$800),--(Risk_Rank_Keys!$C$2:$C$800=Risk_Rank_Keys!C229))+1)/2)/COUNT(Risk_Rank_Keys!$C$2:$C$800))</f>
        <v>0.5</v>
      </c>
      <c r="O229" s="0" t="n">
        <f aca="false">IF(OR(B229="NW",COUNT(Risk_Rank_Keys!D229)=0),0.5,(SUMPRODUCT(--ISNUMBER(Risk_Rank_Keys!$D$2:$D$800),--(Risk_Rank_Keys!$D$2:$D$800&lt;Risk_Rank_Keys!D229))+(SUMPRODUCT(--ISNUMBER(Risk_Rank_Keys!$D$2:$D$800),--(Risk_Rank_Keys!$D$2:$D$800=Risk_Rank_Keys!D229))+1)/2)/COUNT(Risk_Rank_Keys!$D$2:$D$800))</f>
        <v>0.5</v>
      </c>
      <c r="P229" s="0" t="n">
        <f aca="false">AVERAGE(M229:O229)</f>
        <v>0.5</v>
      </c>
      <c r="Q229" s="0" t="n">
        <f aca="false">0.4*H229+0.4*I229+0.2*P229</f>
        <v>0.794868585732165</v>
      </c>
      <c r="R229" s="0" t="n">
        <f aca="false">PERCENTILE($Q$2:$Q$800,0.75)</f>
        <v>0.667715717403612</v>
      </c>
      <c r="S229" s="1" t="b">
        <f aca="false">OR(Q229&gt;=R229,AND(B229="CW",COUNT(J229:L229)&lt;3))</f>
        <v>1</v>
      </c>
      <c r="T229" s="0" t="n">
        <v>0.362137845724529</v>
      </c>
      <c r="U229" s="0" t="n">
        <v>11.0856036736471</v>
      </c>
      <c r="V229" s="0" t="n">
        <v>0.794868585732165</v>
      </c>
      <c r="W229" s="0" t="n">
        <f aca="false">Q229-V229</f>
        <v>0</v>
      </c>
    </row>
    <row r="230" customFormat="false" ht="15" hidden="false" customHeight="false" outlineLevel="0" collapsed="false">
      <c r="A230" s="0" t="s">
        <v>264</v>
      </c>
      <c r="B230" s="0" t="s">
        <v>3013</v>
      </c>
      <c r="C230" s="0" t="n">
        <v>32.7626365527599</v>
      </c>
      <c r="D230" s="0" t="n">
        <f aca="false">SUMPRODUCT(Risk_Inputs!B230:AJ230,Risk_Coefs!$B$2:$AJ$2)</f>
        <v>-1.53152044869472</v>
      </c>
      <c r="E230" s="0" t="n">
        <f aca="false">1/(1+EXP(-MAX(-25,MIN(25,D230))))</f>
        <v>0.177771334902284</v>
      </c>
      <c r="F230" s="0" t="n">
        <f aca="false">SUMPRODUCT(Risk_Inputs!B230:AJ230,Risk_Coefs!$B$3:$AJ$3)</f>
        <v>5.39334118331904</v>
      </c>
      <c r="G230" s="0" t="n">
        <f aca="false">MAX(0,F230)</f>
        <v>5.39334118331904</v>
      </c>
      <c r="H230" s="0" t="n">
        <f aca="false">(SUMPRODUCT(--ISNUMBER($E$2:$E$800),--($E$2:$E$800&lt;E230))+(SUMPRODUCT(--ISNUMBER($E$2:$E$800),--($E$2:$E$800=E230))+1)/2)/COUNT($E$2:$E$800)</f>
        <v>0.0625782227784731</v>
      </c>
      <c r="I230" s="0" t="n">
        <f aca="false">(SUMPRODUCT(--ISNUMBER($G$2:$G$800),--($G$2:$G$800&lt;G230))+(SUMPRODUCT(--ISNUMBER($G$2:$G$800),--($G$2:$G$800=G230))+1)/2)/COUNT($G$2:$G$800)</f>
        <v>0.18523153942428</v>
      </c>
      <c r="J230" s="0" t="n">
        <v>24.3268062582357</v>
      </c>
      <c r="K230" s="0" t="n">
        <v>15.3071500503525</v>
      </c>
      <c r="L230" s="0" t="n">
        <v>0.453172205438069</v>
      </c>
      <c r="M230" s="0" t="n">
        <f aca="false">IF(OR(B230="NW",COUNT(Risk_Rank_Keys!B230)=0),0.5,(SUMPRODUCT(--ISNUMBER(Risk_Rank_Keys!$B$2:$B$800),--(Risk_Rank_Keys!$B$2:$B$800&lt;Risk_Rank_Keys!B230))+(SUMPRODUCT(--ISNUMBER(Risk_Rank_Keys!$B$2:$B$800),--(Risk_Rank_Keys!$B$2:$B$800=Risk_Rank_Keys!B230))+1)/2)/COUNT(Risk_Rank_Keys!$B$2:$B$800))</f>
        <v>0.846582984658299</v>
      </c>
      <c r="N230" s="0" t="n">
        <f aca="false">IF(OR(B230="NW",COUNT(Risk_Rank_Keys!C230)=0),0.5,(SUMPRODUCT(--ISNUMBER(Risk_Rank_Keys!$C$2:$C$800),--(Risk_Rank_Keys!$C$2:$C$800&lt;Risk_Rank_Keys!C230))+(SUMPRODUCT(--ISNUMBER(Risk_Rank_Keys!$C$2:$C$800),--(Risk_Rank_Keys!$C$2:$C$800=Risk_Rank_Keys!C230))+1)/2)/COUNT(Risk_Rank_Keys!$C$2:$C$800))</f>
        <v>0.933054393305439</v>
      </c>
      <c r="O230" s="0" t="n">
        <f aca="false">IF(OR(B230="NW",COUNT(Risk_Rank_Keys!D230)=0),0.5,(SUMPRODUCT(--ISNUMBER(Risk_Rank_Keys!$D$2:$D$800),--(Risk_Rank_Keys!$D$2:$D$800&lt;Risk_Rank_Keys!D230))+(SUMPRODUCT(--ISNUMBER(Risk_Rank_Keys!$D$2:$D$800),--(Risk_Rank_Keys!$D$2:$D$800=Risk_Rank_Keys!D230))+1)/2)/COUNT(Risk_Rank_Keys!$D$2:$D$800))</f>
        <v>0.924686192468619</v>
      </c>
      <c r="P230" s="0" t="n">
        <f aca="false">AVERAGE(M230:O230)</f>
        <v>0.901441190144119</v>
      </c>
      <c r="Q230" s="0" t="n">
        <f aca="false">0.4*H230+0.4*I230+0.2*P230</f>
        <v>0.279412142909925</v>
      </c>
      <c r="R230" s="0" t="n">
        <f aca="false">PERCENTILE($Q$2:$Q$800,0.75)</f>
        <v>0.667715717403612</v>
      </c>
      <c r="S230" s="1" t="b">
        <f aca="false">OR(Q230&gt;=R230,AND(B230="CW",COUNT(J230:L230)&lt;3))</f>
        <v>0</v>
      </c>
      <c r="T230" s="0" t="n">
        <v>0.177771334902284</v>
      </c>
      <c r="U230" s="0" t="n">
        <v>5.39334118331904</v>
      </c>
      <c r="V230" s="0" t="n">
        <v>0.279412142909925</v>
      </c>
      <c r="W230" s="0" t="n">
        <f aca="false">Q230-V230</f>
        <v>0</v>
      </c>
    </row>
    <row r="231" customFormat="false" ht="15" hidden="false" customHeight="false" outlineLevel="0" collapsed="false">
      <c r="A231" s="0" t="s">
        <v>265</v>
      </c>
      <c r="B231" s="0" t="s">
        <v>3013</v>
      </c>
      <c r="C231" s="0" t="n">
        <v>39.193779228636</v>
      </c>
      <c r="D231" s="0" t="n">
        <f aca="false">SUMPRODUCT(Risk_Inputs!B231:AJ231,Risk_Coefs!$B$2:$AJ$2)</f>
        <v>-1.23190069909667</v>
      </c>
      <c r="E231" s="0" t="n">
        <f aca="false">1/(1+EXP(-MAX(-25,MIN(25,D231))))</f>
        <v>0.225848932079675</v>
      </c>
      <c r="F231" s="0" t="n">
        <f aca="false">SUMPRODUCT(Risk_Inputs!B231:AJ231,Risk_Coefs!$B$3:$AJ$3)</f>
        <v>6.6692425279831</v>
      </c>
      <c r="G231" s="0" t="n">
        <f aca="false">MAX(0,F231)</f>
        <v>6.6692425279831</v>
      </c>
      <c r="H231" s="0" t="n">
        <f aca="false">(SUMPRODUCT(--ISNUMBER($E$2:$E$800),--($E$2:$E$800&lt;E231))+(SUMPRODUCT(--ISNUMBER($E$2:$E$800),--($E$2:$E$800=E231))+1)/2)/COUNT($E$2:$E$800)</f>
        <v>0.158948685857322</v>
      </c>
      <c r="I231" s="0" t="n">
        <f aca="false">(SUMPRODUCT(--ISNUMBER($G$2:$G$800),--($G$2:$G$800&lt;G231))+(SUMPRODUCT(--ISNUMBER($G$2:$G$800),--($G$2:$G$800=G231))+1)/2)/COUNT($G$2:$G$800)</f>
        <v>0.37171464330413</v>
      </c>
      <c r="J231" s="0" t="n">
        <v>19.9557937653167</v>
      </c>
      <c r="K231" s="0" t="n">
        <v>8.21663332380679</v>
      </c>
      <c r="L231" s="0" t="n">
        <v>0.314375535867397</v>
      </c>
      <c r="M231" s="0" t="n">
        <f aca="false">IF(OR(B231="NW",COUNT(Risk_Rank_Keys!B231)=0),0.5,(SUMPRODUCT(--ISNUMBER(Risk_Rank_Keys!$B$2:$B$800),--(Risk_Rank_Keys!$B$2:$B$800&lt;Risk_Rank_Keys!B231))+(SUMPRODUCT(--ISNUMBER(Risk_Rank_Keys!$B$2:$B$800),--(Risk_Rank_Keys!$B$2:$B$800=Risk_Rank_Keys!B231))+1)/2)/COUNT(Risk_Rank_Keys!$B$2:$B$800))</f>
        <v>0.788005578800558</v>
      </c>
      <c r="N231" s="0" t="n">
        <f aca="false">IF(OR(B231="NW",COUNT(Risk_Rank_Keys!C231)=0),0.5,(SUMPRODUCT(--ISNUMBER(Risk_Rank_Keys!$C$2:$C$800),--(Risk_Rank_Keys!$C$2:$C$800&lt;Risk_Rank_Keys!C231))+(SUMPRODUCT(--ISNUMBER(Risk_Rank_Keys!$C$2:$C$800),--(Risk_Rank_Keys!$C$2:$C$800=Risk_Rank_Keys!C231))+1)/2)/COUNT(Risk_Rank_Keys!$C$2:$C$800))</f>
        <v>0.829846582984658</v>
      </c>
      <c r="O231" s="0" t="n">
        <f aca="false">IF(OR(B231="NW",COUNT(Risk_Rank_Keys!D231)=0),0.5,(SUMPRODUCT(--ISNUMBER(Risk_Rank_Keys!$D$2:$D$800),--(Risk_Rank_Keys!$D$2:$D$800&lt;Risk_Rank_Keys!D231))+(SUMPRODUCT(--ISNUMBER(Risk_Rank_Keys!$D$2:$D$800),--(Risk_Rank_Keys!$D$2:$D$800=Risk_Rank_Keys!D231))+1)/2)/COUNT(Risk_Rank_Keys!$D$2:$D$800))</f>
        <v>0.761506276150628</v>
      </c>
      <c r="P231" s="0" t="n">
        <f aca="false">AVERAGE(M231:O231)</f>
        <v>0.793119479311948</v>
      </c>
      <c r="Q231" s="0" t="n">
        <f aca="false">0.4*H231+0.4*I231+0.2*P231</f>
        <v>0.37088922752697</v>
      </c>
      <c r="R231" s="0" t="n">
        <f aca="false">PERCENTILE($Q$2:$Q$800,0.75)</f>
        <v>0.667715717403612</v>
      </c>
      <c r="S231" s="1" t="b">
        <f aca="false">OR(Q231&gt;=R231,AND(B231="CW",COUNT(J231:L231)&lt;3))</f>
        <v>0</v>
      </c>
      <c r="T231" s="0" t="n">
        <v>0.225848932079675</v>
      </c>
      <c r="U231" s="0" t="n">
        <v>6.6692425279831</v>
      </c>
      <c r="V231" s="0" t="n">
        <v>0.37088922752697</v>
      </c>
      <c r="W231" s="0" t="n">
        <f aca="false">Q231-V231</f>
        <v>0</v>
      </c>
    </row>
    <row r="232" customFormat="false" ht="15" hidden="false" customHeight="false" outlineLevel="0" collapsed="false">
      <c r="A232" s="0" t="s">
        <v>266</v>
      </c>
      <c r="B232" s="0" t="s">
        <v>3013</v>
      </c>
      <c r="C232" s="0" t="n">
        <v>14.7166038138193</v>
      </c>
      <c r="D232" s="0" t="n">
        <f aca="false">SUMPRODUCT(Risk_Inputs!B232:AJ232,Risk_Coefs!$B$2:$AJ$2)</f>
        <v>-1.22646455795927</v>
      </c>
      <c r="E232" s="0" t="n">
        <f aca="false">1/(1+EXP(-MAX(-25,MIN(25,D232))))</f>
        <v>0.226800809737684</v>
      </c>
      <c r="F232" s="0" t="n">
        <f aca="false">SUMPRODUCT(Risk_Inputs!B232:AJ232,Risk_Coefs!$B$3:$AJ$3)</f>
        <v>3.91828976511933</v>
      </c>
      <c r="G232" s="0" t="n">
        <f aca="false">MAX(0,F232)</f>
        <v>3.91828976511933</v>
      </c>
      <c r="H232" s="0" t="n">
        <f aca="false">(SUMPRODUCT(--ISNUMBER($E$2:$E$800),--($E$2:$E$800&lt;E232))+(SUMPRODUCT(--ISNUMBER($E$2:$E$800),--($E$2:$E$800=E232))+1)/2)/COUNT($E$2:$E$800)</f>
        <v>0.16270337922403</v>
      </c>
      <c r="I232" s="0" t="n">
        <f aca="false">(SUMPRODUCT(--ISNUMBER($G$2:$G$800),--($G$2:$G$800&lt;G232))+(SUMPRODUCT(--ISNUMBER($G$2:$G$800),--($G$2:$G$800=G232))+1)/2)/COUNT($G$2:$G$800)</f>
        <v>0.0475594493116396</v>
      </c>
      <c r="J232" s="0" t="n">
        <v>11.6880994651717</v>
      </c>
      <c r="K232" s="0" t="n">
        <v>3.63218390804598</v>
      </c>
      <c r="L232" s="0" t="n">
        <v>0.298850574712646</v>
      </c>
      <c r="M232" s="0" t="n">
        <f aca="false">IF(OR(B232="NW",COUNT(Risk_Rank_Keys!B232)=0),0.5,(SUMPRODUCT(--ISNUMBER(Risk_Rank_Keys!$B$2:$B$800),--(Risk_Rank_Keys!$B$2:$B$800&lt;Risk_Rank_Keys!B232))+(SUMPRODUCT(--ISNUMBER(Risk_Rank_Keys!$B$2:$B$800),--(Risk_Rank_Keys!$B$2:$B$800=Risk_Rank_Keys!B232))+1)/2)/COUNT(Risk_Rank_Keys!$B$2:$B$800))</f>
        <v>0.588563458856346</v>
      </c>
      <c r="N232" s="0" t="n">
        <f aca="false">IF(OR(B232="NW",COUNT(Risk_Rank_Keys!C232)=0),0.5,(SUMPRODUCT(--ISNUMBER(Risk_Rank_Keys!$C$2:$C$800),--(Risk_Rank_Keys!$C$2:$C$800&lt;Risk_Rank_Keys!C232))+(SUMPRODUCT(--ISNUMBER(Risk_Rank_Keys!$C$2:$C$800),--(Risk_Rank_Keys!$C$2:$C$800=Risk_Rank_Keys!C232))+1)/2)/COUNT(Risk_Rank_Keys!$C$2:$C$800))</f>
        <v>0.548117154811716</v>
      </c>
      <c r="O232" s="0" t="n">
        <f aca="false">IF(OR(B232="NW",COUNT(Risk_Rank_Keys!D232)=0),0.5,(SUMPRODUCT(--ISNUMBER(Risk_Rank_Keys!$D$2:$D$800),--(Risk_Rank_Keys!$D$2:$D$800&lt;Risk_Rank_Keys!D232))+(SUMPRODUCT(--ISNUMBER(Risk_Rank_Keys!$D$2:$D$800),--(Risk_Rank_Keys!$D$2:$D$800=Risk_Rank_Keys!D232))+1)/2)/COUNT(Risk_Rank_Keys!$D$2:$D$800))</f>
        <v>0.743375174337517</v>
      </c>
      <c r="P232" s="0" t="n">
        <f aca="false">AVERAGE(M232:O232)</f>
        <v>0.626685262668526</v>
      </c>
      <c r="Q232" s="0" t="n">
        <f aca="false">0.4*H232+0.4*I232+0.2*P232</f>
        <v>0.209442183947973</v>
      </c>
      <c r="R232" s="0" t="n">
        <f aca="false">PERCENTILE($Q$2:$Q$800,0.75)</f>
        <v>0.667715717403612</v>
      </c>
      <c r="S232" s="1" t="b">
        <f aca="false">OR(Q232&gt;=R232,AND(B232="CW",COUNT(J232:L232)&lt;3))</f>
        <v>0</v>
      </c>
      <c r="T232" s="0" t="n">
        <v>0.226800809737684</v>
      </c>
      <c r="U232" s="0" t="n">
        <v>3.91828976511932</v>
      </c>
      <c r="V232" s="0" t="n">
        <v>0.209442183947973</v>
      </c>
      <c r="W232" s="0" t="n">
        <f aca="false">Q232-V232</f>
        <v>0</v>
      </c>
    </row>
    <row r="233" customFormat="false" ht="15" hidden="false" customHeight="false" outlineLevel="0" collapsed="false">
      <c r="A233" s="0" t="s">
        <v>267</v>
      </c>
      <c r="B233" s="0" t="s">
        <v>3013</v>
      </c>
      <c r="C233" s="0" t="n">
        <v>16.2678285077025</v>
      </c>
      <c r="D233" s="0" t="n">
        <f aca="false">SUMPRODUCT(Risk_Inputs!B233:AJ233,Risk_Coefs!$B$2:$AJ$2)</f>
        <v>-1.02873123487223</v>
      </c>
      <c r="E233" s="0" t="n">
        <f aca="false">1/(1+EXP(-MAX(-25,MIN(25,D233))))</f>
        <v>0.263330154678355</v>
      </c>
      <c r="F233" s="0" t="n">
        <f aca="false">SUMPRODUCT(Risk_Inputs!B233:AJ233,Risk_Coefs!$B$3:$AJ$3)</f>
        <v>5.75005535445138</v>
      </c>
      <c r="G233" s="0" t="n">
        <f aca="false">MAX(0,F233)</f>
        <v>5.75005535445138</v>
      </c>
      <c r="H233" s="0" t="n">
        <f aca="false">(SUMPRODUCT(--ISNUMBER($E$2:$E$800),--($E$2:$E$800&lt;E233))+(SUMPRODUCT(--ISNUMBER($E$2:$E$800),--($E$2:$E$800=E233))+1)/2)/COUNT($E$2:$E$800)</f>
        <v>0.357947434292866</v>
      </c>
      <c r="I233" s="0" t="n">
        <f aca="false">(SUMPRODUCT(--ISNUMBER($G$2:$G$800),--($G$2:$G$800&lt;G233))+(SUMPRODUCT(--ISNUMBER($G$2:$G$800),--($G$2:$G$800=G233))+1)/2)/COUNT($G$2:$G$800)</f>
        <v>0.23279098873592</v>
      </c>
      <c r="J233" s="0" t="n">
        <v>15.0161928348123</v>
      </c>
      <c r="K233" s="0" t="n">
        <v>3.60665844636253</v>
      </c>
      <c r="L233" s="0" t="n">
        <v>0.215782983970403</v>
      </c>
      <c r="M233" s="0" t="n">
        <f aca="false">IF(OR(B233="NW",COUNT(Risk_Rank_Keys!B233)=0),0.5,(SUMPRODUCT(--ISNUMBER(Risk_Rank_Keys!$B$2:$B$800),--(Risk_Rank_Keys!$B$2:$B$800&lt;Risk_Rank_Keys!B233))+(SUMPRODUCT(--ISNUMBER(Risk_Rank_Keys!$B$2:$B$800),--(Risk_Rank_Keys!$B$2:$B$800=Risk_Rank_Keys!B233))+1)/2)/COUNT(Risk_Rank_Keys!$B$2:$B$800))</f>
        <v>0.705718270571827</v>
      </c>
      <c r="N233" s="0" t="n">
        <f aca="false">IF(OR(B233="NW",COUNT(Risk_Rank_Keys!C233)=0),0.5,(SUMPRODUCT(--ISNUMBER(Risk_Rank_Keys!$C$2:$C$800),--(Risk_Rank_Keys!$C$2:$C$800&lt;Risk_Rank_Keys!C233))+(SUMPRODUCT(--ISNUMBER(Risk_Rank_Keys!$C$2:$C$800),--(Risk_Rank_Keys!$C$2:$C$800=Risk_Rank_Keys!C233))+1)/2)/COUNT(Risk_Rank_Keys!$C$2:$C$800))</f>
        <v>0.542538354253836</v>
      </c>
      <c r="O233" s="0" t="n">
        <f aca="false">IF(OR(B233="NW",COUNT(Risk_Rank_Keys!D233)=0),0.5,(SUMPRODUCT(--ISNUMBER(Risk_Rank_Keys!$D$2:$D$800),--(Risk_Rank_Keys!$D$2:$D$800&lt;Risk_Rank_Keys!D233))+(SUMPRODUCT(--ISNUMBER(Risk_Rank_Keys!$D$2:$D$800),--(Risk_Rank_Keys!$D$2:$D$800=Risk_Rank_Keys!D233))+1)/2)/COUNT(Risk_Rank_Keys!$D$2:$D$800))</f>
        <v>0.417015341701534</v>
      </c>
      <c r="P233" s="0" t="n">
        <f aca="false">AVERAGE(M233:O233)</f>
        <v>0.555090655509066</v>
      </c>
      <c r="Q233" s="0" t="n">
        <f aca="false">0.4*H233+0.4*I233+0.2*P233</f>
        <v>0.347313500313328</v>
      </c>
      <c r="R233" s="0" t="n">
        <f aca="false">PERCENTILE($Q$2:$Q$800,0.75)</f>
        <v>0.667715717403612</v>
      </c>
      <c r="S233" s="1" t="b">
        <f aca="false">OR(Q233&gt;=R233,AND(B233="CW",COUNT(J233:L233)&lt;3))</f>
        <v>0</v>
      </c>
      <c r="T233" s="0" t="n">
        <v>0.263330154678355</v>
      </c>
      <c r="U233" s="0" t="n">
        <v>5.75005535445138</v>
      </c>
      <c r="V233" s="0" t="n">
        <v>0.347313500313328</v>
      </c>
      <c r="W233" s="0" t="n">
        <f aca="false">Q233-V233</f>
        <v>0</v>
      </c>
    </row>
    <row r="234" customFormat="false" ht="15" hidden="false" customHeight="false" outlineLevel="0" collapsed="false">
      <c r="A234" s="0" t="s">
        <v>268</v>
      </c>
      <c r="B234" s="0" t="s">
        <v>3013</v>
      </c>
      <c r="C234" s="0" t="n">
        <v>10.4776126835892</v>
      </c>
      <c r="D234" s="0" t="n">
        <f aca="false">SUMPRODUCT(Risk_Inputs!B234:AJ234,Risk_Coefs!$B$2:$AJ$2)</f>
        <v>-1.04870960511794</v>
      </c>
      <c r="E234" s="0" t="n">
        <f aca="false">1/(1+EXP(-MAX(-25,MIN(25,D234))))</f>
        <v>0.259472969030807</v>
      </c>
      <c r="F234" s="0" t="n">
        <f aca="false">SUMPRODUCT(Risk_Inputs!B234:AJ234,Risk_Coefs!$B$3:$AJ$3)</f>
        <v>6.44908918081119</v>
      </c>
      <c r="G234" s="0" t="n">
        <f aca="false">MAX(0,F234)</f>
        <v>6.44908918081119</v>
      </c>
      <c r="H234" s="0" t="n">
        <f aca="false">(SUMPRODUCT(--ISNUMBER($E$2:$E$800),--($E$2:$E$800&lt;E234))+(SUMPRODUCT(--ISNUMBER($E$2:$E$800),--($E$2:$E$800=E234))+1)/2)/COUNT($E$2:$E$800)</f>
        <v>0.329161451814768</v>
      </c>
      <c r="I234" s="0" t="n">
        <f aca="false">(SUMPRODUCT(--ISNUMBER($G$2:$G$800),--($G$2:$G$800&lt;G234))+(SUMPRODUCT(--ISNUMBER($G$2:$G$800),--($G$2:$G$800=G234))+1)/2)/COUNT($G$2:$G$800)</f>
        <v>0.334167709637046</v>
      </c>
      <c r="J234" s="0" t="n">
        <v>13.648797270241</v>
      </c>
      <c r="K234" s="0" t="n">
        <v>4.14698162729659</v>
      </c>
      <c r="L234" s="0" t="n">
        <v>0.314960629921264</v>
      </c>
      <c r="M234" s="0" t="n">
        <f aca="false">IF(OR(B234="NW",COUNT(Risk_Rank_Keys!B234)=0),0.5,(SUMPRODUCT(--ISNUMBER(Risk_Rank_Keys!$B$2:$B$800),--(Risk_Rank_Keys!$B$2:$B$800&lt;Risk_Rank_Keys!B234))+(SUMPRODUCT(--ISNUMBER(Risk_Rank_Keys!$B$2:$B$800),--(Risk_Rank_Keys!$B$2:$B$800=Risk_Rank_Keys!B234))+1)/2)/COUNT(Risk_Rank_Keys!$B$2:$B$800))</f>
        <v>0.665271966527197</v>
      </c>
      <c r="N234" s="0" t="n">
        <f aca="false">IF(OR(B234="NW",COUNT(Risk_Rank_Keys!C234)=0),0.5,(SUMPRODUCT(--ISNUMBER(Risk_Rank_Keys!$C$2:$C$800),--(Risk_Rank_Keys!$C$2:$C$800&lt;Risk_Rank_Keys!C234))+(SUMPRODUCT(--ISNUMBER(Risk_Rank_Keys!$C$2:$C$800),--(Risk_Rank_Keys!$C$2:$C$800=Risk_Rank_Keys!C234))+1)/2)/COUNT(Risk_Rank_Keys!$C$2:$C$800))</f>
        <v>0.610878661087866</v>
      </c>
      <c r="O234" s="0" t="n">
        <f aca="false">IF(OR(B234="NW",COUNT(Risk_Rank_Keys!D234)=0),0.5,(SUMPRODUCT(--ISNUMBER(Risk_Rank_Keys!$D$2:$D$800),--(Risk_Rank_Keys!$D$2:$D$800&lt;Risk_Rank_Keys!D234))+(SUMPRODUCT(--ISNUMBER(Risk_Rank_Keys!$D$2:$D$800),--(Risk_Rank_Keys!$D$2:$D$800=Risk_Rank_Keys!D234))+1)/2)/COUNT(Risk_Rank_Keys!$D$2:$D$800))</f>
        <v>0.764295676429568</v>
      </c>
      <c r="P234" s="0" t="n">
        <f aca="false">AVERAGE(M234:O234)</f>
        <v>0.680148768014877</v>
      </c>
      <c r="Q234" s="0" t="n">
        <f aca="false">0.4*H234+0.4*I234+0.2*P234</f>
        <v>0.401361418183701</v>
      </c>
      <c r="R234" s="0" t="n">
        <f aca="false">PERCENTILE($Q$2:$Q$800,0.75)</f>
        <v>0.667715717403612</v>
      </c>
      <c r="S234" s="1" t="b">
        <f aca="false">OR(Q234&gt;=R234,AND(B234="CW",COUNT(J234:L234)&lt;3))</f>
        <v>0</v>
      </c>
      <c r="T234" s="0" t="n">
        <v>0.259472969030807</v>
      </c>
      <c r="U234" s="0" t="n">
        <v>6.44908918081119</v>
      </c>
      <c r="V234" s="0" t="n">
        <v>0.401361418183701</v>
      </c>
      <c r="W234" s="0" t="n">
        <f aca="false">Q234-V234</f>
        <v>0</v>
      </c>
    </row>
    <row r="235" customFormat="false" ht="15" hidden="false" customHeight="false" outlineLevel="0" collapsed="false">
      <c r="A235" s="0" t="s">
        <v>269</v>
      </c>
      <c r="B235" s="0" t="s">
        <v>3013</v>
      </c>
      <c r="C235" s="0" t="n">
        <v>35.8180649059779</v>
      </c>
      <c r="D235" s="0" t="n">
        <f aca="false">SUMPRODUCT(Risk_Inputs!B235:AJ235,Risk_Coefs!$B$2:$AJ$2)</f>
        <v>-0.952199256731454</v>
      </c>
      <c r="E235" s="0" t="n">
        <f aca="false">1/(1+EXP(-MAX(-25,MIN(25,D235))))</f>
        <v>0.278442748836248</v>
      </c>
      <c r="F235" s="0" t="n">
        <f aca="false">SUMPRODUCT(Risk_Inputs!B235:AJ235,Risk_Coefs!$B$3:$AJ$3)</f>
        <v>9.10928023952476</v>
      </c>
      <c r="G235" s="0" t="n">
        <f aca="false">MAX(0,F235)</f>
        <v>9.10928023952476</v>
      </c>
      <c r="H235" s="0" t="n">
        <f aca="false">(SUMPRODUCT(--ISNUMBER($E$2:$E$800),--($E$2:$E$800&lt;E235))+(SUMPRODUCT(--ISNUMBER($E$2:$E$800),--($E$2:$E$800=E235))+1)/2)/COUNT($E$2:$E$800)</f>
        <v>0.456821026282854</v>
      </c>
      <c r="I235" s="0" t="n">
        <f aca="false">(SUMPRODUCT(--ISNUMBER($G$2:$G$800),--($G$2:$G$800&lt;G235))+(SUMPRODUCT(--ISNUMBER($G$2:$G$800),--($G$2:$G$800=G235))+1)/2)/COUNT($G$2:$G$800)</f>
        <v>0.690863579474343</v>
      </c>
      <c r="J235" s="0" t="n">
        <v>10.051670101928</v>
      </c>
      <c r="K235" s="0" t="n">
        <v>2.31603153745073</v>
      </c>
      <c r="L235" s="0" t="n">
        <v>0.147831800262808</v>
      </c>
      <c r="M235" s="0" t="n">
        <f aca="false">IF(OR(B235="NW",COUNT(Risk_Rank_Keys!B235)=0),0.5,(SUMPRODUCT(--ISNUMBER(Risk_Rank_Keys!$B$2:$B$800),--(Risk_Rank_Keys!$B$2:$B$800&lt;Risk_Rank_Keys!B235))+(SUMPRODUCT(--ISNUMBER(Risk_Rank_Keys!$B$2:$B$800),--(Risk_Rank_Keys!$B$2:$B$800=Risk_Rank_Keys!B235))+1)/2)/COUNT(Risk_Rank_Keys!$B$2:$B$800))</f>
        <v>0.510460251046025</v>
      </c>
      <c r="N235" s="0" t="n">
        <f aca="false">IF(OR(B235="NW",COUNT(Risk_Rank_Keys!C235)=0),0.5,(SUMPRODUCT(--ISNUMBER(Risk_Rank_Keys!$C$2:$C$800),--(Risk_Rank_Keys!$C$2:$C$800&lt;Risk_Rank_Keys!C235))+(SUMPRODUCT(--ISNUMBER(Risk_Rank_Keys!$C$2:$C$800),--(Risk_Rank_Keys!$C$2:$C$800=Risk_Rank_Keys!C235))+1)/2)/COUNT(Risk_Rank_Keys!$C$2:$C$800))</f>
        <v>0.344490934449093</v>
      </c>
      <c r="O235" s="0" t="n">
        <f aca="false">IF(OR(B235="NW",COUNT(Risk_Rank_Keys!D235)=0),0.5,(SUMPRODUCT(--ISNUMBER(Risk_Rank_Keys!$D$2:$D$800),--(Risk_Rank_Keys!$D$2:$D$800&lt;Risk_Rank_Keys!D235))+(SUMPRODUCT(--ISNUMBER(Risk_Rank_Keys!$D$2:$D$800),--(Risk_Rank_Keys!$D$2:$D$800=Risk_Rank_Keys!D235))+1)/2)/COUNT(Risk_Rank_Keys!$D$2:$D$800))</f>
        <v>0.104602510460251</v>
      </c>
      <c r="P235" s="0" t="n">
        <f aca="false">AVERAGE(M235:O235)</f>
        <v>0.319851231985123</v>
      </c>
      <c r="Q235" s="0" t="n">
        <f aca="false">0.4*H235+0.4*I235+0.2*P235</f>
        <v>0.523044088699903</v>
      </c>
      <c r="R235" s="0" t="n">
        <f aca="false">PERCENTILE($Q$2:$Q$800,0.75)</f>
        <v>0.667715717403612</v>
      </c>
      <c r="S235" s="1" t="b">
        <f aca="false">OR(Q235&gt;=R235,AND(B235="CW",COUNT(J235:L235)&lt;3))</f>
        <v>0</v>
      </c>
      <c r="T235" s="0" t="n">
        <v>0.278442748836248</v>
      </c>
      <c r="U235" s="0" t="n">
        <v>9.10928023952476</v>
      </c>
      <c r="V235" s="0" t="n">
        <v>0.523044088699903</v>
      </c>
      <c r="W235" s="0" t="n">
        <f aca="false">Q235-V235</f>
        <v>0</v>
      </c>
    </row>
    <row r="236" customFormat="false" ht="15" hidden="false" customHeight="false" outlineLevel="0" collapsed="false">
      <c r="A236" s="0" t="s">
        <v>270</v>
      </c>
      <c r="B236" s="0" t="s">
        <v>3013</v>
      </c>
      <c r="C236" s="0" t="n">
        <v>41.1697282050548</v>
      </c>
      <c r="D236" s="0" t="n">
        <f aca="false">SUMPRODUCT(Risk_Inputs!B236:AJ236,Risk_Coefs!$B$2:$AJ$2)</f>
        <v>-1.02195547572926</v>
      </c>
      <c r="E236" s="0" t="n">
        <f aca="false">1/(1+EXP(-MAX(-25,MIN(25,D236))))</f>
        <v>0.264646672626082</v>
      </c>
      <c r="F236" s="0" t="n">
        <f aca="false">SUMPRODUCT(Risk_Inputs!B236:AJ236,Risk_Coefs!$B$3:$AJ$3)</f>
        <v>5.44856100647209</v>
      </c>
      <c r="G236" s="0" t="n">
        <f aca="false">MAX(0,F236)</f>
        <v>5.44856100647209</v>
      </c>
      <c r="H236" s="0" t="n">
        <f aca="false">(SUMPRODUCT(--ISNUMBER($E$2:$E$800),--($E$2:$E$800&lt;E236))+(SUMPRODUCT(--ISNUMBER($E$2:$E$800),--($E$2:$E$800=E236))+1)/2)/COUNT($E$2:$E$800)</f>
        <v>0.365456821026283</v>
      </c>
      <c r="I236" s="0" t="n">
        <f aca="false">(SUMPRODUCT(--ISNUMBER($G$2:$G$800),--($G$2:$G$800&lt;G236))+(SUMPRODUCT(--ISNUMBER($G$2:$G$800),--($G$2:$G$800=G236))+1)/2)/COUNT($G$2:$G$800)</f>
        <v>0.191489361702128</v>
      </c>
      <c r="J236" s="0" t="n">
        <v>9.91364985664555</v>
      </c>
      <c r="K236" s="0" t="n">
        <v>4.26489498499785</v>
      </c>
      <c r="L236" s="0" t="n">
        <v>0.257179597085295</v>
      </c>
      <c r="M236" s="0" t="n">
        <f aca="false">IF(OR(B236="NW",COUNT(Risk_Rank_Keys!B236)=0),0.5,(SUMPRODUCT(--ISNUMBER(Risk_Rank_Keys!$B$2:$B$800),--(Risk_Rank_Keys!$B$2:$B$800&lt;Risk_Rank_Keys!B236))+(SUMPRODUCT(--ISNUMBER(Risk_Rank_Keys!$B$2:$B$800),--(Risk_Rank_Keys!$B$2:$B$800=Risk_Rank_Keys!B236))+1)/2)/COUNT(Risk_Rank_Keys!$B$2:$B$800))</f>
        <v>0.500697350069735</v>
      </c>
      <c r="N236" s="0" t="n">
        <f aca="false">IF(OR(B236="NW",COUNT(Risk_Rank_Keys!C236)=0),0.5,(SUMPRODUCT(--ISNUMBER(Risk_Rank_Keys!$C$2:$C$800),--(Risk_Rank_Keys!$C$2:$C$800&lt;Risk_Rank_Keys!C236))+(SUMPRODUCT(--ISNUMBER(Risk_Rank_Keys!$C$2:$C$800),--(Risk_Rank_Keys!$C$2:$C$800=Risk_Rank_Keys!C236))+1)/2)/COUNT(Risk_Rank_Keys!$C$2:$C$800))</f>
        <v>0.623430962343096</v>
      </c>
      <c r="O236" s="0" t="n">
        <f aca="false">IF(OR(B236="NW",COUNT(Risk_Rank_Keys!D236)=0),0.5,(SUMPRODUCT(--ISNUMBER(Risk_Rank_Keys!$D$2:$D$800),--(Risk_Rank_Keys!$D$2:$D$800&lt;Risk_Rank_Keys!D236))+(SUMPRODUCT(--ISNUMBER(Risk_Rank_Keys!$D$2:$D$800),--(Risk_Rank_Keys!$D$2:$D$800=Risk_Rank_Keys!D236))+1)/2)/COUNT(Risk_Rank_Keys!$D$2:$D$800))</f>
        <v>0.615062761506276</v>
      </c>
      <c r="P236" s="0" t="n">
        <f aca="false">AVERAGE(M236:O236)</f>
        <v>0.579730357973036</v>
      </c>
      <c r="Q236" s="0" t="n">
        <f aca="false">0.4*H236+0.4*I236+0.2*P236</f>
        <v>0.338724544685971</v>
      </c>
      <c r="R236" s="0" t="n">
        <f aca="false">PERCENTILE($Q$2:$Q$800,0.75)</f>
        <v>0.667715717403612</v>
      </c>
      <c r="S236" s="1" t="b">
        <f aca="false">OR(Q236&gt;=R236,AND(B236="CW",COUNT(J236:L236)&lt;3))</f>
        <v>0</v>
      </c>
      <c r="T236" s="0" t="n">
        <v>0.264646672626082</v>
      </c>
      <c r="U236" s="0" t="n">
        <v>5.44856100647209</v>
      </c>
      <c r="V236" s="0" t="n">
        <v>0.338724544685971</v>
      </c>
      <c r="W236" s="0" t="n">
        <f aca="false">Q236-V236</f>
        <v>0</v>
      </c>
    </row>
    <row r="237" customFormat="false" ht="15" hidden="false" customHeight="false" outlineLevel="0" collapsed="false">
      <c r="A237" s="0" t="s">
        <v>271</v>
      </c>
      <c r="B237" s="0" t="s">
        <v>33</v>
      </c>
      <c r="C237" s="0" t="n">
        <v>-44.5736235519872</v>
      </c>
      <c r="D237" s="0" t="n">
        <f aca="false">SUMPRODUCT(Risk_Inputs!B237:AJ237,Risk_Coefs!$B$2:$AJ$2)</f>
        <v>-0.697705475983979</v>
      </c>
      <c r="E237" s="0" t="n">
        <f aca="false">1/(1+EXP(-MAX(-25,MIN(25,D237))))</f>
        <v>0.332321149519401</v>
      </c>
      <c r="F237" s="0" t="n">
        <f aca="false">SUMPRODUCT(Risk_Inputs!B237:AJ237,Risk_Coefs!$B$3:$AJ$3)</f>
        <v>9.13140160514764</v>
      </c>
      <c r="G237" s="0" t="n">
        <f aca="false">MAX(0,F237)</f>
        <v>9.13140160514764</v>
      </c>
      <c r="H237" s="0" t="n">
        <f aca="false">(SUMPRODUCT(--ISNUMBER($E$2:$E$800),--($E$2:$E$800&lt;E237))+(SUMPRODUCT(--ISNUMBER($E$2:$E$800),--($E$2:$E$800=E237))+1)/2)/COUNT($E$2:$E$800)</f>
        <v>0.745932415519399</v>
      </c>
      <c r="I237" s="0" t="n">
        <f aca="false">(SUMPRODUCT(--ISNUMBER($G$2:$G$800),--($G$2:$G$800&lt;G237))+(SUMPRODUCT(--ISNUMBER($G$2:$G$800),--($G$2:$G$800=G237))+1)/2)/COUNT($G$2:$G$800)</f>
        <v>0.69712140175219</v>
      </c>
      <c r="M237" s="0" t="n">
        <f aca="false">IF(OR(B237="NW",COUNT(Risk_Rank_Keys!B237)=0),0.5,(SUMPRODUCT(--ISNUMBER(Risk_Rank_Keys!$B$2:$B$800),--(Risk_Rank_Keys!$B$2:$B$800&lt;Risk_Rank_Keys!B237))+(SUMPRODUCT(--ISNUMBER(Risk_Rank_Keys!$B$2:$B$800),--(Risk_Rank_Keys!$B$2:$B$800=Risk_Rank_Keys!B237))+1)/2)/COUNT(Risk_Rank_Keys!$B$2:$B$800))</f>
        <v>0.5</v>
      </c>
      <c r="N237" s="0" t="n">
        <f aca="false">IF(OR(B237="NW",COUNT(Risk_Rank_Keys!C237)=0),0.5,(SUMPRODUCT(--ISNUMBER(Risk_Rank_Keys!$C$2:$C$800),--(Risk_Rank_Keys!$C$2:$C$800&lt;Risk_Rank_Keys!C237))+(SUMPRODUCT(--ISNUMBER(Risk_Rank_Keys!$C$2:$C$800),--(Risk_Rank_Keys!$C$2:$C$800=Risk_Rank_Keys!C237))+1)/2)/COUNT(Risk_Rank_Keys!$C$2:$C$800))</f>
        <v>0.5</v>
      </c>
      <c r="O237" s="0" t="n">
        <f aca="false">IF(OR(B237="NW",COUNT(Risk_Rank_Keys!D237)=0),0.5,(SUMPRODUCT(--ISNUMBER(Risk_Rank_Keys!$D$2:$D$800),--(Risk_Rank_Keys!$D$2:$D$800&lt;Risk_Rank_Keys!D237))+(SUMPRODUCT(--ISNUMBER(Risk_Rank_Keys!$D$2:$D$800),--(Risk_Rank_Keys!$D$2:$D$800=Risk_Rank_Keys!D237))+1)/2)/COUNT(Risk_Rank_Keys!$D$2:$D$800))</f>
        <v>0.5</v>
      </c>
      <c r="P237" s="0" t="n">
        <f aca="false">AVERAGE(M237:O237)</f>
        <v>0.5</v>
      </c>
      <c r="Q237" s="0" t="n">
        <f aca="false">0.4*H237+0.4*I237+0.2*P237</f>
        <v>0.677221526908636</v>
      </c>
      <c r="R237" s="0" t="n">
        <f aca="false">PERCENTILE($Q$2:$Q$800,0.75)</f>
        <v>0.667715717403612</v>
      </c>
      <c r="S237" s="1" t="b">
        <f aca="false">OR(Q237&gt;=R237,AND(B237="CW",COUNT(J237:L237)&lt;3))</f>
        <v>1</v>
      </c>
      <c r="T237" s="0" t="n">
        <v>0.332321149519401</v>
      </c>
      <c r="U237" s="0" t="n">
        <v>9.13140160514763</v>
      </c>
      <c r="V237" s="0" t="n">
        <v>0.677221526908636</v>
      </c>
      <c r="W237" s="0" t="n">
        <f aca="false">Q237-V237</f>
        <v>0</v>
      </c>
    </row>
    <row r="238" customFormat="false" ht="15" hidden="false" customHeight="false" outlineLevel="0" collapsed="false">
      <c r="A238" s="0" t="s">
        <v>272</v>
      </c>
      <c r="B238" s="0" t="s">
        <v>3013</v>
      </c>
      <c r="C238" s="0" t="n">
        <v>49.8110023751307</v>
      </c>
      <c r="D238" s="0" t="n">
        <f aca="false">SUMPRODUCT(Risk_Inputs!B238:AJ238,Risk_Coefs!$B$2:$AJ$2)</f>
        <v>-1.64689369920693</v>
      </c>
      <c r="E238" s="0" t="n">
        <f aca="false">1/(1+EXP(-MAX(-25,MIN(25,D238))))</f>
        <v>0.161529217076815</v>
      </c>
      <c r="F238" s="0" t="n">
        <f aca="false">SUMPRODUCT(Risk_Inputs!B238:AJ238,Risk_Coefs!$B$3:$AJ$3)</f>
        <v>0.220532076032042</v>
      </c>
      <c r="G238" s="0" t="n">
        <f aca="false">MAX(0,F238)</f>
        <v>0.220532076032042</v>
      </c>
      <c r="H238" s="0" t="n">
        <f aca="false">(SUMPRODUCT(--ISNUMBER($E$2:$E$800),--($E$2:$E$800&lt;E238))+(SUMPRODUCT(--ISNUMBER($E$2:$E$800),--($E$2:$E$800=E238))+1)/2)/COUNT($E$2:$E$800)</f>
        <v>0.0375469336670839</v>
      </c>
      <c r="I238" s="0" t="n">
        <f aca="false">(SUMPRODUCT(--ISNUMBER($G$2:$G$800),--($G$2:$G$800&lt;G238))+(SUMPRODUCT(--ISNUMBER($G$2:$G$800),--($G$2:$G$800=G238))+1)/2)/COUNT($G$2:$G$800)</f>
        <v>0.00375469336670839</v>
      </c>
      <c r="J238" s="0" t="n">
        <v>20.2129757444283</v>
      </c>
      <c r="K238" s="0" t="n">
        <v>22.9822161422709</v>
      </c>
      <c r="L238" s="0" t="n">
        <v>0.341997264021888</v>
      </c>
      <c r="M238" s="0" t="n">
        <f aca="false">IF(OR(B238="NW",COUNT(Risk_Rank_Keys!B238)=0),0.5,(SUMPRODUCT(--ISNUMBER(Risk_Rank_Keys!$B$2:$B$800),--(Risk_Rank_Keys!$B$2:$B$800&lt;Risk_Rank_Keys!B238))+(SUMPRODUCT(--ISNUMBER(Risk_Rank_Keys!$B$2:$B$800),--(Risk_Rank_Keys!$B$2:$B$800=Risk_Rank_Keys!B238))+1)/2)/COUNT(Risk_Rank_Keys!$B$2:$B$800))</f>
        <v>0.792189679218968</v>
      </c>
      <c r="N238" s="0" t="n">
        <f aca="false">IF(OR(B238="NW",COUNT(Risk_Rank_Keys!C238)=0),0.5,(SUMPRODUCT(--ISNUMBER(Risk_Rank_Keys!$C$2:$C$800),--(Risk_Rank_Keys!$C$2:$C$800&lt;Risk_Rank_Keys!C238))+(SUMPRODUCT(--ISNUMBER(Risk_Rank_Keys!$C$2:$C$800),--(Risk_Rank_Keys!$C$2:$C$800=Risk_Rank_Keys!C238))+1)/2)/COUNT(Risk_Rank_Keys!$C$2:$C$800))</f>
        <v>0.9721059972106</v>
      </c>
      <c r="O238" s="0" t="n">
        <f aca="false">IF(OR(B238="NW",COUNT(Risk_Rank_Keys!D238)=0),0.5,(SUMPRODUCT(--ISNUMBER(Risk_Rank_Keys!$D$2:$D$800),--(Risk_Rank_Keys!$D$2:$D$800&lt;Risk_Rank_Keys!D238))+(SUMPRODUCT(--ISNUMBER(Risk_Rank_Keys!$D$2:$D$800),--(Risk_Rank_Keys!$D$2:$D$800=Risk_Rank_Keys!D238))+1)/2)/COUNT(Risk_Rank_Keys!$D$2:$D$800))</f>
        <v>0.817294281729428</v>
      </c>
      <c r="P238" s="0" t="n">
        <f aca="false">AVERAGE(M238:O238)</f>
        <v>0.860529986052999</v>
      </c>
      <c r="Q238" s="0" t="n">
        <f aca="false">0.4*H238+0.4*I238+0.2*P238</f>
        <v>0.188626648024117</v>
      </c>
      <c r="R238" s="0" t="n">
        <f aca="false">PERCENTILE($Q$2:$Q$800,0.75)</f>
        <v>0.667715717403612</v>
      </c>
      <c r="S238" s="1" t="b">
        <f aca="false">OR(Q238&gt;=R238,AND(B238="CW",COUNT(J238:L238)&lt;3))</f>
        <v>0</v>
      </c>
      <c r="T238" s="0" t="n">
        <v>0.161529217076815</v>
      </c>
      <c r="U238" s="0" t="n">
        <v>0.220532076032042</v>
      </c>
      <c r="V238" s="0" t="n">
        <v>0.188626648024117</v>
      </c>
      <c r="W238" s="0" t="n">
        <f aca="false">Q238-V238</f>
        <v>0</v>
      </c>
    </row>
    <row r="239" customFormat="false" ht="15" hidden="false" customHeight="false" outlineLevel="0" collapsed="false">
      <c r="A239" s="0" t="s">
        <v>273</v>
      </c>
      <c r="B239" s="0" t="s">
        <v>3013</v>
      </c>
      <c r="C239" s="0" t="n">
        <v>11.9762117271706</v>
      </c>
      <c r="D239" s="0" t="n">
        <f aca="false">SUMPRODUCT(Risk_Inputs!B239:AJ239,Risk_Coefs!$B$2:$AJ$2)</f>
        <v>-0.942532856893358</v>
      </c>
      <c r="E239" s="0" t="n">
        <f aca="false">1/(1+EXP(-MAX(-25,MIN(25,D239))))</f>
        <v>0.28038900133518</v>
      </c>
      <c r="F239" s="0" t="n">
        <f aca="false">SUMPRODUCT(Risk_Inputs!B239:AJ239,Risk_Coefs!$B$3:$AJ$3)</f>
        <v>7.15347710259808</v>
      </c>
      <c r="G239" s="0" t="n">
        <f aca="false">MAX(0,F239)</f>
        <v>7.15347710259808</v>
      </c>
      <c r="H239" s="0" t="n">
        <f aca="false">(SUMPRODUCT(--ISNUMBER($E$2:$E$800),--($E$2:$E$800&lt;E239))+(SUMPRODUCT(--ISNUMBER($E$2:$E$800),--($E$2:$E$800=E239))+1)/2)/COUNT($E$2:$E$800)</f>
        <v>0.463078848560701</v>
      </c>
      <c r="I239" s="0" t="n">
        <f aca="false">(SUMPRODUCT(--ISNUMBER($G$2:$G$800),--($G$2:$G$800&lt;G239))+(SUMPRODUCT(--ISNUMBER($G$2:$G$800),--($G$2:$G$800=G239))+1)/2)/COUNT($G$2:$G$800)</f>
        <v>0.434292866082603</v>
      </c>
      <c r="J239" s="0" t="n">
        <v>12.6904674273113</v>
      </c>
      <c r="K239" s="0" t="n">
        <v>5.93869731800768</v>
      </c>
      <c r="L239" s="0" t="n">
        <v>0.218938149972636</v>
      </c>
      <c r="M239" s="0" t="n">
        <f aca="false">IF(OR(B239="NW",COUNT(Risk_Rank_Keys!B239)=0),0.5,(SUMPRODUCT(--ISNUMBER(Risk_Rank_Keys!$B$2:$B$800),--(Risk_Rank_Keys!$B$2:$B$800&lt;Risk_Rank_Keys!B239))+(SUMPRODUCT(--ISNUMBER(Risk_Rank_Keys!$B$2:$B$800),--(Risk_Rank_Keys!$B$2:$B$800=Risk_Rank_Keys!B239))+1)/2)/COUNT(Risk_Rank_Keys!$B$2:$B$800))</f>
        <v>0.622036262203626</v>
      </c>
      <c r="N239" s="0" t="n">
        <f aca="false">IF(OR(B239="NW",COUNT(Risk_Rank_Keys!C239)=0),0.5,(SUMPRODUCT(--ISNUMBER(Risk_Rank_Keys!$C$2:$C$800),--(Risk_Rank_Keys!$C$2:$C$800&lt;Risk_Rank_Keys!C239))+(SUMPRODUCT(--ISNUMBER(Risk_Rank_Keys!$C$2:$C$800),--(Risk_Rank_Keys!$C$2:$C$800=Risk_Rank_Keys!C239))+1)/2)/COUNT(Risk_Rank_Keys!$C$2:$C$800))</f>
        <v>0.741980474198048</v>
      </c>
      <c r="O239" s="0" t="n">
        <f aca="false">IF(OR(B239="NW",COUNT(Risk_Rank_Keys!D239)=0),0.5,(SUMPRODUCT(--ISNUMBER(Risk_Rank_Keys!$D$2:$D$800),--(Risk_Rank_Keys!$D$2:$D$800&lt;Risk_Rank_Keys!D239))+(SUMPRODUCT(--ISNUMBER(Risk_Rank_Keys!$D$2:$D$800),--(Risk_Rank_Keys!$D$2:$D$800=Risk_Rank_Keys!D239))+1)/2)/COUNT(Risk_Rank_Keys!$D$2:$D$800))</f>
        <v>0.430962343096234</v>
      </c>
      <c r="P239" s="0" t="n">
        <f aca="false">AVERAGE(M239:O239)</f>
        <v>0.598326359832636</v>
      </c>
      <c r="Q239" s="0" t="n">
        <f aca="false">0.4*H239+0.4*I239+0.2*P239</f>
        <v>0.478613957823849</v>
      </c>
      <c r="R239" s="0" t="n">
        <f aca="false">PERCENTILE($Q$2:$Q$800,0.75)</f>
        <v>0.667715717403612</v>
      </c>
      <c r="S239" s="1" t="b">
        <f aca="false">OR(Q239&gt;=R239,AND(B239="CW",COUNT(J239:L239)&lt;3))</f>
        <v>0</v>
      </c>
      <c r="T239" s="0" t="n">
        <v>0.28038900133518</v>
      </c>
      <c r="U239" s="0" t="n">
        <v>7.15347710259808</v>
      </c>
      <c r="V239" s="0" t="n">
        <v>0.478613957823849</v>
      </c>
      <c r="W239" s="0" t="n">
        <f aca="false">Q239-V239</f>
        <v>0</v>
      </c>
    </row>
    <row r="240" customFormat="false" ht="15" hidden="false" customHeight="false" outlineLevel="0" collapsed="false">
      <c r="A240" s="0" t="s">
        <v>274</v>
      </c>
      <c r="B240" s="0" t="s">
        <v>33</v>
      </c>
      <c r="C240" s="0" t="n">
        <v>-39.2451647936619</v>
      </c>
      <c r="D240" s="0" t="n">
        <f aca="false">SUMPRODUCT(Risk_Inputs!B240:AJ240,Risk_Coefs!$B$2:$AJ$2)</f>
        <v>-0.498286586281688</v>
      </c>
      <c r="E240" s="0" t="n">
        <f aca="false">1/(1+EXP(-MAX(-25,MIN(25,D240))))</f>
        <v>0.377943411788898</v>
      </c>
      <c r="F240" s="0" t="n">
        <f aca="false">SUMPRODUCT(Risk_Inputs!B240:AJ240,Risk_Coefs!$B$3:$AJ$3)</f>
        <v>11.1927243666049</v>
      </c>
      <c r="G240" s="0" t="n">
        <f aca="false">MAX(0,F240)</f>
        <v>11.1927243666049</v>
      </c>
      <c r="H240" s="0" t="n">
        <f aca="false">(SUMPRODUCT(--ISNUMBER($E$2:$E$800),--($E$2:$E$800&lt;E240))+(SUMPRODUCT(--ISNUMBER($E$2:$E$800),--($E$2:$E$800=E240))+1)/2)/COUNT($E$2:$E$800)</f>
        <v>0.894868585732165</v>
      </c>
      <c r="I240" s="0" t="n">
        <f aca="false">(SUMPRODUCT(--ISNUMBER($G$2:$G$800),--($G$2:$G$800&lt;G240))+(SUMPRODUCT(--ISNUMBER($G$2:$G$800),--($G$2:$G$800=G240))+1)/2)/COUNT($G$2:$G$800)</f>
        <v>0.891113892365457</v>
      </c>
      <c r="M240" s="0" t="n">
        <f aca="false">IF(OR(B240="NW",COUNT(Risk_Rank_Keys!B240)=0),0.5,(SUMPRODUCT(--ISNUMBER(Risk_Rank_Keys!$B$2:$B$800),--(Risk_Rank_Keys!$B$2:$B$800&lt;Risk_Rank_Keys!B240))+(SUMPRODUCT(--ISNUMBER(Risk_Rank_Keys!$B$2:$B$800),--(Risk_Rank_Keys!$B$2:$B$800=Risk_Rank_Keys!B240))+1)/2)/COUNT(Risk_Rank_Keys!$B$2:$B$800))</f>
        <v>0.5</v>
      </c>
      <c r="N240" s="0" t="n">
        <f aca="false">IF(OR(B240="NW",COUNT(Risk_Rank_Keys!C240)=0),0.5,(SUMPRODUCT(--ISNUMBER(Risk_Rank_Keys!$C$2:$C$800),--(Risk_Rank_Keys!$C$2:$C$800&lt;Risk_Rank_Keys!C240))+(SUMPRODUCT(--ISNUMBER(Risk_Rank_Keys!$C$2:$C$800),--(Risk_Rank_Keys!$C$2:$C$800=Risk_Rank_Keys!C240))+1)/2)/COUNT(Risk_Rank_Keys!$C$2:$C$800))</f>
        <v>0.5</v>
      </c>
      <c r="O240" s="0" t="n">
        <f aca="false">IF(OR(B240="NW",COUNT(Risk_Rank_Keys!D240)=0),0.5,(SUMPRODUCT(--ISNUMBER(Risk_Rank_Keys!$D$2:$D$800),--(Risk_Rank_Keys!$D$2:$D$800&lt;Risk_Rank_Keys!D240))+(SUMPRODUCT(--ISNUMBER(Risk_Rank_Keys!$D$2:$D$800),--(Risk_Rank_Keys!$D$2:$D$800=Risk_Rank_Keys!D240))+1)/2)/COUNT(Risk_Rank_Keys!$D$2:$D$800))</f>
        <v>0.5</v>
      </c>
      <c r="P240" s="0" t="n">
        <f aca="false">AVERAGE(M240:O240)</f>
        <v>0.5</v>
      </c>
      <c r="Q240" s="0" t="n">
        <f aca="false">0.4*H240+0.4*I240+0.2*P240</f>
        <v>0.814392991239049</v>
      </c>
      <c r="R240" s="0" t="n">
        <f aca="false">PERCENTILE($Q$2:$Q$800,0.75)</f>
        <v>0.667715717403612</v>
      </c>
      <c r="S240" s="1" t="b">
        <f aca="false">OR(Q240&gt;=R240,AND(B240="CW",COUNT(J240:L240)&lt;3))</f>
        <v>1</v>
      </c>
      <c r="T240" s="0" t="n">
        <v>0.377943411788898</v>
      </c>
      <c r="U240" s="0" t="n">
        <v>11.1927243666049</v>
      </c>
      <c r="V240" s="0" t="n">
        <v>0.814392991239049</v>
      </c>
      <c r="W240" s="0" t="n">
        <f aca="false">Q240-V240</f>
        <v>0</v>
      </c>
    </row>
    <row r="241" customFormat="false" ht="15" hidden="false" customHeight="false" outlineLevel="0" collapsed="false">
      <c r="A241" s="0" t="s">
        <v>275</v>
      </c>
      <c r="B241" s="0" t="s">
        <v>3013</v>
      </c>
      <c r="C241" s="0" t="n">
        <v>18.6822609880089</v>
      </c>
      <c r="D241" s="0" t="n">
        <f aca="false">SUMPRODUCT(Risk_Inputs!B241:AJ241,Risk_Coefs!$B$2:$AJ$2)</f>
        <v>-0.983331259391762</v>
      </c>
      <c r="E241" s="0" t="n">
        <f aca="false">1/(1+EXP(-MAX(-25,MIN(25,D241))))</f>
        <v>0.272231289292677</v>
      </c>
      <c r="F241" s="0" t="n">
        <f aca="false">SUMPRODUCT(Risk_Inputs!B241:AJ241,Risk_Coefs!$B$3:$AJ$3)</f>
        <v>5.56381507385548</v>
      </c>
      <c r="G241" s="0" t="n">
        <f aca="false">MAX(0,F241)</f>
        <v>5.56381507385548</v>
      </c>
      <c r="H241" s="0" t="n">
        <f aca="false">(SUMPRODUCT(--ISNUMBER($E$2:$E$800),--($E$2:$E$800&lt;E241))+(SUMPRODUCT(--ISNUMBER($E$2:$E$800),--($E$2:$E$800=E241))+1)/2)/COUNT($E$2:$E$800)</f>
        <v>0.405506883604506</v>
      </c>
      <c r="I241" s="0" t="n">
        <f aca="false">(SUMPRODUCT(--ISNUMBER($G$2:$G$800),--($G$2:$G$800&lt;G241))+(SUMPRODUCT(--ISNUMBER($G$2:$G$800),--($G$2:$G$800=G241))+1)/2)/COUNT($G$2:$G$800)</f>
        <v>0.21026282853567</v>
      </c>
      <c r="J241" s="0" t="n">
        <v>4.50069833416088</v>
      </c>
      <c r="K241" s="0" t="n">
        <v>2.69619643716899</v>
      </c>
      <c r="L241" s="0" t="n">
        <v>0.12839030653185</v>
      </c>
      <c r="M241" s="0" t="n">
        <f aca="false">IF(OR(B241="NW",COUNT(Risk_Rank_Keys!B241)=0),0.5,(SUMPRODUCT(--ISNUMBER(Risk_Rank_Keys!$B$2:$B$800),--(Risk_Rank_Keys!$B$2:$B$800&lt;Risk_Rank_Keys!B241))+(SUMPRODUCT(--ISNUMBER(Risk_Rank_Keys!$B$2:$B$800),--(Risk_Rank_Keys!$B$2:$B$800=Risk_Rank_Keys!B241))+1)/2)/COUNT(Risk_Rank_Keys!$B$2:$B$800))</f>
        <v>0.099023709902371</v>
      </c>
      <c r="N241" s="0" t="n">
        <f aca="false">IF(OR(B241="NW",COUNT(Risk_Rank_Keys!C241)=0),0.5,(SUMPRODUCT(--ISNUMBER(Risk_Rank_Keys!$C$2:$C$800),--(Risk_Rank_Keys!$C$2:$C$800&lt;Risk_Rank_Keys!C241))+(SUMPRODUCT(--ISNUMBER(Risk_Rank_Keys!$C$2:$C$800),--(Risk_Rank_Keys!$C$2:$C$800=Risk_Rank_Keys!C241))+1)/2)/COUNT(Risk_Rank_Keys!$C$2:$C$800))</f>
        <v>0.425383542538354</v>
      </c>
      <c r="O241" s="0" t="n">
        <f aca="false">IF(OR(B241="NW",COUNT(Risk_Rank_Keys!D241)=0),0.5,(SUMPRODUCT(--ISNUMBER(Risk_Rank_Keys!$D$2:$D$800),--(Risk_Rank_Keys!$D$2:$D$800&lt;Risk_Rank_Keys!D241))+(SUMPRODUCT(--ISNUMBER(Risk_Rank_Keys!$D$2:$D$800),--(Risk_Rank_Keys!$D$2:$D$800=Risk_Rank_Keys!D241))+1)/2)/COUNT(Risk_Rank_Keys!$D$2:$D$800))</f>
        <v>0.0599721059972106</v>
      </c>
      <c r="P241" s="0" t="n">
        <f aca="false">AVERAGE(M241:O241)</f>
        <v>0.194793119479312</v>
      </c>
      <c r="Q241" s="0" t="n">
        <f aca="false">0.4*H241+0.4*I241+0.2*P241</f>
        <v>0.285266508751933</v>
      </c>
      <c r="R241" s="0" t="n">
        <f aca="false">PERCENTILE($Q$2:$Q$800,0.75)</f>
        <v>0.667715717403612</v>
      </c>
      <c r="S241" s="1" t="b">
        <f aca="false">OR(Q241&gt;=R241,AND(B241="CW",COUNT(J241:L241)&lt;3))</f>
        <v>0</v>
      </c>
      <c r="T241" s="0" t="n">
        <v>0.272231289292677</v>
      </c>
      <c r="U241" s="0" t="n">
        <v>5.56381507385548</v>
      </c>
      <c r="V241" s="0" t="n">
        <v>0.285266508751933</v>
      </c>
      <c r="W241" s="0" t="n">
        <f aca="false">Q241-V241</f>
        <v>0</v>
      </c>
    </row>
    <row r="242" customFormat="false" ht="15" hidden="false" customHeight="false" outlineLevel="0" collapsed="false">
      <c r="A242" s="0" t="s">
        <v>276</v>
      </c>
      <c r="B242" s="0" t="s">
        <v>3013</v>
      </c>
      <c r="C242" s="0" t="n">
        <v>-7.42370198955118</v>
      </c>
      <c r="D242" s="0" t="n">
        <f aca="false">SUMPRODUCT(Risk_Inputs!B242:AJ242,Risk_Coefs!$B$2:$AJ$2)</f>
        <v>-0.372850599079176</v>
      </c>
      <c r="E242" s="0" t="n">
        <f aca="false">1/(1+EXP(-MAX(-25,MIN(25,D242))))</f>
        <v>0.407852396330845</v>
      </c>
      <c r="F242" s="0" t="n">
        <f aca="false">SUMPRODUCT(Risk_Inputs!B242:AJ242,Risk_Coefs!$B$3:$AJ$3)</f>
        <v>9.3776439058089</v>
      </c>
      <c r="G242" s="0" t="n">
        <f aca="false">MAX(0,F242)</f>
        <v>9.3776439058089</v>
      </c>
      <c r="H242" s="0" t="n">
        <f aca="false">(SUMPRODUCT(--ISNUMBER($E$2:$E$800),--($E$2:$E$800&lt;E242))+(SUMPRODUCT(--ISNUMBER($E$2:$E$800),--($E$2:$E$800=E242))+1)/2)/COUNT($E$2:$E$800)</f>
        <v>0.95369211514393</v>
      </c>
      <c r="I242" s="0" t="n">
        <f aca="false">(SUMPRODUCT(--ISNUMBER($G$2:$G$800),--($G$2:$G$800&lt;G242))+(SUMPRODUCT(--ISNUMBER($G$2:$G$800),--($G$2:$G$800=G242))+1)/2)/COUNT($G$2:$G$800)</f>
        <v>0.719649561952441</v>
      </c>
      <c r="J242" s="0" t="n">
        <v>9.61396679347623</v>
      </c>
      <c r="K242" s="0" t="n">
        <v>1.21868652674339</v>
      </c>
      <c r="L242" s="0" t="n">
        <v>0.203114421123888</v>
      </c>
      <c r="M242" s="0" t="n">
        <f aca="false">IF(OR(B242="NW",COUNT(Risk_Rank_Keys!B242)=0),0.5,(SUMPRODUCT(--ISNUMBER(Risk_Rank_Keys!$B$2:$B$800),--(Risk_Rank_Keys!$B$2:$B$800&lt;Risk_Rank_Keys!B242))+(SUMPRODUCT(--ISNUMBER(Risk_Rank_Keys!$B$2:$B$800),--(Risk_Rank_Keys!$B$2:$B$800=Risk_Rank_Keys!B242))+1)/2)/COUNT(Risk_Rank_Keys!$B$2:$B$800))</f>
        <v>0.485355648535565</v>
      </c>
      <c r="N242" s="0" t="n">
        <f aca="false">IF(OR(B242="NW",COUNT(Risk_Rank_Keys!C242)=0),0.5,(SUMPRODUCT(--ISNUMBER(Risk_Rank_Keys!$C$2:$C$800),--(Risk_Rank_Keys!$C$2:$C$800&lt;Risk_Rank_Keys!C242))+(SUMPRODUCT(--ISNUMBER(Risk_Rank_Keys!$C$2:$C$800),--(Risk_Rank_Keys!$C$2:$C$800=Risk_Rank_Keys!C242))+1)/2)/COUNT(Risk_Rank_Keys!$C$2:$C$800))</f>
        <v>0.0739191073919107</v>
      </c>
      <c r="O242" s="0" t="n">
        <f aca="false">IF(OR(B242="NW",COUNT(Risk_Rank_Keys!D242)=0),0.5,(SUMPRODUCT(--ISNUMBER(Risk_Rank_Keys!$D$2:$D$800),--(Risk_Rank_Keys!$D$2:$D$800&lt;Risk_Rank_Keys!D242))+(SUMPRODUCT(--ISNUMBER(Risk_Rank_Keys!$D$2:$D$800),--(Risk_Rank_Keys!$D$2:$D$800=Risk_Rank_Keys!D242))+1)/2)/COUNT(Risk_Rank_Keys!$D$2:$D$800))</f>
        <v>0.331938633193863</v>
      </c>
      <c r="P242" s="0" t="n">
        <f aca="false">AVERAGE(M242:O242)</f>
        <v>0.297071129707113</v>
      </c>
      <c r="Q242" s="0" t="n">
        <f aca="false">0.4*H242+0.4*I242+0.2*P242</f>
        <v>0.728750896779971</v>
      </c>
      <c r="R242" s="0" t="n">
        <f aca="false">PERCENTILE($Q$2:$Q$800,0.75)</f>
        <v>0.667715717403612</v>
      </c>
      <c r="S242" s="1" t="b">
        <f aca="false">OR(Q242&gt;=R242,AND(B242="CW",COUNT(J242:L242)&lt;3))</f>
        <v>1</v>
      </c>
      <c r="T242" s="0" t="n">
        <v>0.407852396330846</v>
      </c>
      <c r="U242" s="0" t="n">
        <v>9.3776439058089</v>
      </c>
      <c r="V242" s="0" t="n">
        <v>0.728750896779971</v>
      </c>
      <c r="W242" s="0" t="n">
        <f aca="false">Q242-V242</f>
        <v>0</v>
      </c>
    </row>
    <row r="243" customFormat="false" ht="15" hidden="false" customHeight="false" outlineLevel="0" collapsed="false">
      <c r="A243" s="0" t="s">
        <v>277</v>
      </c>
      <c r="B243" s="0" t="s">
        <v>3013</v>
      </c>
      <c r="C243" s="0" t="n">
        <v>-0.418183966816062</v>
      </c>
      <c r="D243" s="0" t="n">
        <f aca="false">SUMPRODUCT(Risk_Inputs!B243:AJ243,Risk_Coefs!$B$2:$AJ$2)</f>
        <v>-0.978137679583755</v>
      </c>
      <c r="E243" s="0" t="n">
        <f aca="false">1/(1+EXP(-MAX(-25,MIN(25,D243))))</f>
        <v>0.273261464985416</v>
      </c>
      <c r="F243" s="0" t="n">
        <f aca="false">SUMPRODUCT(Risk_Inputs!B243:AJ243,Risk_Coefs!$B$3:$AJ$3)</f>
        <v>5.48239784070282</v>
      </c>
      <c r="G243" s="0" t="n">
        <f aca="false">MAX(0,F243)</f>
        <v>5.48239784070282</v>
      </c>
      <c r="H243" s="0" t="n">
        <f aca="false">(SUMPRODUCT(--ISNUMBER($E$2:$E$800),--($E$2:$E$800&lt;E243))+(SUMPRODUCT(--ISNUMBER($E$2:$E$800),--($E$2:$E$800=E243))+1)/2)/COUNT($E$2:$E$800)</f>
        <v>0.410513141426783</v>
      </c>
      <c r="I243" s="0" t="n">
        <f aca="false">(SUMPRODUCT(--ISNUMBER($G$2:$G$800),--($G$2:$G$800&lt;G243))+(SUMPRODUCT(--ISNUMBER($G$2:$G$800),--($G$2:$G$800=G243))+1)/2)/COUNT($G$2:$G$800)</f>
        <v>0.195244055068836</v>
      </c>
      <c r="J243" s="0" t="n">
        <v>11.3686640940678</v>
      </c>
      <c r="K243" s="0" t="n">
        <v>3.07270233196159</v>
      </c>
      <c r="L243" s="0" t="n">
        <v>0.246913580246915</v>
      </c>
      <c r="M243" s="0" t="n">
        <f aca="false">IF(OR(B243="NW",COUNT(Risk_Rank_Keys!B243)=0),0.5,(SUMPRODUCT(--ISNUMBER(Risk_Rank_Keys!$B$2:$B$800),--(Risk_Rank_Keys!$B$2:$B$800&lt;Risk_Rank_Keys!B243))+(SUMPRODUCT(--ISNUMBER(Risk_Rank_Keys!$B$2:$B$800),--(Risk_Rank_Keys!$B$2:$B$800=Risk_Rank_Keys!B243))+1)/2)/COUNT(Risk_Rank_Keys!$B$2:$B$800))</f>
        <v>0.562064156206416</v>
      </c>
      <c r="N243" s="0" t="n">
        <f aca="false">IF(OR(B243="NW",COUNT(Risk_Rank_Keys!C243)=0),0.5,(SUMPRODUCT(--ISNUMBER(Risk_Rank_Keys!$C$2:$C$800),--(Risk_Rank_Keys!$C$2:$C$800&lt;Risk_Rank_Keys!C243))+(SUMPRODUCT(--ISNUMBER(Risk_Rank_Keys!$C$2:$C$800),--(Risk_Rank_Keys!$C$2:$C$800=Risk_Rank_Keys!C243))+1)/2)/COUNT(Risk_Rank_Keys!$C$2:$C$800))</f>
        <v>0.472803347280335</v>
      </c>
      <c r="O243" s="0" t="n">
        <f aca="false">IF(OR(B243="NW",COUNT(Risk_Rank_Keys!D243)=0),0.5,(SUMPRODUCT(--ISNUMBER(Risk_Rank_Keys!$D$2:$D$800),--(Risk_Rank_Keys!$D$2:$D$800&lt;Risk_Rank_Keys!D243))+(SUMPRODUCT(--ISNUMBER(Risk_Rank_Keys!$D$2:$D$800),--(Risk_Rank_Keys!$D$2:$D$800=Risk_Rank_Keys!D243))+1)/2)/COUNT(Risk_Rank_Keys!$D$2:$D$800))</f>
        <v>0.573221757322176</v>
      </c>
      <c r="P243" s="0" t="n">
        <f aca="false">AVERAGE(M243:O243)</f>
        <v>0.536029753602975</v>
      </c>
      <c r="Q243" s="0" t="n">
        <f aca="false">0.4*H243+0.4*I243+0.2*P243</f>
        <v>0.349508829318843</v>
      </c>
      <c r="R243" s="0" t="n">
        <f aca="false">PERCENTILE($Q$2:$Q$800,0.75)</f>
        <v>0.667715717403612</v>
      </c>
      <c r="S243" s="1" t="b">
        <f aca="false">OR(Q243&gt;=R243,AND(B243="CW",COUNT(J243:L243)&lt;3))</f>
        <v>0</v>
      </c>
      <c r="T243" s="0" t="n">
        <v>0.273261464985416</v>
      </c>
      <c r="U243" s="0" t="n">
        <v>5.48239784070282</v>
      </c>
      <c r="V243" s="0" t="n">
        <v>0.349508829318843</v>
      </c>
      <c r="W243" s="0" t="n">
        <f aca="false">Q243-V243</f>
        <v>0</v>
      </c>
    </row>
    <row r="244" customFormat="false" ht="15" hidden="false" customHeight="false" outlineLevel="0" collapsed="false">
      <c r="A244" s="0" t="s">
        <v>278</v>
      </c>
      <c r="B244" s="0" t="s">
        <v>33</v>
      </c>
      <c r="C244" s="0" t="n">
        <v>14.7236678116191</v>
      </c>
      <c r="D244" s="0" t="n">
        <f aca="false">SUMPRODUCT(Risk_Inputs!B244:AJ244,Risk_Coefs!$B$2:$AJ$2)</f>
        <v>-0.464326314280561</v>
      </c>
      <c r="E244" s="0" t="n">
        <f aca="false">1/(1+EXP(-MAX(-25,MIN(25,D244))))</f>
        <v>0.385960005017716</v>
      </c>
      <c r="F244" s="0" t="n">
        <f aca="false">SUMPRODUCT(Risk_Inputs!B244:AJ244,Risk_Coefs!$B$3:$AJ$3)</f>
        <v>12.3951601503968</v>
      </c>
      <c r="G244" s="0" t="n">
        <f aca="false">MAX(0,F244)</f>
        <v>12.3951601503968</v>
      </c>
      <c r="H244" s="0" t="n">
        <f aca="false">(SUMPRODUCT(--ISNUMBER($E$2:$E$800),--($E$2:$E$800&lt;E244))+(SUMPRODUCT(--ISNUMBER($E$2:$E$800),--($E$2:$E$800=E244))+1)/2)/COUNT($E$2:$E$800)</f>
        <v>0.916145181476846</v>
      </c>
      <c r="I244" s="0" t="n">
        <f aca="false">(SUMPRODUCT(--ISNUMBER($G$2:$G$800),--($G$2:$G$800&lt;G244))+(SUMPRODUCT(--ISNUMBER($G$2:$G$800),--($G$2:$G$800=G244))+1)/2)/COUNT($G$2:$G$800)</f>
        <v>0.939924906132666</v>
      </c>
      <c r="M244" s="0" t="n">
        <f aca="false">IF(OR(B244="NW",COUNT(Risk_Rank_Keys!B244)=0),0.5,(SUMPRODUCT(--ISNUMBER(Risk_Rank_Keys!$B$2:$B$800),--(Risk_Rank_Keys!$B$2:$B$800&lt;Risk_Rank_Keys!B244))+(SUMPRODUCT(--ISNUMBER(Risk_Rank_Keys!$B$2:$B$800),--(Risk_Rank_Keys!$B$2:$B$800=Risk_Rank_Keys!B244))+1)/2)/COUNT(Risk_Rank_Keys!$B$2:$B$800))</f>
        <v>0.5</v>
      </c>
      <c r="N244" s="0" t="n">
        <f aca="false">IF(OR(B244="NW",COUNT(Risk_Rank_Keys!C244)=0),0.5,(SUMPRODUCT(--ISNUMBER(Risk_Rank_Keys!$C$2:$C$800),--(Risk_Rank_Keys!$C$2:$C$800&lt;Risk_Rank_Keys!C244))+(SUMPRODUCT(--ISNUMBER(Risk_Rank_Keys!$C$2:$C$800),--(Risk_Rank_Keys!$C$2:$C$800=Risk_Rank_Keys!C244))+1)/2)/COUNT(Risk_Rank_Keys!$C$2:$C$800))</f>
        <v>0.5</v>
      </c>
      <c r="O244" s="0" t="n">
        <f aca="false">IF(OR(B244="NW",COUNT(Risk_Rank_Keys!D244)=0),0.5,(SUMPRODUCT(--ISNUMBER(Risk_Rank_Keys!$D$2:$D$800),--(Risk_Rank_Keys!$D$2:$D$800&lt;Risk_Rank_Keys!D244))+(SUMPRODUCT(--ISNUMBER(Risk_Rank_Keys!$D$2:$D$800),--(Risk_Rank_Keys!$D$2:$D$800=Risk_Rank_Keys!D244))+1)/2)/COUNT(Risk_Rank_Keys!$D$2:$D$800))</f>
        <v>0.5</v>
      </c>
      <c r="P244" s="0" t="n">
        <f aca="false">AVERAGE(M244:O244)</f>
        <v>0.5</v>
      </c>
      <c r="Q244" s="0" t="n">
        <f aca="false">0.4*H244+0.4*I244+0.2*P244</f>
        <v>0.842428035043805</v>
      </c>
      <c r="R244" s="0" t="n">
        <f aca="false">PERCENTILE($Q$2:$Q$800,0.75)</f>
        <v>0.667715717403612</v>
      </c>
      <c r="S244" s="1" t="b">
        <f aca="false">OR(Q244&gt;=R244,AND(B244="CW",COUNT(J244:L244)&lt;3))</f>
        <v>1</v>
      </c>
      <c r="T244" s="0" t="n">
        <v>0.385960005017716</v>
      </c>
      <c r="U244" s="0" t="n">
        <v>12.3951601503968</v>
      </c>
      <c r="V244" s="0" t="n">
        <v>0.842428035043805</v>
      </c>
      <c r="W244" s="0" t="n">
        <f aca="false">Q244-V244</f>
        <v>0</v>
      </c>
    </row>
    <row r="245" customFormat="false" ht="15" hidden="false" customHeight="false" outlineLevel="0" collapsed="false">
      <c r="A245" s="0" t="s">
        <v>279</v>
      </c>
      <c r="B245" s="0" t="s">
        <v>3013</v>
      </c>
      <c r="C245" s="0" t="n">
        <v>30.9982158249793</v>
      </c>
      <c r="D245" s="0" t="n">
        <f aca="false">SUMPRODUCT(Risk_Inputs!B245:AJ245,Risk_Coefs!$B$2:$AJ$2)</f>
        <v>-0.528976153096237</v>
      </c>
      <c r="E245" s="0" t="n">
        <f aca="false">1/(1+EXP(-MAX(-25,MIN(25,D245))))</f>
        <v>0.370755715708756</v>
      </c>
      <c r="F245" s="0" t="n">
        <f aca="false">SUMPRODUCT(Risk_Inputs!B245:AJ245,Risk_Coefs!$B$3:$AJ$3)</f>
        <v>9.12596592389798</v>
      </c>
      <c r="G245" s="0" t="n">
        <f aca="false">MAX(0,F245)</f>
        <v>9.12596592389798</v>
      </c>
      <c r="H245" s="0" t="n">
        <f aca="false">(SUMPRODUCT(--ISNUMBER($E$2:$E$800),--($E$2:$E$800&lt;E245))+(SUMPRODUCT(--ISNUMBER($E$2:$E$800),--($E$2:$E$800=E245))+1)/2)/COUNT($E$2:$E$800)</f>
        <v>0.877346683354193</v>
      </c>
      <c r="I245" s="0" t="n">
        <f aca="false">(SUMPRODUCT(--ISNUMBER($G$2:$G$800),--($G$2:$G$800&lt;G245))+(SUMPRODUCT(--ISNUMBER($G$2:$G$800),--($G$2:$G$800=G245))+1)/2)/COUNT($G$2:$G$800)</f>
        <v>0.693366708385482</v>
      </c>
      <c r="J245" s="0" t="n">
        <v>15.5487625653993</v>
      </c>
      <c r="K245" s="0" t="n">
        <v>1.66666666666667</v>
      </c>
      <c r="L245" s="0" t="n">
        <v>0.190972222222226</v>
      </c>
      <c r="M245" s="0" t="n">
        <f aca="false">IF(OR(B245="NW",COUNT(Risk_Rank_Keys!B245)=0),0.5,(SUMPRODUCT(--ISNUMBER(Risk_Rank_Keys!$B$2:$B$800),--(Risk_Rank_Keys!$B$2:$B$800&lt;Risk_Rank_Keys!B245))+(SUMPRODUCT(--ISNUMBER(Risk_Rank_Keys!$B$2:$B$800),--(Risk_Rank_Keys!$B$2:$B$800=Risk_Rank_Keys!B245))+1)/2)/COUNT(Risk_Rank_Keys!$B$2:$B$800))</f>
        <v>0.718270571827057</v>
      </c>
      <c r="N245" s="0" t="n">
        <f aca="false">IF(OR(B245="NW",COUNT(Risk_Rank_Keys!C245)=0),0.5,(SUMPRODUCT(--ISNUMBER(Risk_Rank_Keys!$C$2:$C$800),--(Risk_Rank_Keys!$C$2:$C$800&lt;Risk_Rank_Keys!C245))+(SUMPRODUCT(--ISNUMBER(Risk_Rank_Keys!$C$2:$C$800),--(Risk_Rank_Keys!$C$2:$C$800=Risk_Rank_Keys!C245))+1)/2)/COUNT(Risk_Rank_Keys!$C$2:$C$800))</f>
        <v>0.178521617852162</v>
      </c>
      <c r="O245" s="0" t="n">
        <f aca="false">IF(OR(B245="NW",COUNT(Risk_Rank_Keys!D245)=0),0.5,(SUMPRODUCT(--ISNUMBER(Risk_Rank_Keys!$D$2:$D$800),--(Risk_Rank_Keys!$D$2:$D$800&lt;Risk_Rank_Keys!D245))+(SUMPRODUCT(--ISNUMBER(Risk_Rank_Keys!$D$2:$D$800),--(Risk_Rank_Keys!$D$2:$D$800=Risk_Rank_Keys!D245))+1)/2)/COUNT(Risk_Rank_Keys!$D$2:$D$800))</f>
        <v>0.260808926080893</v>
      </c>
      <c r="P245" s="0" t="n">
        <f aca="false">AVERAGE(M245:O245)</f>
        <v>0.385867038586704</v>
      </c>
      <c r="Q245" s="0" t="n">
        <f aca="false">0.4*H245+0.4*I245+0.2*P245</f>
        <v>0.705458764413211</v>
      </c>
      <c r="R245" s="0" t="n">
        <f aca="false">PERCENTILE($Q$2:$Q$800,0.75)</f>
        <v>0.667715717403612</v>
      </c>
      <c r="S245" s="1" t="b">
        <f aca="false">OR(Q245&gt;=R245,AND(B245="CW",COUNT(J245:L245)&lt;3))</f>
        <v>1</v>
      </c>
      <c r="T245" s="0" t="n">
        <v>0.370755715708756</v>
      </c>
      <c r="U245" s="0" t="n">
        <v>9.12596592389798</v>
      </c>
      <c r="V245" s="0" t="n">
        <v>0.705458764413211</v>
      </c>
      <c r="W245" s="0" t="n">
        <f aca="false">Q245-V245</f>
        <v>0</v>
      </c>
    </row>
    <row r="246" customFormat="false" ht="15" hidden="false" customHeight="false" outlineLevel="0" collapsed="false">
      <c r="A246" s="0" t="s">
        <v>280</v>
      </c>
      <c r="B246" s="0" t="s">
        <v>33</v>
      </c>
      <c r="C246" s="0" t="n">
        <v>-40.8379259502177</v>
      </c>
      <c r="D246" s="0" t="n">
        <f aca="false">SUMPRODUCT(Risk_Inputs!B246:AJ246,Risk_Coefs!$B$2:$AJ$2)</f>
        <v>-0.40194098226732</v>
      </c>
      <c r="E246" s="0" t="n">
        <f aca="false">1/(1+EXP(-MAX(-25,MIN(25,D246))))</f>
        <v>0.400846087498022</v>
      </c>
      <c r="F246" s="0" t="n">
        <f aca="false">SUMPRODUCT(Risk_Inputs!B246:AJ246,Risk_Coefs!$B$3:$AJ$3)</f>
        <v>13.2287165308137</v>
      </c>
      <c r="G246" s="0" t="n">
        <f aca="false">MAX(0,F246)</f>
        <v>13.2287165308137</v>
      </c>
      <c r="H246" s="0" t="n">
        <f aca="false">(SUMPRODUCT(--ISNUMBER($E$2:$E$800),--($E$2:$E$800&lt;E246))+(SUMPRODUCT(--ISNUMBER($E$2:$E$800),--($E$2:$E$800=E246))+1)/2)/COUNT($E$2:$E$800)</f>
        <v>0.947434292866083</v>
      </c>
      <c r="I246" s="0" t="n">
        <f aca="false">(SUMPRODUCT(--ISNUMBER($G$2:$G$800),--($G$2:$G$800&lt;G246))+(SUMPRODUCT(--ISNUMBER($G$2:$G$800),--($G$2:$G$800=G246))+1)/2)/COUNT($G$2:$G$800)</f>
        <v>0.958698372966208</v>
      </c>
      <c r="M246" s="0" t="n">
        <f aca="false">IF(OR(B246="NW",COUNT(Risk_Rank_Keys!B246)=0),0.5,(SUMPRODUCT(--ISNUMBER(Risk_Rank_Keys!$B$2:$B$800),--(Risk_Rank_Keys!$B$2:$B$800&lt;Risk_Rank_Keys!B246))+(SUMPRODUCT(--ISNUMBER(Risk_Rank_Keys!$B$2:$B$800),--(Risk_Rank_Keys!$B$2:$B$800=Risk_Rank_Keys!B246))+1)/2)/COUNT(Risk_Rank_Keys!$B$2:$B$800))</f>
        <v>0.5</v>
      </c>
      <c r="N246" s="0" t="n">
        <f aca="false">IF(OR(B246="NW",COUNT(Risk_Rank_Keys!C246)=0),0.5,(SUMPRODUCT(--ISNUMBER(Risk_Rank_Keys!$C$2:$C$800),--(Risk_Rank_Keys!$C$2:$C$800&lt;Risk_Rank_Keys!C246))+(SUMPRODUCT(--ISNUMBER(Risk_Rank_Keys!$C$2:$C$800),--(Risk_Rank_Keys!$C$2:$C$800=Risk_Rank_Keys!C246))+1)/2)/COUNT(Risk_Rank_Keys!$C$2:$C$800))</f>
        <v>0.5</v>
      </c>
      <c r="O246" s="0" t="n">
        <f aca="false">IF(OR(B246="NW",COUNT(Risk_Rank_Keys!D246)=0),0.5,(SUMPRODUCT(--ISNUMBER(Risk_Rank_Keys!$D$2:$D$800),--(Risk_Rank_Keys!$D$2:$D$800&lt;Risk_Rank_Keys!D246))+(SUMPRODUCT(--ISNUMBER(Risk_Rank_Keys!$D$2:$D$800),--(Risk_Rank_Keys!$D$2:$D$800=Risk_Rank_Keys!D246))+1)/2)/COUNT(Risk_Rank_Keys!$D$2:$D$800))</f>
        <v>0.5</v>
      </c>
      <c r="P246" s="0" t="n">
        <f aca="false">AVERAGE(M246:O246)</f>
        <v>0.5</v>
      </c>
      <c r="Q246" s="0" t="n">
        <f aca="false">0.4*H246+0.4*I246+0.2*P246</f>
        <v>0.862453066332916</v>
      </c>
      <c r="R246" s="0" t="n">
        <f aca="false">PERCENTILE($Q$2:$Q$800,0.75)</f>
        <v>0.667715717403612</v>
      </c>
      <c r="S246" s="1" t="b">
        <f aca="false">OR(Q246&gt;=R246,AND(B246="CW",COUNT(J246:L246)&lt;3))</f>
        <v>1</v>
      </c>
      <c r="T246" s="0" t="n">
        <v>0.400846087498022</v>
      </c>
      <c r="U246" s="0" t="n">
        <v>13.2287165308137</v>
      </c>
      <c r="V246" s="0" t="n">
        <v>0.862453066332916</v>
      </c>
      <c r="W246" s="0" t="n">
        <f aca="false">Q246-V246</f>
        <v>0</v>
      </c>
    </row>
    <row r="247" customFormat="false" ht="15" hidden="false" customHeight="false" outlineLevel="0" collapsed="false">
      <c r="A247" s="0" t="s">
        <v>281</v>
      </c>
      <c r="B247" s="0" t="s">
        <v>3013</v>
      </c>
      <c r="C247" s="0" t="n">
        <v>-14.6939741147814</v>
      </c>
      <c r="D247" s="0" t="n">
        <f aca="false">SUMPRODUCT(Risk_Inputs!B247:AJ247,Risk_Coefs!$B$2:$AJ$2)</f>
        <v>-0.741466669297729</v>
      </c>
      <c r="E247" s="0" t="n">
        <f aca="false">1/(1+EXP(-MAX(-25,MIN(25,D247))))</f>
        <v>0.322683506861071</v>
      </c>
      <c r="F247" s="0" t="n">
        <f aca="false">SUMPRODUCT(Risk_Inputs!B247:AJ247,Risk_Coefs!$B$3:$AJ$3)</f>
        <v>9.22108314834875</v>
      </c>
      <c r="G247" s="0" t="n">
        <f aca="false">MAX(0,F247)</f>
        <v>9.22108314834875</v>
      </c>
      <c r="H247" s="0" t="n">
        <f aca="false">(SUMPRODUCT(--ISNUMBER($E$2:$E$800),--($E$2:$E$800&lt;E247))+(SUMPRODUCT(--ISNUMBER($E$2:$E$800),--($E$2:$E$800=E247))+1)/2)/COUNT($E$2:$E$800)</f>
        <v>0.685857321652065</v>
      </c>
      <c r="I247" s="0" t="n">
        <f aca="false">(SUMPRODUCT(--ISNUMBER($G$2:$G$800),--($G$2:$G$800&lt;G247))+(SUMPRODUCT(--ISNUMBER($G$2:$G$800),--($G$2:$G$800=G247))+1)/2)/COUNT($G$2:$G$800)</f>
        <v>0.707133917396746</v>
      </c>
      <c r="J247" s="0" t="n">
        <v>5.85363534525962</v>
      </c>
      <c r="K247" s="0" t="n">
        <v>4.33725172274018</v>
      </c>
      <c r="L247" s="0" t="n">
        <v>0.202675314146737</v>
      </c>
      <c r="M247" s="0" t="n">
        <f aca="false">IF(OR(B247="NW",COUNT(Risk_Rank_Keys!B247)=0),0.5,(SUMPRODUCT(--ISNUMBER(Risk_Rank_Keys!$B$2:$B$800),--(Risk_Rank_Keys!$B$2:$B$800&lt;Risk_Rank_Keys!B247))+(SUMPRODUCT(--ISNUMBER(Risk_Rank_Keys!$B$2:$B$800),--(Risk_Rank_Keys!$B$2:$B$800=Risk_Rank_Keys!B247))+1)/2)/COUNT(Risk_Rank_Keys!$B$2:$B$800))</f>
        <v>0.211994421199442</v>
      </c>
      <c r="N247" s="0" t="n">
        <f aca="false">IF(OR(B247="NW",COUNT(Risk_Rank_Keys!C247)=0),0.5,(SUMPRODUCT(--ISNUMBER(Risk_Rank_Keys!$C$2:$C$800),--(Risk_Rank_Keys!$C$2:$C$800&lt;Risk_Rank_Keys!C247))+(SUMPRODUCT(--ISNUMBER(Risk_Rank_Keys!$C$2:$C$800),--(Risk_Rank_Keys!$C$2:$C$800=Risk_Rank_Keys!C247))+1)/2)/COUNT(Risk_Rank_Keys!$C$2:$C$800))</f>
        <v>0.633193863319386</v>
      </c>
      <c r="O247" s="0" t="n">
        <f aca="false">IF(OR(B247="NW",COUNT(Risk_Rank_Keys!D247)=0),0.5,(SUMPRODUCT(--ISNUMBER(Risk_Rank_Keys!$D$2:$D$800),--(Risk_Rank_Keys!$D$2:$D$800&lt;Risk_Rank_Keys!D247))+(SUMPRODUCT(--ISNUMBER(Risk_Rank_Keys!$D$2:$D$800),--(Risk_Rank_Keys!$D$2:$D$800=Risk_Rank_Keys!D247))+1)/2)/COUNT(Risk_Rank_Keys!$D$2:$D$800))</f>
        <v>0.330543933054393</v>
      </c>
      <c r="P247" s="0" t="n">
        <f aca="false">AVERAGE(M247:O247)</f>
        <v>0.391910739191074</v>
      </c>
      <c r="Q247" s="0" t="n">
        <f aca="false">0.4*H247+0.4*I247+0.2*P247</f>
        <v>0.635578643457739</v>
      </c>
      <c r="R247" s="0" t="n">
        <f aca="false">PERCENTILE($Q$2:$Q$800,0.75)</f>
        <v>0.667715717403612</v>
      </c>
      <c r="S247" s="1" t="b">
        <f aca="false">OR(Q247&gt;=R247,AND(B247="CW",COUNT(J247:L247)&lt;3))</f>
        <v>0</v>
      </c>
      <c r="T247" s="0" t="n">
        <v>0.322683506861071</v>
      </c>
      <c r="U247" s="0" t="n">
        <v>9.22108314834875</v>
      </c>
      <c r="V247" s="0" t="n">
        <v>0.635578643457739</v>
      </c>
      <c r="W247" s="0" t="n">
        <f aca="false">Q247-V247</f>
        <v>0</v>
      </c>
    </row>
    <row r="248" customFormat="false" ht="15" hidden="false" customHeight="false" outlineLevel="0" collapsed="false">
      <c r="A248" s="0" t="s">
        <v>282</v>
      </c>
      <c r="B248" s="0" t="s">
        <v>3013</v>
      </c>
      <c r="C248" s="0" t="n">
        <v>33.0290418024343</v>
      </c>
      <c r="D248" s="0" t="n">
        <f aca="false">SUMPRODUCT(Risk_Inputs!B248:AJ248,Risk_Coefs!$B$2:$AJ$2)</f>
        <v>-1.11303819061094</v>
      </c>
      <c r="E248" s="0" t="n">
        <f aca="false">1/(1+EXP(-MAX(-25,MIN(25,D248))))</f>
        <v>0.247304909900779</v>
      </c>
      <c r="F248" s="0" t="n">
        <f aca="false">SUMPRODUCT(Risk_Inputs!B248:AJ248,Risk_Coefs!$B$3:$AJ$3)</f>
        <v>4.07443984585002</v>
      </c>
      <c r="G248" s="0" t="n">
        <f aca="false">MAX(0,F248)</f>
        <v>4.07443984585002</v>
      </c>
      <c r="H248" s="0" t="n">
        <f aca="false">(SUMPRODUCT(--ISNUMBER($E$2:$E$800),--($E$2:$E$800&lt;E248))+(SUMPRODUCT(--ISNUMBER($E$2:$E$800),--($E$2:$E$800=E248))+1)/2)/COUNT($E$2:$E$800)</f>
        <v>0.251564455569462</v>
      </c>
      <c r="I248" s="0" t="n">
        <f aca="false">(SUMPRODUCT(--ISNUMBER($G$2:$G$800),--($G$2:$G$800&lt;G248))+(SUMPRODUCT(--ISNUMBER($G$2:$G$800),--($G$2:$G$800=G248))+1)/2)/COUNT($G$2:$G$800)</f>
        <v>0.0575719649561952</v>
      </c>
      <c r="J248" s="0" t="n">
        <v>18.8079365224535</v>
      </c>
      <c r="K248" s="0" t="n">
        <v>4.24474187380498</v>
      </c>
      <c r="L248" s="0" t="n">
        <v>0.178457616316122</v>
      </c>
      <c r="M248" s="0" t="n">
        <f aca="false">IF(OR(B248="NW",COUNT(Risk_Rank_Keys!B248)=0),0.5,(SUMPRODUCT(--ISNUMBER(Risk_Rank_Keys!$B$2:$B$800),--(Risk_Rank_Keys!$B$2:$B$800&lt;Risk_Rank_Keys!B248))+(SUMPRODUCT(--ISNUMBER(Risk_Rank_Keys!$B$2:$B$800),--(Risk_Rank_Keys!$B$2:$B$800=Risk_Rank_Keys!B248))+1)/2)/COUNT(Risk_Rank_Keys!$B$2:$B$800))</f>
        <v>0.774058577405858</v>
      </c>
      <c r="N248" s="0" t="n">
        <f aca="false">IF(OR(B248="NW",COUNT(Risk_Rank_Keys!C248)=0),0.5,(SUMPRODUCT(--ISNUMBER(Risk_Rank_Keys!$C$2:$C$800),--(Risk_Rank_Keys!$C$2:$C$800&lt;Risk_Rank_Keys!C248))+(SUMPRODUCT(--ISNUMBER(Risk_Rank_Keys!$C$2:$C$800),--(Risk_Rank_Keys!$C$2:$C$800=Risk_Rank_Keys!C248))+1)/2)/COUNT(Risk_Rank_Keys!$C$2:$C$800))</f>
        <v>0.617852161785216</v>
      </c>
      <c r="O248" s="0" t="n">
        <f aca="false">IF(OR(B248="NW",COUNT(Risk_Rank_Keys!D248)=0),0.5,(SUMPRODUCT(--ISNUMBER(Risk_Rank_Keys!$D$2:$D$800),--(Risk_Rank_Keys!$D$2:$D$800&lt;Risk_Rank_Keys!D248))+(SUMPRODUCT(--ISNUMBER(Risk_Rank_Keys!$D$2:$D$800),--(Risk_Rank_Keys!$D$2:$D$800=Risk_Rank_Keys!D248))+1)/2)/COUNT(Risk_Rank_Keys!$D$2:$D$800))</f>
        <v>0.202231520223152</v>
      </c>
      <c r="P248" s="0" t="n">
        <f aca="false">AVERAGE(M248:O248)</f>
        <v>0.531380753138075</v>
      </c>
      <c r="Q248" s="0" t="n">
        <f aca="false">0.4*H248+0.4*I248+0.2*P248</f>
        <v>0.229930718837878</v>
      </c>
      <c r="R248" s="0" t="n">
        <f aca="false">PERCENTILE($Q$2:$Q$800,0.75)</f>
        <v>0.667715717403612</v>
      </c>
      <c r="S248" s="1" t="b">
        <f aca="false">OR(Q248&gt;=R248,AND(B248="CW",COUNT(J248:L248)&lt;3))</f>
        <v>0</v>
      </c>
      <c r="T248" s="0" t="n">
        <v>0.247304909900779</v>
      </c>
      <c r="U248" s="0" t="n">
        <v>4.07443984585002</v>
      </c>
      <c r="V248" s="0" t="n">
        <v>0.229930718837878</v>
      </c>
      <c r="W248" s="0" t="n">
        <f aca="false">Q248-V248</f>
        <v>0</v>
      </c>
    </row>
    <row r="249" customFormat="false" ht="15" hidden="false" customHeight="false" outlineLevel="0" collapsed="false">
      <c r="A249" s="0" t="s">
        <v>283</v>
      </c>
      <c r="B249" s="0" t="s">
        <v>3013</v>
      </c>
      <c r="C249" s="0" t="n">
        <v>34.4007835016361</v>
      </c>
      <c r="D249" s="0" t="n">
        <f aca="false">SUMPRODUCT(Risk_Inputs!B249:AJ249,Risk_Coefs!$B$2:$AJ$2)</f>
        <v>-1.5464716832312</v>
      </c>
      <c r="E249" s="0" t="n">
        <f aca="false">1/(1+EXP(-MAX(-25,MIN(25,D249))))</f>
        <v>0.175596451062865</v>
      </c>
      <c r="F249" s="0" t="n">
        <f aca="false">SUMPRODUCT(Risk_Inputs!B249:AJ249,Risk_Coefs!$B$3:$AJ$3)</f>
        <v>4.36183695202856</v>
      </c>
      <c r="G249" s="0" t="n">
        <f aca="false">MAX(0,F249)</f>
        <v>4.36183695202856</v>
      </c>
      <c r="H249" s="0" t="n">
        <f aca="false">(SUMPRODUCT(--ISNUMBER($E$2:$E$800),--($E$2:$E$800&lt;E249))+(SUMPRODUCT(--ISNUMBER($E$2:$E$800),--($E$2:$E$800=E249))+1)/2)/COUNT($E$2:$E$800)</f>
        <v>0.0538172715894869</v>
      </c>
      <c r="I249" s="0" t="n">
        <f aca="false">(SUMPRODUCT(--ISNUMBER($G$2:$G$800),--($G$2:$G$800&lt;G249))+(SUMPRODUCT(--ISNUMBER($G$2:$G$800),--($G$2:$G$800=G249))+1)/2)/COUNT($G$2:$G$800)</f>
        <v>0.0775969962453066</v>
      </c>
      <c r="J249" s="0" t="n">
        <v>52.99969057984</v>
      </c>
      <c r="K249" s="0" t="n">
        <v>8.51291184327693</v>
      </c>
      <c r="L249" s="0" t="n">
        <v>0.23152270703472</v>
      </c>
      <c r="M249" s="0" t="n">
        <f aca="false">IF(OR(B249="NW",COUNT(Risk_Rank_Keys!B249)=0),0.5,(SUMPRODUCT(--ISNUMBER(Risk_Rank_Keys!$B$2:$B$800),--(Risk_Rank_Keys!$B$2:$B$800&lt;Risk_Rank_Keys!B249))+(SUMPRODUCT(--ISNUMBER(Risk_Rank_Keys!$B$2:$B$800),--(Risk_Rank_Keys!$B$2:$B$800=Risk_Rank_Keys!B249))+1)/2)/COUNT(Risk_Rank_Keys!$B$2:$B$800))</f>
        <v>0.97907949790795</v>
      </c>
      <c r="N249" s="0" t="n">
        <f aca="false">IF(OR(B249="NW",COUNT(Risk_Rank_Keys!C249)=0),0.5,(SUMPRODUCT(--ISNUMBER(Risk_Rank_Keys!$C$2:$C$800),--(Risk_Rank_Keys!$C$2:$C$800&lt;Risk_Rank_Keys!C249))+(SUMPRODUCT(--ISNUMBER(Risk_Rank_Keys!$C$2:$C$800),--(Risk_Rank_Keys!$C$2:$C$800=Risk_Rank_Keys!C249))+1)/2)/COUNT(Risk_Rank_Keys!$C$2:$C$800))</f>
        <v>0.839609483960948</v>
      </c>
      <c r="O249" s="0" t="n">
        <f aca="false">IF(OR(B249="NW",COUNT(Risk_Rank_Keys!D249)=0),0.5,(SUMPRODUCT(--ISNUMBER(Risk_Rank_Keys!$D$2:$D$800),--(Risk_Rank_Keys!$D$2:$D$800&lt;Risk_Rank_Keys!D249))+(SUMPRODUCT(--ISNUMBER(Risk_Rank_Keys!$D$2:$D$800),--(Risk_Rank_Keys!$D$2:$D$800=Risk_Rank_Keys!D249))+1)/2)/COUNT(Risk_Rank_Keys!$D$2:$D$800))</f>
        <v>0.504881450488145</v>
      </c>
      <c r="P249" s="0" t="n">
        <f aca="false">AVERAGE(M249:O249)</f>
        <v>0.774523477452348</v>
      </c>
      <c r="Q249" s="0" t="n">
        <f aca="false">0.4*H249+0.4*I249+0.2*P249</f>
        <v>0.207470402624387</v>
      </c>
      <c r="R249" s="0" t="n">
        <f aca="false">PERCENTILE($Q$2:$Q$800,0.75)</f>
        <v>0.667715717403612</v>
      </c>
      <c r="S249" s="1" t="b">
        <f aca="false">OR(Q249&gt;=R249,AND(B249="CW",COUNT(J249:L249)&lt;3))</f>
        <v>0</v>
      </c>
      <c r="T249" s="0" t="n">
        <v>0.175596451062865</v>
      </c>
      <c r="U249" s="0" t="n">
        <v>4.36183695202856</v>
      </c>
      <c r="V249" s="0" t="n">
        <v>0.207470402624387</v>
      </c>
      <c r="W249" s="0" t="n">
        <f aca="false">Q249-V249</f>
        <v>0</v>
      </c>
    </row>
    <row r="250" customFormat="false" ht="15" hidden="false" customHeight="false" outlineLevel="0" collapsed="false">
      <c r="A250" s="0" t="s">
        <v>284</v>
      </c>
      <c r="B250" s="0" t="s">
        <v>3013</v>
      </c>
      <c r="C250" s="0" t="n">
        <v>-42.67596761511</v>
      </c>
      <c r="D250" s="0" t="n">
        <f aca="false">SUMPRODUCT(Risk_Inputs!B250:AJ250,Risk_Coefs!$B$2:$AJ$2)</f>
        <v>-1.41183034691885</v>
      </c>
      <c r="E250" s="0" t="n">
        <f aca="false">1/(1+EXP(-MAX(-25,MIN(25,D250))))</f>
        <v>0.195945523111541</v>
      </c>
      <c r="F250" s="0" t="n">
        <f aca="false">SUMPRODUCT(Risk_Inputs!B250:AJ250,Risk_Coefs!$B$3:$AJ$3)</f>
        <v>6.6695275676427</v>
      </c>
      <c r="G250" s="0" t="n">
        <f aca="false">MAX(0,F250)</f>
        <v>6.6695275676427</v>
      </c>
      <c r="H250" s="0" t="n">
        <f aca="false">(SUMPRODUCT(--ISNUMBER($E$2:$E$800),--($E$2:$E$800&lt;E250))+(SUMPRODUCT(--ISNUMBER($E$2:$E$800),--($E$2:$E$800=E250))+1)/2)/COUNT($E$2:$E$800)</f>
        <v>0.0951188986232791</v>
      </c>
      <c r="I250" s="0" t="n">
        <f aca="false">(SUMPRODUCT(--ISNUMBER($G$2:$G$800),--($G$2:$G$800&lt;G250))+(SUMPRODUCT(--ISNUMBER($G$2:$G$800),--($G$2:$G$800=G250))+1)/2)/COUNT($G$2:$G$800)</f>
        <v>0.3729662077597</v>
      </c>
      <c r="J250" s="0" t="n">
        <v>31.4705819140857</v>
      </c>
      <c r="K250" s="0" t="n">
        <v>11.4996479699601</v>
      </c>
      <c r="L250" s="0" t="n">
        <v>0.39896737854964</v>
      </c>
      <c r="M250" s="0" t="n">
        <f aca="false">IF(OR(B250="NW",COUNT(Risk_Rank_Keys!B250)=0),0.5,(SUMPRODUCT(--ISNUMBER(Risk_Rank_Keys!$B$2:$B$800),--(Risk_Rank_Keys!$B$2:$B$800&lt;Risk_Rank_Keys!B250))+(SUMPRODUCT(--ISNUMBER(Risk_Rank_Keys!$B$2:$B$800),--(Risk_Rank_Keys!$B$2:$B$800=Risk_Rank_Keys!B250))+1)/2)/COUNT(Risk_Rank_Keys!$B$2:$B$800))</f>
        <v>0.912133891213389</v>
      </c>
      <c r="N250" s="0" t="n">
        <f aca="false">IF(OR(B250="NW",COUNT(Risk_Rank_Keys!C250)=0),0.5,(SUMPRODUCT(--ISNUMBER(Risk_Rank_Keys!$C$2:$C$800),--(Risk_Rank_Keys!$C$2:$C$800&lt;Risk_Rank_Keys!C250))+(SUMPRODUCT(--ISNUMBER(Risk_Rank_Keys!$C$2:$C$800),--(Risk_Rank_Keys!$C$2:$C$800=Risk_Rank_Keys!C250))+1)/2)/COUNT(Risk_Rank_Keys!$C$2:$C$800))</f>
        <v>0.898186889818689</v>
      </c>
      <c r="O250" s="0" t="n">
        <f aca="false">IF(OR(B250="NW",COUNT(Risk_Rank_Keys!D250)=0),0.5,(SUMPRODUCT(--ISNUMBER(Risk_Rank_Keys!$D$2:$D$800),--(Risk_Rank_Keys!$D$2:$D$800&lt;Risk_Rank_Keys!D250))+(SUMPRODUCT(--ISNUMBER(Risk_Rank_Keys!$D$2:$D$800),--(Risk_Rank_Keys!$D$2:$D$800=Risk_Rank_Keys!D250))+1)/2)/COUNT(Risk_Rank_Keys!$D$2:$D$800))</f>
        <v>0.884239888423989</v>
      </c>
      <c r="P250" s="0" t="n">
        <f aca="false">AVERAGE(M250:O250)</f>
        <v>0.898186889818689</v>
      </c>
      <c r="Q250" s="0" t="n">
        <f aca="false">0.4*H250+0.4*I250+0.2*P250</f>
        <v>0.366871420516929</v>
      </c>
      <c r="R250" s="0" t="n">
        <f aca="false">PERCENTILE($Q$2:$Q$800,0.75)</f>
        <v>0.667715717403612</v>
      </c>
      <c r="S250" s="1" t="b">
        <f aca="false">OR(Q250&gt;=R250,AND(B250="CW",COUNT(J250:L250)&lt;3))</f>
        <v>0</v>
      </c>
      <c r="T250" s="0" t="n">
        <v>0.195945523111541</v>
      </c>
      <c r="U250" s="0" t="n">
        <v>6.6695275676427</v>
      </c>
      <c r="V250" s="0" t="n">
        <v>0.366871420516929</v>
      </c>
      <c r="W250" s="0" t="n">
        <f aca="false">Q250-V250</f>
        <v>0</v>
      </c>
    </row>
    <row r="251" customFormat="false" ht="15" hidden="false" customHeight="false" outlineLevel="0" collapsed="false">
      <c r="A251" s="0" t="s">
        <v>285</v>
      </c>
      <c r="B251" s="0" t="s">
        <v>3013</v>
      </c>
      <c r="C251" s="0" t="n">
        <v>38.6214576642652</v>
      </c>
      <c r="D251" s="0" t="n">
        <f aca="false">SUMPRODUCT(Risk_Inputs!B251:AJ251,Risk_Coefs!$B$2:$AJ$2)</f>
        <v>-0.857673190780099</v>
      </c>
      <c r="E251" s="0" t="n">
        <f aca="false">1/(1+EXP(-MAX(-25,MIN(25,D251))))</f>
        <v>0.29782571191363</v>
      </c>
      <c r="F251" s="0" t="n">
        <f aca="false">SUMPRODUCT(Risk_Inputs!B251:AJ251,Risk_Coefs!$B$3:$AJ$3)</f>
        <v>7.16648355464268</v>
      </c>
      <c r="G251" s="0" t="n">
        <f aca="false">MAX(0,F251)</f>
        <v>7.16648355464268</v>
      </c>
      <c r="H251" s="0" t="n">
        <f aca="false">(SUMPRODUCT(--ISNUMBER($E$2:$E$800),--($E$2:$E$800&lt;E251))+(SUMPRODUCT(--ISNUMBER($E$2:$E$800),--($E$2:$E$800=E251))+1)/2)/COUNT($E$2:$E$800)</f>
        <v>0.556946182728411</v>
      </c>
      <c r="I251" s="0" t="n">
        <f aca="false">(SUMPRODUCT(--ISNUMBER($G$2:$G$800),--($G$2:$G$800&lt;G251))+(SUMPRODUCT(--ISNUMBER($G$2:$G$800),--($G$2:$G$800=G251))+1)/2)/COUNT($G$2:$G$800)</f>
        <v>0.436795994993742</v>
      </c>
      <c r="J251" s="0" t="n">
        <v>21.491564717492</v>
      </c>
      <c r="K251" s="0" t="n">
        <v>4.81927710843374</v>
      </c>
      <c r="L251" s="0" t="n">
        <v>0.240963855421683</v>
      </c>
      <c r="M251" s="0" t="n">
        <f aca="false">IF(OR(B251="NW",COUNT(Risk_Rank_Keys!B251)=0),0.5,(SUMPRODUCT(--ISNUMBER(Risk_Rank_Keys!$B$2:$B$800),--(Risk_Rank_Keys!$B$2:$B$800&lt;Risk_Rank_Keys!B251))+(SUMPRODUCT(--ISNUMBER(Risk_Rank_Keys!$B$2:$B$800),--(Risk_Rank_Keys!$B$2:$B$800=Risk_Rank_Keys!B251))+1)/2)/COUNT(Risk_Rank_Keys!$B$2:$B$800))</f>
        <v>0.815899581589958</v>
      </c>
      <c r="N251" s="0" t="n">
        <f aca="false">IF(OR(B251="NW",COUNT(Risk_Rank_Keys!C251)=0),0.5,(SUMPRODUCT(--ISNUMBER(Risk_Rank_Keys!$C$2:$C$800),--(Risk_Rank_Keys!$C$2:$C$800&lt;Risk_Rank_Keys!C251))+(SUMPRODUCT(--ISNUMBER(Risk_Rank_Keys!$C$2:$C$800),--(Risk_Rank_Keys!$C$2:$C$800=Risk_Rank_Keys!C251))+1)/2)/COUNT(Risk_Rank_Keys!$C$2:$C$800))</f>
        <v>0.675034867503487</v>
      </c>
      <c r="O251" s="0" t="n">
        <f aca="false">IF(OR(B251="NW",COUNT(Risk_Rank_Keys!D251)=0),0.5,(SUMPRODUCT(--ISNUMBER(Risk_Rank_Keys!$D$2:$D$800),--(Risk_Rank_Keys!$D$2:$D$800&lt;Risk_Rank_Keys!D251))+(SUMPRODUCT(--ISNUMBER(Risk_Rank_Keys!$D$2:$D$800),--(Risk_Rank_Keys!$D$2:$D$800=Risk_Rank_Keys!D251))+1)/2)/COUNT(Risk_Rank_Keys!$D$2:$D$800))</f>
        <v>0.546722454672246</v>
      </c>
      <c r="P251" s="0" t="n">
        <f aca="false">AVERAGE(M251:O251)</f>
        <v>0.679218967921897</v>
      </c>
      <c r="Q251" s="0" t="n">
        <f aca="false">0.4*H251+0.4*I251+0.2*P251</f>
        <v>0.533340664673241</v>
      </c>
      <c r="R251" s="0" t="n">
        <f aca="false">PERCENTILE($Q$2:$Q$800,0.75)</f>
        <v>0.667715717403612</v>
      </c>
      <c r="S251" s="1" t="b">
        <f aca="false">OR(Q251&gt;=R251,AND(B251="CW",COUNT(J251:L251)&lt;3))</f>
        <v>0</v>
      </c>
      <c r="T251" s="0" t="n">
        <v>0.29782571191363</v>
      </c>
      <c r="U251" s="0" t="n">
        <v>7.16648355464268</v>
      </c>
      <c r="V251" s="0" t="n">
        <v>0.533340664673241</v>
      </c>
      <c r="W251" s="0" t="n">
        <f aca="false">Q251-V251</f>
        <v>0</v>
      </c>
    </row>
    <row r="252" customFormat="false" ht="15" hidden="false" customHeight="false" outlineLevel="0" collapsed="false">
      <c r="A252" s="0" t="s">
        <v>286</v>
      </c>
      <c r="B252" s="0" t="s">
        <v>3013</v>
      </c>
      <c r="C252" s="0" t="n">
        <v>30.4165486857378</v>
      </c>
      <c r="D252" s="0" t="n">
        <f aca="false">SUMPRODUCT(Risk_Inputs!B252:AJ252,Risk_Coefs!$B$2:$AJ$2)</f>
        <v>-1.0198008942693</v>
      </c>
      <c r="E252" s="0" t="n">
        <f aca="false">1/(1+EXP(-MAX(-25,MIN(25,D252))))</f>
        <v>0.265066185730577</v>
      </c>
      <c r="F252" s="0" t="n">
        <f aca="false">SUMPRODUCT(Risk_Inputs!B252:AJ252,Risk_Coefs!$B$3:$AJ$3)</f>
        <v>7.64817835302961</v>
      </c>
      <c r="G252" s="0" t="n">
        <f aca="false">MAX(0,F252)</f>
        <v>7.64817835302961</v>
      </c>
      <c r="H252" s="0" t="n">
        <f aca="false">(SUMPRODUCT(--ISNUMBER($E$2:$E$800),--($E$2:$E$800&lt;E252))+(SUMPRODUCT(--ISNUMBER($E$2:$E$800),--($E$2:$E$800=E252))+1)/2)/COUNT($E$2:$E$800)</f>
        <v>0.369211514392991</v>
      </c>
      <c r="I252" s="0" t="n">
        <f aca="false">(SUMPRODUCT(--ISNUMBER($G$2:$G$800),--($G$2:$G$800&lt;G252))+(SUMPRODUCT(--ISNUMBER($G$2:$G$800),--($G$2:$G$800=G252))+1)/2)/COUNT($G$2:$G$800)</f>
        <v>0.504380475594493</v>
      </c>
      <c r="J252" s="0" t="n">
        <v>34.2656281610363</v>
      </c>
      <c r="K252" s="0" t="n">
        <v>7.0909619296716</v>
      </c>
      <c r="L252" s="0" t="n">
        <v>0.348735832606797</v>
      </c>
      <c r="M252" s="0" t="n">
        <f aca="false">IF(OR(B252="NW",COUNT(Risk_Rank_Keys!B252)=0),0.5,(SUMPRODUCT(--ISNUMBER(Risk_Rank_Keys!$B$2:$B$800),--(Risk_Rank_Keys!$B$2:$B$800&lt;Risk_Rank_Keys!B252))+(SUMPRODUCT(--ISNUMBER(Risk_Rank_Keys!$B$2:$B$800),--(Risk_Rank_Keys!$B$2:$B$800=Risk_Rank_Keys!B252))+1)/2)/COUNT(Risk_Rank_Keys!$B$2:$B$800))</f>
        <v>0.920502092050209</v>
      </c>
      <c r="N252" s="0" t="n">
        <f aca="false">IF(OR(B252="NW",COUNT(Risk_Rank_Keys!C252)=0),0.5,(SUMPRODUCT(--ISNUMBER(Risk_Rank_Keys!$C$2:$C$800),--(Risk_Rank_Keys!$C$2:$C$800&lt;Risk_Rank_Keys!C252))+(SUMPRODUCT(--ISNUMBER(Risk_Rank_Keys!$C$2:$C$800),--(Risk_Rank_Keys!$C$2:$C$800=Risk_Rank_Keys!C252))+1)/2)/COUNT(Risk_Rank_Keys!$C$2:$C$800))</f>
        <v>0.790794979079498</v>
      </c>
      <c r="O252" s="0" t="n">
        <f aca="false">IF(OR(B252="NW",COUNT(Risk_Rank_Keys!D252)=0),0.5,(SUMPRODUCT(--ISNUMBER(Risk_Rank_Keys!$D$2:$D$800),--(Risk_Rank_Keys!$D$2:$D$800&lt;Risk_Rank_Keys!D252))+(SUMPRODUCT(--ISNUMBER(Risk_Rank_Keys!$D$2:$D$800),--(Risk_Rank_Keys!$D$2:$D$800=Risk_Rank_Keys!D252))+1)/2)/COUNT(Risk_Rank_Keys!$D$2:$D$800))</f>
        <v>0.832635983263598</v>
      </c>
      <c r="P252" s="0" t="n">
        <f aca="false">AVERAGE(M252:O252)</f>
        <v>0.847977684797769</v>
      </c>
      <c r="Q252" s="0" t="n">
        <f aca="false">0.4*H252+0.4*I252+0.2*P252</f>
        <v>0.519032332954547</v>
      </c>
      <c r="R252" s="0" t="n">
        <f aca="false">PERCENTILE($Q$2:$Q$800,0.75)</f>
        <v>0.667715717403612</v>
      </c>
      <c r="S252" s="1" t="b">
        <f aca="false">OR(Q252&gt;=R252,AND(B252="CW",COUNT(J252:L252)&lt;3))</f>
        <v>0</v>
      </c>
      <c r="T252" s="0" t="n">
        <v>0.265066185730577</v>
      </c>
      <c r="U252" s="0" t="n">
        <v>7.64817835302961</v>
      </c>
      <c r="V252" s="0" t="n">
        <v>0.519032332954547</v>
      </c>
      <c r="W252" s="0" t="n">
        <f aca="false">Q252-V252</f>
        <v>0</v>
      </c>
    </row>
    <row r="253" customFormat="false" ht="15" hidden="false" customHeight="false" outlineLevel="0" collapsed="false">
      <c r="A253" s="0" t="s">
        <v>287</v>
      </c>
      <c r="B253" s="0" t="s">
        <v>3013</v>
      </c>
      <c r="C253" s="0" t="n">
        <v>-42.2133779815274</v>
      </c>
      <c r="D253" s="0" t="n">
        <f aca="false">SUMPRODUCT(Risk_Inputs!B253:AJ253,Risk_Coefs!$B$2:$AJ$2)</f>
        <v>-1.1087463849192</v>
      </c>
      <c r="E253" s="0" t="n">
        <f aca="false">1/(1+EXP(-MAX(-25,MIN(25,D253))))</f>
        <v>0.248104675025132</v>
      </c>
      <c r="F253" s="0" t="n">
        <f aca="false">SUMPRODUCT(Risk_Inputs!B253:AJ253,Risk_Coefs!$B$3:$AJ$3)</f>
        <v>7.03916604770141</v>
      </c>
      <c r="G253" s="0" t="n">
        <f aca="false">MAX(0,F253)</f>
        <v>7.03916604770141</v>
      </c>
      <c r="H253" s="0" t="n">
        <f aca="false">(SUMPRODUCT(--ISNUMBER($E$2:$E$800),--($E$2:$E$800&lt;E253))+(SUMPRODUCT(--ISNUMBER($E$2:$E$800),--($E$2:$E$800=E253))+1)/2)/COUNT($E$2:$E$800)</f>
        <v>0.252816020025031</v>
      </c>
      <c r="I253" s="0" t="n">
        <f aca="false">(SUMPRODUCT(--ISNUMBER($G$2:$G$800),--($G$2:$G$800&lt;G253))+(SUMPRODUCT(--ISNUMBER($G$2:$G$800),--($G$2:$G$800=G253))+1)/2)/COUNT($G$2:$G$800)</f>
        <v>0.41927409261577</v>
      </c>
      <c r="J253" s="0" t="n">
        <v>26.6573726945605</v>
      </c>
      <c r="K253" s="0" t="n">
        <v>6.56529516994634</v>
      </c>
      <c r="L253" s="0" t="n">
        <v>0.232558139534881</v>
      </c>
      <c r="M253" s="0" t="n">
        <f aca="false">IF(OR(B253="NW",COUNT(Risk_Rank_Keys!B253)=0),0.5,(SUMPRODUCT(--ISNUMBER(Risk_Rank_Keys!$B$2:$B$800),--(Risk_Rank_Keys!$B$2:$B$800&lt;Risk_Rank_Keys!B253))+(SUMPRODUCT(--ISNUMBER(Risk_Rank_Keys!$B$2:$B$800),--(Risk_Rank_Keys!$B$2:$B$800=Risk_Rank_Keys!B253))+1)/2)/COUNT(Risk_Rank_Keys!$B$2:$B$800))</f>
        <v>0.875871687587169</v>
      </c>
      <c r="N253" s="0" t="n">
        <f aca="false">IF(OR(B253="NW",COUNT(Risk_Rank_Keys!C253)=0),0.5,(SUMPRODUCT(--ISNUMBER(Risk_Rank_Keys!$C$2:$C$800),--(Risk_Rank_Keys!$C$2:$C$800&lt;Risk_Rank_Keys!C253))+(SUMPRODUCT(--ISNUMBER(Risk_Rank_Keys!$C$2:$C$800),--(Risk_Rank_Keys!$C$2:$C$800=Risk_Rank_Keys!C253))+1)/2)/COUNT(Risk_Rank_Keys!$C$2:$C$800))</f>
        <v>0.765690376569038</v>
      </c>
      <c r="O253" s="0" t="n">
        <f aca="false">IF(OR(B253="NW",COUNT(Risk_Rank_Keys!D253)=0),0.5,(SUMPRODUCT(--ISNUMBER(Risk_Rank_Keys!$D$2:$D$800),--(Risk_Rank_Keys!$D$2:$D$800&lt;Risk_Rank_Keys!D253))+(SUMPRODUCT(--ISNUMBER(Risk_Rank_Keys!$D$2:$D$800),--(Risk_Rank_Keys!$D$2:$D$800=Risk_Rank_Keys!D253))+1)/2)/COUNT(Risk_Rank_Keys!$D$2:$D$800))</f>
        <v>0.510460251046025</v>
      </c>
      <c r="P253" s="0" t="n">
        <f aca="false">AVERAGE(M253:O253)</f>
        <v>0.717340771734077</v>
      </c>
      <c r="Q253" s="0" t="n">
        <f aca="false">0.4*H253+0.4*I253+0.2*P253</f>
        <v>0.412304199403136</v>
      </c>
      <c r="R253" s="0" t="n">
        <f aca="false">PERCENTILE($Q$2:$Q$800,0.75)</f>
        <v>0.667715717403612</v>
      </c>
      <c r="S253" s="1" t="b">
        <f aca="false">OR(Q253&gt;=R253,AND(B253="CW",COUNT(J253:L253)&lt;3))</f>
        <v>0</v>
      </c>
      <c r="T253" s="0" t="n">
        <v>0.248104675025132</v>
      </c>
      <c r="U253" s="0" t="n">
        <v>7.03916604770141</v>
      </c>
      <c r="V253" s="0" t="n">
        <v>0.412304199403136</v>
      </c>
      <c r="W253" s="0" t="n">
        <f aca="false">Q253-V253</f>
        <v>0</v>
      </c>
    </row>
    <row r="254" customFormat="false" ht="15" hidden="false" customHeight="false" outlineLevel="0" collapsed="false">
      <c r="A254" s="0" t="s">
        <v>288</v>
      </c>
      <c r="B254" s="0" t="s">
        <v>3013</v>
      </c>
      <c r="C254" s="0" t="n">
        <v>42.2723217260655</v>
      </c>
      <c r="D254" s="0" t="n">
        <f aca="false">SUMPRODUCT(Risk_Inputs!B254:AJ254,Risk_Coefs!$B$2:$AJ$2)</f>
        <v>-1.15894455808258</v>
      </c>
      <c r="E254" s="0" t="n">
        <f aca="false">1/(1+EXP(-MAX(-25,MIN(25,D254))))</f>
        <v>0.238859117348244</v>
      </c>
      <c r="F254" s="0" t="n">
        <f aca="false">SUMPRODUCT(Risk_Inputs!B254:AJ254,Risk_Coefs!$B$3:$AJ$3)</f>
        <v>7.71083756720158</v>
      </c>
      <c r="G254" s="0" t="n">
        <f aca="false">MAX(0,F254)</f>
        <v>7.71083756720158</v>
      </c>
      <c r="H254" s="0" t="n">
        <f aca="false">(SUMPRODUCT(--ISNUMBER($E$2:$E$800),--($E$2:$E$800&lt;E254))+(SUMPRODUCT(--ISNUMBER($E$2:$E$800),--($E$2:$E$800=E254))+1)/2)/COUNT($E$2:$E$800)</f>
        <v>0.219023779724656</v>
      </c>
      <c r="I254" s="0" t="n">
        <f aca="false">(SUMPRODUCT(--ISNUMBER($G$2:$G$800),--($G$2:$G$800&lt;G254))+(SUMPRODUCT(--ISNUMBER($G$2:$G$800),--($G$2:$G$800=G254))+1)/2)/COUNT($G$2:$G$800)</f>
        <v>0.515644555694618</v>
      </c>
      <c r="J254" s="0" t="n">
        <v>28.8867559437109</v>
      </c>
      <c r="K254" s="0" t="n">
        <v>9.48004836759371</v>
      </c>
      <c r="L254" s="0" t="n">
        <v>0.411124546553806</v>
      </c>
      <c r="M254" s="0" t="n">
        <f aca="false">IF(OR(B254="NW",COUNT(Risk_Rank_Keys!B254)=0),0.5,(SUMPRODUCT(--ISNUMBER(Risk_Rank_Keys!$B$2:$B$800),--(Risk_Rank_Keys!$B$2:$B$800&lt;Risk_Rank_Keys!B254))+(SUMPRODUCT(--ISNUMBER(Risk_Rank_Keys!$B$2:$B$800),--(Risk_Rank_Keys!$B$2:$B$800=Risk_Rank_Keys!B254))+1)/2)/COUNT(Risk_Rank_Keys!$B$2:$B$800))</f>
        <v>0.900976290097629</v>
      </c>
      <c r="N254" s="0" t="n">
        <f aca="false">IF(OR(B254="NW",COUNT(Risk_Rank_Keys!C254)=0),0.5,(SUMPRODUCT(--ISNUMBER(Risk_Rank_Keys!$C$2:$C$800),--(Risk_Rank_Keys!$C$2:$C$800&lt;Risk_Rank_Keys!C254))+(SUMPRODUCT(--ISNUMBER(Risk_Rank_Keys!$C$2:$C$800),--(Risk_Rank_Keys!$C$2:$C$800=Risk_Rank_Keys!C254))+1)/2)/COUNT(Risk_Rank_Keys!$C$2:$C$800))</f>
        <v>0.866108786610879</v>
      </c>
      <c r="O254" s="0" t="n">
        <f aca="false">IF(OR(B254="NW",COUNT(Risk_Rank_Keys!D254)=0),0.5,(SUMPRODUCT(--ISNUMBER(Risk_Rank_Keys!$D$2:$D$800),--(Risk_Rank_Keys!$D$2:$D$800&lt;Risk_Rank_Keys!D254))+(SUMPRODUCT(--ISNUMBER(Risk_Rank_Keys!$D$2:$D$800),--(Risk_Rank_Keys!$D$2:$D$800=Risk_Rank_Keys!D254))+1)/2)/COUNT(Risk_Rank_Keys!$D$2:$D$800))</f>
        <v>0.887029288702929</v>
      </c>
      <c r="P254" s="0" t="n">
        <f aca="false">AVERAGE(M254:O254)</f>
        <v>0.884704788470479</v>
      </c>
      <c r="Q254" s="0" t="n">
        <f aca="false">0.4*H254+0.4*I254+0.2*P254</f>
        <v>0.470808291861805</v>
      </c>
      <c r="R254" s="0" t="n">
        <f aca="false">PERCENTILE($Q$2:$Q$800,0.75)</f>
        <v>0.667715717403612</v>
      </c>
      <c r="S254" s="1" t="b">
        <f aca="false">OR(Q254&gt;=R254,AND(B254="CW",COUNT(J254:L254)&lt;3))</f>
        <v>0</v>
      </c>
      <c r="T254" s="0" t="n">
        <v>0.238859117348244</v>
      </c>
      <c r="U254" s="0" t="n">
        <v>7.71083756720158</v>
      </c>
      <c r="V254" s="0" t="n">
        <v>0.470808291861806</v>
      </c>
      <c r="W254" s="0" t="n">
        <f aca="false">Q254-V254</f>
        <v>0</v>
      </c>
    </row>
    <row r="255" customFormat="false" ht="15" hidden="false" customHeight="false" outlineLevel="0" collapsed="false">
      <c r="A255" s="0" t="s">
        <v>289</v>
      </c>
      <c r="B255" s="0" t="s">
        <v>3013</v>
      </c>
      <c r="C255" s="0" t="n">
        <v>79.986954880968</v>
      </c>
      <c r="D255" s="0" t="n">
        <f aca="false">SUMPRODUCT(Risk_Inputs!B255:AJ255,Risk_Coefs!$B$2:$AJ$2)</f>
        <v>-1.10066980417102</v>
      </c>
      <c r="E255" s="0" t="n">
        <f aca="false">1/(1+EXP(-MAX(-25,MIN(25,D255))))</f>
        <v>0.249614414316362</v>
      </c>
      <c r="F255" s="0" t="n">
        <f aca="false">SUMPRODUCT(Risk_Inputs!B255:AJ255,Risk_Coefs!$B$3:$AJ$3)</f>
        <v>6.60383673256554</v>
      </c>
      <c r="G255" s="0" t="n">
        <f aca="false">MAX(0,F255)</f>
        <v>6.60383673256554</v>
      </c>
      <c r="H255" s="0" t="n">
        <f aca="false">(SUMPRODUCT(--ISNUMBER($E$2:$E$800),--($E$2:$E$800&lt;E255))+(SUMPRODUCT(--ISNUMBER($E$2:$E$800),--($E$2:$E$800=E255))+1)/2)/COUNT($E$2:$E$800)</f>
        <v>0.262828535669587</v>
      </c>
      <c r="I255" s="0" t="n">
        <f aca="false">(SUMPRODUCT(--ISNUMBER($G$2:$G$800),--($G$2:$G$800&lt;G255))+(SUMPRODUCT(--ISNUMBER($G$2:$G$800),--($G$2:$G$800=G255))+1)/2)/COUNT($G$2:$G$800)</f>
        <v>0.360450563204005</v>
      </c>
      <c r="J255" s="0" t="n">
        <v>26.1702254208049</v>
      </c>
      <c r="K255" s="0" t="n">
        <v>15.1533932444995</v>
      </c>
      <c r="L255" s="0" t="n">
        <v>0.650759219088944</v>
      </c>
      <c r="M255" s="0" t="n">
        <f aca="false">IF(OR(B255="NW",COUNT(Risk_Rank_Keys!B255)=0),0.5,(SUMPRODUCT(--ISNUMBER(Risk_Rank_Keys!$B$2:$B$800),--(Risk_Rank_Keys!$B$2:$B$800&lt;Risk_Rank_Keys!B255))+(SUMPRODUCT(--ISNUMBER(Risk_Rank_Keys!$B$2:$B$800),--(Risk_Rank_Keys!$B$2:$B$800=Risk_Rank_Keys!B255))+1)/2)/COUNT(Risk_Rank_Keys!$B$2:$B$800))</f>
        <v>0.871687587168759</v>
      </c>
      <c r="N255" s="0" t="n">
        <f aca="false">IF(OR(B255="NW",COUNT(Risk_Rank_Keys!C255)=0),0.5,(SUMPRODUCT(--ISNUMBER(Risk_Rank_Keys!$C$2:$C$800),--(Risk_Rank_Keys!$C$2:$C$800&lt;Risk_Rank_Keys!C255))+(SUMPRODUCT(--ISNUMBER(Risk_Rank_Keys!$C$2:$C$800),--(Risk_Rank_Keys!$C$2:$C$800=Risk_Rank_Keys!C255))+1)/2)/COUNT(Risk_Rank_Keys!$C$2:$C$800))</f>
        <v>0.928870292887029</v>
      </c>
      <c r="O255" s="0" t="n">
        <f aca="false">IF(OR(B255="NW",COUNT(Risk_Rank_Keys!D255)=0),0.5,(SUMPRODUCT(--ISNUMBER(Risk_Rank_Keys!$D$2:$D$800),--(Risk_Rank_Keys!$D$2:$D$800&lt;Risk_Rank_Keys!D255))+(SUMPRODUCT(--ISNUMBER(Risk_Rank_Keys!$D$2:$D$800),--(Risk_Rank_Keys!$D$2:$D$800=Risk_Rank_Keys!D255))+1)/2)/COUNT(Risk_Rank_Keys!$D$2:$D$800))</f>
        <v>0.98326359832636</v>
      </c>
      <c r="P255" s="0" t="n">
        <f aca="false">AVERAGE(M255:O255)</f>
        <v>0.927940492794049</v>
      </c>
      <c r="Q255" s="0" t="n">
        <f aca="false">0.4*H255+0.4*I255+0.2*P255</f>
        <v>0.434899738108247</v>
      </c>
      <c r="R255" s="0" t="n">
        <f aca="false">PERCENTILE($Q$2:$Q$800,0.75)</f>
        <v>0.667715717403612</v>
      </c>
      <c r="S255" s="1" t="b">
        <f aca="false">OR(Q255&gt;=R255,AND(B255="CW",COUNT(J255:L255)&lt;3))</f>
        <v>0</v>
      </c>
      <c r="T255" s="0" t="n">
        <v>0.249614414316362</v>
      </c>
      <c r="U255" s="0" t="n">
        <v>6.60383673256554</v>
      </c>
      <c r="V255" s="0" t="n">
        <v>0.434899738108247</v>
      </c>
      <c r="W255" s="0" t="n">
        <f aca="false">Q255-V255</f>
        <v>0</v>
      </c>
    </row>
    <row r="256" customFormat="false" ht="15" hidden="false" customHeight="false" outlineLevel="0" collapsed="false">
      <c r="A256" s="0" t="s">
        <v>290</v>
      </c>
      <c r="B256" s="0" t="s">
        <v>3013</v>
      </c>
      <c r="C256" s="0" t="n">
        <v>22.6969772124972</v>
      </c>
      <c r="D256" s="0" t="n">
        <f aca="false">SUMPRODUCT(Risk_Inputs!B256:AJ256,Risk_Coefs!$B$2:$AJ$2)</f>
        <v>-0.356911630136253</v>
      </c>
      <c r="E256" s="0" t="n">
        <f aca="false">1/(1+EXP(-MAX(-25,MIN(25,D256))))</f>
        <v>0.411707378243086</v>
      </c>
      <c r="F256" s="0" t="n">
        <f aca="false">SUMPRODUCT(Risk_Inputs!B256:AJ256,Risk_Coefs!$B$3:$AJ$3)</f>
        <v>9.9746965691739</v>
      </c>
      <c r="G256" s="0" t="n">
        <f aca="false">MAX(0,F256)</f>
        <v>9.9746965691739</v>
      </c>
      <c r="H256" s="0" t="n">
        <f aca="false">(SUMPRODUCT(--ISNUMBER($E$2:$E$800),--($E$2:$E$800&lt;E256))+(SUMPRODUCT(--ISNUMBER($E$2:$E$800),--($E$2:$E$800=E256))+1)/2)/COUNT($E$2:$E$800)</f>
        <v>0.959949937421777</v>
      </c>
      <c r="I256" s="0" t="n">
        <f aca="false">(SUMPRODUCT(--ISNUMBER($G$2:$G$800),--($G$2:$G$800&lt;G256))+(SUMPRODUCT(--ISNUMBER($G$2:$G$800),--($G$2:$G$800=G256))+1)/2)/COUNT($G$2:$G$800)</f>
        <v>0.785982478097622</v>
      </c>
      <c r="J256" s="0" t="n">
        <v>12.8459831009399</v>
      </c>
      <c r="K256" s="0" t="n">
        <v>2.03683035714285</v>
      </c>
      <c r="L256" s="0" t="n">
        <v>0.139508928571437</v>
      </c>
      <c r="M256" s="0" t="n">
        <f aca="false">IF(OR(B256="NW",COUNT(Risk_Rank_Keys!B256)=0),0.5,(SUMPRODUCT(--ISNUMBER(Risk_Rank_Keys!$B$2:$B$800),--(Risk_Rank_Keys!$B$2:$B$800&lt;Risk_Rank_Keys!B256))+(SUMPRODUCT(--ISNUMBER(Risk_Rank_Keys!$B$2:$B$800),--(Risk_Rank_Keys!$B$2:$B$800=Risk_Rank_Keys!B256))+1)/2)/COUNT(Risk_Rank_Keys!$B$2:$B$800))</f>
        <v>0.633193863319386</v>
      </c>
      <c r="N256" s="0" t="n">
        <f aca="false">IF(OR(B256="NW",COUNT(Risk_Rank_Keys!C256)=0),0.5,(SUMPRODUCT(--ISNUMBER(Risk_Rank_Keys!$C$2:$C$800),--(Risk_Rank_Keys!$C$2:$C$800&lt;Risk_Rank_Keys!C256))+(SUMPRODUCT(--ISNUMBER(Risk_Rank_Keys!$C$2:$C$800),--(Risk_Rank_Keys!$C$2:$C$800=Risk_Rank_Keys!C256))+1)/2)/COUNT(Risk_Rank_Keys!$C$2:$C$800))</f>
        <v>0.280334728033473</v>
      </c>
      <c r="O256" s="0" t="n">
        <f aca="false">IF(OR(B256="NW",COUNT(Risk_Rank_Keys!D256)=0),0.5,(SUMPRODUCT(--ISNUMBER(Risk_Rank_Keys!$D$2:$D$800),--(Risk_Rank_Keys!$D$2:$D$800&lt;Risk_Rank_Keys!D256))+(SUMPRODUCT(--ISNUMBER(Risk_Rank_Keys!$D$2:$D$800),--(Risk_Rank_Keys!$D$2:$D$800=Risk_Rank_Keys!D256))+1)/2)/COUNT(Risk_Rank_Keys!$D$2:$D$800))</f>
        <v>0.0850767085076709</v>
      </c>
      <c r="P256" s="0" t="n">
        <f aca="false">AVERAGE(M256:O256)</f>
        <v>0.332868433286843</v>
      </c>
      <c r="Q256" s="0" t="n">
        <f aca="false">0.4*H256+0.4*I256+0.2*P256</f>
        <v>0.764946652865128</v>
      </c>
      <c r="R256" s="0" t="n">
        <f aca="false">PERCENTILE($Q$2:$Q$800,0.75)</f>
        <v>0.667715717403612</v>
      </c>
      <c r="S256" s="1" t="b">
        <f aca="false">OR(Q256&gt;=R256,AND(B256="CW",COUNT(J256:L256)&lt;3))</f>
        <v>1</v>
      </c>
      <c r="T256" s="0" t="n">
        <v>0.411707378243086</v>
      </c>
      <c r="U256" s="0" t="n">
        <v>9.9746965691739</v>
      </c>
      <c r="V256" s="0" t="n">
        <v>0.764946652865128</v>
      </c>
      <c r="W256" s="0" t="n">
        <f aca="false">Q256-V256</f>
        <v>0</v>
      </c>
    </row>
    <row r="257" customFormat="false" ht="15" hidden="false" customHeight="false" outlineLevel="0" collapsed="false">
      <c r="A257" s="0" t="s">
        <v>291</v>
      </c>
      <c r="B257" s="0" t="s">
        <v>3013</v>
      </c>
      <c r="C257" s="0" t="n">
        <v>39.218077024738</v>
      </c>
      <c r="D257" s="0" t="n">
        <f aca="false">SUMPRODUCT(Risk_Inputs!B257:AJ257,Risk_Coefs!$B$2:$AJ$2)</f>
        <v>-1.00981381734489</v>
      </c>
      <c r="E257" s="0" t="n">
        <f aca="false">1/(1+EXP(-MAX(-25,MIN(25,D257))))</f>
        <v>0.267016288587236</v>
      </c>
      <c r="F257" s="0" t="n">
        <f aca="false">SUMPRODUCT(Risk_Inputs!B257:AJ257,Risk_Coefs!$B$3:$AJ$3)</f>
        <v>8.02733533296185</v>
      </c>
      <c r="G257" s="0" t="n">
        <f aca="false">MAX(0,F257)</f>
        <v>8.02733533296185</v>
      </c>
      <c r="H257" s="0" t="n">
        <f aca="false">(SUMPRODUCT(--ISNUMBER($E$2:$E$800),--($E$2:$E$800&lt;E257))+(SUMPRODUCT(--ISNUMBER($E$2:$E$800),--($E$2:$E$800=E257))+1)/2)/COUNT($E$2:$E$800)</f>
        <v>0.379224030037547</v>
      </c>
      <c r="I257" s="0" t="n">
        <f aca="false">(SUMPRODUCT(--ISNUMBER($G$2:$G$800),--($G$2:$G$800&lt;G257))+(SUMPRODUCT(--ISNUMBER($G$2:$G$800),--($G$2:$G$800=G257))+1)/2)/COUNT($G$2:$G$800)</f>
        <v>0.546933667083855</v>
      </c>
      <c r="J257" s="0" t="n">
        <v>23.6343160395546</v>
      </c>
      <c r="K257" s="0" t="n">
        <v>5.88527851458884</v>
      </c>
      <c r="L257" s="0" t="n">
        <v>0.397877984084877</v>
      </c>
      <c r="M257" s="0" t="n">
        <f aca="false">IF(OR(B257="NW",COUNT(Risk_Rank_Keys!B257)=0),0.5,(SUMPRODUCT(--ISNUMBER(Risk_Rank_Keys!$B$2:$B$800),--(Risk_Rank_Keys!$B$2:$B$800&lt;Risk_Rank_Keys!B257))+(SUMPRODUCT(--ISNUMBER(Risk_Rank_Keys!$B$2:$B$800),--(Risk_Rank_Keys!$B$2:$B$800=Risk_Rank_Keys!B257))+1)/2)/COUNT(Risk_Rank_Keys!$B$2:$B$800))</f>
        <v>0.841004184100418</v>
      </c>
      <c r="N257" s="0" t="n">
        <f aca="false">IF(OR(B257="NW",COUNT(Risk_Rank_Keys!C257)=0),0.5,(SUMPRODUCT(--ISNUMBER(Risk_Rank_Keys!$C$2:$C$800),--(Risk_Rank_Keys!$C$2:$C$800&lt;Risk_Rank_Keys!C257))+(SUMPRODUCT(--ISNUMBER(Risk_Rank_Keys!$C$2:$C$800),--(Risk_Rank_Keys!$C$2:$C$800=Risk_Rank_Keys!C257))+1)/2)/COUNT(Risk_Rank_Keys!$C$2:$C$800))</f>
        <v>0.740585774058577</v>
      </c>
      <c r="O257" s="0" t="n">
        <f aca="false">IF(OR(B257="NW",COUNT(Risk_Rank_Keys!D257)=0),0.5,(SUMPRODUCT(--ISNUMBER(Risk_Rank_Keys!$D$2:$D$800),--(Risk_Rank_Keys!$D$2:$D$800&lt;Risk_Rank_Keys!D257))+(SUMPRODUCT(--ISNUMBER(Risk_Rank_Keys!$D$2:$D$800),--(Risk_Rank_Keys!$D$2:$D$800=Risk_Rank_Keys!D257))+1)/2)/COUNT(Risk_Rank_Keys!$D$2:$D$800))</f>
        <v>0.880055788005579</v>
      </c>
      <c r="P257" s="0" t="n">
        <f aca="false">AVERAGE(M257:O257)</f>
        <v>0.820548582054858</v>
      </c>
      <c r="Q257" s="0" t="n">
        <f aca="false">0.4*H257+0.4*I257+0.2*P257</f>
        <v>0.534572795259532</v>
      </c>
      <c r="R257" s="0" t="n">
        <f aca="false">PERCENTILE($Q$2:$Q$800,0.75)</f>
        <v>0.667715717403612</v>
      </c>
      <c r="S257" s="1" t="b">
        <f aca="false">OR(Q257&gt;=R257,AND(B257="CW",COUNT(J257:L257)&lt;3))</f>
        <v>0</v>
      </c>
      <c r="T257" s="0" t="n">
        <v>0.267016288587236</v>
      </c>
      <c r="U257" s="0" t="n">
        <v>8.02733533296185</v>
      </c>
      <c r="V257" s="0" t="n">
        <v>0.534572795259532</v>
      </c>
      <c r="W257" s="0" t="n">
        <f aca="false">Q257-V257</f>
        <v>0</v>
      </c>
    </row>
    <row r="258" customFormat="false" ht="15" hidden="false" customHeight="false" outlineLevel="0" collapsed="false">
      <c r="A258" s="0" t="s">
        <v>292</v>
      </c>
      <c r="B258" s="0" t="s">
        <v>3013</v>
      </c>
      <c r="C258" s="0" t="n">
        <v>23.3058574930671</v>
      </c>
      <c r="D258" s="0" t="n">
        <f aca="false">SUMPRODUCT(Risk_Inputs!B258:AJ258,Risk_Coefs!$B$2:$AJ$2)</f>
        <v>-1.58514772230746</v>
      </c>
      <c r="E258" s="0" t="n">
        <f aca="false">1/(1+EXP(-MAX(-25,MIN(25,D258))))</f>
        <v>0.17006767400421</v>
      </c>
      <c r="F258" s="0" t="n">
        <f aca="false">SUMPRODUCT(Risk_Inputs!B258:AJ258,Risk_Coefs!$B$3:$AJ$3)</f>
        <v>6.51722377169349</v>
      </c>
      <c r="G258" s="0" t="n">
        <f aca="false">MAX(0,F258)</f>
        <v>6.51722377169349</v>
      </c>
      <c r="H258" s="0" t="n">
        <f aca="false">(SUMPRODUCT(--ISNUMBER($E$2:$E$800),--($E$2:$E$800&lt;E258))+(SUMPRODUCT(--ISNUMBER($E$2:$E$800),--($E$2:$E$800=E258))+1)/2)/COUNT($E$2:$E$800)</f>
        <v>0.0413016270337922</v>
      </c>
      <c r="I258" s="0" t="n">
        <f aca="false">(SUMPRODUCT(--ISNUMBER($G$2:$G$800),--($G$2:$G$800&lt;G258))+(SUMPRODUCT(--ISNUMBER($G$2:$G$800),--($G$2:$G$800=G258))+1)/2)/COUNT($G$2:$G$800)</f>
        <v>0.345431789737172</v>
      </c>
      <c r="J258" s="0" t="n">
        <v>39.7519821980251</v>
      </c>
      <c r="K258" s="0" t="n">
        <v>29.1142137788968</v>
      </c>
      <c r="L258" s="0" t="n">
        <v>0.27466239414054</v>
      </c>
      <c r="M258" s="0" t="n">
        <f aca="false">IF(OR(B258="NW",COUNT(Risk_Rank_Keys!B258)=0),0.5,(SUMPRODUCT(--ISNUMBER(Risk_Rank_Keys!$B$2:$B$800),--(Risk_Rank_Keys!$B$2:$B$800&lt;Risk_Rank_Keys!B258))+(SUMPRODUCT(--ISNUMBER(Risk_Rank_Keys!$B$2:$B$800),--(Risk_Rank_Keys!$B$2:$B$800=Risk_Rank_Keys!B258))+1)/2)/COUNT(Risk_Rank_Keys!$B$2:$B$800))</f>
        <v>0.95397489539749</v>
      </c>
      <c r="N258" s="0" t="n">
        <f aca="false">IF(OR(B258="NW",COUNT(Risk_Rank_Keys!C258)=0),0.5,(SUMPRODUCT(--ISNUMBER(Risk_Rank_Keys!$C$2:$C$800),--(Risk_Rank_Keys!$C$2:$C$800&lt;Risk_Rank_Keys!C258))+(SUMPRODUCT(--ISNUMBER(Risk_Rank_Keys!$C$2:$C$800),--(Risk_Rank_Keys!$C$2:$C$800=Risk_Rank_Keys!C258))+1)/2)/COUNT(Risk_Rank_Keys!$C$2:$C$800))</f>
        <v>0.9860529986053</v>
      </c>
      <c r="O258" s="0" t="n">
        <f aca="false">IF(OR(B258="NW",COUNT(Risk_Rank_Keys!D258)=0),0.5,(SUMPRODUCT(--ISNUMBER(Risk_Rank_Keys!$D$2:$D$800),--(Risk_Rank_Keys!$D$2:$D$800&lt;Risk_Rank_Keys!D258))+(SUMPRODUCT(--ISNUMBER(Risk_Rank_Keys!$D$2:$D$800),--(Risk_Rank_Keys!$D$2:$D$800=Risk_Rank_Keys!D258))+1)/2)/COUNT(Risk_Rank_Keys!$D$2:$D$800))</f>
        <v>0.675034867503487</v>
      </c>
      <c r="P258" s="0" t="n">
        <f aca="false">AVERAGE(M258:O258)</f>
        <v>0.871687587168759</v>
      </c>
      <c r="Q258" s="0" t="n">
        <f aca="false">0.4*H258+0.4*I258+0.2*P258</f>
        <v>0.329030884142137</v>
      </c>
      <c r="R258" s="0" t="n">
        <f aca="false">PERCENTILE($Q$2:$Q$800,0.75)</f>
        <v>0.667715717403612</v>
      </c>
      <c r="S258" s="1" t="b">
        <f aca="false">OR(Q258&gt;=R258,AND(B258="CW",COUNT(J258:L258)&lt;3))</f>
        <v>0</v>
      </c>
      <c r="T258" s="0" t="n">
        <v>0.17006767400421</v>
      </c>
      <c r="U258" s="0" t="n">
        <v>6.51722377169349</v>
      </c>
      <c r="V258" s="0" t="n">
        <v>0.329030884142137</v>
      </c>
      <c r="W258" s="0" t="n">
        <f aca="false">Q258-V258</f>
        <v>0</v>
      </c>
    </row>
    <row r="259" customFormat="false" ht="15" hidden="false" customHeight="false" outlineLevel="0" collapsed="false">
      <c r="A259" s="0" t="s">
        <v>293</v>
      </c>
      <c r="B259" s="0" t="s">
        <v>3013</v>
      </c>
      <c r="C259" s="0" t="n">
        <v>-11.1363375150848</v>
      </c>
      <c r="D259" s="0" t="n">
        <f aca="false">SUMPRODUCT(Risk_Inputs!B259:AJ259,Risk_Coefs!$B$2:$AJ$2)</f>
        <v>-0.755194315822232</v>
      </c>
      <c r="E259" s="0" t="n">
        <f aca="false">1/(1+EXP(-MAX(-25,MIN(25,D259))))</f>
        <v>0.319690540364255</v>
      </c>
      <c r="F259" s="0" t="n">
        <f aca="false">SUMPRODUCT(Risk_Inputs!B259:AJ259,Risk_Coefs!$B$3:$AJ$3)</f>
        <v>11.9214054158628</v>
      </c>
      <c r="G259" s="0" t="n">
        <f aca="false">MAX(0,F259)</f>
        <v>11.9214054158628</v>
      </c>
      <c r="H259" s="0" t="n">
        <f aca="false">(SUMPRODUCT(--ISNUMBER($E$2:$E$800),--($E$2:$E$800&lt;E259))+(SUMPRODUCT(--ISNUMBER($E$2:$E$800),--($E$2:$E$800=E259))+1)/2)/COUNT($E$2:$E$800)</f>
        <v>0.665832290362954</v>
      </c>
      <c r="I259" s="0" t="n">
        <f aca="false">(SUMPRODUCT(--ISNUMBER($G$2:$G$800),--($G$2:$G$800&lt;G259))+(SUMPRODUCT(--ISNUMBER($G$2:$G$800),--($G$2:$G$800=G259))+1)/2)/COUNT($G$2:$G$800)</f>
        <v>0.917396745932416</v>
      </c>
      <c r="J259" s="0" t="n">
        <v>15.5653386936928</v>
      </c>
      <c r="K259" s="0" t="n">
        <v>4.43915973047959</v>
      </c>
      <c r="L259" s="0" t="n">
        <v>0.317082837891392</v>
      </c>
      <c r="M259" s="0" t="n">
        <f aca="false">IF(OR(B259="NW",COUNT(Risk_Rank_Keys!B259)=0),0.5,(SUMPRODUCT(--ISNUMBER(Risk_Rank_Keys!$B$2:$B$800),--(Risk_Rank_Keys!$B$2:$B$800&lt;Risk_Rank_Keys!B259))+(SUMPRODUCT(--ISNUMBER(Risk_Rank_Keys!$B$2:$B$800),--(Risk_Rank_Keys!$B$2:$B$800=Risk_Rank_Keys!B259))+1)/2)/COUNT(Risk_Rank_Keys!$B$2:$B$800))</f>
        <v>0.719665271966527</v>
      </c>
      <c r="N259" s="0" t="n">
        <f aca="false">IF(OR(B259="NW",COUNT(Risk_Rank_Keys!C259)=0),0.5,(SUMPRODUCT(--ISNUMBER(Risk_Rank_Keys!$C$2:$C$800),--(Risk_Rank_Keys!$C$2:$C$800&lt;Risk_Rank_Keys!C259))+(SUMPRODUCT(--ISNUMBER(Risk_Rank_Keys!$C$2:$C$800),--(Risk_Rank_Keys!$C$2:$C$800=Risk_Rank_Keys!C259))+1)/2)/COUNT(Risk_Rank_Keys!$C$2:$C$800))</f>
        <v>0.640167364016736</v>
      </c>
      <c r="O259" s="0" t="n">
        <f aca="false">IF(OR(B259="NW",COUNT(Risk_Rank_Keys!D259)=0),0.5,(SUMPRODUCT(--ISNUMBER(Risk_Rank_Keys!$D$2:$D$800),--(Risk_Rank_Keys!$D$2:$D$800&lt;Risk_Rank_Keys!D259))+(SUMPRODUCT(--ISNUMBER(Risk_Rank_Keys!$D$2:$D$800),--(Risk_Rank_Keys!$D$2:$D$800=Risk_Rank_Keys!D259))+1)/2)/COUNT(Risk_Rank_Keys!$D$2:$D$800))</f>
        <v>0.769874476987448</v>
      </c>
      <c r="P259" s="0" t="n">
        <f aca="false">AVERAGE(M259:O259)</f>
        <v>0.709902370990237</v>
      </c>
      <c r="Q259" s="0" t="n">
        <f aca="false">0.4*H259+0.4*I259+0.2*P259</f>
        <v>0.775272088716195</v>
      </c>
      <c r="R259" s="0" t="n">
        <f aca="false">PERCENTILE($Q$2:$Q$800,0.75)</f>
        <v>0.667715717403612</v>
      </c>
      <c r="S259" s="1" t="b">
        <f aca="false">OR(Q259&gt;=R259,AND(B259="CW",COUNT(J259:L259)&lt;3))</f>
        <v>1</v>
      </c>
      <c r="T259" s="0" t="n">
        <v>0.319690540364255</v>
      </c>
      <c r="U259" s="0" t="n">
        <v>11.9214054158628</v>
      </c>
      <c r="V259" s="0" t="n">
        <v>0.775272088716195</v>
      </c>
      <c r="W259" s="0" t="n">
        <f aca="false">Q259-V259</f>
        <v>0</v>
      </c>
    </row>
    <row r="260" customFormat="false" ht="15" hidden="false" customHeight="false" outlineLevel="0" collapsed="false">
      <c r="A260" s="0" t="s">
        <v>294</v>
      </c>
      <c r="B260" s="0" t="s">
        <v>3013</v>
      </c>
      <c r="C260" s="0" t="n">
        <v>41.3222431509498</v>
      </c>
      <c r="D260" s="0" t="n">
        <f aca="false">SUMPRODUCT(Risk_Inputs!B260:AJ260,Risk_Coefs!$B$2:$AJ$2)</f>
        <v>-1.10458726964119</v>
      </c>
      <c r="E260" s="0" t="n">
        <f aca="false">1/(1+EXP(-MAX(-25,MIN(25,D260))))</f>
        <v>0.248881365350706</v>
      </c>
      <c r="F260" s="0" t="n">
        <f aca="false">SUMPRODUCT(Risk_Inputs!B260:AJ260,Risk_Coefs!$B$3:$AJ$3)</f>
        <v>9.62607207436633</v>
      </c>
      <c r="G260" s="0" t="n">
        <f aca="false">MAX(0,F260)</f>
        <v>9.62607207436633</v>
      </c>
      <c r="H260" s="0" t="n">
        <f aca="false">(SUMPRODUCT(--ISNUMBER($E$2:$E$800),--($E$2:$E$800&lt;E260))+(SUMPRODUCT(--ISNUMBER($E$2:$E$800),--($E$2:$E$800=E260))+1)/2)/COUNT($E$2:$E$800)</f>
        <v>0.259073842302879</v>
      </c>
      <c r="I260" s="0" t="n">
        <f aca="false">(SUMPRODUCT(--ISNUMBER($G$2:$G$800),--($G$2:$G$800&lt;G260))+(SUMPRODUCT(--ISNUMBER($G$2:$G$800),--($G$2:$G$800=G260))+1)/2)/COUNT($G$2:$G$800)</f>
        <v>0.739674593241552</v>
      </c>
      <c r="J260" s="0" t="n">
        <v>14.3014098857724</v>
      </c>
      <c r="K260" s="0" t="n">
        <v>2.5300875273523</v>
      </c>
      <c r="L260" s="0" t="n">
        <v>0.232494529540488</v>
      </c>
      <c r="M260" s="0" t="n">
        <f aca="false">IF(OR(B260="NW",COUNT(Risk_Rank_Keys!B260)=0),0.5,(SUMPRODUCT(--ISNUMBER(Risk_Rank_Keys!$B$2:$B$800),--(Risk_Rank_Keys!$B$2:$B$800&lt;Risk_Rank_Keys!B260))+(SUMPRODUCT(--ISNUMBER(Risk_Rank_Keys!$B$2:$B$800),--(Risk_Rank_Keys!$B$2:$B$800=Risk_Rank_Keys!B260))+1)/2)/COUNT(Risk_Rank_Keys!$B$2:$B$800))</f>
        <v>0.684797768479777</v>
      </c>
      <c r="N260" s="0" t="n">
        <f aca="false">IF(OR(B260="NW",COUNT(Risk_Rank_Keys!C260)=0),0.5,(SUMPRODUCT(--ISNUMBER(Risk_Rank_Keys!$C$2:$C$800),--(Risk_Rank_Keys!$C$2:$C$800&lt;Risk_Rank_Keys!C260))+(SUMPRODUCT(--ISNUMBER(Risk_Rank_Keys!$C$2:$C$800),--(Risk_Rank_Keys!$C$2:$C$800=Risk_Rank_Keys!C260))+1)/2)/COUNT(Risk_Rank_Keys!$C$2:$C$800))</f>
        <v>0.391910739191074</v>
      </c>
      <c r="O260" s="0" t="n">
        <f aca="false">IF(OR(B260="NW",COUNT(Risk_Rank_Keys!D260)=0),0.5,(SUMPRODUCT(--ISNUMBER(Risk_Rank_Keys!$D$2:$D$800),--(Risk_Rank_Keys!$D$2:$D$800&lt;Risk_Rank_Keys!D260))+(SUMPRODUCT(--ISNUMBER(Risk_Rank_Keys!$D$2:$D$800),--(Risk_Rank_Keys!$D$2:$D$800=Risk_Rank_Keys!D260))+1)/2)/COUNT(Risk_Rank_Keys!$D$2:$D$800))</f>
        <v>0.509065550906555</v>
      </c>
      <c r="P260" s="0" t="n">
        <f aca="false">AVERAGE(M260:O260)</f>
        <v>0.528591352859135</v>
      </c>
      <c r="Q260" s="0" t="n">
        <f aca="false">0.4*H260+0.4*I260+0.2*P260</f>
        <v>0.505217644789599</v>
      </c>
      <c r="R260" s="0" t="n">
        <f aca="false">PERCENTILE($Q$2:$Q$800,0.75)</f>
        <v>0.667715717403612</v>
      </c>
      <c r="S260" s="1" t="b">
        <f aca="false">OR(Q260&gt;=R260,AND(B260="CW",COUNT(J260:L260)&lt;3))</f>
        <v>0</v>
      </c>
      <c r="T260" s="0" t="n">
        <v>0.248881365350706</v>
      </c>
      <c r="U260" s="0" t="n">
        <v>9.62607207436633</v>
      </c>
      <c r="V260" s="0" t="n">
        <v>0.505217644789599</v>
      </c>
      <c r="W260" s="0" t="n">
        <f aca="false">Q260-V260</f>
        <v>0</v>
      </c>
    </row>
    <row r="261" customFormat="false" ht="15" hidden="false" customHeight="false" outlineLevel="0" collapsed="false">
      <c r="A261" s="0" t="s">
        <v>295</v>
      </c>
      <c r="B261" s="0" t="s">
        <v>3013</v>
      </c>
      <c r="C261" s="0" t="n">
        <v>-0.516624587278755</v>
      </c>
      <c r="D261" s="0" t="n">
        <f aca="false">SUMPRODUCT(Risk_Inputs!B261:AJ261,Risk_Coefs!$B$2:$AJ$2)</f>
        <v>-1.38786390463661</v>
      </c>
      <c r="E261" s="0" t="n">
        <f aca="false">1/(1+EXP(-MAX(-25,MIN(25,D261))))</f>
        <v>0.199748991279587</v>
      </c>
      <c r="F261" s="0" t="n">
        <f aca="false">SUMPRODUCT(Risk_Inputs!B261:AJ261,Risk_Coefs!$B$3:$AJ$3)</f>
        <v>3.24637888067349</v>
      </c>
      <c r="G261" s="0" t="n">
        <f aca="false">MAX(0,F261)</f>
        <v>3.24637888067349</v>
      </c>
      <c r="H261" s="0" t="n">
        <f aca="false">(SUMPRODUCT(--ISNUMBER($E$2:$E$800),--($E$2:$E$800&lt;E261))+(SUMPRODUCT(--ISNUMBER($E$2:$E$800),--($E$2:$E$800=E261))+1)/2)/COUNT($E$2:$E$800)</f>
        <v>0.101376720901126</v>
      </c>
      <c r="I261" s="0" t="n">
        <f aca="false">(SUMPRODUCT(--ISNUMBER($G$2:$G$800),--($G$2:$G$800&lt;G261))+(SUMPRODUCT(--ISNUMBER($G$2:$G$800),--($G$2:$G$800=G261))+1)/2)/COUNT($G$2:$G$800)</f>
        <v>0.0312891113892366</v>
      </c>
      <c r="J261" s="0" t="n">
        <v>15.2651950535959</v>
      </c>
      <c r="K261" s="0" t="n">
        <v>11.040127770014</v>
      </c>
      <c r="L261" s="0" t="n">
        <v>0.359353164304249</v>
      </c>
      <c r="M261" s="0" t="n">
        <f aca="false">IF(OR(B261="NW",COUNT(Risk_Rank_Keys!B261)=0),0.5,(SUMPRODUCT(--ISNUMBER(Risk_Rank_Keys!$B$2:$B$800),--(Risk_Rank_Keys!$B$2:$B$800&lt;Risk_Rank_Keys!B261))+(SUMPRODUCT(--ISNUMBER(Risk_Rank_Keys!$B$2:$B$800),--(Risk_Rank_Keys!$B$2:$B$800=Risk_Rank_Keys!B261))+1)/2)/COUNT(Risk_Rank_Keys!$B$2:$B$800))</f>
        <v>0.711297071129707</v>
      </c>
      <c r="N261" s="0" t="n">
        <f aca="false">IF(OR(B261="NW",COUNT(Risk_Rank_Keys!C261)=0),0.5,(SUMPRODUCT(--ISNUMBER(Risk_Rank_Keys!$C$2:$C$800),--(Risk_Rank_Keys!$C$2:$C$800&lt;Risk_Rank_Keys!C261))+(SUMPRODUCT(--ISNUMBER(Risk_Rank_Keys!$C$2:$C$800),--(Risk_Rank_Keys!$C$2:$C$800=Risk_Rank_Keys!C261))+1)/2)/COUNT(Risk_Rank_Keys!$C$2:$C$800))</f>
        <v>0.896792189679219</v>
      </c>
      <c r="O261" s="0" t="n">
        <f aca="false">IF(OR(B261="NW",COUNT(Risk_Rank_Keys!D261)=0),0.5,(SUMPRODUCT(--ISNUMBER(Risk_Rank_Keys!$D$2:$D$800),--(Risk_Rank_Keys!$D$2:$D$800&lt;Risk_Rank_Keys!D261))+(SUMPRODUCT(--ISNUMBER(Risk_Rank_Keys!$D$2:$D$800),--(Risk_Rank_Keys!$D$2:$D$800=Risk_Rank_Keys!D261))+1)/2)/COUNT(Risk_Rank_Keys!$D$2:$D$800))</f>
        <v>0.846582984658299</v>
      </c>
      <c r="P261" s="0" t="n">
        <f aca="false">AVERAGE(M261:O261)</f>
        <v>0.818224081822408</v>
      </c>
      <c r="Q261" s="0" t="n">
        <f aca="false">0.4*H261+0.4*I261+0.2*P261</f>
        <v>0.216711149280627</v>
      </c>
      <c r="R261" s="0" t="n">
        <f aca="false">PERCENTILE($Q$2:$Q$800,0.75)</f>
        <v>0.667715717403612</v>
      </c>
      <c r="S261" s="1" t="b">
        <f aca="false">OR(Q261&gt;=R261,AND(B261="CW",COUNT(J261:L261)&lt;3))</f>
        <v>0</v>
      </c>
      <c r="T261" s="0" t="n">
        <v>0.199748991279587</v>
      </c>
      <c r="U261" s="0" t="n">
        <v>3.24637888067349</v>
      </c>
      <c r="V261" s="0" t="n">
        <v>0.216711149280627</v>
      </c>
      <c r="W261" s="0" t="n">
        <f aca="false">Q261-V261</f>
        <v>0</v>
      </c>
    </row>
    <row r="262" customFormat="false" ht="15" hidden="false" customHeight="false" outlineLevel="0" collapsed="false">
      <c r="A262" s="0" t="s">
        <v>296</v>
      </c>
      <c r="B262" s="0" t="s">
        <v>3013</v>
      </c>
      <c r="C262" s="0" t="n">
        <v>17.7310863948613</v>
      </c>
      <c r="D262" s="0" t="n">
        <f aca="false">SUMPRODUCT(Risk_Inputs!B262:AJ262,Risk_Coefs!$B$2:$AJ$2)</f>
        <v>-0.953778811703283</v>
      </c>
      <c r="E262" s="0" t="n">
        <f aca="false">1/(1+EXP(-MAX(-25,MIN(25,D262))))</f>
        <v>0.27812550776871</v>
      </c>
      <c r="F262" s="0" t="n">
        <f aca="false">SUMPRODUCT(Risk_Inputs!B262:AJ262,Risk_Coefs!$B$3:$AJ$3)</f>
        <v>9.80372188043385</v>
      </c>
      <c r="G262" s="0" t="n">
        <f aca="false">MAX(0,F262)</f>
        <v>9.80372188043385</v>
      </c>
      <c r="H262" s="0" t="n">
        <f aca="false">(SUMPRODUCT(--ISNUMBER($E$2:$E$800),--($E$2:$E$800&lt;E262))+(SUMPRODUCT(--ISNUMBER($E$2:$E$800),--($E$2:$E$800=E262))+1)/2)/COUNT($E$2:$E$800)</f>
        <v>0.453066332916145</v>
      </c>
      <c r="I262" s="0" t="n">
        <f aca="false">(SUMPRODUCT(--ISNUMBER($G$2:$G$800),--($G$2:$G$800&lt;G262))+(SUMPRODUCT(--ISNUMBER($G$2:$G$800),--($G$2:$G$800=G262))+1)/2)/COUNT($G$2:$G$800)</f>
        <v>0.765957446808511</v>
      </c>
      <c r="J262" s="0" t="n">
        <v>16.4013361822504</v>
      </c>
      <c r="K262" s="0" t="n">
        <v>6.61137440758295</v>
      </c>
      <c r="L262" s="0" t="n">
        <v>0.23696682464455</v>
      </c>
      <c r="M262" s="0" t="n">
        <f aca="false">IF(OR(B262="NW",COUNT(Risk_Rank_Keys!B262)=0),0.5,(SUMPRODUCT(--ISNUMBER(Risk_Rank_Keys!$B$2:$B$800),--(Risk_Rank_Keys!$B$2:$B$800&lt;Risk_Rank_Keys!B262))+(SUMPRODUCT(--ISNUMBER(Risk_Rank_Keys!$B$2:$B$800),--(Risk_Rank_Keys!$B$2:$B$800=Risk_Rank_Keys!B262))+1)/2)/COUNT(Risk_Rank_Keys!$B$2:$B$800))</f>
        <v>0.733612273361227</v>
      </c>
      <c r="N262" s="0" t="n">
        <f aca="false">IF(OR(B262="NW",COUNT(Risk_Rank_Keys!C262)=0),0.5,(SUMPRODUCT(--ISNUMBER(Risk_Rank_Keys!$C$2:$C$800),--(Risk_Rank_Keys!$C$2:$C$800&lt;Risk_Rank_Keys!C262))+(SUMPRODUCT(--ISNUMBER(Risk_Rank_Keys!$C$2:$C$800),--(Risk_Rank_Keys!$C$2:$C$800=Risk_Rank_Keys!C262))+1)/2)/COUNT(Risk_Rank_Keys!$C$2:$C$800))</f>
        <v>0.769874476987448</v>
      </c>
      <c r="O262" s="0" t="n">
        <f aca="false">IF(OR(B262="NW",COUNT(Risk_Rank_Keys!D262)=0),0.5,(SUMPRODUCT(--ISNUMBER(Risk_Rank_Keys!$D$2:$D$800),--(Risk_Rank_Keys!$D$2:$D$800&lt;Risk_Rank_Keys!D262))+(SUMPRODUCT(--ISNUMBER(Risk_Rank_Keys!$D$2:$D$800),--(Risk_Rank_Keys!$D$2:$D$800=Risk_Rank_Keys!D262))+1)/2)/COUNT(Risk_Rank_Keys!$D$2:$D$800))</f>
        <v>0.528591352859135</v>
      </c>
      <c r="P262" s="0" t="n">
        <f aca="false">AVERAGE(M262:O262)</f>
        <v>0.677359367735937</v>
      </c>
      <c r="Q262" s="0" t="n">
        <f aca="false">0.4*H262+0.4*I262+0.2*P262</f>
        <v>0.62308138543705</v>
      </c>
      <c r="R262" s="0" t="n">
        <f aca="false">PERCENTILE($Q$2:$Q$800,0.75)</f>
        <v>0.667715717403612</v>
      </c>
      <c r="S262" s="1" t="b">
        <f aca="false">OR(Q262&gt;=R262,AND(B262="CW",COUNT(J262:L262)&lt;3))</f>
        <v>0</v>
      </c>
      <c r="T262" s="0" t="n">
        <v>0.27812550776871</v>
      </c>
      <c r="U262" s="0" t="n">
        <v>9.80372188043385</v>
      </c>
      <c r="V262" s="0" t="n">
        <v>0.62308138543705</v>
      </c>
      <c r="W262" s="0" t="n">
        <f aca="false">Q262-V262</f>
        <v>0</v>
      </c>
    </row>
    <row r="263" customFormat="false" ht="15" hidden="false" customHeight="false" outlineLevel="0" collapsed="false">
      <c r="A263" s="0" t="s">
        <v>297</v>
      </c>
      <c r="B263" s="0" t="s">
        <v>3013</v>
      </c>
      <c r="C263" s="0" t="n">
        <v>-46.6716022735648</v>
      </c>
      <c r="D263" s="0" t="n">
        <f aca="false">SUMPRODUCT(Risk_Inputs!B263:AJ263,Risk_Coefs!$B$2:$AJ$2)</f>
        <v>-1.24111860204654</v>
      </c>
      <c r="E263" s="0" t="n">
        <f aca="false">1/(1+EXP(-MAX(-25,MIN(25,D263))))</f>
        <v>0.224241336874155</v>
      </c>
      <c r="F263" s="0" t="n">
        <f aca="false">SUMPRODUCT(Risk_Inputs!B263:AJ263,Risk_Coefs!$B$3:$AJ$3)</f>
        <v>6.73251087926675</v>
      </c>
      <c r="G263" s="0" t="n">
        <f aca="false">MAX(0,F263)</f>
        <v>6.73251087926675</v>
      </c>
      <c r="H263" s="0" t="n">
        <f aca="false">(SUMPRODUCT(--ISNUMBER($E$2:$E$800),--($E$2:$E$800&lt;E263))+(SUMPRODUCT(--ISNUMBER($E$2:$E$800),--($E$2:$E$800=E263))+1)/2)/COUNT($E$2:$E$800)</f>
        <v>0.156445556946183</v>
      </c>
      <c r="I263" s="0" t="n">
        <f aca="false">(SUMPRODUCT(--ISNUMBER($G$2:$G$800),--($G$2:$G$800&lt;G263))+(SUMPRODUCT(--ISNUMBER($G$2:$G$800),--($G$2:$G$800=G263))+1)/2)/COUNT($G$2:$G$800)</f>
        <v>0.382978723404255</v>
      </c>
      <c r="J263" s="0" t="n">
        <v>11.3121827951422</v>
      </c>
      <c r="K263" s="0" t="n">
        <v>15.4776804338757</v>
      </c>
      <c r="L263" s="0" t="n">
        <v>0.50062578222778</v>
      </c>
      <c r="M263" s="0" t="n">
        <f aca="false">IF(OR(B263="NW",COUNT(Risk_Rank_Keys!B263)=0),0.5,(SUMPRODUCT(--ISNUMBER(Risk_Rank_Keys!$B$2:$B$800),--(Risk_Rank_Keys!$B$2:$B$800&lt;Risk_Rank_Keys!B263))+(SUMPRODUCT(--ISNUMBER(Risk_Rank_Keys!$B$2:$B$800),--(Risk_Rank_Keys!$B$2:$B$800=Risk_Rank_Keys!B263))+1)/2)/COUNT(Risk_Rank_Keys!$B$2:$B$800))</f>
        <v>0.560669456066946</v>
      </c>
      <c r="N263" s="0" t="n">
        <f aca="false">IF(OR(B263="NW",COUNT(Risk_Rank_Keys!C263)=0),0.5,(SUMPRODUCT(--ISNUMBER(Risk_Rank_Keys!$C$2:$C$800),--(Risk_Rank_Keys!$C$2:$C$800&lt;Risk_Rank_Keys!C263))+(SUMPRODUCT(--ISNUMBER(Risk_Rank_Keys!$C$2:$C$800),--(Risk_Rank_Keys!$C$2:$C$800=Risk_Rank_Keys!C263))+1)/2)/COUNT(Risk_Rank_Keys!$C$2:$C$800))</f>
        <v>0.934449093444909</v>
      </c>
      <c r="O263" s="0" t="n">
        <f aca="false">IF(OR(B263="NW",COUNT(Risk_Rank_Keys!D263)=0),0.5,(SUMPRODUCT(--ISNUMBER(Risk_Rank_Keys!$D$2:$D$800),--(Risk_Rank_Keys!$D$2:$D$800&lt;Risk_Rank_Keys!D263))+(SUMPRODUCT(--ISNUMBER(Risk_Rank_Keys!$D$2:$D$800),--(Risk_Rank_Keys!$D$2:$D$800=Risk_Rank_Keys!D263))+1)/2)/COUNT(Risk_Rank_Keys!$D$2:$D$800))</f>
        <v>0.94979079497908</v>
      </c>
      <c r="P263" s="0" t="n">
        <f aca="false">AVERAGE(M263:O263)</f>
        <v>0.814969781496978</v>
      </c>
      <c r="Q263" s="0" t="n">
        <f aca="false">0.4*H263+0.4*I263+0.2*P263</f>
        <v>0.378763668439571</v>
      </c>
      <c r="R263" s="0" t="n">
        <f aca="false">PERCENTILE($Q$2:$Q$800,0.75)</f>
        <v>0.667715717403612</v>
      </c>
      <c r="S263" s="1" t="b">
        <f aca="false">OR(Q263&gt;=R263,AND(B263="CW",COUNT(J263:L263)&lt;3))</f>
        <v>0</v>
      </c>
      <c r="T263" s="0" t="n">
        <v>0.224241336874155</v>
      </c>
      <c r="U263" s="0" t="n">
        <v>6.73251087926675</v>
      </c>
      <c r="V263" s="0" t="n">
        <v>0.378763668439571</v>
      </c>
      <c r="W263" s="0" t="n">
        <f aca="false">Q263-V263</f>
        <v>0</v>
      </c>
    </row>
    <row r="264" customFormat="false" ht="15" hidden="false" customHeight="false" outlineLevel="0" collapsed="false">
      <c r="A264" s="0" t="s">
        <v>298</v>
      </c>
      <c r="B264" s="0" t="s">
        <v>3013</v>
      </c>
      <c r="C264" s="0" t="n">
        <v>18.7920443243772</v>
      </c>
      <c r="D264" s="0" t="n">
        <f aca="false">SUMPRODUCT(Risk_Inputs!B264:AJ264,Risk_Coefs!$B$2:$AJ$2)</f>
        <v>-1.1071553578415</v>
      </c>
      <c r="E264" s="0" t="n">
        <f aca="false">1/(1+EXP(-MAX(-25,MIN(25,D264))))</f>
        <v>0.248401598066033</v>
      </c>
      <c r="F264" s="0" t="n">
        <f aca="false">SUMPRODUCT(Risk_Inputs!B264:AJ264,Risk_Coefs!$B$3:$AJ$3)</f>
        <v>9.00192838585456</v>
      </c>
      <c r="G264" s="0" t="n">
        <f aca="false">MAX(0,F264)</f>
        <v>9.00192838585456</v>
      </c>
      <c r="H264" s="0" t="n">
        <f aca="false">(SUMPRODUCT(--ISNUMBER($E$2:$E$800),--($E$2:$E$800&lt;E264))+(SUMPRODUCT(--ISNUMBER($E$2:$E$800),--($E$2:$E$800=E264))+1)/2)/COUNT($E$2:$E$800)</f>
        <v>0.25531914893617</v>
      </c>
      <c r="I264" s="0" t="n">
        <f aca="false">(SUMPRODUCT(--ISNUMBER($G$2:$G$800),--($G$2:$G$800&lt;G264))+(SUMPRODUCT(--ISNUMBER($G$2:$G$800),--($G$2:$G$800=G264))+1)/2)/COUNT($G$2:$G$800)</f>
        <v>0.684605757196496</v>
      </c>
      <c r="J264" s="0" t="n">
        <v>9.44526217306494</v>
      </c>
      <c r="K264" s="0" t="n">
        <v>1.15065971156797</v>
      </c>
      <c r="L264" s="0" t="n">
        <v>0.19944768333844</v>
      </c>
      <c r="M264" s="0" t="n">
        <f aca="false">IF(OR(B264="NW",COUNT(Risk_Rank_Keys!B264)=0),0.5,(SUMPRODUCT(--ISNUMBER(Risk_Rank_Keys!$B$2:$B$800),--(Risk_Rank_Keys!$B$2:$B$800&lt;Risk_Rank_Keys!B264))+(SUMPRODUCT(--ISNUMBER(Risk_Rank_Keys!$B$2:$B$800),--(Risk_Rank_Keys!$B$2:$B$800=Risk_Rank_Keys!B264))+1)/2)/COUNT(Risk_Rank_Keys!$B$2:$B$800))</f>
        <v>0.475592747559275</v>
      </c>
      <c r="N264" s="0" t="n">
        <f aca="false">IF(OR(B264="NW",COUNT(Risk_Rank_Keys!C264)=0),0.5,(SUMPRODUCT(--ISNUMBER(Risk_Rank_Keys!$C$2:$C$800),--(Risk_Rank_Keys!$C$2:$C$800&lt;Risk_Rank_Keys!C264))+(SUMPRODUCT(--ISNUMBER(Risk_Rank_Keys!$C$2:$C$800),--(Risk_Rank_Keys!$C$2:$C$800=Risk_Rank_Keys!C264))+1)/2)/COUNT(Risk_Rank_Keys!$C$2:$C$800))</f>
        <v>0.0529986052998605</v>
      </c>
      <c r="O264" s="0" t="n">
        <f aca="false">IF(OR(B264="NW",COUNT(Risk_Rank_Keys!D264)=0),0.5,(SUMPRODUCT(--ISNUMBER(Risk_Rank_Keys!$D$2:$D$800),--(Risk_Rank_Keys!$D$2:$D$800&lt;Risk_Rank_Keys!D264))+(SUMPRODUCT(--ISNUMBER(Risk_Rank_Keys!$D$2:$D$800),--(Risk_Rank_Keys!$D$2:$D$800=Risk_Rank_Keys!D264))+1)/2)/COUNT(Risk_Rank_Keys!$D$2:$D$800))</f>
        <v>0.312412831241283</v>
      </c>
      <c r="P264" s="0" t="n">
        <f aca="false">AVERAGE(M264:O264)</f>
        <v>0.280334728033473</v>
      </c>
      <c r="Q264" s="0" t="n">
        <f aca="false">0.4*H264+0.4*I264+0.2*P264</f>
        <v>0.432036908059761</v>
      </c>
      <c r="R264" s="0" t="n">
        <f aca="false">PERCENTILE($Q$2:$Q$800,0.75)</f>
        <v>0.667715717403612</v>
      </c>
      <c r="S264" s="1" t="b">
        <f aca="false">OR(Q264&gt;=R264,AND(B264="CW",COUNT(J264:L264)&lt;3))</f>
        <v>0</v>
      </c>
      <c r="T264" s="0" t="n">
        <v>0.248401598066033</v>
      </c>
      <c r="U264" s="0" t="n">
        <v>9.00192838585456</v>
      </c>
      <c r="V264" s="0" t="n">
        <v>0.432036908059761</v>
      </c>
      <c r="W264" s="0" t="n">
        <f aca="false">Q264-V264</f>
        <v>0</v>
      </c>
    </row>
    <row r="265" customFormat="false" ht="15" hidden="false" customHeight="false" outlineLevel="0" collapsed="false">
      <c r="A265" s="0" t="s">
        <v>299</v>
      </c>
      <c r="B265" s="0" t="s">
        <v>3013</v>
      </c>
      <c r="C265" s="0" t="n">
        <v>9.68041005441451</v>
      </c>
      <c r="D265" s="0" t="n">
        <f aca="false">SUMPRODUCT(Risk_Inputs!B265:AJ265,Risk_Coefs!$B$2:$AJ$2)</f>
        <v>-1.28539398562808</v>
      </c>
      <c r="E265" s="0" t="n">
        <f aca="false">1/(1+EXP(-MAX(-25,MIN(25,D265))))</f>
        <v>0.216633446847226</v>
      </c>
      <c r="F265" s="0" t="n">
        <f aca="false">SUMPRODUCT(Risk_Inputs!B265:AJ265,Risk_Coefs!$B$3:$AJ$3)</f>
        <v>4.07197863985978</v>
      </c>
      <c r="G265" s="0" t="n">
        <f aca="false">MAX(0,F265)</f>
        <v>4.07197863985978</v>
      </c>
      <c r="H265" s="0" t="n">
        <f aca="false">(SUMPRODUCT(--ISNUMBER($E$2:$E$800),--($E$2:$E$800&lt;E265))+(SUMPRODUCT(--ISNUMBER($E$2:$E$800),--($E$2:$E$800=E265))+1)/2)/COUNT($E$2:$E$800)</f>
        <v>0.135168961201502</v>
      </c>
      <c r="I265" s="0" t="n">
        <f aca="false">(SUMPRODUCT(--ISNUMBER($G$2:$G$800),--($G$2:$G$800&lt;G265))+(SUMPRODUCT(--ISNUMBER($G$2:$G$800),--($G$2:$G$800=G265))+1)/2)/COUNT($G$2:$G$800)</f>
        <v>0.0563204005006258</v>
      </c>
      <c r="J265" s="0" t="n">
        <v>23.6239002667104</v>
      </c>
      <c r="K265" s="0" t="n">
        <v>9.51459725641926</v>
      </c>
      <c r="L265" s="0" t="n">
        <v>0.422089342244114</v>
      </c>
      <c r="M265" s="0" t="n">
        <f aca="false">IF(OR(B265="NW",COUNT(Risk_Rank_Keys!B265)=0),0.5,(SUMPRODUCT(--ISNUMBER(Risk_Rank_Keys!$B$2:$B$800),--(Risk_Rank_Keys!$B$2:$B$800&lt;Risk_Rank_Keys!B265))+(SUMPRODUCT(--ISNUMBER(Risk_Rank_Keys!$B$2:$B$800),--(Risk_Rank_Keys!$B$2:$B$800=Risk_Rank_Keys!B265))+1)/2)/COUNT(Risk_Rank_Keys!$B$2:$B$800))</f>
        <v>0.839609483960948</v>
      </c>
      <c r="N265" s="0" t="n">
        <f aca="false">IF(OR(B265="NW",COUNT(Risk_Rank_Keys!C265)=0),0.5,(SUMPRODUCT(--ISNUMBER(Risk_Rank_Keys!$C$2:$C$800),--(Risk_Rank_Keys!$C$2:$C$800&lt;Risk_Rank_Keys!C265))+(SUMPRODUCT(--ISNUMBER(Risk_Rank_Keys!$C$2:$C$800),--(Risk_Rank_Keys!$C$2:$C$800=Risk_Rank_Keys!C265))+1)/2)/COUNT(Risk_Rank_Keys!$C$2:$C$800))</f>
        <v>0.868898186889819</v>
      </c>
      <c r="O265" s="0" t="n">
        <f aca="false">IF(OR(B265="NW",COUNT(Risk_Rank_Keys!D265)=0),0.5,(SUMPRODUCT(--ISNUMBER(Risk_Rank_Keys!$D$2:$D$800),--(Risk_Rank_Keys!$D$2:$D$800&lt;Risk_Rank_Keys!D265))+(SUMPRODUCT(--ISNUMBER(Risk_Rank_Keys!$D$2:$D$800),--(Risk_Rank_Keys!$D$2:$D$800=Risk_Rank_Keys!D265))+1)/2)/COUNT(Risk_Rank_Keys!$D$2:$D$800))</f>
        <v>0.899581589958159</v>
      </c>
      <c r="P265" s="0" t="n">
        <f aca="false">AVERAGE(M265:O265)</f>
        <v>0.869363086936309</v>
      </c>
      <c r="Q265" s="0" t="n">
        <f aca="false">0.4*H265+0.4*I265+0.2*P265</f>
        <v>0.250468362068113</v>
      </c>
      <c r="R265" s="0" t="n">
        <f aca="false">PERCENTILE($Q$2:$Q$800,0.75)</f>
        <v>0.667715717403612</v>
      </c>
      <c r="S265" s="1" t="b">
        <f aca="false">OR(Q265&gt;=R265,AND(B265="CW",COUNT(J265:L265)&lt;3))</f>
        <v>0</v>
      </c>
      <c r="T265" s="0" t="n">
        <v>0.216633446847226</v>
      </c>
      <c r="U265" s="0" t="n">
        <v>4.07197863985978</v>
      </c>
      <c r="V265" s="0" t="n">
        <v>0.250468362068113</v>
      </c>
      <c r="W265" s="0" t="n">
        <f aca="false">Q265-V265</f>
        <v>0</v>
      </c>
    </row>
    <row r="266" customFormat="false" ht="15" hidden="false" customHeight="false" outlineLevel="0" collapsed="false">
      <c r="A266" s="0" t="s">
        <v>300</v>
      </c>
      <c r="B266" s="0" t="s">
        <v>3013</v>
      </c>
      <c r="C266" s="0" t="n">
        <v>29.7214213126573</v>
      </c>
      <c r="D266" s="0" t="n">
        <f aca="false">SUMPRODUCT(Risk_Inputs!B266:AJ266,Risk_Coefs!$B$2:$AJ$2)</f>
        <v>-0.994183833135277</v>
      </c>
      <c r="E266" s="0" t="n">
        <f aca="false">1/(1+EXP(-MAX(-25,MIN(25,D266))))</f>
        <v>0.27008648477578</v>
      </c>
      <c r="F266" s="0" t="n">
        <f aca="false">SUMPRODUCT(Risk_Inputs!B266:AJ266,Risk_Coefs!$B$3:$AJ$3)</f>
        <v>4.45291331090751</v>
      </c>
      <c r="G266" s="0" t="n">
        <f aca="false">MAX(0,F266)</f>
        <v>4.45291331090751</v>
      </c>
      <c r="H266" s="0" t="n">
        <f aca="false">(SUMPRODUCT(--ISNUMBER($E$2:$E$800),--($E$2:$E$800&lt;E266))+(SUMPRODUCT(--ISNUMBER($E$2:$E$800),--($E$2:$E$800=E266))+1)/2)/COUNT($E$2:$E$800)</f>
        <v>0.389236545682103</v>
      </c>
      <c r="I266" s="0" t="n">
        <f aca="false">(SUMPRODUCT(--ISNUMBER($G$2:$G$800),--($G$2:$G$800&lt;G266))+(SUMPRODUCT(--ISNUMBER($G$2:$G$800),--($G$2:$G$800=G266))+1)/2)/COUNT($G$2:$G$800)</f>
        <v>0.0851063829787234</v>
      </c>
      <c r="J266" s="0" t="n">
        <v>8.27469555509042</v>
      </c>
      <c r="K266" s="0" t="n">
        <v>3.91709844559585</v>
      </c>
      <c r="L266" s="0" t="n">
        <v>0.165803108808293</v>
      </c>
      <c r="M266" s="0" t="n">
        <f aca="false">IF(OR(B266="NW",COUNT(Risk_Rank_Keys!B266)=0),0.5,(SUMPRODUCT(--ISNUMBER(Risk_Rank_Keys!$B$2:$B$800),--(Risk_Rank_Keys!$B$2:$B$800&lt;Risk_Rank_Keys!B266))+(SUMPRODUCT(--ISNUMBER(Risk_Rank_Keys!$B$2:$B$800),--(Risk_Rank_Keys!$B$2:$B$800=Risk_Rank_Keys!B266))+1)/2)/COUNT(Risk_Rank_Keys!$B$2:$B$800))</f>
        <v>0.396094839609484</v>
      </c>
      <c r="N266" s="0" t="n">
        <f aca="false">IF(OR(B266="NW",COUNT(Risk_Rank_Keys!C266)=0),0.5,(SUMPRODUCT(--ISNUMBER(Risk_Rank_Keys!$C$2:$C$800),--(Risk_Rank_Keys!$C$2:$C$800&lt;Risk_Rank_Keys!C266))+(SUMPRODUCT(--ISNUMBER(Risk_Rank_Keys!$C$2:$C$800),--(Risk_Rank_Keys!$C$2:$C$800=Risk_Rank_Keys!C266))+1)/2)/COUNT(Risk_Rank_Keys!$C$2:$C$800))</f>
        <v>0.584379358437936</v>
      </c>
      <c r="O266" s="0" t="n">
        <f aca="false">IF(OR(B266="NW",COUNT(Risk_Rank_Keys!D266)=0),0.5,(SUMPRODUCT(--ISNUMBER(Risk_Rank_Keys!$D$2:$D$800),--(Risk_Rank_Keys!$D$2:$D$800&lt;Risk_Rank_Keys!D266))+(SUMPRODUCT(--ISNUMBER(Risk_Rank_Keys!$D$2:$D$800),--(Risk_Rank_Keys!$D$2:$D$800=Risk_Rank_Keys!D266))+1)/2)/COUNT(Risk_Rank_Keys!$D$2:$D$800))</f>
        <v>0.154811715481172</v>
      </c>
      <c r="P266" s="0" t="n">
        <f aca="false">AVERAGE(M266:O266)</f>
        <v>0.378428637842864</v>
      </c>
      <c r="Q266" s="0" t="n">
        <f aca="false">0.4*H266+0.4*I266+0.2*P266</f>
        <v>0.265422899032903</v>
      </c>
      <c r="R266" s="0" t="n">
        <f aca="false">PERCENTILE($Q$2:$Q$800,0.75)</f>
        <v>0.667715717403612</v>
      </c>
      <c r="S266" s="1" t="b">
        <f aca="false">OR(Q266&gt;=R266,AND(B266="CW",COUNT(J266:L266)&lt;3))</f>
        <v>0</v>
      </c>
      <c r="T266" s="0" t="n">
        <v>0.27008648477578</v>
      </c>
      <c r="U266" s="0" t="n">
        <v>4.45291331090751</v>
      </c>
      <c r="V266" s="0" t="n">
        <v>0.265422899032903</v>
      </c>
      <c r="W266" s="0" t="n">
        <f aca="false">Q266-V266</f>
        <v>0</v>
      </c>
    </row>
    <row r="267" customFormat="false" ht="15" hidden="false" customHeight="false" outlineLevel="0" collapsed="false">
      <c r="A267" s="0" t="s">
        <v>301</v>
      </c>
      <c r="B267" s="0" t="s">
        <v>3013</v>
      </c>
      <c r="C267" s="0" t="n">
        <v>43.1087189358787</v>
      </c>
      <c r="D267" s="0" t="n">
        <f aca="false">SUMPRODUCT(Risk_Inputs!B267:AJ267,Risk_Coefs!$B$2:$AJ$2)</f>
        <v>-1.16290813141459</v>
      </c>
      <c r="E267" s="0" t="n">
        <f aca="false">1/(1+EXP(-MAX(-25,MIN(25,D267))))</f>
        <v>0.238139264184161</v>
      </c>
      <c r="F267" s="0" t="n">
        <f aca="false">SUMPRODUCT(Risk_Inputs!B267:AJ267,Risk_Coefs!$B$3:$AJ$3)</f>
        <v>7.41564268494421</v>
      </c>
      <c r="G267" s="0" t="n">
        <f aca="false">MAX(0,F267)</f>
        <v>7.41564268494421</v>
      </c>
      <c r="H267" s="0" t="n">
        <f aca="false">(SUMPRODUCT(--ISNUMBER($E$2:$E$800),--($E$2:$E$800&lt;E267))+(SUMPRODUCT(--ISNUMBER($E$2:$E$800),--($E$2:$E$800=E267))+1)/2)/COUNT($E$2:$E$800)</f>
        <v>0.215269086357947</v>
      </c>
      <c r="I267" s="0" t="n">
        <f aca="false">(SUMPRODUCT(--ISNUMBER($G$2:$G$800),--($G$2:$G$800&lt;G267))+(SUMPRODUCT(--ISNUMBER($G$2:$G$800),--($G$2:$G$800=G267))+1)/2)/COUNT($G$2:$G$800)</f>
        <v>0.463078848560701</v>
      </c>
      <c r="J267" s="0" t="n">
        <v>27.3873501446897</v>
      </c>
      <c r="K267" s="0" t="n">
        <v>9.86858418051081</v>
      </c>
      <c r="L267" s="0" t="n">
        <v>0.446317877510534</v>
      </c>
      <c r="M267" s="0" t="n">
        <f aca="false">IF(OR(B267="NW",COUNT(Risk_Rank_Keys!B267)=0),0.5,(SUMPRODUCT(--ISNUMBER(Risk_Rank_Keys!$B$2:$B$800),--(Risk_Rank_Keys!$B$2:$B$800&lt;Risk_Rank_Keys!B267))+(SUMPRODUCT(--ISNUMBER(Risk_Rank_Keys!$B$2:$B$800),--(Risk_Rank_Keys!$B$2:$B$800=Risk_Rank_Keys!B267))+1)/2)/COUNT(Risk_Rank_Keys!$B$2:$B$800))</f>
        <v>0.891213389121339</v>
      </c>
      <c r="N267" s="0" t="n">
        <f aca="false">IF(OR(B267="NW",COUNT(Risk_Rank_Keys!C267)=0),0.5,(SUMPRODUCT(--ISNUMBER(Risk_Rank_Keys!$C$2:$C$800),--(Risk_Rank_Keys!$C$2:$C$800&lt;Risk_Rank_Keys!C267))+(SUMPRODUCT(--ISNUMBER(Risk_Rank_Keys!$C$2:$C$800),--(Risk_Rank_Keys!$C$2:$C$800=Risk_Rank_Keys!C267))+1)/2)/COUNT(Risk_Rank_Keys!$C$2:$C$800))</f>
        <v>0.877266387726639</v>
      </c>
      <c r="O267" s="0" t="n">
        <f aca="false">IF(OR(B267="NW",COUNT(Risk_Rank_Keys!D267)=0),0.5,(SUMPRODUCT(--ISNUMBER(Risk_Rank_Keys!$D$2:$D$800),--(Risk_Rank_Keys!$D$2:$D$800&lt;Risk_Rank_Keys!D267))+(SUMPRODUCT(--ISNUMBER(Risk_Rank_Keys!$D$2:$D$800),--(Risk_Rank_Keys!$D$2:$D$800=Risk_Rank_Keys!D267))+1)/2)/COUNT(Risk_Rank_Keys!$D$2:$D$800))</f>
        <v>0.919107391910739</v>
      </c>
      <c r="P267" s="0" t="n">
        <f aca="false">AVERAGE(M267:O267)</f>
        <v>0.895862389586239</v>
      </c>
      <c r="Q267" s="0" t="n">
        <f aca="false">0.4*H267+0.4*I267+0.2*P267</f>
        <v>0.450511651884707</v>
      </c>
      <c r="R267" s="0" t="n">
        <f aca="false">PERCENTILE($Q$2:$Q$800,0.75)</f>
        <v>0.667715717403612</v>
      </c>
      <c r="S267" s="1" t="b">
        <f aca="false">OR(Q267&gt;=R267,AND(B267="CW",COUNT(J267:L267)&lt;3))</f>
        <v>0</v>
      </c>
      <c r="T267" s="0" t="n">
        <v>0.238139264184161</v>
      </c>
      <c r="U267" s="0" t="n">
        <v>7.41564268494421</v>
      </c>
      <c r="V267" s="0" t="n">
        <v>0.450511651884707</v>
      </c>
      <c r="W267" s="0" t="n">
        <f aca="false">Q267-V267</f>
        <v>0</v>
      </c>
    </row>
    <row r="268" customFormat="false" ht="15" hidden="false" customHeight="false" outlineLevel="0" collapsed="false">
      <c r="A268" s="0" t="s">
        <v>302</v>
      </c>
      <c r="B268" s="0" t="s">
        <v>3013</v>
      </c>
      <c r="C268" s="0" t="n">
        <v>8.41364383558547</v>
      </c>
      <c r="D268" s="0" t="n">
        <f aca="false">SUMPRODUCT(Risk_Inputs!B268:AJ268,Risk_Coefs!$B$2:$AJ$2)</f>
        <v>-0.727761780201613</v>
      </c>
      <c r="E268" s="0" t="n">
        <f aca="false">1/(1+EXP(-MAX(-25,MIN(25,D268))))</f>
        <v>0.325686081384457</v>
      </c>
      <c r="F268" s="0" t="n">
        <f aca="false">SUMPRODUCT(Risk_Inputs!B268:AJ268,Risk_Coefs!$B$3:$AJ$3)</f>
        <v>6.27257555639965</v>
      </c>
      <c r="G268" s="0" t="n">
        <f aca="false">MAX(0,F268)</f>
        <v>6.27257555639965</v>
      </c>
      <c r="H268" s="0" t="n">
        <f aca="false">(SUMPRODUCT(--ISNUMBER($E$2:$E$800),--($E$2:$E$800&lt;E268))+(SUMPRODUCT(--ISNUMBER($E$2:$E$800),--($E$2:$E$800=E268))+1)/2)/COUNT($E$2:$E$800)</f>
        <v>0.707133917396746</v>
      </c>
      <c r="I268" s="0" t="n">
        <f aca="false">(SUMPRODUCT(--ISNUMBER($G$2:$G$800),--($G$2:$G$800&lt;G268))+(SUMPRODUCT(--ISNUMBER($G$2:$G$800),--($G$2:$G$800=G268))+1)/2)/COUNT($G$2:$G$800)</f>
        <v>0.307884856070088</v>
      </c>
      <c r="J268" s="0" t="n">
        <v>12.6637138492456</v>
      </c>
      <c r="K268" s="0" t="n">
        <v>3.42368045649072</v>
      </c>
      <c r="L268" s="0" t="n">
        <v>0.190204469805036</v>
      </c>
      <c r="M268" s="0" t="n">
        <f aca="false">IF(OR(B268="NW",COUNT(Risk_Rank_Keys!B268)=0),0.5,(SUMPRODUCT(--ISNUMBER(Risk_Rank_Keys!$B$2:$B$800),--(Risk_Rank_Keys!$B$2:$B$800&lt;Risk_Rank_Keys!B268))+(SUMPRODUCT(--ISNUMBER(Risk_Rank_Keys!$B$2:$B$800),--(Risk_Rank_Keys!$B$2:$B$800=Risk_Rank_Keys!B268))+1)/2)/COUNT(Risk_Rank_Keys!$B$2:$B$800))</f>
        <v>0.620641562064156</v>
      </c>
      <c r="N268" s="0" t="n">
        <f aca="false">IF(OR(B268="NW",COUNT(Risk_Rank_Keys!C268)=0),0.5,(SUMPRODUCT(--ISNUMBER(Risk_Rank_Keys!$C$2:$C$800),--(Risk_Rank_Keys!$C$2:$C$800&lt;Risk_Rank_Keys!C268))+(SUMPRODUCT(--ISNUMBER(Risk_Rank_Keys!$C$2:$C$800),--(Risk_Rank_Keys!$C$2:$C$800=Risk_Rank_Keys!C268))+1)/2)/COUNT(Risk_Rank_Keys!$C$2:$C$800))</f>
        <v>0.518828451882845</v>
      </c>
      <c r="O268" s="0" t="n">
        <f aca="false">IF(OR(B268="NW",COUNT(Risk_Rank_Keys!D268)=0),0.5,(SUMPRODUCT(--ISNUMBER(Risk_Rank_Keys!$D$2:$D$800),--(Risk_Rank_Keys!$D$2:$D$800&lt;Risk_Rank_Keys!D268))+(SUMPRODUCT(--ISNUMBER(Risk_Rank_Keys!$D$2:$D$800),--(Risk_Rank_Keys!$D$2:$D$800=Risk_Rank_Keys!D268))+1)/2)/COUNT(Risk_Rank_Keys!$D$2:$D$800))</f>
        <v>0.255230125523013</v>
      </c>
      <c r="P268" s="0" t="n">
        <f aca="false">AVERAGE(M268:O268)</f>
        <v>0.464900046490005</v>
      </c>
      <c r="Q268" s="0" t="n">
        <f aca="false">0.4*H268+0.4*I268+0.2*P268</f>
        <v>0.498987518684734</v>
      </c>
      <c r="R268" s="0" t="n">
        <f aca="false">PERCENTILE($Q$2:$Q$800,0.75)</f>
        <v>0.667715717403612</v>
      </c>
      <c r="S268" s="1" t="b">
        <f aca="false">OR(Q268&gt;=R268,AND(B268="CW",COUNT(J268:L268)&lt;3))</f>
        <v>0</v>
      </c>
      <c r="T268" s="0" t="n">
        <v>0.325686081384457</v>
      </c>
      <c r="U268" s="0" t="n">
        <v>6.27257555639965</v>
      </c>
      <c r="V268" s="0" t="n">
        <v>0.498987518684734</v>
      </c>
      <c r="W268" s="0" t="n">
        <f aca="false">Q268-V268</f>
        <v>0</v>
      </c>
    </row>
    <row r="269" customFormat="false" ht="15" hidden="false" customHeight="false" outlineLevel="0" collapsed="false">
      <c r="A269" s="0" t="s">
        <v>303</v>
      </c>
      <c r="B269" s="0" t="s">
        <v>3013</v>
      </c>
      <c r="C269" s="0" t="n">
        <v>19.0552176201205</v>
      </c>
      <c r="D269" s="0" t="n">
        <f aca="false">SUMPRODUCT(Risk_Inputs!B269:AJ269,Risk_Coefs!$B$2:$AJ$2)</f>
        <v>-0.466414430714843</v>
      </c>
      <c r="E269" s="0" t="n">
        <f aca="false">1/(1+EXP(-MAX(-25,MIN(25,D269))))</f>
        <v>0.385465250110056</v>
      </c>
      <c r="F269" s="0" t="n">
        <f aca="false">SUMPRODUCT(Risk_Inputs!B269:AJ269,Risk_Coefs!$B$3:$AJ$3)</f>
        <v>6.1113837829614</v>
      </c>
      <c r="G269" s="0" t="n">
        <f aca="false">MAX(0,F269)</f>
        <v>6.1113837829614</v>
      </c>
      <c r="H269" s="0" t="n">
        <f aca="false">(SUMPRODUCT(--ISNUMBER($E$2:$E$800),--($E$2:$E$800&lt;E269))+(SUMPRODUCT(--ISNUMBER($E$2:$E$800),--($E$2:$E$800=E269))+1)/2)/COUNT($E$2:$E$800)</f>
        <v>0.914893617021277</v>
      </c>
      <c r="I269" s="0" t="n">
        <f aca="false">(SUMPRODUCT(--ISNUMBER($G$2:$G$800),--($G$2:$G$800&lt;G269))+(SUMPRODUCT(--ISNUMBER($G$2:$G$800),--($G$2:$G$800=G269))+1)/2)/COUNT($G$2:$G$800)</f>
        <v>0.280350438047559</v>
      </c>
      <c r="J269" s="0" t="n">
        <v>9.87475155377572</v>
      </c>
      <c r="K269" s="0" t="n">
        <v>1.80124223602485</v>
      </c>
      <c r="L269" s="0" t="n">
        <v>0.20186335403726</v>
      </c>
      <c r="M269" s="0" t="n">
        <f aca="false">IF(OR(B269="NW",COUNT(Risk_Rank_Keys!B269)=0),0.5,(SUMPRODUCT(--ISNUMBER(Risk_Rank_Keys!$B$2:$B$800),--(Risk_Rank_Keys!$B$2:$B$800&lt;Risk_Rank_Keys!B269))+(SUMPRODUCT(--ISNUMBER(Risk_Rank_Keys!$B$2:$B$800),--(Risk_Rank_Keys!$B$2:$B$800=Risk_Rank_Keys!B269))+1)/2)/COUNT(Risk_Rank_Keys!$B$2:$B$800))</f>
        <v>0.499302649930265</v>
      </c>
      <c r="N269" s="0" t="n">
        <f aca="false">IF(OR(B269="NW",COUNT(Risk_Rank_Keys!C269)=0),0.5,(SUMPRODUCT(--ISNUMBER(Risk_Rank_Keys!$C$2:$C$800),--(Risk_Rank_Keys!$C$2:$C$800&lt;Risk_Rank_Keys!C269))+(SUMPRODUCT(--ISNUMBER(Risk_Rank_Keys!$C$2:$C$800),--(Risk_Rank_Keys!$C$2:$C$800=Risk_Rank_Keys!C269))+1)/2)/COUNT(Risk_Rank_Keys!$C$2:$C$800))</f>
        <v>0.214783821478382</v>
      </c>
      <c r="O269" s="0" t="n">
        <f aca="false">IF(OR(B269="NW",COUNT(Risk_Rank_Keys!D269)=0),0.5,(SUMPRODUCT(--ISNUMBER(Risk_Rank_Keys!$D$2:$D$800),--(Risk_Rank_Keys!$D$2:$D$800&lt;Risk_Rank_Keys!D269))+(SUMPRODUCT(--ISNUMBER(Risk_Rank_Keys!$D$2:$D$800),--(Risk_Rank_Keys!$D$2:$D$800=Risk_Rank_Keys!D269))+1)/2)/COUNT(Risk_Rank_Keys!$D$2:$D$800))</f>
        <v>0.320781032078103</v>
      </c>
      <c r="P269" s="0" t="n">
        <f aca="false">AVERAGE(M269:O269)</f>
        <v>0.344955834495583</v>
      </c>
      <c r="Q269" s="0" t="n">
        <f aca="false">0.4*H269+0.4*I269+0.2*P269</f>
        <v>0.547088788926651</v>
      </c>
      <c r="R269" s="0" t="n">
        <f aca="false">PERCENTILE($Q$2:$Q$800,0.75)</f>
        <v>0.667715717403612</v>
      </c>
      <c r="S269" s="1" t="b">
        <f aca="false">OR(Q269&gt;=R269,AND(B269="CW",COUNT(J269:L269)&lt;3))</f>
        <v>0</v>
      </c>
      <c r="T269" s="0" t="n">
        <v>0.385465250110056</v>
      </c>
      <c r="U269" s="0" t="n">
        <v>6.1113837829614</v>
      </c>
      <c r="V269" s="0" t="n">
        <v>0.547088788926651</v>
      </c>
      <c r="W269" s="0" t="n">
        <f aca="false">Q269-V269</f>
        <v>0</v>
      </c>
    </row>
    <row r="270" customFormat="false" ht="15" hidden="false" customHeight="false" outlineLevel="0" collapsed="false">
      <c r="A270" s="0" t="s">
        <v>304</v>
      </c>
      <c r="B270" s="0" t="s">
        <v>3013</v>
      </c>
      <c r="C270" s="0" t="n">
        <v>-35.5179281559396</v>
      </c>
      <c r="D270" s="0" t="n">
        <f aca="false">SUMPRODUCT(Risk_Inputs!B270:AJ270,Risk_Coefs!$B$2:$AJ$2)</f>
        <v>-1.05052766961941</v>
      </c>
      <c r="E270" s="0" t="n">
        <f aca="false">1/(1+EXP(-MAX(-25,MIN(25,D270))))</f>
        <v>0.259123786641761</v>
      </c>
      <c r="F270" s="0" t="n">
        <f aca="false">SUMPRODUCT(Risk_Inputs!B270:AJ270,Risk_Coefs!$B$3:$AJ$3)</f>
        <v>8.94229488676927</v>
      </c>
      <c r="G270" s="0" t="n">
        <f aca="false">MAX(0,F270)</f>
        <v>8.94229488676927</v>
      </c>
      <c r="H270" s="0" t="n">
        <f aca="false">(SUMPRODUCT(--ISNUMBER($E$2:$E$800),--($E$2:$E$800&lt;E270))+(SUMPRODUCT(--ISNUMBER($E$2:$E$800),--($E$2:$E$800=E270))+1)/2)/COUNT($E$2:$E$800)</f>
        <v>0.32665832290363</v>
      </c>
      <c r="I270" s="0" t="n">
        <f aca="false">(SUMPRODUCT(--ISNUMBER($G$2:$G$800),--($G$2:$G$800&lt;G270))+(SUMPRODUCT(--ISNUMBER($G$2:$G$800),--($G$2:$G$800=G270))+1)/2)/COUNT($G$2:$G$800)</f>
        <v>0.672090112640801</v>
      </c>
      <c r="J270" s="0" t="n">
        <v>26.4426125554856</v>
      </c>
      <c r="K270" s="0" t="n">
        <v>9.18826301135147</v>
      </c>
      <c r="L270" s="0" t="n">
        <v>0.492610837438426</v>
      </c>
      <c r="M270" s="0" t="n">
        <f aca="false">IF(OR(B270="NW",COUNT(Risk_Rank_Keys!B270)=0),0.5,(SUMPRODUCT(--ISNUMBER(Risk_Rank_Keys!$B$2:$B$800),--(Risk_Rank_Keys!$B$2:$B$800&lt;Risk_Rank_Keys!B270))+(SUMPRODUCT(--ISNUMBER(Risk_Rank_Keys!$B$2:$B$800),--(Risk_Rank_Keys!$B$2:$B$800=Risk_Rank_Keys!B270))+1)/2)/COUNT(Risk_Rank_Keys!$B$2:$B$800))</f>
        <v>0.874476987447699</v>
      </c>
      <c r="N270" s="0" t="n">
        <f aca="false">IF(OR(B270="NW",COUNT(Risk_Rank_Keys!C270)=0),0.5,(SUMPRODUCT(--ISNUMBER(Risk_Rank_Keys!$C$2:$C$800),--(Risk_Rank_Keys!$C$2:$C$800&lt;Risk_Rank_Keys!C270))+(SUMPRODUCT(--ISNUMBER(Risk_Rank_Keys!$C$2:$C$800),--(Risk_Rank_Keys!$C$2:$C$800=Risk_Rank_Keys!C270))+1)/2)/COUNT(Risk_Rank_Keys!$C$2:$C$800))</f>
        <v>0.857740585774059</v>
      </c>
      <c r="O270" s="0" t="n">
        <f aca="false">IF(OR(B270="NW",COUNT(Risk_Rank_Keys!D270)=0),0.5,(SUMPRODUCT(--ISNUMBER(Risk_Rank_Keys!$D$2:$D$800),--(Risk_Rank_Keys!$D$2:$D$800&lt;Risk_Rank_Keys!D270))+(SUMPRODUCT(--ISNUMBER(Risk_Rank_Keys!$D$2:$D$800),--(Risk_Rank_Keys!$D$2:$D$800=Risk_Rank_Keys!D270))+1)/2)/COUNT(Risk_Rank_Keys!$D$2:$D$800))</f>
        <v>0.94839609483961</v>
      </c>
      <c r="P270" s="0" t="n">
        <f aca="false">AVERAGE(M270:O270)</f>
        <v>0.893537889353789</v>
      </c>
      <c r="Q270" s="0" t="n">
        <f aca="false">0.4*H270+0.4*I270+0.2*P270</f>
        <v>0.57820695208853</v>
      </c>
      <c r="R270" s="0" t="n">
        <f aca="false">PERCENTILE($Q$2:$Q$800,0.75)</f>
        <v>0.667715717403612</v>
      </c>
      <c r="S270" s="1" t="b">
        <f aca="false">OR(Q270&gt;=R270,AND(B270="CW",COUNT(J270:L270)&lt;3))</f>
        <v>0</v>
      </c>
      <c r="T270" s="0" t="n">
        <v>0.259123786641761</v>
      </c>
      <c r="U270" s="0" t="n">
        <v>8.94229488676927</v>
      </c>
      <c r="V270" s="0" t="n">
        <v>0.57820695208853</v>
      </c>
      <c r="W270" s="0" t="n">
        <f aca="false">Q270-V270</f>
        <v>0</v>
      </c>
    </row>
    <row r="271" customFormat="false" ht="15" hidden="false" customHeight="false" outlineLevel="0" collapsed="false">
      <c r="A271" s="0" t="s">
        <v>305</v>
      </c>
      <c r="B271" s="0" t="s">
        <v>33</v>
      </c>
      <c r="C271" s="0" t="n">
        <v>-43.5877798245781</v>
      </c>
      <c r="D271" s="0" t="n">
        <f aca="false">SUMPRODUCT(Risk_Inputs!B271:AJ271,Risk_Coefs!$B$2:$AJ$2)</f>
        <v>-0.354881183516008</v>
      </c>
      <c r="E271" s="0" t="n">
        <f aca="false">1/(1+EXP(-MAX(-25,MIN(25,D271))))</f>
        <v>0.412199249385207</v>
      </c>
      <c r="F271" s="0" t="n">
        <f aca="false">SUMPRODUCT(Risk_Inputs!B271:AJ271,Risk_Coefs!$B$3:$AJ$3)</f>
        <v>13.0750575871071</v>
      </c>
      <c r="G271" s="0" t="n">
        <f aca="false">MAX(0,F271)</f>
        <v>13.0750575871071</v>
      </c>
      <c r="H271" s="0" t="n">
        <f aca="false">(SUMPRODUCT(--ISNUMBER($E$2:$E$800),--($E$2:$E$800&lt;E271))+(SUMPRODUCT(--ISNUMBER($E$2:$E$800),--($E$2:$E$800=E271))+1)/2)/COUNT($E$2:$E$800)</f>
        <v>0.961201501877347</v>
      </c>
      <c r="I271" s="0" t="n">
        <f aca="false">(SUMPRODUCT(--ISNUMBER($G$2:$G$800),--($G$2:$G$800&lt;G271))+(SUMPRODUCT(--ISNUMBER($G$2:$G$800),--($G$2:$G$800=G271))+1)/2)/COUNT($G$2:$G$800)</f>
        <v>0.95369211514393</v>
      </c>
      <c r="M271" s="0" t="n">
        <f aca="false">IF(OR(B271="NW",COUNT(Risk_Rank_Keys!B271)=0),0.5,(SUMPRODUCT(--ISNUMBER(Risk_Rank_Keys!$B$2:$B$800),--(Risk_Rank_Keys!$B$2:$B$800&lt;Risk_Rank_Keys!B271))+(SUMPRODUCT(--ISNUMBER(Risk_Rank_Keys!$B$2:$B$800),--(Risk_Rank_Keys!$B$2:$B$800=Risk_Rank_Keys!B271))+1)/2)/COUNT(Risk_Rank_Keys!$B$2:$B$800))</f>
        <v>0.5</v>
      </c>
      <c r="N271" s="0" t="n">
        <f aca="false">IF(OR(B271="NW",COUNT(Risk_Rank_Keys!C271)=0),0.5,(SUMPRODUCT(--ISNUMBER(Risk_Rank_Keys!$C$2:$C$800),--(Risk_Rank_Keys!$C$2:$C$800&lt;Risk_Rank_Keys!C271))+(SUMPRODUCT(--ISNUMBER(Risk_Rank_Keys!$C$2:$C$800),--(Risk_Rank_Keys!$C$2:$C$800=Risk_Rank_Keys!C271))+1)/2)/COUNT(Risk_Rank_Keys!$C$2:$C$800))</f>
        <v>0.5</v>
      </c>
      <c r="O271" s="0" t="n">
        <f aca="false">IF(OR(B271="NW",COUNT(Risk_Rank_Keys!D271)=0),0.5,(SUMPRODUCT(--ISNUMBER(Risk_Rank_Keys!$D$2:$D$800),--(Risk_Rank_Keys!$D$2:$D$800&lt;Risk_Rank_Keys!D271))+(SUMPRODUCT(--ISNUMBER(Risk_Rank_Keys!$D$2:$D$800),--(Risk_Rank_Keys!$D$2:$D$800=Risk_Rank_Keys!D271))+1)/2)/COUNT(Risk_Rank_Keys!$D$2:$D$800))</f>
        <v>0.5</v>
      </c>
      <c r="P271" s="0" t="n">
        <f aca="false">AVERAGE(M271:O271)</f>
        <v>0.5</v>
      </c>
      <c r="Q271" s="0" t="n">
        <f aca="false">0.4*H271+0.4*I271+0.2*P271</f>
        <v>0.865957446808511</v>
      </c>
      <c r="R271" s="0" t="n">
        <f aca="false">PERCENTILE($Q$2:$Q$800,0.75)</f>
        <v>0.667715717403612</v>
      </c>
      <c r="S271" s="1" t="b">
        <f aca="false">OR(Q271&gt;=R271,AND(B271="CW",COUNT(J271:L271)&lt;3))</f>
        <v>1</v>
      </c>
      <c r="T271" s="0" t="n">
        <v>0.412199249385207</v>
      </c>
      <c r="U271" s="0" t="n">
        <v>13.0750575871071</v>
      </c>
      <c r="V271" s="0" t="n">
        <v>0.865957446808511</v>
      </c>
      <c r="W271" s="0" t="n">
        <f aca="false">Q271-V271</f>
        <v>0</v>
      </c>
    </row>
    <row r="272" customFormat="false" ht="15" hidden="false" customHeight="false" outlineLevel="0" collapsed="false">
      <c r="A272" s="0" t="s">
        <v>306</v>
      </c>
      <c r="B272" s="0" t="s">
        <v>3013</v>
      </c>
      <c r="C272" s="0" t="n">
        <v>23.7628537950785</v>
      </c>
      <c r="D272" s="0" t="n">
        <f aca="false">SUMPRODUCT(Risk_Inputs!B272:AJ272,Risk_Coefs!$B$2:$AJ$2)</f>
        <v>-1.65346041819714</v>
      </c>
      <c r="E272" s="0" t="n">
        <f aca="false">1/(1+EXP(-MAX(-25,MIN(25,D272))))</f>
        <v>0.160641812454554</v>
      </c>
      <c r="F272" s="0" t="n">
        <f aca="false">SUMPRODUCT(Risk_Inputs!B272:AJ272,Risk_Coefs!$B$3:$AJ$3)</f>
        <v>5.66386772559184</v>
      </c>
      <c r="G272" s="0" t="n">
        <f aca="false">MAX(0,F272)</f>
        <v>5.66386772559184</v>
      </c>
      <c r="H272" s="0" t="n">
        <f aca="false">(SUMPRODUCT(--ISNUMBER($E$2:$E$800),--($E$2:$E$800&lt;E272))+(SUMPRODUCT(--ISNUMBER($E$2:$E$800),--($E$2:$E$800=E272))+1)/2)/COUNT($E$2:$E$800)</f>
        <v>0.0362953692115144</v>
      </c>
      <c r="I272" s="0" t="n">
        <f aca="false">(SUMPRODUCT(--ISNUMBER($G$2:$G$800),--($G$2:$G$800&lt;G272))+(SUMPRODUCT(--ISNUMBER($G$2:$G$800),--($G$2:$G$800=G272))+1)/2)/COUNT($G$2:$G$800)</f>
        <v>0.222778473091364</v>
      </c>
      <c r="J272" s="0" t="n">
        <v>59.276298327878</v>
      </c>
      <c r="K272" s="0" t="n">
        <v>4.39995343964614</v>
      </c>
      <c r="L272" s="0" t="n">
        <v>0.44232336165755</v>
      </c>
      <c r="M272" s="0" t="n">
        <f aca="false">IF(OR(B272="NW",COUNT(Risk_Rank_Keys!B272)=0),0.5,(SUMPRODUCT(--ISNUMBER(Risk_Rank_Keys!$B$2:$B$800),--(Risk_Rank_Keys!$B$2:$B$800&lt;Risk_Rank_Keys!B272))+(SUMPRODUCT(--ISNUMBER(Risk_Rank_Keys!$B$2:$B$800),--(Risk_Rank_Keys!$B$2:$B$800=Risk_Rank_Keys!B272))+1)/2)/COUNT(Risk_Rank_Keys!$B$2:$B$800))</f>
        <v>0.98744769874477</v>
      </c>
      <c r="N272" s="0" t="n">
        <f aca="false">IF(OR(B272="NW",COUNT(Risk_Rank_Keys!C272)=0),0.5,(SUMPRODUCT(--ISNUMBER(Risk_Rank_Keys!$C$2:$C$800),--(Risk_Rank_Keys!$C$2:$C$800&lt;Risk_Rank_Keys!C272))+(SUMPRODUCT(--ISNUMBER(Risk_Rank_Keys!$C$2:$C$800),--(Risk_Rank_Keys!$C$2:$C$800=Risk_Rank_Keys!C272))+1)/2)/COUNT(Risk_Rank_Keys!$C$2:$C$800))</f>
        <v>0.635983263598326</v>
      </c>
      <c r="O272" s="0" t="n">
        <f aca="false">IF(OR(B272="NW",COUNT(Risk_Rank_Keys!D272)=0),0.5,(SUMPRODUCT(--ISNUMBER(Risk_Rank_Keys!$D$2:$D$800),--(Risk_Rank_Keys!$D$2:$D$800&lt;Risk_Rank_Keys!D272))+(SUMPRODUCT(--ISNUMBER(Risk_Rank_Keys!$D$2:$D$800),--(Risk_Rank_Keys!$D$2:$D$800=Risk_Rank_Keys!D272))+1)/2)/COUNT(Risk_Rank_Keys!$D$2:$D$800))</f>
        <v>0.913528591352859</v>
      </c>
      <c r="P272" s="0" t="n">
        <f aca="false">AVERAGE(M272:O272)</f>
        <v>0.845653184565319</v>
      </c>
      <c r="Q272" s="0" t="n">
        <f aca="false">0.4*H272+0.4*I272+0.2*P272</f>
        <v>0.272760173834215</v>
      </c>
      <c r="R272" s="0" t="n">
        <f aca="false">PERCENTILE($Q$2:$Q$800,0.75)</f>
        <v>0.667715717403612</v>
      </c>
      <c r="S272" s="1" t="b">
        <f aca="false">OR(Q272&gt;=R272,AND(B272="CW",COUNT(J272:L272)&lt;3))</f>
        <v>0</v>
      </c>
      <c r="T272" s="0" t="n">
        <v>0.160641812454554</v>
      </c>
      <c r="U272" s="0" t="n">
        <v>5.66386772559184</v>
      </c>
      <c r="V272" s="0" t="n">
        <v>0.272760173834215</v>
      </c>
      <c r="W272" s="0" t="n">
        <f aca="false">Q272-V272</f>
        <v>0</v>
      </c>
    </row>
    <row r="273" customFormat="false" ht="15" hidden="false" customHeight="false" outlineLevel="0" collapsed="false">
      <c r="A273" s="0" t="s">
        <v>307</v>
      </c>
      <c r="B273" s="0" t="s">
        <v>3013</v>
      </c>
      <c r="C273" s="0" t="n">
        <v>65.4532862780434</v>
      </c>
      <c r="D273" s="0" t="n">
        <f aca="false">SUMPRODUCT(Risk_Inputs!B273:AJ273,Risk_Coefs!$B$2:$AJ$2)</f>
        <v>-0.724591908251035</v>
      </c>
      <c r="E273" s="0" t="n">
        <f aca="false">1/(1+EXP(-MAX(-25,MIN(25,D273))))</f>
        <v>0.326382616017005</v>
      </c>
      <c r="F273" s="0" t="n">
        <f aca="false">SUMPRODUCT(Risk_Inputs!B273:AJ273,Risk_Coefs!$B$3:$AJ$3)</f>
        <v>9.1937113155999</v>
      </c>
      <c r="G273" s="0" t="n">
        <f aca="false">MAX(0,F273)</f>
        <v>9.1937113155999</v>
      </c>
      <c r="H273" s="0" t="n">
        <f aca="false">(SUMPRODUCT(--ISNUMBER($E$2:$E$800),--($E$2:$E$800&lt;E273))+(SUMPRODUCT(--ISNUMBER($E$2:$E$800),--($E$2:$E$800=E273))+1)/2)/COUNT($E$2:$E$800)</f>
        <v>0.714643304130163</v>
      </c>
      <c r="I273" s="0" t="n">
        <f aca="false">(SUMPRODUCT(--ISNUMBER($G$2:$G$800),--($G$2:$G$800&lt;G273))+(SUMPRODUCT(--ISNUMBER($G$2:$G$800),--($G$2:$G$800=G273))+1)/2)/COUNT($G$2:$G$800)</f>
        <v>0.700876095118899</v>
      </c>
      <c r="J273" s="0" t="n">
        <v>21.0849272145697</v>
      </c>
      <c r="K273" s="0" t="n">
        <v>1.89573459715637</v>
      </c>
      <c r="L273" s="0" t="n">
        <v>0.143616257360333</v>
      </c>
      <c r="M273" s="0" t="n">
        <f aca="false">IF(OR(B273="NW",COUNT(Risk_Rank_Keys!B273)=0),0.5,(SUMPRODUCT(--ISNUMBER(Risk_Rank_Keys!$B$2:$B$800),--(Risk_Rank_Keys!$B$2:$B$800&lt;Risk_Rank_Keys!B273))+(SUMPRODUCT(--ISNUMBER(Risk_Rank_Keys!$B$2:$B$800),--(Risk_Rank_Keys!$B$2:$B$800=Risk_Rank_Keys!B273))+1)/2)/COUNT(Risk_Rank_Keys!$B$2:$B$800))</f>
        <v>0.813110181311018</v>
      </c>
      <c r="N273" s="0" t="n">
        <f aca="false">IF(OR(B273="NW",COUNT(Risk_Rank_Keys!C273)=0),0.5,(SUMPRODUCT(--ISNUMBER(Risk_Rank_Keys!$C$2:$C$800),--(Risk_Rank_Keys!$C$2:$C$800&lt;Risk_Rank_Keys!C273))+(SUMPRODUCT(--ISNUMBER(Risk_Rank_Keys!$C$2:$C$800),--(Risk_Rank_Keys!$C$2:$C$800=Risk_Rank_Keys!C273))+1)/2)/COUNT(Risk_Rank_Keys!$C$2:$C$800))</f>
        <v>0.246861924686192</v>
      </c>
      <c r="O273" s="0" t="n">
        <f aca="false">IF(OR(B273="NW",COUNT(Risk_Rank_Keys!D273)=0),0.5,(SUMPRODUCT(--ISNUMBER(Risk_Rank_Keys!$D$2:$D$800),--(Risk_Rank_Keys!$D$2:$D$800&lt;Risk_Rank_Keys!D273))+(SUMPRODUCT(--ISNUMBER(Risk_Rank_Keys!$D$2:$D$800),--(Risk_Rank_Keys!$D$2:$D$800=Risk_Rank_Keys!D273))+1)/2)/COUNT(Risk_Rank_Keys!$D$2:$D$800))</f>
        <v>0.0892608089260809</v>
      </c>
      <c r="P273" s="0" t="n">
        <f aca="false">AVERAGE(M273:O273)</f>
        <v>0.383077638307764</v>
      </c>
      <c r="Q273" s="0" t="n">
        <f aca="false">0.4*H273+0.4*I273+0.2*P273</f>
        <v>0.642823287361177</v>
      </c>
      <c r="R273" s="0" t="n">
        <f aca="false">PERCENTILE($Q$2:$Q$800,0.75)</f>
        <v>0.667715717403612</v>
      </c>
      <c r="S273" s="1" t="b">
        <f aca="false">OR(Q273&gt;=R273,AND(B273="CW",COUNT(J273:L273)&lt;3))</f>
        <v>0</v>
      </c>
      <c r="T273" s="0" t="n">
        <v>0.326382616017005</v>
      </c>
      <c r="U273" s="0" t="n">
        <v>9.19371131559989</v>
      </c>
      <c r="V273" s="0" t="n">
        <v>0.642823287361177</v>
      </c>
      <c r="W273" s="0" t="n">
        <f aca="false">Q273-V273</f>
        <v>0</v>
      </c>
    </row>
    <row r="274" customFormat="false" ht="15" hidden="false" customHeight="false" outlineLevel="0" collapsed="false">
      <c r="A274" s="0" t="s">
        <v>308</v>
      </c>
      <c r="B274" s="0" t="s">
        <v>3013</v>
      </c>
      <c r="C274" s="0" t="n">
        <v>-33.8657799902494</v>
      </c>
      <c r="D274" s="0" t="n">
        <f aca="false">SUMPRODUCT(Risk_Inputs!B274:AJ274,Risk_Coefs!$B$2:$AJ$2)</f>
        <v>-1.05238170667517</v>
      </c>
      <c r="E274" s="0" t="n">
        <f aca="false">1/(1+EXP(-MAX(-25,MIN(25,D274))))</f>
        <v>0.258768010100424</v>
      </c>
      <c r="F274" s="0" t="n">
        <f aca="false">SUMPRODUCT(Risk_Inputs!B274:AJ274,Risk_Coefs!$B$3:$AJ$3)</f>
        <v>7.20481048877497</v>
      </c>
      <c r="G274" s="0" t="n">
        <f aca="false">MAX(0,F274)</f>
        <v>7.20481048877497</v>
      </c>
      <c r="H274" s="0" t="n">
        <f aca="false">(SUMPRODUCT(--ISNUMBER($E$2:$E$800),--($E$2:$E$800&lt;E274))+(SUMPRODUCT(--ISNUMBER($E$2:$E$800),--($E$2:$E$800=E274))+1)/2)/COUNT($E$2:$E$800)</f>
        <v>0.322903629536921</v>
      </c>
      <c r="I274" s="0" t="n">
        <f aca="false">(SUMPRODUCT(--ISNUMBER($G$2:$G$800),--($G$2:$G$800&lt;G274))+(SUMPRODUCT(--ISNUMBER($G$2:$G$800),--($G$2:$G$800=G274))+1)/2)/COUNT($G$2:$G$800)</f>
        <v>0.444305381727159</v>
      </c>
      <c r="J274" s="0" t="n">
        <v>14.4273070752027</v>
      </c>
      <c r="K274" s="0" t="n">
        <v>3.56706074194863</v>
      </c>
      <c r="L274" s="0" t="n">
        <v>0.183448838157354</v>
      </c>
      <c r="M274" s="0" t="n">
        <f aca="false">IF(OR(B274="NW",COUNT(Risk_Rank_Keys!B274)=0),0.5,(SUMPRODUCT(--ISNUMBER(Risk_Rank_Keys!$B$2:$B$800),--(Risk_Rank_Keys!$B$2:$B$800&lt;Risk_Rank_Keys!B274))+(SUMPRODUCT(--ISNUMBER(Risk_Rank_Keys!$B$2:$B$800),--(Risk_Rank_Keys!$B$2:$B$800=Risk_Rank_Keys!B274))+1)/2)/COUNT(Risk_Rank_Keys!$B$2:$B$800))</f>
        <v>0.690376569037657</v>
      </c>
      <c r="N274" s="0" t="n">
        <f aca="false">IF(OR(B274="NW",COUNT(Risk_Rank_Keys!C274)=0),0.5,(SUMPRODUCT(--ISNUMBER(Risk_Rank_Keys!$C$2:$C$800),--(Risk_Rank_Keys!$C$2:$C$800&lt;Risk_Rank_Keys!C274))+(SUMPRODUCT(--ISNUMBER(Risk_Rank_Keys!$C$2:$C$800),--(Risk_Rank_Keys!$C$2:$C$800=Risk_Rank_Keys!C274))+1)/2)/COUNT(Risk_Rank_Keys!$C$2:$C$800))</f>
        <v>0.536959553695955</v>
      </c>
      <c r="O274" s="0" t="n">
        <f aca="false">IF(OR(B274="NW",COUNT(Risk_Rank_Keys!D274)=0),0.5,(SUMPRODUCT(--ISNUMBER(Risk_Rank_Keys!$D$2:$D$800),--(Risk_Rank_Keys!$D$2:$D$800&lt;Risk_Rank_Keys!D274))+(SUMPRODUCT(--ISNUMBER(Risk_Rank_Keys!$D$2:$D$800),--(Risk_Rank_Keys!$D$2:$D$800=Risk_Rank_Keys!D274))+1)/2)/COUNT(Risk_Rank_Keys!$D$2:$D$800))</f>
        <v>0.227336122733612</v>
      </c>
      <c r="P274" s="0" t="n">
        <f aca="false">AVERAGE(M274:O274)</f>
        <v>0.484890748489075</v>
      </c>
      <c r="Q274" s="0" t="n">
        <f aca="false">0.4*H274+0.4*I274+0.2*P274</f>
        <v>0.403861754203447</v>
      </c>
      <c r="R274" s="0" t="n">
        <f aca="false">PERCENTILE($Q$2:$Q$800,0.75)</f>
        <v>0.667715717403612</v>
      </c>
      <c r="S274" s="1" t="b">
        <f aca="false">OR(Q274&gt;=R274,AND(B274="CW",COUNT(J274:L274)&lt;3))</f>
        <v>0</v>
      </c>
      <c r="T274" s="0" t="n">
        <v>0.258768010100424</v>
      </c>
      <c r="U274" s="0" t="n">
        <v>7.20481048877497</v>
      </c>
      <c r="V274" s="0" t="n">
        <v>0.403861754203447</v>
      </c>
      <c r="W274" s="0" t="n">
        <f aca="false">Q274-V274</f>
        <v>0</v>
      </c>
    </row>
    <row r="275" customFormat="false" ht="15" hidden="false" customHeight="false" outlineLevel="0" collapsed="false">
      <c r="A275" s="0" t="s">
        <v>309</v>
      </c>
      <c r="B275" s="0" t="s">
        <v>3013</v>
      </c>
      <c r="C275" s="0" t="n">
        <v>-13.2057267416698</v>
      </c>
      <c r="D275" s="0" t="n">
        <f aca="false">SUMPRODUCT(Risk_Inputs!B275:AJ275,Risk_Coefs!$B$2:$AJ$2)</f>
        <v>-1.39687101199225</v>
      </c>
      <c r="E275" s="0" t="n">
        <f aca="false">1/(1+EXP(-MAX(-25,MIN(25,D275))))</f>
        <v>0.198313104098556</v>
      </c>
      <c r="F275" s="0" t="n">
        <f aca="false">SUMPRODUCT(Risk_Inputs!B275:AJ275,Risk_Coefs!$B$3:$AJ$3)</f>
        <v>4.60969020911811</v>
      </c>
      <c r="G275" s="0" t="n">
        <f aca="false">MAX(0,F275)</f>
        <v>4.60969020911811</v>
      </c>
      <c r="H275" s="0" t="n">
        <f aca="false">(SUMPRODUCT(--ISNUMBER($E$2:$E$800),--($E$2:$E$800&lt;E275))+(SUMPRODUCT(--ISNUMBER($E$2:$E$800),--($E$2:$E$800=E275))+1)/2)/COUNT($E$2:$E$800)</f>
        <v>0.100125156445557</v>
      </c>
      <c r="I275" s="0" t="n">
        <f aca="false">(SUMPRODUCT(--ISNUMBER($G$2:$G$800),--($G$2:$G$800&lt;G275))+(SUMPRODUCT(--ISNUMBER($G$2:$G$800),--($G$2:$G$800=G275))+1)/2)/COUNT($G$2:$G$800)</f>
        <v>0.0951188986232791</v>
      </c>
      <c r="J275" s="0" t="n">
        <v>36.591925940003</v>
      </c>
      <c r="K275" s="0" t="n">
        <v>8.3746412731542</v>
      </c>
      <c r="L275" s="0" t="n">
        <v>0.443516827550226</v>
      </c>
      <c r="M275" s="0" t="n">
        <f aca="false">IF(OR(B275="NW",COUNT(Risk_Rank_Keys!B275)=0),0.5,(SUMPRODUCT(--ISNUMBER(Risk_Rank_Keys!$B$2:$B$800),--(Risk_Rank_Keys!$B$2:$B$800&lt;Risk_Rank_Keys!B275))+(SUMPRODUCT(--ISNUMBER(Risk_Rank_Keys!$B$2:$B$800),--(Risk_Rank_Keys!$B$2:$B$800=Risk_Rank_Keys!B275))+1)/2)/COUNT(Risk_Rank_Keys!$B$2:$B$800))</f>
        <v>0.935843793584379</v>
      </c>
      <c r="N275" s="0" t="n">
        <f aca="false">IF(OR(B275="NW",COUNT(Risk_Rank_Keys!C275)=0),0.5,(SUMPRODUCT(--ISNUMBER(Risk_Rank_Keys!$C$2:$C$800),--(Risk_Rank_Keys!$C$2:$C$800&lt;Risk_Rank_Keys!C275))+(SUMPRODUCT(--ISNUMBER(Risk_Rank_Keys!$C$2:$C$800),--(Risk_Rank_Keys!$C$2:$C$800=Risk_Rank_Keys!C275))+1)/2)/COUNT(Risk_Rank_Keys!$C$2:$C$800))</f>
        <v>0.835425383542538</v>
      </c>
      <c r="O275" s="0" t="n">
        <f aca="false">IF(OR(B275="NW",COUNT(Risk_Rank_Keys!D275)=0),0.5,(SUMPRODUCT(--ISNUMBER(Risk_Rank_Keys!$D$2:$D$800),--(Risk_Rank_Keys!$D$2:$D$800&lt;Risk_Rank_Keys!D275))+(SUMPRODUCT(--ISNUMBER(Risk_Rank_Keys!$D$2:$D$800),--(Risk_Rank_Keys!$D$2:$D$800=Risk_Rank_Keys!D275))+1)/2)/COUNT(Risk_Rank_Keys!$D$2:$D$800))</f>
        <v>0.916317991631799</v>
      </c>
      <c r="P275" s="0" t="n">
        <f aca="false">AVERAGE(M275:O275)</f>
        <v>0.895862389586239</v>
      </c>
      <c r="Q275" s="0" t="n">
        <f aca="false">0.4*H275+0.4*I275+0.2*P275</f>
        <v>0.257270099944782</v>
      </c>
      <c r="R275" s="0" t="n">
        <f aca="false">PERCENTILE($Q$2:$Q$800,0.75)</f>
        <v>0.667715717403612</v>
      </c>
      <c r="S275" s="1" t="b">
        <f aca="false">OR(Q275&gt;=R275,AND(B275="CW",COUNT(J275:L275)&lt;3))</f>
        <v>0</v>
      </c>
      <c r="T275" s="0" t="n">
        <v>0.198313104098556</v>
      </c>
      <c r="U275" s="0" t="n">
        <v>4.60969020911811</v>
      </c>
      <c r="V275" s="0" t="n">
        <v>0.257270099944782</v>
      </c>
      <c r="W275" s="0" t="n">
        <f aca="false">Q275-V275</f>
        <v>0</v>
      </c>
    </row>
    <row r="276" customFormat="false" ht="15" hidden="false" customHeight="false" outlineLevel="0" collapsed="false">
      <c r="A276" s="0" t="s">
        <v>310</v>
      </c>
      <c r="B276" s="0" t="s">
        <v>3013</v>
      </c>
      <c r="C276" s="0" t="n">
        <v>-46.6907748934518</v>
      </c>
      <c r="D276" s="0" t="n">
        <f aca="false">SUMPRODUCT(Risk_Inputs!B276:AJ276,Risk_Coefs!$B$2:$AJ$2)</f>
        <v>-0.583792763269143</v>
      </c>
      <c r="E276" s="0" t="n">
        <f aca="false">1/(1+EXP(-MAX(-25,MIN(25,D276))))</f>
        <v>0.358060346615304</v>
      </c>
      <c r="F276" s="0" t="n">
        <f aca="false">SUMPRODUCT(Risk_Inputs!B276:AJ276,Risk_Coefs!$B$3:$AJ$3)</f>
        <v>10.5954895047078</v>
      </c>
      <c r="G276" s="0" t="n">
        <f aca="false">MAX(0,F276)</f>
        <v>10.5954895047078</v>
      </c>
      <c r="H276" s="0" t="n">
        <f aca="false">(SUMPRODUCT(--ISNUMBER($E$2:$E$800),--($E$2:$E$800&lt;E276))+(SUMPRODUCT(--ISNUMBER($E$2:$E$800),--($E$2:$E$800=E276))+1)/2)/COUNT($E$2:$E$800)</f>
        <v>0.841051314142678</v>
      </c>
      <c r="I276" s="0" t="n">
        <f aca="false">(SUMPRODUCT(--ISNUMBER($G$2:$G$800),--($G$2:$G$800&lt;G276))+(SUMPRODUCT(--ISNUMBER($G$2:$G$800),--($G$2:$G$800=G276))+1)/2)/COUNT($G$2:$G$800)</f>
        <v>0.849812265331665</v>
      </c>
      <c r="J276" s="0" t="n">
        <v>9.95182925643209</v>
      </c>
      <c r="K276" s="0" t="n">
        <v>2.9532403609516</v>
      </c>
      <c r="L276" s="0" t="n">
        <v>0.246103363412619</v>
      </c>
      <c r="M276" s="0" t="n">
        <f aca="false">IF(OR(B276="NW",COUNT(Risk_Rank_Keys!B276)=0),0.5,(SUMPRODUCT(--ISNUMBER(Risk_Rank_Keys!$B$2:$B$800),--(Risk_Rank_Keys!$B$2:$B$800&lt;Risk_Rank_Keys!B276))+(SUMPRODUCT(--ISNUMBER(Risk_Rank_Keys!$B$2:$B$800),--(Risk_Rank_Keys!$B$2:$B$800=Risk_Rank_Keys!B276))+1)/2)/COUNT(Risk_Rank_Keys!$B$2:$B$800))</f>
        <v>0.506276150627615</v>
      </c>
      <c r="N276" s="0" t="n">
        <f aca="false">IF(OR(B276="NW",COUNT(Risk_Rank_Keys!C276)=0),0.5,(SUMPRODUCT(--ISNUMBER(Risk_Rank_Keys!$C$2:$C$800),--(Risk_Rank_Keys!$C$2:$C$800&lt;Risk_Rank_Keys!C276))+(SUMPRODUCT(--ISNUMBER(Risk_Rank_Keys!$C$2:$C$800),--(Risk_Rank_Keys!$C$2:$C$800=Risk_Rank_Keys!C276))+1)/2)/COUNT(Risk_Rank_Keys!$C$2:$C$800))</f>
        <v>0.465829846582985</v>
      </c>
      <c r="O276" s="0" t="n">
        <f aca="false">IF(OR(B276="NW",COUNT(Risk_Rank_Keys!D276)=0),0.5,(SUMPRODUCT(--ISNUMBER(Risk_Rank_Keys!$D$2:$D$800),--(Risk_Rank_Keys!$D$2:$D$800&lt;Risk_Rank_Keys!D276))+(SUMPRODUCT(--ISNUMBER(Risk_Rank_Keys!$D$2:$D$800),--(Risk_Rank_Keys!$D$2:$D$800=Risk_Rank_Keys!D276))+1)/2)/COUNT(Risk_Rank_Keys!$D$2:$D$800))</f>
        <v>0.567642956764296</v>
      </c>
      <c r="P276" s="0" t="n">
        <f aca="false">AVERAGE(M276:O276)</f>
        <v>0.513249651324965</v>
      </c>
      <c r="Q276" s="0" t="n">
        <f aca="false">0.4*H276+0.4*I276+0.2*P276</f>
        <v>0.77899536205473</v>
      </c>
      <c r="R276" s="0" t="n">
        <f aca="false">PERCENTILE($Q$2:$Q$800,0.75)</f>
        <v>0.667715717403612</v>
      </c>
      <c r="S276" s="1" t="b">
        <f aca="false">OR(Q276&gt;=R276,AND(B276="CW",COUNT(J276:L276)&lt;3))</f>
        <v>1</v>
      </c>
      <c r="T276" s="0" t="n">
        <v>0.358060346615304</v>
      </c>
      <c r="U276" s="0" t="n">
        <v>10.5954895047078</v>
      </c>
      <c r="V276" s="0" t="n">
        <v>0.77899536205473</v>
      </c>
      <c r="W276" s="0" t="n">
        <f aca="false">Q276-V276</f>
        <v>0</v>
      </c>
    </row>
    <row r="277" customFormat="false" ht="15" hidden="false" customHeight="false" outlineLevel="0" collapsed="false">
      <c r="A277" s="0" t="s">
        <v>311</v>
      </c>
      <c r="B277" s="0" t="s">
        <v>3013</v>
      </c>
      <c r="C277" s="0" t="n">
        <v>42.516799503135</v>
      </c>
      <c r="D277" s="0" t="n">
        <f aca="false">SUMPRODUCT(Risk_Inputs!B277:AJ277,Risk_Coefs!$B$2:$AJ$2)</f>
        <v>-2.34693774282421</v>
      </c>
      <c r="E277" s="0" t="n">
        <f aca="false">1/(1+EXP(-MAX(-25,MIN(25,D277))))</f>
        <v>0.0873094849297971</v>
      </c>
      <c r="F277" s="0" t="n">
        <f aca="false">SUMPRODUCT(Risk_Inputs!B277:AJ277,Risk_Coefs!$B$3:$AJ$3)</f>
        <v>3.03107228784679</v>
      </c>
      <c r="G277" s="0" t="n">
        <f aca="false">MAX(0,F277)</f>
        <v>3.03107228784679</v>
      </c>
      <c r="H277" s="0" t="n">
        <f aca="false">(SUMPRODUCT(--ISNUMBER($E$2:$E$800),--($E$2:$E$800&lt;E277))+(SUMPRODUCT(--ISNUMBER($E$2:$E$800),--($E$2:$E$800=E277))+1)/2)/COUNT($E$2:$E$800)</f>
        <v>0.00125156445556946</v>
      </c>
      <c r="I277" s="0" t="n">
        <f aca="false">(SUMPRODUCT(--ISNUMBER($G$2:$G$800),--($G$2:$G$800&lt;G277))+(SUMPRODUCT(--ISNUMBER($G$2:$G$800),--($G$2:$G$800=G277))+1)/2)/COUNT($G$2:$G$800)</f>
        <v>0.0262828535669587</v>
      </c>
      <c r="J277" s="0" t="n">
        <v>41.5709092761067</v>
      </c>
      <c r="K277" s="0" t="n">
        <v>17.2117039586919</v>
      </c>
      <c r="L277" s="0" t="n">
        <v>0.502008032128514</v>
      </c>
      <c r="M277" s="0" t="n">
        <f aca="false">IF(OR(B277="NW",COUNT(Risk_Rank_Keys!B277)=0),0.5,(SUMPRODUCT(--ISNUMBER(Risk_Rank_Keys!$B$2:$B$800),--(Risk_Rank_Keys!$B$2:$B$800&lt;Risk_Rank_Keys!B277))+(SUMPRODUCT(--ISNUMBER(Risk_Rank_Keys!$B$2:$B$800),--(Risk_Rank_Keys!$B$2:$B$800=Risk_Rank_Keys!B277))+1)/2)/COUNT(Risk_Rank_Keys!$B$2:$B$800))</f>
        <v>0.95676429567643</v>
      </c>
      <c r="N277" s="0" t="n">
        <f aca="false">IF(OR(B277="NW",COUNT(Risk_Rank_Keys!C277)=0),0.5,(SUMPRODUCT(--ISNUMBER(Risk_Rank_Keys!$C$2:$C$800),--(Risk_Rank_Keys!$C$2:$C$800&lt;Risk_Rank_Keys!C277))+(SUMPRODUCT(--ISNUMBER(Risk_Rank_Keys!$C$2:$C$800),--(Risk_Rank_Keys!$C$2:$C$800=Risk_Rank_Keys!C277))+1)/2)/COUNT(Risk_Rank_Keys!$C$2:$C$800))</f>
        <v>0.94979079497908</v>
      </c>
      <c r="O277" s="0" t="n">
        <f aca="false">IF(OR(B277="NW",COUNT(Risk_Rank_Keys!D277)=0),0.5,(SUMPRODUCT(--ISNUMBER(Risk_Rank_Keys!$D$2:$D$800),--(Risk_Rank_Keys!$D$2:$D$800&lt;Risk_Rank_Keys!D277))+(SUMPRODUCT(--ISNUMBER(Risk_Rank_Keys!$D$2:$D$800),--(Risk_Rank_Keys!$D$2:$D$800=Risk_Rank_Keys!D277))+1)/2)/COUNT(Risk_Rank_Keys!$D$2:$D$800))</f>
        <v>0.95118549511855</v>
      </c>
      <c r="P277" s="0" t="n">
        <f aca="false">AVERAGE(M277:O277)</f>
        <v>0.95258019525802</v>
      </c>
      <c r="Q277" s="0" t="n">
        <f aca="false">0.4*H277+0.4*I277+0.2*P277</f>
        <v>0.201529806260615</v>
      </c>
      <c r="R277" s="0" t="n">
        <f aca="false">PERCENTILE($Q$2:$Q$800,0.75)</f>
        <v>0.667715717403612</v>
      </c>
      <c r="S277" s="1" t="b">
        <f aca="false">OR(Q277&gt;=R277,AND(B277="CW",COUNT(J277:L277)&lt;3))</f>
        <v>0</v>
      </c>
      <c r="T277" s="0" t="n">
        <v>0.0873094849297971</v>
      </c>
      <c r="U277" s="0" t="n">
        <v>3.03107228784679</v>
      </c>
      <c r="V277" s="0" t="n">
        <v>0.201529806260615</v>
      </c>
      <c r="W277" s="0" t="n">
        <f aca="false">Q277-V277</f>
        <v>0</v>
      </c>
    </row>
    <row r="278" customFormat="false" ht="15" hidden="false" customHeight="false" outlineLevel="0" collapsed="false">
      <c r="A278" s="0" t="s">
        <v>312</v>
      </c>
      <c r="B278" s="0" t="s">
        <v>3013</v>
      </c>
      <c r="C278" s="0" t="n">
        <v>43.0182478616677</v>
      </c>
      <c r="D278" s="0" t="n">
        <f aca="false">SUMPRODUCT(Risk_Inputs!B278:AJ278,Risk_Coefs!$B$2:$AJ$2)</f>
        <v>-1.04983482559228</v>
      </c>
      <c r="E278" s="0" t="n">
        <f aca="false">1/(1+EXP(-MAX(-25,MIN(25,D278))))</f>
        <v>0.259256820099222</v>
      </c>
      <c r="F278" s="0" t="n">
        <f aca="false">SUMPRODUCT(Risk_Inputs!B278:AJ278,Risk_Coefs!$B$3:$AJ$3)</f>
        <v>8.20138988615303</v>
      </c>
      <c r="G278" s="0" t="n">
        <f aca="false">MAX(0,F278)</f>
        <v>8.20138988615303</v>
      </c>
      <c r="H278" s="0" t="n">
        <f aca="false">(SUMPRODUCT(--ISNUMBER($E$2:$E$800),--($E$2:$E$800&lt;E278))+(SUMPRODUCT(--ISNUMBER($E$2:$E$800),--($E$2:$E$800=E278))+1)/2)/COUNT($E$2:$E$800)</f>
        <v>0.327909887359199</v>
      </c>
      <c r="I278" s="0" t="n">
        <f aca="false">(SUMPRODUCT(--ISNUMBER($G$2:$G$800),--($G$2:$G$800&lt;G278))+(SUMPRODUCT(--ISNUMBER($G$2:$G$800),--($G$2:$G$800=G278))+1)/2)/COUNT($G$2:$G$800)</f>
        <v>0.564455569461827</v>
      </c>
      <c r="J278" s="0" t="n">
        <v>27.2292577587645</v>
      </c>
      <c r="K278" s="0" t="n">
        <v>5.29043789097409</v>
      </c>
      <c r="L278" s="0" t="n">
        <v>0.214477211796245</v>
      </c>
      <c r="M278" s="0" t="n">
        <f aca="false">IF(OR(B278="NW",COUNT(Risk_Rank_Keys!B278)=0),0.5,(SUMPRODUCT(--ISNUMBER(Risk_Rank_Keys!$B$2:$B$800),--(Risk_Rank_Keys!$B$2:$B$800&lt;Risk_Rank_Keys!B278))+(SUMPRODUCT(--ISNUMBER(Risk_Rank_Keys!$B$2:$B$800),--(Risk_Rank_Keys!$B$2:$B$800=Risk_Rank_Keys!B278))+1)/2)/COUNT(Risk_Rank_Keys!$B$2:$B$800))</f>
        <v>0.888423988842399</v>
      </c>
      <c r="N278" s="0" t="n">
        <f aca="false">IF(OR(B278="NW",COUNT(Risk_Rank_Keys!C278)=0),0.5,(SUMPRODUCT(--ISNUMBER(Risk_Rank_Keys!$C$2:$C$800),--(Risk_Rank_Keys!$C$2:$C$800&lt;Risk_Rank_Keys!C278))+(SUMPRODUCT(--ISNUMBER(Risk_Rank_Keys!$C$2:$C$800),--(Risk_Rank_Keys!$C$2:$C$800=Risk_Rank_Keys!C278))+1)/2)/COUNT(Risk_Rank_Keys!$C$2:$C$800))</f>
        <v>0.709902370990237</v>
      </c>
      <c r="O278" s="0" t="n">
        <f aca="false">IF(OR(B278="NW",COUNT(Risk_Rank_Keys!D278)=0),0.5,(SUMPRODUCT(--ISNUMBER(Risk_Rank_Keys!$D$2:$D$800),--(Risk_Rank_Keys!$D$2:$D$800&lt;Risk_Rank_Keys!D278))+(SUMPRODUCT(--ISNUMBER(Risk_Rank_Keys!$D$2:$D$800),--(Risk_Rank_Keys!$D$2:$D$800=Risk_Rank_Keys!D278))+1)/2)/COUNT(Risk_Rank_Keys!$D$2:$D$800))</f>
        <v>0.411436541143654</v>
      </c>
      <c r="P278" s="0" t="n">
        <f aca="false">AVERAGE(M278:O278)</f>
        <v>0.669920966992097</v>
      </c>
      <c r="Q278" s="0" t="n">
        <f aca="false">0.4*H278+0.4*I278+0.2*P278</f>
        <v>0.49093037612683</v>
      </c>
      <c r="R278" s="0" t="n">
        <f aca="false">PERCENTILE($Q$2:$Q$800,0.75)</f>
        <v>0.667715717403612</v>
      </c>
      <c r="S278" s="1" t="b">
        <f aca="false">OR(Q278&gt;=R278,AND(B278="CW",COUNT(J278:L278)&lt;3))</f>
        <v>0</v>
      </c>
      <c r="T278" s="0" t="n">
        <v>0.259256820099222</v>
      </c>
      <c r="U278" s="0" t="n">
        <v>8.20138988615302</v>
      </c>
      <c r="V278" s="0" t="n">
        <v>0.49093037612683</v>
      </c>
      <c r="W278" s="0" t="n">
        <f aca="false">Q278-V278</f>
        <v>0</v>
      </c>
    </row>
    <row r="279" customFormat="false" ht="15" hidden="false" customHeight="false" outlineLevel="0" collapsed="false">
      <c r="A279" s="0" t="s">
        <v>313</v>
      </c>
      <c r="B279" s="0" t="s">
        <v>3013</v>
      </c>
      <c r="C279" s="0" t="n">
        <v>30.4002325011938</v>
      </c>
      <c r="D279" s="0" t="n">
        <f aca="false">SUMPRODUCT(Risk_Inputs!B279:AJ279,Risk_Coefs!$B$2:$AJ$2)</f>
        <v>-1.01941653922076</v>
      </c>
      <c r="E279" s="0" t="n">
        <f aca="false">1/(1+EXP(-MAX(-25,MIN(25,D279))))</f>
        <v>0.265141067200441</v>
      </c>
      <c r="F279" s="0" t="n">
        <f aca="false">SUMPRODUCT(Risk_Inputs!B279:AJ279,Risk_Coefs!$B$3:$AJ$3)</f>
        <v>5.14501464238002</v>
      </c>
      <c r="G279" s="0" t="n">
        <f aca="false">MAX(0,F279)</f>
        <v>5.14501464238002</v>
      </c>
      <c r="H279" s="0" t="n">
        <f aca="false">(SUMPRODUCT(--ISNUMBER($E$2:$E$800),--($E$2:$E$800&lt;E279))+(SUMPRODUCT(--ISNUMBER($E$2:$E$800),--($E$2:$E$800=E279))+1)/2)/COUNT($E$2:$E$800)</f>
        <v>0.37171464330413</v>
      </c>
      <c r="I279" s="0" t="n">
        <f aca="false">(SUMPRODUCT(--ISNUMBER($G$2:$G$800),--($G$2:$G$800&lt;G279))+(SUMPRODUCT(--ISNUMBER($G$2:$G$800),--($G$2:$G$800=G279))+1)/2)/COUNT($G$2:$G$800)</f>
        <v>0.150187734668335</v>
      </c>
      <c r="J279" s="0" t="n">
        <v>17.3238739481941</v>
      </c>
      <c r="K279" s="0" t="n">
        <v>4.79882648784577</v>
      </c>
      <c r="L279" s="0" t="n">
        <v>0.209555741827326</v>
      </c>
      <c r="M279" s="0" t="n">
        <f aca="false">IF(OR(B279="NW",COUNT(Risk_Rank_Keys!B279)=0),0.5,(SUMPRODUCT(--ISNUMBER(Risk_Rank_Keys!$B$2:$B$800),--(Risk_Rank_Keys!$B$2:$B$800&lt;Risk_Rank_Keys!B279))+(SUMPRODUCT(--ISNUMBER(Risk_Rank_Keys!$B$2:$B$800),--(Risk_Rank_Keys!$B$2:$B$800=Risk_Rank_Keys!B279))+1)/2)/COUNT(Risk_Rank_Keys!$B$2:$B$800))</f>
        <v>0.751743375174338</v>
      </c>
      <c r="N279" s="0" t="n">
        <f aca="false">IF(OR(B279="NW",COUNT(Risk_Rank_Keys!C279)=0),0.5,(SUMPRODUCT(--ISNUMBER(Risk_Rank_Keys!$C$2:$C$800),--(Risk_Rank_Keys!$C$2:$C$800&lt;Risk_Rank_Keys!C279))+(SUMPRODUCT(--ISNUMBER(Risk_Rank_Keys!$C$2:$C$800),--(Risk_Rank_Keys!$C$2:$C$800=Risk_Rank_Keys!C279))+1)/2)/COUNT(Risk_Rank_Keys!$C$2:$C$800))</f>
        <v>0.673640167364017</v>
      </c>
      <c r="O279" s="0" t="n">
        <f aca="false">IF(OR(B279="NW",COUNT(Risk_Rank_Keys!D279)=0),0.5,(SUMPRODUCT(--ISNUMBER(Risk_Rank_Keys!$D$2:$D$800),--(Risk_Rank_Keys!$D$2:$D$800&lt;Risk_Rank_Keys!D279))+(SUMPRODUCT(--ISNUMBER(Risk_Rank_Keys!$D$2:$D$800),--(Risk_Rank_Keys!$D$2:$D$800=Risk_Rank_Keys!D279))+1)/2)/COUNT(Risk_Rank_Keys!$D$2:$D$800))</f>
        <v>0.372384937238494</v>
      </c>
      <c r="P279" s="0" t="n">
        <f aca="false">AVERAGE(M279:O279)</f>
        <v>0.599256159925616</v>
      </c>
      <c r="Q279" s="0" t="n">
        <f aca="false">0.4*H279+0.4*I279+0.2*P279</f>
        <v>0.328612183174109</v>
      </c>
      <c r="R279" s="0" t="n">
        <f aca="false">PERCENTILE($Q$2:$Q$800,0.75)</f>
        <v>0.667715717403612</v>
      </c>
      <c r="S279" s="1" t="b">
        <f aca="false">OR(Q279&gt;=R279,AND(B279="CW",COUNT(J279:L279)&lt;3))</f>
        <v>0</v>
      </c>
      <c r="T279" s="0" t="n">
        <v>0.265141067200441</v>
      </c>
      <c r="U279" s="0" t="n">
        <v>5.14501464238002</v>
      </c>
      <c r="V279" s="0" t="n">
        <v>0.32861218317411</v>
      </c>
      <c r="W279" s="0" t="n">
        <f aca="false">Q279-V279</f>
        <v>0</v>
      </c>
    </row>
    <row r="280" customFormat="false" ht="15" hidden="false" customHeight="false" outlineLevel="0" collapsed="false">
      <c r="A280" s="0" t="s">
        <v>314</v>
      </c>
      <c r="B280" s="0" t="s">
        <v>3013</v>
      </c>
      <c r="C280" s="0" t="n">
        <v>64.1946249914781</v>
      </c>
      <c r="D280" s="0" t="n">
        <f aca="false">SUMPRODUCT(Risk_Inputs!B280:AJ280,Risk_Coefs!$B$2:$AJ$2)</f>
        <v>-1.76226405364574</v>
      </c>
      <c r="E280" s="0" t="n">
        <f aca="false">1/(1+EXP(-MAX(-25,MIN(25,D280))))</f>
        <v>0.146507009771636</v>
      </c>
      <c r="F280" s="0" t="n">
        <f aca="false">SUMPRODUCT(Risk_Inputs!B280:AJ280,Risk_Coefs!$B$3:$AJ$3)</f>
        <v>7.02249683191898</v>
      </c>
      <c r="G280" s="0" t="n">
        <f aca="false">MAX(0,F280)</f>
        <v>7.02249683191898</v>
      </c>
      <c r="H280" s="0" t="n">
        <f aca="false">(SUMPRODUCT(--ISNUMBER($E$2:$E$800),--($E$2:$E$800&lt;E280))+(SUMPRODUCT(--ISNUMBER($E$2:$E$800),--($E$2:$E$800=E280))+1)/2)/COUNT($E$2:$E$800)</f>
        <v>0.0187734668335419</v>
      </c>
      <c r="I280" s="0" t="n">
        <f aca="false">(SUMPRODUCT(--ISNUMBER($G$2:$G$800),--($G$2:$G$800&lt;G280))+(SUMPRODUCT(--ISNUMBER($G$2:$G$800),--($G$2:$G$800=G280))+1)/2)/COUNT($G$2:$G$800)</f>
        <v>0.4180225281602</v>
      </c>
      <c r="J280" s="0" t="n">
        <v>49.1856101290137</v>
      </c>
      <c r="K280" s="0" t="n">
        <v>20.7824838478105</v>
      </c>
      <c r="L280" s="0" t="n">
        <v>0.502512562814072</v>
      </c>
      <c r="M280" s="0" t="n">
        <f aca="false">IF(OR(B280="NW",COUNT(Risk_Rank_Keys!B280)=0),0.5,(SUMPRODUCT(--ISNUMBER(Risk_Rank_Keys!$B$2:$B$800),--(Risk_Rank_Keys!$B$2:$B$800&lt;Risk_Rank_Keys!B280))+(SUMPRODUCT(--ISNUMBER(Risk_Rank_Keys!$B$2:$B$800),--(Risk_Rank_Keys!$B$2:$B$800=Risk_Rank_Keys!B280))+1)/2)/COUNT(Risk_Rank_Keys!$B$2:$B$800))</f>
        <v>0.97350069735007</v>
      </c>
      <c r="N280" s="0" t="n">
        <f aca="false">IF(OR(B280="NW",COUNT(Risk_Rank_Keys!C280)=0),0.5,(SUMPRODUCT(--ISNUMBER(Risk_Rank_Keys!$C$2:$C$800),--(Risk_Rank_Keys!$C$2:$C$800&lt;Risk_Rank_Keys!C280))+(SUMPRODUCT(--ISNUMBER(Risk_Rank_Keys!$C$2:$C$800),--(Risk_Rank_Keys!$C$2:$C$800=Risk_Rank_Keys!C280))+1)/2)/COUNT(Risk_Rank_Keys!$C$2:$C$800))</f>
        <v>0.96234309623431</v>
      </c>
      <c r="O280" s="0" t="n">
        <f aca="false">IF(OR(B280="NW",COUNT(Risk_Rank_Keys!D280)=0),0.5,(SUMPRODUCT(--ISNUMBER(Risk_Rank_Keys!$D$2:$D$800),--(Risk_Rank_Keys!$D$2:$D$800&lt;Risk_Rank_Keys!D280))+(SUMPRODUCT(--ISNUMBER(Risk_Rank_Keys!$D$2:$D$800),--(Risk_Rank_Keys!$D$2:$D$800=Risk_Rank_Keys!D280))+1)/2)/COUNT(Risk_Rank_Keys!$D$2:$D$800))</f>
        <v>0.95258019525802</v>
      </c>
      <c r="P280" s="0" t="n">
        <f aca="false">AVERAGE(M280:O280)</f>
        <v>0.9628079962808</v>
      </c>
      <c r="Q280" s="0" t="n">
        <f aca="false">0.4*H280+0.4*I280+0.2*P280</f>
        <v>0.367279997253657</v>
      </c>
      <c r="R280" s="0" t="n">
        <f aca="false">PERCENTILE($Q$2:$Q$800,0.75)</f>
        <v>0.667715717403612</v>
      </c>
      <c r="S280" s="1" t="b">
        <f aca="false">OR(Q280&gt;=R280,AND(B280="CW",COUNT(J280:L280)&lt;3))</f>
        <v>0</v>
      </c>
      <c r="T280" s="0" t="n">
        <v>0.146507009771636</v>
      </c>
      <c r="U280" s="0" t="n">
        <v>7.02249683191898</v>
      </c>
      <c r="V280" s="0" t="n">
        <v>0.367279997253657</v>
      </c>
      <c r="W280" s="0" t="n">
        <f aca="false">Q280-V280</f>
        <v>0</v>
      </c>
    </row>
    <row r="281" customFormat="false" ht="15" hidden="false" customHeight="false" outlineLevel="0" collapsed="false">
      <c r="A281" s="0" t="s">
        <v>315</v>
      </c>
      <c r="B281" s="0" t="s">
        <v>3013</v>
      </c>
      <c r="C281" s="0" t="n">
        <v>42.7388893923691</v>
      </c>
      <c r="D281" s="0" t="n">
        <f aca="false">SUMPRODUCT(Risk_Inputs!B281:AJ281,Risk_Coefs!$B$2:$AJ$2)</f>
        <v>-1.07710003542752</v>
      </c>
      <c r="E281" s="0" t="n">
        <f aca="false">1/(1+EXP(-MAX(-25,MIN(25,D281))))</f>
        <v>0.254055200219537</v>
      </c>
      <c r="F281" s="0" t="n">
        <f aca="false">SUMPRODUCT(Risk_Inputs!B281:AJ281,Risk_Coefs!$B$3:$AJ$3)</f>
        <v>7.64227477194199</v>
      </c>
      <c r="G281" s="0" t="n">
        <f aca="false">MAX(0,F281)</f>
        <v>7.64227477194199</v>
      </c>
      <c r="H281" s="0" t="n">
        <f aca="false">(SUMPRODUCT(--ISNUMBER($E$2:$E$800),--($E$2:$E$800&lt;E281))+(SUMPRODUCT(--ISNUMBER($E$2:$E$800),--($E$2:$E$800=E281))+1)/2)/COUNT($E$2:$E$800)</f>
        <v>0.294117647058824</v>
      </c>
      <c r="I281" s="0" t="n">
        <f aca="false">(SUMPRODUCT(--ISNUMBER($G$2:$G$800),--($G$2:$G$800&lt;G281))+(SUMPRODUCT(--ISNUMBER($G$2:$G$800),--($G$2:$G$800=G281))+1)/2)/COUNT($G$2:$G$800)</f>
        <v>0.503128911138924</v>
      </c>
      <c r="J281" s="0" t="n">
        <v>20.2843644285719</v>
      </c>
      <c r="K281" s="0" t="n">
        <v>3.1288766368022</v>
      </c>
      <c r="L281" s="0" t="n">
        <v>0.234321157822198</v>
      </c>
      <c r="M281" s="0" t="n">
        <f aca="false">IF(OR(B281="NW",COUNT(Risk_Rank_Keys!B281)=0),0.5,(SUMPRODUCT(--ISNUMBER(Risk_Rank_Keys!$B$2:$B$800),--(Risk_Rank_Keys!$B$2:$B$800&lt;Risk_Rank_Keys!B281))+(SUMPRODUCT(--ISNUMBER(Risk_Rank_Keys!$B$2:$B$800),--(Risk_Rank_Keys!$B$2:$B$800=Risk_Rank_Keys!B281))+1)/2)/COUNT(Risk_Rank_Keys!$B$2:$B$800))</f>
        <v>0.793584379358438</v>
      </c>
      <c r="N281" s="0" t="n">
        <f aca="false">IF(OR(B281="NW",COUNT(Risk_Rank_Keys!C281)=0),0.5,(SUMPRODUCT(--ISNUMBER(Risk_Rank_Keys!$C$2:$C$800),--(Risk_Rank_Keys!$C$2:$C$800&lt;Risk_Rank_Keys!C281))+(SUMPRODUCT(--ISNUMBER(Risk_Rank_Keys!$C$2:$C$800),--(Risk_Rank_Keys!$C$2:$C$800=Risk_Rank_Keys!C281))+1)/2)/COUNT(Risk_Rank_Keys!$C$2:$C$800))</f>
        <v>0.482566248256625</v>
      </c>
      <c r="O281" s="0" t="n">
        <f aca="false">IF(OR(B281="NW",COUNT(Risk_Rank_Keys!D281)=0),0.5,(SUMPRODUCT(--ISNUMBER(Risk_Rank_Keys!$D$2:$D$800),--(Risk_Rank_Keys!$D$2:$D$800&lt;Risk_Rank_Keys!D281))+(SUMPRODUCT(--ISNUMBER(Risk_Rank_Keys!$D$2:$D$800),--(Risk_Rank_Keys!$D$2:$D$800=Risk_Rank_Keys!D281))+1)/2)/COUNT(Risk_Rank_Keys!$D$2:$D$800))</f>
        <v>0.518828451882845</v>
      </c>
      <c r="P281" s="0" t="n">
        <f aca="false">AVERAGE(M281:O281)</f>
        <v>0.598326359832636</v>
      </c>
      <c r="Q281" s="0" t="n">
        <f aca="false">0.4*H281+0.4*I281+0.2*P281</f>
        <v>0.438563895245626</v>
      </c>
      <c r="R281" s="0" t="n">
        <f aca="false">PERCENTILE($Q$2:$Q$800,0.75)</f>
        <v>0.667715717403612</v>
      </c>
      <c r="S281" s="1" t="b">
        <f aca="false">OR(Q281&gt;=R281,AND(B281="CW",COUNT(J281:L281)&lt;3))</f>
        <v>0</v>
      </c>
      <c r="T281" s="0" t="n">
        <v>0.254055200219537</v>
      </c>
      <c r="U281" s="0" t="n">
        <v>7.64227477194199</v>
      </c>
      <c r="V281" s="0" t="n">
        <v>0.438563895245626</v>
      </c>
      <c r="W281" s="0" t="n">
        <f aca="false">Q281-V281</f>
        <v>0</v>
      </c>
    </row>
    <row r="282" customFormat="false" ht="15" hidden="false" customHeight="false" outlineLevel="0" collapsed="false">
      <c r="A282" s="0" t="s">
        <v>316</v>
      </c>
      <c r="B282" s="0" t="s">
        <v>3013</v>
      </c>
      <c r="C282" s="0" t="n">
        <v>38.9543392495839</v>
      </c>
      <c r="D282" s="0" t="n">
        <f aca="false">SUMPRODUCT(Risk_Inputs!B282:AJ282,Risk_Coefs!$B$2:$AJ$2)</f>
        <v>-1.5516894865749</v>
      </c>
      <c r="E282" s="0" t="n">
        <f aca="false">1/(1+EXP(-MAX(-25,MIN(25,D282))))</f>
        <v>0.174842387748662</v>
      </c>
      <c r="F282" s="0" t="n">
        <f aca="false">SUMPRODUCT(Risk_Inputs!B282:AJ282,Risk_Coefs!$B$3:$AJ$3)</f>
        <v>4.68163261360089</v>
      </c>
      <c r="G282" s="0" t="n">
        <f aca="false">MAX(0,F282)</f>
        <v>4.68163261360089</v>
      </c>
      <c r="H282" s="0" t="n">
        <f aca="false">(SUMPRODUCT(--ISNUMBER($E$2:$E$800),--($E$2:$E$800&lt;E282))+(SUMPRODUCT(--ISNUMBER($E$2:$E$800),--($E$2:$E$800=E282))+1)/2)/COUNT($E$2:$E$800)</f>
        <v>0.0513141426783479</v>
      </c>
      <c r="I282" s="0" t="n">
        <f aca="false">(SUMPRODUCT(--ISNUMBER($G$2:$G$800),--($G$2:$G$800&lt;G282))+(SUMPRODUCT(--ISNUMBER($G$2:$G$800),--($G$2:$G$800=G282))+1)/2)/COUNT($G$2:$G$800)</f>
        <v>0.101376720901126</v>
      </c>
      <c r="J282" s="0" t="n">
        <v>51.3688320166302</v>
      </c>
      <c r="K282" s="0" t="n">
        <v>13.7823294566915</v>
      </c>
      <c r="L282" s="0" t="n">
        <v>0.208297170630097</v>
      </c>
      <c r="M282" s="0" t="n">
        <f aca="false">IF(OR(B282="NW",COUNT(Risk_Rank_Keys!B282)=0),0.5,(SUMPRODUCT(--ISNUMBER(Risk_Rank_Keys!$B$2:$B$800),--(Risk_Rank_Keys!$B$2:$B$800&lt;Risk_Rank_Keys!B282))+(SUMPRODUCT(--ISNUMBER(Risk_Rank_Keys!$B$2:$B$800),--(Risk_Rank_Keys!$B$2:$B$800=Risk_Rank_Keys!B282))+1)/2)/COUNT(Risk_Rank_Keys!$B$2:$B$800))</f>
        <v>0.97489539748954</v>
      </c>
      <c r="N282" s="0" t="n">
        <f aca="false">IF(OR(B282="NW",COUNT(Risk_Rank_Keys!C282)=0),0.5,(SUMPRODUCT(--ISNUMBER(Risk_Rank_Keys!$C$2:$C$800),--(Risk_Rank_Keys!$C$2:$C$800&lt;Risk_Rank_Keys!C282))+(SUMPRODUCT(--ISNUMBER(Risk_Rank_Keys!$C$2:$C$800),--(Risk_Rank_Keys!$C$2:$C$800=Risk_Rank_Keys!C282))+1)/2)/COUNT(Risk_Rank_Keys!$C$2:$C$800))</f>
        <v>0.916317991631799</v>
      </c>
      <c r="O282" s="0" t="n">
        <f aca="false">IF(OR(B282="NW",COUNT(Risk_Rank_Keys!D282)=0),0.5,(SUMPRODUCT(--ISNUMBER(Risk_Rank_Keys!$D$2:$D$800),--(Risk_Rank_Keys!$D$2:$D$800&lt;Risk_Rank_Keys!D282))+(SUMPRODUCT(--ISNUMBER(Risk_Rank_Keys!$D$2:$D$800),--(Risk_Rank_Keys!$D$2:$D$800=Risk_Rank_Keys!D282))+1)/2)/COUNT(Risk_Rank_Keys!$D$2:$D$800))</f>
        <v>0.365411436541144</v>
      </c>
      <c r="P282" s="0" t="n">
        <f aca="false">AVERAGE(M282:O282)</f>
        <v>0.752208275220828</v>
      </c>
      <c r="Q282" s="0" t="n">
        <f aca="false">0.4*H282+0.4*I282+0.2*P282</f>
        <v>0.211518000475955</v>
      </c>
      <c r="R282" s="0" t="n">
        <f aca="false">PERCENTILE($Q$2:$Q$800,0.75)</f>
        <v>0.667715717403612</v>
      </c>
      <c r="S282" s="1" t="b">
        <f aca="false">OR(Q282&gt;=R282,AND(B282="CW",COUNT(J282:L282)&lt;3))</f>
        <v>0</v>
      </c>
      <c r="T282" s="0" t="n">
        <v>0.174842387748662</v>
      </c>
      <c r="U282" s="0" t="n">
        <v>4.68163261360089</v>
      </c>
      <c r="V282" s="0" t="n">
        <v>0.211518000475955</v>
      </c>
      <c r="W282" s="0" t="n">
        <f aca="false">Q282-V282</f>
        <v>0</v>
      </c>
    </row>
    <row r="283" customFormat="false" ht="15" hidden="false" customHeight="false" outlineLevel="0" collapsed="false">
      <c r="A283" s="0" t="s">
        <v>317</v>
      </c>
      <c r="B283" s="0" t="s">
        <v>3013</v>
      </c>
      <c r="C283" s="0" t="n">
        <v>-0.905656392420815</v>
      </c>
      <c r="D283" s="0" t="n">
        <f aca="false">SUMPRODUCT(Risk_Inputs!B283:AJ283,Risk_Coefs!$B$2:$AJ$2)</f>
        <v>-0.956801447482549</v>
      </c>
      <c r="E283" s="0" t="n">
        <f aca="false">1/(1+EXP(-MAX(-25,MIN(25,D283))))</f>
        <v>0.277519055192104</v>
      </c>
      <c r="F283" s="0" t="n">
        <f aca="false">SUMPRODUCT(Risk_Inputs!B283:AJ283,Risk_Coefs!$B$3:$AJ$3)</f>
        <v>6.84816930253595</v>
      </c>
      <c r="G283" s="0" t="n">
        <f aca="false">MAX(0,F283)</f>
        <v>6.84816930253595</v>
      </c>
      <c r="H283" s="0" t="n">
        <f aca="false">(SUMPRODUCT(--ISNUMBER($E$2:$E$800),--($E$2:$E$800&lt;E283))+(SUMPRODUCT(--ISNUMBER($E$2:$E$800),--($E$2:$E$800=E283))+1)/2)/COUNT($E$2:$E$800)</f>
        <v>0.446808510638298</v>
      </c>
      <c r="I283" s="0" t="n">
        <f aca="false">(SUMPRODUCT(--ISNUMBER($G$2:$G$800),--($G$2:$G$800&lt;G283))+(SUMPRODUCT(--ISNUMBER($G$2:$G$800),--($G$2:$G$800=G283))+1)/2)/COUNT($G$2:$G$800)</f>
        <v>0.401752190237797</v>
      </c>
      <c r="J283" s="0" t="n">
        <v>5.34592876078112</v>
      </c>
      <c r="K283" s="0" t="n">
        <v>1.14757860913473</v>
      </c>
      <c r="L283" s="0" t="n">
        <v>0.206564149644245</v>
      </c>
      <c r="M283" s="0" t="n">
        <f aca="false">IF(OR(B283="NW",COUNT(Risk_Rank_Keys!B283)=0),0.5,(SUMPRODUCT(--ISNUMBER(Risk_Rank_Keys!$B$2:$B$800),--(Risk_Rank_Keys!$B$2:$B$800&lt;Risk_Rank_Keys!B283))+(SUMPRODUCT(--ISNUMBER(Risk_Rank_Keys!$B$2:$B$800),--(Risk_Rank_Keys!$B$2:$B$800=Risk_Rank_Keys!B283))+1)/2)/COUNT(Risk_Rank_Keys!$B$2:$B$800))</f>
        <v>0.156206415620642</v>
      </c>
      <c r="N283" s="0" t="n">
        <f aca="false">IF(OR(B283="NW",COUNT(Risk_Rank_Keys!C283)=0),0.5,(SUMPRODUCT(--ISNUMBER(Risk_Rank_Keys!$C$2:$C$800),--(Risk_Rank_Keys!$C$2:$C$800&lt;Risk_Rank_Keys!C283))+(SUMPRODUCT(--ISNUMBER(Risk_Rank_Keys!$C$2:$C$800),--(Risk_Rank_Keys!$C$2:$C$800=Risk_Rank_Keys!C283))+1)/2)/COUNT(Risk_Rank_Keys!$C$2:$C$800))</f>
        <v>0.0502092050209205</v>
      </c>
      <c r="O283" s="0" t="n">
        <f aca="false">IF(OR(B283="NW",COUNT(Risk_Rank_Keys!D283)=0),0.5,(SUMPRODUCT(--ISNUMBER(Risk_Rank_Keys!$D$2:$D$800),--(Risk_Rank_Keys!$D$2:$D$800&lt;Risk_Rank_Keys!D283))+(SUMPRODUCT(--ISNUMBER(Risk_Rank_Keys!$D$2:$D$800),--(Risk_Rank_Keys!$D$2:$D$800=Risk_Rank_Keys!D283))+1)/2)/COUNT(Risk_Rank_Keys!$D$2:$D$800))</f>
        <v>0.354253835425384</v>
      </c>
      <c r="P283" s="0" t="n">
        <f aca="false">AVERAGE(M283:O283)</f>
        <v>0.186889818688982</v>
      </c>
      <c r="Q283" s="0" t="n">
        <f aca="false">0.4*H283+0.4*I283+0.2*P283</f>
        <v>0.376802244088234</v>
      </c>
      <c r="R283" s="0" t="n">
        <f aca="false">PERCENTILE($Q$2:$Q$800,0.75)</f>
        <v>0.667715717403612</v>
      </c>
      <c r="S283" s="1" t="b">
        <f aca="false">OR(Q283&gt;=R283,AND(B283="CW",COUNT(J283:L283)&lt;3))</f>
        <v>0</v>
      </c>
      <c r="T283" s="0" t="n">
        <v>0.277519055192104</v>
      </c>
      <c r="U283" s="0" t="n">
        <v>6.84816930253595</v>
      </c>
      <c r="V283" s="0" t="n">
        <v>0.376802244088234</v>
      </c>
      <c r="W283" s="0" t="n">
        <f aca="false">Q283-V283</f>
        <v>0</v>
      </c>
    </row>
    <row r="284" customFormat="false" ht="15" hidden="false" customHeight="false" outlineLevel="0" collapsed="false">
      <c r="A284" s="0" t="s">
        <v>318</v>
      </c>
      <c r="B284" s="0" t="s">
        <v>3013</v>
      </c>
      <c r="C284" s="0" t="n">
        <v>-42.3967276223243</v>
      </c>
      <c r="D284" s="0" t="n">
        <f aca="false">SUMPRODUCT(Risk_Inputs!B284:AJ284,Risk_Coefs!$B$2:$AJ$2)</f>
        <v>-0.72625691038736</v>
      </c>
      <c r="E284" s="0" t="n">
        <f aca="false">1/(1+EXP(-MAX(-25,MIN(25,D284))))</f>
        <v>0.326016659508498</v>
      </c>
      <c r="F284" s="0" t="n">
        <f aca="false">SUMPRODUCT(Risk_Inputs!B284:AJ284,Risk_Coefs!$B$3:$AJ$3)</f>
        <v>10.317180584395</v>
      </c>
      <c r="G284" s="0" t="n">
        <f aca="false">MAX(0,F284)</f>
        <v>10.317180584395</v>
      </c>
      <c r="H284" s="0" t="n">
        <f aca="false">(SUMPRODUCT(--ISNUMBER($E$2:$E$800),--($E$2:$E$800&lt;E284))+(SUMPRODUCT(--ISNUMBER($E$2:$E$800),--($E$2:$E$800=E284))+1)/2)/COUNT($E$2:$E$800)</f>
        <v>0.712140175219024</v>
      </c>
      <c r="I284" s="0" t="n">
        <f aca="false">(SUMPRODUCT(--ISNUMBER($G$2:$G$800),--($G$2:$G$800&lt;G284))+(SUMPRODUCT(--ISNUMBER($G$2:$G$800),--($G$2:$G$800=G284))+1)/2)/COUNT($G$2:$G$800)</f>
        <v>0.823529411764706</v>
      </c>
      <c r="J284" s="0" t="n">
        <v>7.85709552524256</v>
      </c>
      <c r="K284" s="0" t="n">
        <v>2.0488352511928</v>
      </c>
      <c r="L284" s="0" t="n">
        <v>0.196463654223965</v>
      </c>
      <c r="M284" s="0" t="n">
        <f aca="false">IF(OR(B284="NW",COUNT(Risk_Rank_Keys!B284)=0),0.5,(SUMPRODUCT(--ISNUMBER(Risk_Rank_Keys!$B$2:$B$800),--(Risk_Rank_Keys!$B$2:$B$800&lt;Risk_Rank_Keys!B284))+(SUMPRODUCT(--ISNUMBER(Risk_Rank_Keys!$B$2:$B$800),--(Risk_Rank_Keys!$B$2:$B$800=Risk_Rank_Keys!B284))+1)/2)/COUNT(Risk_Rank_Keys!$B$2:$B$800))</f>
        <v>0.373779637377964</v>
      </c>
      <c r="N284" s="0" t="n">
        <f aca="false">IF(OR(B284="NW",COUNT(Risk_Rank_Keys!C284)=0),0.5,(SUMPRODUCT(--ISNUMBER(Risk_Rank_Keys!$C$2:$C$800),--(Risk_Rank_Keys!$C$2:$C$800&lt;Risk_Rank_Keys!C284))+(SUMPRODUCT(--ISNUMBER(Risk_Rank_Keys!$C$2:$C$800),--(Risk_Rank_Keys!$C$2:$C$800=Risk_Rank_Keys!C284))+1)/2)/COUNT(Risk_Rank_Keys!$C$2:$C$800))</f>
        <v>0.285913528591353</v>
      </c>
      <c r="O284" s="0" t="n">
        <f aca="false">IF(OR(B284="NW",COUNT(Risk_Rank_Keys!D284)=0),0.5,(SUMPRODUCT(--ISNUMBER(Risk_Rank_Keys!$D$2:$D$800),--(Risk_Rank_Keys!$D$2:$D$800&lt;Risk_Rank_Keys!D284))+(SUMPRODUCT(--ISNUMBER(Risk_Rank_Keys!$D$2:$D$800),--(Risk_Rank_Keys!$D$2:$D$800=Risk_Rank_Keys!D284))+1)/2)/COUNT(Risk_Rank_Keys!$D$2:$D$800))</f>
        <v>0.298465829846583</v>
      </c>
      <c r="P284" s="0" t="n">
        <f aca="false">AVERAGE(M284:O284)</f>
        <v>0.319386331938633</v>
      </c>
      <c r="Q284" s="0" t="n">
        <f aca="false">0.4*H284+0.4*I284+0.2*P284</f>
        <v>0.678145101181218</v>
      </c>
      <c r="R284" s="0" t="n">
        <f aca="false">PERCENTILE($Q$2:$Q$800,0.75)</f>
        <v>0.667715717403612</v>
      </c>
      <c r="S284" s="1" t="b">
        <f aca="false">OR(Q284&gt;=R284,AND(B284="CW",COUNT(J284:L284)&lt;3))</f>
        <v>1</v>
      </c>
      <c r="T284" s="0" t="n">
        <v>0.326016659508498</v>
      </c>
      <c r="U284" s="0" t="n">
        <v>10.317180584395</v>
      </c>
      <c r="V284" s="0" t="n">
        <v>0.678145101181218</v>
      </c>
      <c r="W284" s="0" t="n">
        <f aca="false">Q284-V284</f>
        <v>0</v>
      </c>
    </row>
    <row r="285" customFormat="false" ht="15" hidden="false" customHeight="false" outlineLevel="0" collapsed="false">
      <c r="A285" s="0" t="s">
        <v>319</v>
      </c>
      <c r="B285" s="0" t="s">
        <v>3013</v>
      </c>
      <c r="C285" s="0" t="n">
        <v>42.500379848937</v>
      </c>
      <c r="D285" s="0" t="n">
        <f aca="false">SUMPRODUCT(Risk_Inputs!B285:AJ285,Risk_Coefs!$B$2:$AJ$2)</f>
        <v>-1.54447055000455</v>
      </c>
      <c r="E285" s="0" t="n">
        <f aca="false">1/(1+EXP(-MAX(-25,MIN(25,D285))))</f>
        <v>0.175886327870238</v>
      </c>
      <c r="F285" s="0" t="n">
        <f aca="false">SUMPRODUCT(Risk_Inputs!B285:AJ285,Risk_Coefs!$B$3:$AJ$3)</f>
        <v>7.05578475595134</v>
      </c>
      <c r="G285" s="0" t="n">
        <f aca="false">MAX(0,F285)</f>
        <v>7.05578475595134</v>
      </c>
      <c r="H285" s="0" t="n">
        <f aca="false">(SUMPRODUCT(--ISNUMBER($E$2:$E$800),--($E$2:$E$800&lt;E285))+(SUMPRODUCT(--ISNUMBER($E$2:$E$800),--($E$2:$E$800=E285))+1)/2)/COUNT($E$2:$E$800)</f>
        <v>0.0550688360450563</v>
      </c>
      <c r="I285" s="0" t="n">
        <f aca="false">(SUMPRODUCT(--ISNUMBER($G$2:$G$800),--($G$2:$G$800&lt;G285))+(SUMPRODUCT(--ISNUMBER($G$2:$G$800),--($G$2:$G$800=G285))+1)/2)/COUNT($G$2:$G$800)</f>
        <v>0.423028785982478</v>
      </c>
      <c r="J285" s="0" t="n">
        <v>31.6954261825312</v>
      </c>
      <c r="K285" s="0" t="n">
        <v>15.7264957264957</v>
      </c>
      <c r="L285" s="0" t="n">
        <v>0.512820512820514</v>
      </c>
      <c r="M285" s="0" t="n">
        <f aca="false">IF(OR(B285="NW",COUNT(Risk_Rank_Keys!B285)=0),0.5,(SUMPRODUCT(--ISNUMBER(Risk_Rank_Keys!$B$2:$B$800),--(Risk_Rank_Keys!$B$2:$B$800&lt;Risk_Rank_Keys!B285))+(SUMPRODUCT(--ISNUMBER(Risk_Rank_Keys!$B$2:$B$800),--(Risk_Rank_Keys!$B$2:$B$800=Risk_Rank_Keys!B285))+1)/2)/COUNT(Risk_Rank_Keys!$B$2:$B$800))</f>
        <v>0.914923291492329</v>
      </c>
      <c r="N285" s="0" t="n">
        <f aca="false">IF(OR(B285="NW",COUNT(Risk_Rank_Keys!C285)=0),0.5,(SUMPRODUCT(--ISNUMBER(Risk_Rank_Keys!$C$2:$C$800),--(Risk_Rank_Keys!$C$2:$C$800&lt;Risk_Rank_Keys!C285))+(SUMPRODUCT(--ISNUMBER(Risk_Rank_Keys!$C$2:$C$800),--(Risk_Rank_Keys!$C$2:$C$800=Risk_Rank_Keys!C285))+1)/2)/COUNT(Risk_Rank_Keys!$C$2:$C$800))</f>
        <v>0.937238493723849</v>
      </c>
      <c r="O285" s="0" t="n">
        <f aca="false">IF(OR(B285="NW",COUNT(Risk_Rank_Keys!D285)=0),0.5,(SUMPRODUCT(--ISNUMBER(Risk_Rank_Keys!$D$2:$D$800),--(Risk_Rank_Keys!$D$2:$D$800&lt;Risk_Rank_Keys!D285))+(SUMPRODUCT(--ISNUMBER(Risk_Rank_Keys!$D$2:$D$800),--(Risk_Rank_Keys!$D$2:$D$800=Risk_Rank_Keys!D285))+1)/2)/COUNT(Risk_Rank_Keys!$D$2:$D$800))</f>
        <v>0.9581589958159</v>
      </c>
      <c r="P285" s="0" t="n">
        <f aca="false">AVERAGE(M285:O285)</f>
        <v>0.936773593677359</v>
      </c>
      <c r="Q285" s="0" t="n">
        <f aca="false">0.4*H285+0.4*I285+0.2*P285</f>
        <v>0.378593767546486</v>
      </c>
      <c r="R285" s="0" t="n">
        <f aca="false">PERCENTILE($Q$2:$Q$800,0.75)</f>
        <v>0.667715717403612</v>
      </c>
      <c r="S285" s="1" t="b">
        <f aca="false">OR(Q285&gt;=R285,AND(B285="CW",COUNT(J285:L285)&lt;3))</f>
        <v>0</v>
      </c>
      <c r="T285" s="0" t="n">
        <v>0.175886327870238</v>
      </c>
      <c r="U285" s="0" t="n">
        <v>7.05578475595134</v>
      </c>
      <c r="V285" s="0" t="n">
        <v>0.378593767546486</v>
      </c>
      <c r="W285" s="0" t="n">
        <f aca="false">Q285-V285</f>
        <v>0</v>
      </c>
    </row>
    <row r="286" customFormat="false" ht="15" hidden="false" customHeight="false" outlineLevel="0" collapsed="false">
      <c r="A286" s="0" t="s">
        <v>320</v>
      </c>
      <c r="B286" s="0" t="s">
        <v>3013</v>
      </c>
      <c r="C286" s="0" t="n">
        <v>17.6055576506352</v>
      </c>
      <c r="D286" s="0" t="n">
        <f aca="false">SUMPRODUCT(Risk_Inputs!B286:AJ286,Risk_Coefs!$B$2:$AJ$2)</f>
        <v>-0.754724219910667</v>
      </c>
      <c r="E286" s="0" t="n">
        <f aca="false">1/(1+EXP(-MAX(-25,MIN(25,D286))))</f>
        <v>0.31979278948337</v>
      </c>
      <c r="F286" s="0" t="n">
        <f aca="false">SUMPRODUCT(Risk_Inputs!B286:AJ286,Risk_Coefs!$B$3:$AJ$3)</f>
        <v>6.44327581444731</v>
      </c>
      <c r="G286" s="0" t="n">
        <f aca="false">MAX(0,F286)</f>
        <v>6.44327581444731</v>
      </c>
      <c r="H286" s="0" t="n">
        <f aca="false">(SUMPRODUCT(--ISNUMBER($E$2:$E$800),--($E$2:$E$800&lt;E286))+(SUMPRODUCT(--ISNUMBER($E$2:$E$800),--($E$2:$E$800=E286))+1)/2)/COUNT($E$2:$E$800)</f>
        <v>0.667083854818523</v>
      </c>
      <c r="I286" s="0" t="n">
        <f aca="false">(SUMPRODUCT(--ISNUMBER($G$2:$G$800),--($G$2:$G$800&lt;G286))+(SUMPRODUCT(--ISNUMBER($G$2:$G$800),--($G$2:$G$800=G286))+1)/2)/COUNT($G$2:$G$800)</f>
        <v>0.331664580725907</v>
      </c>
      <c r="J286" s="0" t="n">
        <v>5.77846125168995</v>
      </c>
      <c r="K286" s="0" t="n">
        <v>1.23158657329148</v>
      </c>
      <c r="L286" s="0" t="n">
        <v>0.120743781695243</v>
      </c>
      <c r="M286" s="0" t="n">
        <f aca="false">IF(OR(B286="NW",COUNT(Risk_Rank_Keys!B286)=0),0.5,(SUMPRODUCT(--ISNUMBER(Risk_Rank_Keys!$B$2:$B$800),--(Risk_Rank_Keys!$B$2:$B$800&lt;Risk_Rank_Keys!B286))+(SUMPRODUCT(--ISNUMBER(Risk_Rank_Keys!$B$2:$B$800),--(Risk_Rank_Keys!$B$2:$B$800=Risk_Rank_Keys!B286))+1)/2)/COUNT(Risk_Rank_Keys!$B$2:$B$800))</f>
        <v>0.203626220362622</v>
      </c>
      <c r="N286" s="0" t="n">
        <f aca="false">IF(OR(B286="NW",COUNT(Risk_Rank_Keys!C286)=0),0.5,(SUMPRODUCT(--ISNUMBER(Risk_Rank_Keys!$C$2:$C$800),--(Risk_Rank_Keys!$C$2:$C$800&lt;Risk_Rank_Keys!C286))+(SUMPRODUCT(--ISNUMBER(Risk_Rank_Keys!$C$2:$C$800),--(Risk_Rank_Keys!$C$2:$C$800=Risk_Rank_Keys!C286))+1)/2)/COUNT(Risk_Rank_Keys!$C$2:$C$800))</f>
        <v>0.0794979079497908</v>
      </c>
      <c r="O286" s="0" t="n">
        <f aca="false">IF(OR(B286="NW",COUNT(Risk_Rank_Keys!D286)=0),0.5,(SUMPRODUCT(--ISNUMBER(Risk_Rank_Keys!$D$2:$D$800),--(Risk_Rank_Keys!$D$2:$D$800&lt;Risk_Rank_Keys!D286))+(SUMPRODUCT(--ISNUMBER(Risk_Rank_Keys!$D$2:$D$800),--(Risk_Rank_Keys!$D$2:$D$800=Risk_Rank_Keys!D286))+1)/2)/COUNT(Risk_Rank_Keys!$D$2:$D$800))</f>
        <v>0.0418410041841004</v>
      </c>
      <c r="P286" s="0" t="n">
        <f aca="false">AVERAGE(M286:O286)</f>
        <v>0.108321710832171</v>
      </c>
      <c r="Q286" s="0" t="n">
        <f aca="false">0.4*H286+0.4*I286+0.2*P286</f>
        <v>0.421163716384206</v>
      </c>
      <c r="R286" s="0" t="n">
        <f aca="false">PERCENTILE($Q$2:$Q$800,0.75)</f>
        <v>0.667715717403612</v>
      </c>
      <c r="S286" s="1" t="b">
        <f aca="false">OR(Q286&gt;=R286,AND(B286="CW",COUNT(J286:L286)&lt;3))</f>
        <v>0</v>
      </c>
      <c r="T286" s="0" t="n">
        <v>0.31979278948337</v>
      </c>
      <c r="U286" s="0" t="n">
        <v>6.44327581444731</v>
      </c>
      <c r="V286" s="0" t="n">
        <v>0.421163716384207</v>
      </c>
      <c r="W286" s="0" t="n">
        <f aca="false">Q286-V286</f>
        <v>0</v>
      </c>
    </row>
    <row r="287" customFormat="false" ht="15" hidden="false" customHeight="false" outlineLevel="0" collapsed="false">
      <c r="A287" s="0" t="s">
        <v>321</v>
      </c>
      <c r="B287" s="0" t="s">
        <v>3013</v>
      </c>
      <c r="C287" s="0" t="n">
        <v>-10.7452164418522</v>
      </c>
      <c r="D287" s="0" t="n">
        <f aca="false">SUMPRODUCT(Risk_Inputs!B287:AJ287,Risk_Coefs!$B$2:$AJ$2)</f>
        <v>-0.413196651243722</v>
      </c>
      <c r="E287" s="0" t="n">
        <f aca="false">1/(1+EXP(-MAX(-25,MIN(25,D287))))</f>
        <v>0.398145872410346</v>
      </c>
      <c r="F287" s="0" t="n">
        <f aca="false">SUMPRODUCT(Risk_Inputs!B287:AJ287,Risk_Coefs!$B$3:$AJ$3)</f>
        <v>10.6720104268834</v>
      </c>
      <c r="G287" s="0" t="n">
        <f aca="false">MAX(0,F287)</f>
        <v>10.6720104268834</v>
      </c>
      <c r="H287" s="0" t="n">
        <f aca="false">(SUMPRODUCT(--ISNUMBER($E$2:$E$800),--($E$2:$E$800&lt;E287))+(SUMPRODUCT(--ISNUMBER($E$2:$E$800),--($E$2:$E$800=E287))+1)/2)/COUNT($E$2:$E$800)</f>
        <v>0.937421777221527</v>
      </c>
      <c r="I287" s="0" t="n">
        <f aca="false">(SUMPRODUCT(--ISNUMBER($G$2:$G$800),--($G$2:$G$800&lt;G287))+(SUMPRODUCT(--ISNUMBER($G$2:$G$800),--($G$2:$G$800=G287))+1)/2)/COUNT($G$2:$G$800)</f>
        <v>0.856070087609512</v>
      </c>
      <c r="J287" s="0" t="n">
        <v>4.83952026704292</v>
      </c>
      <c r="K287" s="0" t="n">
        <v>1.20234604105571</v>
      </c>
      <c r="L287" s="0" t="n">
        <v>0.146627565982405</v>
      </c>
      <c r="M287" s="0" t="n">
        <f aca="false">IF(OR(B287="NW",COUNT(Risk_Rank_Keys!B287)=0),0.5,(SUMPRODUCT(--ISNUMBER(Risk_Rank_Keys!$B$2:$B$800),--(Risk_Rank_Keys!$B$2:$B$800&lt;Risk_Rank_Keys!B287))+(SUMPRODUCT(--ISNUMBER(Risk_Rank_Keys!$B$2:$B$800),--(Risk_Rank_Keys!$B$2:$B$800=Risk_Rank_Keys!B287))+1)/2)/COUNT(Risk_Rank_Keys!$B$2:$B$800))</f>
        <v>0.121338912133891</v>
      </c>
      <c r="N287" s="0" t="n">
        <f aca="false">IF(OR(B287="NW",COUNT(Risk_Rank_Keys!C287)=0),0.5,(SUMPRODUCT(--ISNUMBER(Risk_Rank_Keys!$C$2:$C$800),--(Risk_Rank_Keys!$C$2:$C$800&lt;Risk_Rank_Keys!C287))+(SUMPRODUCT(--ISNUMBER(Risk_Rank_Keys!$C$2:$C$800),--(Risk_Rank_Keys!$C$2:$C$800=Risk_Rank_Keys!C287))+1)/2)/COUNT(Risk_Rank_Keys!$C$2:$C$800))</f>
        <v>0.0711297071129707</v>
      </c>
      <c r="O287" s="0" t="n">
        <f aca="false">IF(OR(B287="NW",COUNT(Risk_Rank_Keys!D287)=0),0.5,(SUMPRODUCT(--ISNUMBER(Risk_Rank_Keys!$D$2:$D$800),--(Risk_Rank_Keys!$D$2:$D$800&lt;Risk_Rank_Keys!D287))+(SUMPRODUCT(--ISNUMBER(Risk_Rank_Keys!$D$2:$D$800),--(Risk_Rank_Keys!$D$2:$D$800=Risk_Rank_Keys!D287))+1)/2)/COUNT(Risk_Rank_Keys!$D$2:$D$800))</f>
        <v>0.097629009762901</v>
      </c>
      <c r="P287" s="0" t="n">
        <f aca="false">AVERAGE(M287:O287)</f>
        <v>0.096699209669921</v>
      </c>
      <c r="Q287" s="0" t="n">
        <f aca="false">0.4*H287+0.4*I287+0.2*P287</f>
        <v>0.7367365878664</v>
      </c>
      <c r="R287" s="0" t="n">
        <f aca="false">PERCENTILE($Q$2:$Q$800,0.75)</f>
        <v>0.667715717403612</v>
      </c>
      <c r="S287" s="1" t="b">
        <f aca="false">OR(Q287&gt;=R287,AND(B287="CW",COUNT(J287:L287)&lt;3))</f>
        <v>1</v>
      </c>
      <c r="T287" s="0" t="n">
        <v>0.398145872410346</v>
      </c>
      <c r="U287" s="0" t="n">
        <v>10.6720104268834</v>
      </c>
      <c r="V287" s="0" t="n">
        <v>0.7367365878664</v>
      </c>
      <c r="W287" s="0" t="n">
        <f aca="false">Q287-V287</f>
        <v>0</v>
      </c>
    </row>
    <row r="288" customFormat="false" ht="15" hidden="false" customHeight="false" outlineLevel="0" collapsed="false">
      <c r="A288" s="0" t="s">
        <v>322</v>
      </c>
      <c r="B288" s="0" t="s">
        <v>3013</v>
      </c>
      <c r="C288" s="0" t="n">
        <v>13.4889410617207</v>
      </c>
      <c r="D288" s="0" t="n">
        <f aca="false">SUMPRODUCT(Risk_Inputs!B288:AJ288,Risk_Coefs!$B$2:$AJ$2)</f>
        <v>-0.786086299697428</v>
      </c>
      <c r="E288" s="0" t="n">
        <f aca="false">1/(1+EXP(-MAX(-25,MIN(25,D288))))</f>
        <v>0.313009633896298</v>
      </c>
      <c r="F288" s="0" t="n">
        <f aca="false">SUMPRODUCT(Risk_Inputs!B288:AJ288,Risk_Coefs!$B$3:$AJ$3)</f>
        <v>11.2192491781674</v>
      </c>
      <c r="G288" s="0" t="n">
        <f aca="false">MAX(0,F288)</f>
        <v>11.2192491781674</v>
      </c>
      <c r="H288" s="0" t="n">
        <f aca="false">(SUMPRODUCT(--ISNUMBER($E$2:$E$800),--($E$2:$E$800&lt;E288))+(SUMPRODUCT(--ISNUMBER($E$2:$E$800),--($E$2:$E$800=E288))+1)/2)/COUNT($E$2:$E$800)</f>
        <v>0.630788485607009</v>
      </c>
      <c r="I288" s="0" t="n">
        <f aca="false">(SUMPRODUCT(--ISNUMBER($G$2:$G$800),--($G$2:$G$800&lt;G288))+(SUMPRODUCT(--ISNUMBER($G$2:$G$800),--($G$2:$G$800=G288))+1)/2)/COUNT($G$2:$G$800)</f>
        <v>0.892365456821026</v>
      </c>
      <c r="J288" s="0" t="n">
        <v>9.93939469711391</v>
      </c>
      <c r="K288" s="0" t="n">
        <v>6.11713665943602</v>
      </c>
      <c r="L288" s="0" t="n">
        <v>0.173535791757052</v>
      </c>
      <c r="M288" s="0" t="n">
        <f aca="false">IF(OR(B288="NW",COUNT(Risk_Rank_Keys!B288)=0),0.5,(SUMPRODUCT(--ISNUMBER(Risk_Rank_Keys!$B$2:$B$800),--(Risk_Rank_Keys!$B$2:$B$800&lt;Risk_Rank_Keys!B288))+(SUMPRODUCT(--ISNUMBER(Risk_Rank_Keys!$B$2:$B$800),--(Risk_Rank_Keys!$B$2:$B$800=Risk_Rank_Keys!B288))+1)/2)/COUNT(Risk_Rank_Keys!$B$2:$B$800))</f>
        <v>0.503486750348675</v>
      </c>
      <c r="N288" s="0" t="n">
        <f aca="false">IF(OR(B288="NW",COUNT(Risk_Rank_Keys!C288)=0),0.5,(SUMPRODUCT(--ISNUMBER(Risk_Rank_Keys!$C$2:$C$800),--(Risk_Rank_Keys!$C$2:$C$800&lt;Risk_Rank_Keys!C288))+(SUMPRODUCT(--ISNUMBER(Risk_Rank_Keys!$C$2:$C$800),--(Risk_Rank_Keys!$C$2:$C$800=Risk_Rank_Keys!C288))+1)/2)/COUNT(Risk_Rank_Keys!$C$2:$C$800))</f>
        <v>0.750348675034868</v>
      </c>
      <c r="O288" s="0" t="n">
        <f aca="false">IF(OR(B288="NW",COUNT(Risk_Rank_Keys!D288)=0),0.5,(SUMPRODUCT(--ISNUMBER(Risk_Rank_Keys!$D$2:$D$800),--(Risk_Rank_Keys!$D$2:$D$800&lt;Risk_Rank_Keys!D288))+(SUMPRODUCT(--ISNUMBER(Risk_Rank_Keys!$D$2:$D$800),--(Risk_Rank_Keys!$D$2:$D$800=Risk_Rank_Keys!D288))+1)/2)/COUNT(Risk_Rank_Keys!$D$2:$D$800))</f>
        <v>0.185495118549512</v>
      </c>
      <c r="P288" s="0" t="n">
        <f aca="false">AVERAGE(M288:O288)</f>
        <v>0.479776847977685</v>
      </c>
      <c r="Q288" s="0" t="n">
        <f aca="false">0.4*H288+0.4*I288+0.2*P288</f>
        <v>0.705216946566751</v>
      </c>
      <c r="R288" s="0" t="n">
        <f aca="false">PERCENTILE($Q$2:$Q$800,0.75)</f>
        <v>0.667715717403612</v>
      </c>
      <c r="S288" s="1" t="b">
        <f aca="false">OR(Q288&gt;=R288,AND(B288="CW",COUNT(J288:L288)&lt;3))</f>
        <v>1</v>
      </c>
      <c r="T288" s="0" t="n">
        <v>0.313009633896298</v>
      </c>
      <c r="U288" s="0" t="n">
        <v>11.2192491781674</v>
      </c>
      <c r="V288" s="0" t="n">
        <v>0.705216946566751</v>
      </c>
      <c r="W288" s="0" t="n">
        <f aca="false">Q288-V288</f>
        <v>0</v>
      </c>
    </row>
    <row r="289" customFormat="false" ht="15" hidden="false" customHeight="false" outlineLevel="0" collapsed="false">
      <c r="A289" s="0" t="s">
        <v>323</v>
      </c>
      <c r="B289" s="0" t="s">
        <v>3013</v>
      </c>
      <c r="C289" s="0" t="n">
        <v>16.9927334940459</v>
      </c>
      <c r="D289" s="0" t="n">
        <f aca="false">SUMPRODUCT(Risk_Inputs!B289:AJ289,Risk_Coefs!$B$2:$AJ$2)</f>
        <v>-0.858413554799617</v>
      </c>
      <c r="E289" s="0" t="n">
        <f aca="false">1/(1+EXP(-MAX(-25,MIN(25,D289))))</f>
        <v>0.2976709060543</v>
      </c>
      <c r="F289" s="0" t="n">
        <f aca="false">SUMPRODUCT(Risk_Inputs!B289:AJ289,Risk_Coefs!$B$3:$AJ$3)</f>
        <v>10.7956137390929</v>
      </c>
      <c r="G289" s="0" t="n">
        <f aca="false">MAX(0,F289)</f>
        <v>10.7956137390929</v>
      </c>
      <c r="H289" s="0" t="n">
        <f aca="false">(SUMPRODUCT(--ISNUMBER($E$2:$E$800),--($E$2:$E$800&lt;E289))+(SUMPRODUCT(--ISNUMBER($E$2:$E$800),--($E$2:$E$800=E289))+1)/2)/COUNT($E$2:$E$800)</f>
        <v>0.555694618272841</v>
      </c>
      <c r="I289" s="0" t="n">
        <f aca="false">(SUMPRODUCT(--ISNUMBER($G$2:$G$800),--($G$2:$G$800&lt;G289))+(SUMPRODUCT(--ISNUMBER($G$2:$G$800),--($G$2:$G$800=G289))+1)/2)/COUNT($G$2:$G$800)</f>
        <v>0.86107634543179</v>
      </c>
      <c r="J289" s="0" t="n">
        <v>8.3302788977375</v>
      </c>
      <c r="K289" s="0" t="n">
        <v>3.21896002829854</v>
      </c>
      <c r="L289" s="0" t="n">
        <v>0.212239122744957</v>
      </c>
      <c r="M289" s="0" t="n">
        <f aca="false">IF(OR(B289="NW",COUNT(Risk_Rank_Keys!B289)=0),0.5,(SUMPRODUCT(--ISNUMBER(Risk_Rank_Keys!$B$2:$B$800),--(Risk_Rank_Keys!$B$2:$B$800&lt;Risk_Rank_Keys!B289))+(SUMPRODUCT(--ISNUMBER(Risk_Rank_Keys!$B$2:$B$800),--(Risk_Rank_Keys!$B$2:$B$800=Risk_Rank_Keys!B289))+1)/2)/COUNT(Risk_Rank_Keys!$B$2:$B$800))</f>
        <v>0.404463040446304</v>
      </c>
      <c r="N289" s="0" t="n">
        <f aca="false">IF(OR(B289="NW",COUNT(Risk_Rank_Keys!C289)=0),0.5,(SUMPRODUCT(--ISNUMBER(Risk_Rank_Keys!$C$2:$C$800),--(Risk_Rank_Keys!$C$2:$C$800&lt;Risk_Rank_Keys!C289))+(SUMPRODUCT(--ISNUMBER(Risk_Rank_Keys!$C$2:$C$800),--(Risk_Rank_Keys!$C$2:$C$800=Risk_Rank_Keys!C289))+1)/2)/COUNT(Risk_Rank_Keys!$C$2:$C$800))</f>
        <v>0.496513249651325</v>
      </c>
      <c r="O289" s="0" t="n">
        <f aca="false">IF(OR(B289="NW",COUNT(Risk_Rank_Keys!D289)=0),0.5,(SUMPRODUCT(--ISNUMBER(Risk_Rank_Keys!$D$2:$D$800),--(Risk_Rank_Keys!$D$2:$D$800&lt;Risk_Rank_Keys!D289))+(SUMPRODUCT(--ISNUMBER(Risk_Rank_Keys!$D$2:$D$800),--(Risk_Rank_Keys!$D$2:$D$800=Risk_Rank_Keys!D289))+1)/2)/COUNT(Risk_Rank_Keys!$D$2:$D$800))</f>
        <v>0.394700139470014</v>
      </c>
      <c r="P289" s="0" t="n">
        <f aca="false">AVERAGE(M289:O289)</f>
        <v>0.431892143189214</v>
      </c>
      <c r="Q289" s="0" t="n">
        <f aca="false">0.4*H289+0.4*I289+0.2*P289</f>
        <v>0.653086814119695</v>
      </c>
      <c r="R289" s="0" t="n">
        <f aca="false">PERCENTILE($Q$2:$Q$800,0.75)</f>
        <v>0.667715717403612</v>
      </c>
      <c r="S289" s="1" t="b">
        <f aca="false">OR(Q289&gt;=R289,AND(B289="CW",COUNT(J289:L289)&lt;3))</f>
        <v>0</v>
      </c>
      <c r="T289" s="0" t="n">
        <v>0.2976709060543</v>
      </c>
      <c r="U289" s="0" t="n">
        <v>10.7956137390929</v>
      </c>
      <c r="V289" s="0" t="n">
        <v>0.653086814119695</v>
      </c>
      <c r="W289" s="0" t="n">
        <f aca="false">Q289-V289</f>
        <v>0</v>
      </c>
    </row>
    <row r="290" customFormat="false" ht="15" hidden="false" customHeight="false" outlineLevel="0" collapsed="false">
      <c r="A290" s="0" t="s">
        <v>324</v>
      </c>
      <c r="B290" s="0" t="s">
        <v>3013</v>
      </c>
      <c r="C290" s="0" t="n">
        <v>15.5253467030068</v>
      </c>
      <c r="D290" s="0" t="n">
        <f aca="false">SUMPRODUCT(Risk_Inputs!B290:AJ290,Risk_Coefs!$B$2:$AJ$2)</f>
        <v>-0.995571358288104</v>
      </c>
      <c r="E290" s="0" t="n">
        <f aca="false">1/(1+EXP(-MAX(-25,MIN(25,D290))))</f>
        <v>0.269813035655717</v>
      </c>
      <c r="F290" s="0" t="n">
        <f aca="false">SUMPRODUCT(Risk_Inputs!B290:AJ290,Risk_Coefs!$B$3:$AJ$3)</f>
        <v>7.95423038490269</v>
      </c>
      <c r="G290" s="0" t="n">
        <f aca="false">MAX(0,F290)</f>
        <v>7.95423038490269</v>
      </c>
      <c r="H290" s="0" t="n">
        <f aca="false">(SUMPRODUCT(--ISNUMBER($E$2:$E$800),--($E$2:$E$800&lt;E290))+(SUMPRODUCT(--ISNUMBER($E$2:$E$800),--($E$2:$E$800=E290))+1)/2)/COUNT($E$2:$E$800)</f>
        <v>0.387984981226533</v>
      </c>
      <c r="I290" s="0" t="n">
        <f aca="false">(SUMPRODUCT(--ISNUMBER($G$2:$G$800),--($G$2:$G$800&lt;G290))+(SUMPRODUCT(--ISNUMBER($G$2:$G$800),--($G$2:$G$800=G290))+1)/2)/COUNT($G$2:$G$800)</f>
        <v>0.53441802252816</v>
      </c>
      <c r="J290" s="0" t="n">
        <v>5.36557122113644</v>
      </c>
      <c r="K290" s="0" t="n">
        <v>5.76484018264838</v>
      </c>
      <c r="L290" s="0" t="n">
        <v>0.285388127853889</v>
      </c>
      <c r="M290" s="0" t="n">
        <f aca="false">IF(OR(B290="NW",COUNT(Risk_Rank_Keys!B290)=0),0.5,(SUMPRODUCT(--ISNUMBER(Risk_Rank_Keys!$B$2:$B$800),--(Risk_Rank_Keys!$B$2:$B$800&lt;Risk_Rank_Keys!B290))+(SUMPRODUCT(--ISNUMBER(Risk_Rank_Keys!$B$2:$B$800),--(Risk_Rank_Keys!$B$2:$B$800=Risk_Rank_Keys!B290))+1)/2)/COUNT(Risk_Rank_Keys!$B$2:$B$800))</f>
        <v>0.158995815899582</v>
      </c>
      <c r="N290" s="0" t="n">
        <f aca="false">IF(OR(B290="NW",COUNT(Risk_Rank_Keys!C290)=0),0.5,(SUMPRODUCT(--ISNUMBER(Risk_Rank_Keys!$C$2:$C$800),--(Risk_Rank_Keys!$C$2:$C$800&lt;Risk_Rank_Keys!C290))+(SUMPRODUCT(--ISNUMBER(Risk_Rank_Keys!$C$2:$C$800),--(Risk_Rank_Keys!$C$2:$C$800=Risk_Rank_Keys!C290))+1)/2)/COUNT(Risk_Rank_Keys!$C$2:$C$800))</f>
        <v>0.733612273361227</v>
      </c>
      <c r="O290" s="0" t="n">
        <f aca="false">IF(OR(B290="NW",COUNT(Risk_Rank_Keys!D290)=0),0.5,(SUMPRODUCT(--ISNUMBER(Risk_Rank_Keys!$D$2:$D$800),--(Risk_Rank_Keys!$D$2:$D$800&lt;Risk_Rank_Keys!D290))+(SUMPRODUCT(--ISNUMBER(Risk_Rank_Keys!$D$2:$D$800),--(Risk_Rank_Keys!$D$2:$D$800=Risk_Rank_Keys!D290))+1)/2)/COUNT(Risk_Rank_Keys!$D$2:$D$800))</f>
        <v>0.714086471408647</v>
      </c>
      <c r="P290" s="0" t="n">
        <f aca="false">AVERAGE(M290:O290)</f>
        <v>0.535564853556485</v>
      </c>
      <c r="Q290" s="0" t="n">
        <f aca="false">0.4*H290+0.4*I290+0.2*P290</f>
        <v>0.476074172213174</v>
      </c>
      <c r="R290" s="0" t="n">
        <f aca="false">PERCENTILE($Q$2:$Q$800,0.75)</f>
        <v>0.667715717403612</v>
      </c>
      <c r="S290" s="1" t="b">
        <f aca="false">OR(Q290&gt;=R290,AND(B290="CW",COUNT(J290:L290)&lt;3))</f>
        <v>0</v>
      </c>
      <c r="T290" s="0" t="n">
        <v>0.269813035655717</v>
      </c>
      <c r="U290" s="0" t="n">
        <v>7.95423038490269</v>
      </c>
      <c r="V290" s="0" t="n">
        <v>0.476074172213174</v>
      </c>
      <c r="W290" s="0" t="n">
        <f aca="false">Q290-V290</f>
        <v>0</v>
      </c>
    </row>
    <row r="291" customFormat="false" ht="15" hidden="false" customHeight="false" outlineLevel="0" collapsed="false">
      <c r="A291" s="0" t="s">
        <v>325</v>
      </c>
      <c r="B291" s="0" t="s">
        <v>3013</v>
      </c>
      <c r="C291" s="0" t="n">
        <v>-13.1736999799872</v>
      </c>
      <c r="D291" s="0" t="n">
        <f aca="false">SUMPRODUCT(Risk_Inputs!B291:AJ291,Risk_Coefs!$B$2:$AJ$2)</f>
        <v>-0.983339616658861</v>
      </c>
      <c r="E291" s="0" t="n">
        <f aca="false">1/(1+EXP(-MAX(-25,MIN(25,D291))))</f>
        <v>0.27222963354225</v>
      </c>
      <c r="F291" s="0" t="n">
        <f aca="false">SUMPRODUCT(Risk_Inputs!B291:AJ291,Risk_Coefs!$B$3:$AJ$3)</f>
        <v>8.6210446609788</v>
      </c>
      <c r="G291" s="0" t="n">
        <f aca="false">MAX(0,F291)</f>
        <v>8.6210446609788</v>
      </c>
      <c r="H291" s="0" t="n">
        <f aca="false">(SUMPRODUCT(--ISNUMBER($E$2:$E$800),--($E$2:$E$800&lt;E291))+(SUMPRODUCT(--ISNUMBER($E$2:$E$800),--($E$2:$E$800=E291))+1)/2)/COUNT($E$2:$E$800)</f>
        <v>0.404255319148936</v>
      </c>
      <c r="I291" s="0" t="n">
        <f aca="false">(SUMPRODUCT(--ISNUMBER($G$2:$G$800),--($G$2:$G$800&lt;G291))+(SUMPRODUCT(--ISNUMBER($G$2:$G$800),--($G$2:$G$800=G291))+1)/2)/COUNT($G$2:$G$800)</f>
        <v>0.625782227784731</v>
      </c>
      <c r="J291" s="0" t="n">
        <v>6.81429982318756</v>
      </c>
      <c r="K291" s="0" t="n">
        <v>1.47888694298502</v>
      </c>
      <c r="L291" s="0" t="n">
        <v>0.194590387234871</v>
      </c>
      <c r="M291" s="0" t="n">
        <f aca="false">IF(OR(B291="NW",COUNT(Risk_Rank_Keys!B291)=0),0.5,(SUMPRODUCT(--ISNUMBER(Risk_Rank_Keys!$B$2:$B$800),--(Risk_Rank_Keys!$B$2:$B$800&lt;Risk_Rank_Keys!B291))+(SUMPRODUCT(--ISNUMBER(Risk_Rank_Keys!$B$2:$B$800),--(Risk_Rank_Keys!$B$2:$B$800=Risk_Rank_Keys!B291))+1)/2)/COUNT(Risk_Rank_Keys!$B$2:$B$800))</f>
        <v>0.297071129707113</v>
      </c>
      <c r="N291" s="0" t="n">
        <f aca="false">IF(OR(B291="NW",COUNT(Risk_Rank_Keys!C291)=0),0.5,(SUMPRODUCT(--ISNUMBER(Risk_Rank_Keys!$C$2:$C$800),--(Risk_Rank_Keys!$C$2:$C$800&lt;Risk_Rank_Keys!C291))+(SUMPRODUCT(--ISNUMBER(Risk_Rank_Keys!$C$2:$C$800),--(Risk_Rank_Keys!$C$2:$C$800=Risk_Rank_Keys!C291))+1)/2)/COUNT(Risk_Rank_Keys!$C$2:$C$800))</f>
        <v>0.129707112970711</v>
      </c>
      <c r="O291" s="0" t="n">
        <f aca="false">IF(OR(B291="NW",COUNT(Risk_Rank_Keys!D291)=0),0.5,(SUMPRODUCT(--ISNUMBER(Risk_Rank_Keys!$D$2:$D$800),--(Risk_Rank_Keys!$D$2:$D$800&lt;Risk_Rank_Keys!D291))+(SUMPRODUCT(--ISNUMBER(Risk_Rank_Keys!$D$2:$D$800),--(Risk_Rank_Keys!$D$2:$D$800=Risk_Rank_Keys!D291))+1)/2)/COUNT(Risk_Rank_Keys!$D$2:$D$800))</f>
        <v>0.281729428172943</v>
      </c>
      <c r="P291" s="0" t="n">
        <f aca="false">AVERAGE(M291:O291)</f>
        <v>0.236169223616922</v>
      </c>
      <c r="Q291" s="0" t="n">
        <f aca="false">0.4*H291+0.4*I291+0.2*P291</f>
        <v>0.459248863496851</v>
      </c>
      <c r="R291" s="0" t="n">
        <f aca="false">PERCENTILE($Q$2:$Q$800,0.75)</f>
        <v>0.667715717403612</v>
      </c>
      <c r="S291" s="1" t="b">
        <f aca="false">OR(Q291&gt;=R291,AND(B291="CW",COUNT(J291:L291)&lt;3))</f>
        <v>0</v>
      </c>
      <c r="T291" s="0" t="n">
        <v>0.27222963354225</v>
      </c>
      <c r="U291" s="0" t="n">
        <v>8.6210446609788</v>
      </c>
      <c r="V291" s="0" t="n">
        <v>0.459248863496851</v>
      </c>
      <c r="W291" s="0" t="n">
        <f aca="false">Q291-V291</f>
        <v>0</v>
      </c>
    </row>
    <row r="292" customFormat="false" ht="15" hidden="false" customHeight="false" outlineLevel="0" collapsed="false">
      <c r="A292" s="0" t="s">
        <v>326</v>
      </c>
      <c r="B292" s="0" t="s">
        <v>3013</v>
      </c>
      <c r="C292" s="0" t="n">
        <v>16.5082854297526</v>
      </c>
      <c r="D292" s="0" t="n">
        <f aca="false">SUMPRODUCT(Risk_Inputs!B292:AJ292,Risk_Coefs!$B$2:$AJ$2)</f>
        <v>-0.739495706644451</v>
      </c>
      <c r="E292" s="0" t="n">
        <f aca="false">1/(1+EXP(-MAX(-25,MIN(25,D292))))</f>
        <v>0.323114428675019</v>
      </c>
      <c r="F292" s="0" t="n">
        <f aca="false">SUMPRODUCT(Risk_Inputs!B292:AJ292,Risk_Coefs!$B$3:$AJ$3)</f>
        <v>9.20311528445741</v>
      </c>
      <c r="G292" s="0" t="n">
        <f aca="false">MAX(0,F292)</f>
        <v>9.20311528445741</v>
      </c>
      <c r="H292" s="0" t="n">
        <f aca="false">(SUMPRODUCT(--ISNUMBER($E$2:$E$800),--($E$2:$E$800&lt;E292))+(SUMPRODUCT(--ISNUMBER($E$2:$E$800),--($E$2:$E$800=E292))+1)/2)/COUNT($E$2:$E$800)</f>
        <v>0.693366708385482</v>
      </c>
      <c r="I292" s="0" t="n">
        <f aca="false">(SUMPRODUCT(--ISNUMBER($G$2:$G$800),--($G$2:$G$800&lt;G292))+(SUMPRODUCT(--ISNUMBER($G$2:$G$800),--($G$2:$G$800=G292))+1)/2)/COUNT($G$2:$G$800)</f>
        <v>0.704630788485607</v>
      </c>
      <c r="J292" s="0" t="n">
        <v>9.56232145586919</v>
      </c>
      <c r="K292" s="0" t="n">
        <v>1.4553891584054</v>
      </c>
      <c r="L292" s="0" t="n">
        <v>0.147648175490412</v>
      </c>
      <c r="M292" s="0" t="n">
        <f aca="false">IF(OR(B292="NW",COUNT(Risk_Rank_Keys!B292)=0),0.5,(SUMPRODUCT(--ISNUMBER(Risk_Rank_Keys!$B$2:$B$800),--(Risk_Rank_Keys!$B$2:$B$800&lt;Risk_Rank_Keys!B292))+(SUMPRODUCT(--ISNUMBER(Risk_Rank_Keys!$B$2:$B$800),--(Risk_Rank_Keys!$B$2:$B$800=Risk_Rank_Keys!B292))+1)/2)/COUNT(Risk_Rank_Keys!$B$2:$B$800))</f>
        <v>0.481171548117155</v>
      </c>
      <c r="N292" s="0" t="n">
        <f aca="false">IF(OR(B292="NW",COUNT(Risk_Rank_Keys!C292)=0),0.5,(SUMPRODUCT(--ISNUMBER(Risk_Rank_Keys!$C$2:$C$800),--(Risk_Rank_Keys!$C$2:$C$800&lt;Risk_Rank_Keys!C292))+(SUMPRODUCT(--ISNUMBER(Risk_Rank_Keys!$C$2:$C$800),--(Risk_Rank_Keys!$C$2:$C$800=Risk_Rank_Keys!C292))+1)/2)/COUNT(Risk_Rank_Keys!$C$2:$C$800))</f>
        <v>0.122733612273361</v>
      </c>
      <c r="O292" s="0" t="n">
        <f aca="false">IF(OR(B292="NW",COUNT(Risk_Rank_Keys!D292)=0),0.5,(SUMPRODUCT(--ISNUMBER(Risk_Rank_Keys!$D$2:$D$800),--(Risk_Rank_Keys!$D$2:$D$800&lt;Risk_Rank_Keys!D292))+(SUMPRODUCT(--ISNUMBER(Risk_Rank_Keys!$D$2:$D$800),--(Risk_Rank_Keys!$D$2:$D$800=Risk_Rank_Keys!D292))+1)/2)/COUNT(Risk_Rank_Keys!$D$2:$D$800))</f>
        <v>0.103207810320781</v>
      </c>
      <c r="P292" s="0" t="n">
        <f aca="false">AVERAGE(M292:O292)</f>
        <v>0.235704323570432</v>
      </c>
      <c r="Q292" s="0" t="n">
        <f aca="false">0.4*H292+0.4*I292+0.2*P292</f>
        <v>0.606339863462522</v>
      </c>
      <c r="R292" s="0" t="n">
        <f aca="false">PERCENTILE($Q$2:$Q$800,0.75)</f>
        <v>0.667715717403612</v>
      </c>
      <c r="S292" s="1" t="b">
        <f aca="false">OR(Q292&gt;=R292,AND(B292="CW",COUNT(J292:L292)&lt;3))</f>
        <v>0</v>
      </c>
      <c r="T292" s="0" t="n">
        <v>0.323114428675019</v>
      </c>
      <c r="U292" s="0" t="n">
        <v>9.20311528445741</v>
      </c>
      <c r="V292" s="0" t="n">
        <v>0.606339863462522</v>
      </c>
      <c r="W292" s="0" t="n">
        <f aca="false">Q292-V292</f>
        <v>0</v>
      </c>
    </row>
    <row r="293" customFormat="false" ht="15" hidden="false" customHeight="false" outlineLevel="0" collapsed="false">
      <c r="A293" s="0" t="s">
        <v>327</v>
      </c>
      <c r="B293" s="0" t="s">
        <v>3013</v>
      </c>
      <c r="C293" s="0" t="n">
        <v>24.24657713497</v>
      </c>
      <c r="D293" s="0" t="n">
        <f aca="false">SUMPRODUCT(Risk_Inputs!B293:AJ293,Risk_Coefs!$B$2:$AJ$2)</f>
        <v>-0.928429237247714</v>
      </c>
      <c r="E293" s="0" t="n">
        <f aca="false">1/(1+EXP(-MAX(-25,MIN(25,D293))))</f>
        <v>0.283243496846875</v>
      </c>
      <c r="F293" s="0" t="n">
        <f aca="false">SUMPRODUCT(Risk_Inputs!B293:AJ293,Risk_Coefs!$B$3:$AJ$3)</f>
        <v>6.8033945084302</v>
      </c>
      <c r="G293" s="0" t="n">
        <f aca="false">MAX(0,F293)</f>
        <v>6.8033945084302</v>
      </c>
      <c r="H293" s="0" t="n">
        <f aca="false">(SUMPRODUCT(--ISNUMBER($E$2:$E$800),--($E$2:$E$800&lt;E293))+(SUMPRODUCT(--ISNUMBER($E$2:$E$800),--($E$2:$E$800=E293))+1)/2)/COUNT($E$2:$E$800)</f>
        <v>0.474342928660826</v>
      </c>
      <c r="I293" s="0" t="n">
        <f aca="false">(SUMPRODUCT(--ISNUMBER($G$2:$G$800),--($G$2:$G$800&lt;G293))+(SUMPRODUCT(--ISNUMBER($G$2:$G$800),--($G$2:$G$800=G293))+1)/2)/COUNT($G$2:$G$800)</f>
        <v>0.396745932415519</v>
      </c>
      <c r="J293" s="0" t="n">
        <v>6.33212922367876</v>
      </c>
      <c r="K293" s="0" t="n">
        <v>3.22990844354018</v>
      </c>
      <c r="L293" s="0" t="n">
        <v>0.152594099694803</v>
      </c>
      <c r="M293" s="0" t="n">
        <f aca="false">IF(OR(B293="NW",COUNT(Risk_Rank_Keys!B293)=0),0.5,(SUMPRODUCT(--ISNUMBER(Risk_Rank_Keys!$B$2:$B$800),--(Risk_Rank_Keys!$B$2:$B$800&lt;Risk_Rank_Keys!B293))+(SUMPRODUCT(--ISNUMBER(Risk_Rank_Keys!$B$2:$B$800),--(Risk_Rank_Keys!$B$2:$B$800=Risk_Rank_Keys!B293))+1)/2)/COUNT(Risk_Rank_Keys!$B$2:$B$800))</f>
        <v>0.253835425383543</v>
      </c>
      <c r="N293" s="0" t="n">
        <f aca="false">IF(OR(B293="NW",COUNT(Risk_Rank_Keys!C293)=0),0.5,(SUMPRODUCT(--ISNUMBER(Risk_Rank_Keys!$C$2:$C$800),--(Risk_Rank_Keys!$C$2:$C$800&lt;Risk_Rank_Keys!C293))+(SUMPRODUCT(--ISNUMBER(Risk_Rank_Keys!$C$2:$C$800),--(Risk_Rank_Keys!$C$2:$C$800=Risk_Rank_Keys!C293))+1)/2)/COUNT(Risk_Rank_Keys!$C$2:$C$800))</f>
        <v>0.502092050209205</v>
      </c>
      <c r="O293" s="0" t="n">
        <f aca="false">IF(OR(B293="NW",COUNT(Risk_Rank_Keys!D293)=0),0.5,(SUMPRODUCT(--ISNUMBER(Risk_Rank_Keys!$D$2:$D$800),--(Risk_Rank_Keys!$D$2:$D$800&lt;Risk_Rank_Keys!D293))+(SUMPRODUCT(--ISNUMBER(Risk_Rank_Keys!$D$2:$D$800),--(Risk_Rank_Keys!$D$2:$D$800=Risk_Rank_Keys!D293))+1)/2)/COUNT(Risk_Rank_Keys!$D$2:$D$800))</f>
        <v>0.115760111576011</v>
      </c>
      <c r="P293" s="0" t="n">
        <f aca="false">AVERAGE(M293:O293)</f>
        <v>0.290562529056253</v>
      </c>
      <c r="Q293" s="0" t="n">
        <f aca="false">0.4*H293+0.4*I293+0.2*P293</f>
        <v>0.406548050241789</v>
      </c>
      <c r="R293" s="0" t="n">
        <f aca="false">PERCENTILE($Q$2:$Q$800,0.75)</f>
        <v>0.667715717403612</v>
      </c>
      <c r="S293" s="1" t="b">
        <f aca="false">OR(Q293&gt;=R293,AND(B293="CW",COUNT(J293:L293)&lt;3))</f>
        <v>0</v>
      </c>
      <c r="T293" s="0" t="n">
        <v>0.283243496846875</v>
      </c>
      <c r="U293" s="0" t="n">
        <v>6.8033945084302</v>
      </c>
      <c r="V293" s="0" t="n">
        <v>0.406548050241789</v>
      </c>
      <c r="W293" s="0" t="n">
        <f aca="false">Q293-V293</f>
        <v>0</v>
      </c>
    </row>
    <row r="294" customFormat="false" ht="15" hidden="false" customHeight="false" outlineLevel="0" collapsed="false">
      <c r="A294" s="0" t="s">
        <v>328</v>
      </c>
      <c r="B294" s="0" t="s">
        <v>3013</v>
      </c>
      <c r="C294" s="0" t="n">
        <v>-37.9246472805519</v>
      </c>
      <c r="D294" s="0" t="n">
        <f aca="false">SUMPRODUCT(Risk_Inputs!B294:AJ294,Risk_Coefs!$B$2:$AJ$2)</f>
        <v>-0.791610872548804</v>
      </c>
      <c r="E294" s="0" t="n">
        <f aca="false">1/(1+EXP(-MAX(-25,MIN(25,D294))))</f>
        <v>0.311822888542596</v>
      </c>
      <c r="F294" s="0" t="n">
        <f aca="false">SUMPRODUCT(Risk_Inputs!B294:AJ294,Risk_Coefs!$B$3:$AJ$3)</f>
        <v>9.78479380588757</v>
      </c>
      <c r="G294" s="0" t="n">
        <f aca="false">MAX(0,F294)</f>
        <v>9.78479380588757</v>
      </c>
      <c r="H294" s="0" t="n">
        <f aca="false">(SUMPRODUCT(--ISNUMBER($E$2:$E$800),--($E$2:$E$800&lt;E294))+(SUMPRODUCT(--ISNUMBER($E$2:$E$800),--($E$2:$E$800=E294))+1)/2)/COUNT($E$2:$E$800)</f>
        <v>0.624530663329161</v>
      </c>
      <c r="I294" s="0" t="n">
        <f aca="false">(SUMPRODUCT(--ISNUMBER($G$2:$G$800),--($G$2:$G$800&lt;G294))+(SUMPRODUCT(--ISNUMBER($G$2:$G$800),--($G$2:$G$800=G294))+1)/2)/COUNT($G$2:$G$800)</f>
        <v>0.763454317897372</v>
      </c>
      <c r="J294" s="0" t="n">
        <v>12.7326358678352</v>
      </c>
      <c r="K294" s="0" t="n">
        <v>2.63729444616817</v>
      </c>
      <c r="L294" s="0" t="n">
        <v>0.248215947874655</v>
      </c>
      <c r="M294" s="0" t="n">
        <f aca="false">IF(OR(B294="NW",COUNT(Risk_Rank_Keys!B294)=0),0.5,(SUMPRODUCT(--ISNUMBER(Risk_Rank_Keys!$B$2:$B$800),--(Risk_Rank_Keys!$B$2:$B$800&lt;Risk_Rank_Keys!B294))+(SUMPRODUCT(--ISNUMBER(Risk_Rank_Keys!$B$2:$B$800),--(Risk_Rank_Keys!$B$2:$B$800=Risk_Rank_Keys!B294))+1)/2)/COUNT(Risk_Rank_Keys!$B$2:$B$800))</f>
        <v>0.624825662482566</v>
      </c>
      <c r="N294" s="0" t="n">
        <f aca="false">IF(OR(B294="NW",COUNT(Risk_Rank_Keys!C294)=0),0.5,(SUMPRODUCT(--ISNUMBER(Risk_Rank_Keys!$C$2:$C$800),--(Risk_Rank_Keys!$C$2:$C$800&lt;Risk_Rank_Keys!C294))+(SUMPRODUCT(--ISNUMBER(Risk_Rank_Keys!$C$2:$C$800),--(Risk_Rank_Keys!$C$2:$C$800=Risk_Rank_Keys!C294))+1)/2)/COUNT(Risk_Rank_Keys!$C$2:$C$800))</f>
        <v>0.414225941422594</v>
      </c>
      <c r="O294" s="0" t="n">
        <f aca="false">IF(OR(B294="NW",COUNT(Risk_Rank_Keys!D294)=0),0.5,(SUMPRODUCT(--ISNUMBER(Risk_Rank_Keys!$D$2:$D$800),--(Risk_Rank_Keys!$D$2:$D$800&lt;Risk_Rank_Keys!D294))+(SUMPRODUCT(--ISNUMBER(Risk_Rank_Keys!$D$2:$D$800),--(Risk_Rank_Keys!$D$2:$D$800=Risk_Rank_Keys!D294))+1)/2)/COUNT(Risk_Rank_Keys!$D$2:$D$800))</f>
        <v>0.578800557880056</v>
      </c>
      <c r="P294" s="0" t="n">
        <f aca="false">AVERAGE(M294:O294)</f>
        <v>0.539284053928405</v>
      </c>
      <c r="Q294" s="0" t="n">
        <f aca="false">0.4*H294+0.4*I294+0.2*P294</f>
        <v>0.663050803276294</v>
      </c>
      <c r="R294" s="0" t="n">
        <f aca="false">PERCENTILE($Q$2:$Q$800,0.75)</f>
        <v>0.667715717403612</v>
      </c>
      <c r="S294" s="1" t="b">
        <f aca="false">OR(Q294&gt;=R294,AND(B294="CW",COUNT(J294:L294)&lt;3))</f>
        <v>0</v>
      </c>
      <c r="T294" s="0" t="n">
        <v>0.311822888542596</v>
      </c>
      <c r="U294" s="0" t="n">
        <v>9.78479380588757</v>
      </c>
      <c r="V294" s="0" t="n">
        <v>0.663050803276294</v>
      </c>
      <c r="W294" s="0" t="n">
        <f aca="false">Q294-V294</f>
        <v>0</v>
      </c>
    </row>
    <row r="295" customFormat="false" ht="15" hidden="false" customHeight="false" outlineLevel="0" collapsed="false">
      <c r="A295" s="0" t="s">
        <v>329</v>
      </c>
      <c r="B295" s="0" t="s">
        <v>3013</v>
      </c>
      <c r="C295" s="0" t="n">
        <v>21.0902744335796</v>
      </c>
      <c r="D295" s="0" t="n">
        <f aca="false">SUMPRODUCT(Risk_Inputs!B295:AJ295,Risk_Coefs!$B$2:$AJ$2)</f>
        <v>-0.773390866109301</v>
      </c>
      <c r="E295" s="0" t="n">
        <f aca="false">1/(1+EXP(-MAX(-25,MIN(25,D295))))</f>
        <v>0.315746050709386</v>
      </c>
      <c r="F295" s="0" t="n">
        <f aca="false">SUMPRODUCT(Risk_Inputs!B295:AJ295,Risk_Coefs!$B$3:$AJ$3)</f>
        <v>12.1616264857528</v>
      </c>
      <c r="G295" s="0" t="n">
        <f aca="false">MAX(0,F295)</f>
        <v>12.1616264857528</v>
      </c>
      <c r="H295" s="0" t="n">
        <f aca="false">(SUMPRODUCT(--ISNUMBER($E$2:$E$800),--($E$2:$E$800&lt;E295))+(SUMPRODUCT(--ISNUMBER($E$2:$E$800),--($E$2:$E$800=E295))+1)/2)/COUNT($E$2:$E$800)</f>
        <v>0.640801001251565</v>
      </c>
      <c r="I295" s="0" t="n">
        <f aca="false">(SUMPRODUCT(--ISNUMBER($G$2:$G$800),--($G$2:$G$800&lt;G295))+(SUMPRODUCT(--ISNUMBER($G$2:$G$800),--($G$2:$G$800=G295))+1)/2)/COUNT($G$2:$G$800)</f>
        <v>0.927409261576971</v>
      </c>
      <c r="J295" s="0" t="n">
        <v>4.17084992984035</v>
      </c>
      <c r="K295" s="0" t="n">
        <v>4.76915271435818</v>
      </c>
      <c r="L295" s="0" t="n">
        <v>0.152207001522061</v>
      </c>
      <c r="M295" s="0" t="n">
        <f aca="false">IF(OR(B295="NW",COUNT(Risk_Rank_Keys!B295)=0),0.5,(SUMPRODUCT(--ISNUMBER(Risk_Rank_Keys!$B$2:$B$800),--(Risk_Rank_Keys!$B$2:$B$800&lt;Risk_Rank_Keys!B295))+(SUMPRODUCT(--ISNUMBER(Risk_Rank_Keys!$B$2:$B$800),--(Risk_Rank_Keys!$B$2:$B$800=Risk_Rank_Keys!B295))+1)/2)/COUNT(Risk_Rank_Keys!$B$2:$B$800))</f>
        <v>0.0822873082287308</v>
      </c>
      <c r="N295" s="0" t="n">
        <f aca="false">IF(OR(B295="NW",COUNT(Risk_Rank_Keys!C295)=0),0.5,(SUMPRODUCT(--ISNUMBER(Risk_Rank_Keys!$C$2:$C$800),--(Risk_Rank_Keys!$C$2:$C$800&lt;Risk_Rank_Keys!C295))+(SUMPRODUCT(--ISNUMBER(Risk_Rank_Keys!$C$2:$C$800),--(Risk_Rank_Keys!$C$2:$C$800=Risk_Rank_Keys!C295))+1)/2)/COUNT(Risk_Rank_Keys!$C$2:$C$800))</f>
        <v>0.669456066945607</v>
      </c>
      <c r="O295" s="0" t="n">
        <f aca="false">IF(OR(B295="NW",COUNT(Risk_Rank_Keys!D295)=0),0.5,(SUMPRODUCT(--ISNUMBER(Risk_Rank_Keys!$D$2:$D$800),--(Risk_Rank_Keys!$D$2:$D$800&lt;Risk_Rank_Keys!D295))+(SUMPRODUCT(--ISNUMBER(Risk_Rank_Keys!$D$2:$D$800),--(Risk_Rank_Keys!$D$2:$D$800=Risk_Rank_Keys!D295))+1)/2)/COUNT(Risk_Rank_Keys!$D$2:$D$800))</f>
        <v>0.112970711297071</v>
      </c>
      <c r="P295" s="0" t="n">
        <f aca="false">AVERAGE(M295:O295)</f>
        <v>0.288238028823803</v>
      </c>
      <c r="Q295" s="0" t="n">
        <f aca="false">0.4*H295+0.4*I295+0.2*P295</f>
        <v>0.684931710896175</v>
      </c>
      <c r="R295" s="0" t="n">
        <f aca="false">PERCENTILE($Q$2:$Q$800,0.75)</f>
        <v>0.667715717403612</v>
      </c>
      <c r="S295" s="1" t="b">
        <f aca="false">OR(Q295&gt;=R295,AND(B295="CW",COUNT(J295:L295)&lt;3))</f>
        <v>1</v>
      </c>
      <c r="T295" s="0" t="n">
        <v>0.315746050709386</v>
      </c>
      <c r="U295" s="0" t="n">
        <v>12.1616264857528</v>
      </c>
      <c r="V295" s="0" t="n">
        <v>0.684931710896175</v>
      </c>
      <c r="W295" s="0" t="n">
        <f aca="false">Q295-V295</f>
        <v>0</v>
      </c>
    </row>
    <row r="296" customFormat="false" ht="15" hidden="false" customHeight="false" outlineLevel="0" collapsed="false">
      <c r="A296" s="0" t="s">
        <v>330</v>
      </c>
      <c r="B296" s="0" t="s">
        <v>3013</v>
      </c>
      <c r="C296" s="0" t="n">
        <v>-8.55094144383007</v>
      </c>
      <c r="D296" s="0" t="n">
        <f aca="false">SUMPRODUCT(Risk_Inputs!B296:AJ296,Risk_Coefs!$B$2:$AJ$2)</f>
        <v>-0.932669791550389</v>
      </c>
      <c r="E296" s="0" t="n">
        <f aca="false">1/(1+EXP(-MAX(-25,MIN(25,D296))))</f>
        <v>0.282383385727731</v>
      </c>
      <c r="F296" s="0" t="n">
        <f aca="false">SUMPRODUCT(Risk_Inputs!B296:AJ296,Risk_Coefs!$B$3:$AJ$3)</f>
        <v>6.08191774044665</v>
      </c>
      <c r="G296" s="0" t="n">
        <f aca="false">MAX(0,F296)</f>
        <v>6.08191774044665</v>
      </c>
      <c r="H296" s="0" t="n">
        <f aca="false">(SUMPRODUCT(--ISNUMBER($E$2:$E$800),--($E$2:$E$800&lt;E296))+(SUMPRODUCT(--ISNUMBER($E$2:$E$800),--($E$2:$E$800=E296))+1)/2)/COUNT($E$2:$E$800)</f>
        <v>0.471839799749687</v>
      </c>
      <c r="I296" s="0" t="n">
        <f aca="false">(SUMPRODUCT(--ISNUMBER($G$2:$G$800),--($G$2:$G$800&lt;G296))+(SUMPRODUCT(--ISNUMBER($G$2:$G$800),--($G$2:$G$800=G296))+1)/2)/COUNT($G$2:$G$800)</f>
        <v>0.276595744680851</v>
      </c>
      <c r="J296" s="0" t="n">
        <v>9.43699359384411</v>
      </c>
      <c r="K296" s="0" t="n">
        <v>2.45133381398702</v>
      </c>
      <c r="L296" s="0" t="n">
        <v>0.192261475606828</v>
      </c>
      <c r="M296" s="0" t="n">
        <f aca="false">IF(OR(B296="NW",COUNT(Risk_Rank_Keys!B296)=0),0.5,(SUMPRODUCT(--ISNUMBER(Risk_Rank_Keys!$B$2:$B$800),--(Risk_Rank_Keys!$B$2:$B$800&lt;Risk_Rank_Keys!B296))+(SUMPRODUCT(--ISNUMBER(Risk_Rank_Keys!$B$2:$B$800),--(Risk_Rank_Keys!$B$2:$B$800=Risk_Rank_Keys!B296))+1)/2)/COUNT(Risk_Rank_Keys!$B$2:$B$800))</f>
        <v>0.472803347280335</v>
      </c>
      <c r="N296" s="0" t="n">
        <f aca="false">IF(OR(B296="NW",COUNT(Risk_Rank_Keys!C296)=0),0.5,(SUMPRODUCT(--ISNUMBER(Risk_Rank_Keys!$C$2:$C$800),--(Risk_Rank_Keys!$C$2:$C$800&lt;Risk_Rank_Keys!C296))+(SUMPRODUCT(--ISNUMBER(Risk_Rank_Keys!$C$2:$C$800),--(Risk_Rank_Keys!$C$2:$C$800=Risk_Rank_Keys!C296))+1)/2)/COUNT(Risk_Rank_Keys!$C$2:$C$800))</f>
        <v>0.377963737796374</v>
      </c>
      <c r="O296" s="0" t="n">
        <f aca="false">IF(OR(B296="NW",COUNT(Risk_Rank_Keys!D296)=0),0.5,(SUMPRODUCT(--ISNUMBER(Risk_Rank_Keys!$D$2:$D$800),--(Risk_Rank_Keys!$D$2:$D$800&lt;Risk_Rank_Keys!D296))+(SUMPRODUCT(--ISNUMBER(Risk_Rank_Keys!$D$2:$D$800),--(Risk_Rank_Keys!$D$2:$D$800=Risk_Rank_Keys!D296))+1)/2)/COUNT(Risk_Rank_Keys!$D$2:$D$800))</f>
        <v>0.270571827057183</v>
      </c>
      <c r="P296" s="0" t="n">
        <f aca="false">AVERAGE(M296:O296)</f>
        <v>0.373779637377964</v>
      </c>
      <c r="Q296" s="0" t="n">
        <f aca="false">0.4*H296+0.4*I296+0.2*P296</f>
        <v>0.374130145247808</v>
      </c>
      <c r="R296" s="0" t="n">
        <f aca="false">PERCENTILE($Q$2:$Q$800,0.75)</f>
        <v>0.667715717403612</v>
      </c>
      <c r="S296" s="1" t="b">
        <f aca="false">OR(Q296&gt;=R296,AND(B296="CW",COUNT(J296:L296)&lt;3))</f>
        <v>0</v>
      </c>
      <c r="T296" s="0" t="n">
        <v>0.282383385727731</v>
      </c>
      <c r="U296" s="0" t="n">
        <v>6.08191774044665</v>
      </c>
      <c r="V296" s="0" t="n">
        <v>0.374130145247808</v>
      </c>
      <c r="W296" s="0" t="n">
        <f aca="false">Q296-V296</f>
        <v>0</v>
      </c>
    </row>
    <row r="297" customFormat="false" ht="15" hidden="false" customHeight="false" outlineLevel="0" collapsed="false">
      <c r="A297" s="0" t="s">
        <v>331</v>
      </c>
      <c r="B297" s="0" t="s">
        <v>3013</v>
      </c>
      <c r="C297" s="0" t="n">
        <v>10.4447566919777</v>
      </c>
      <c r="D297" s="0" t="n">
        <f aca="false">SUMPRODUCT(Risk_Inputs!B297:AJ297,Risk_Coefs!$B$2:$AJ$2)</f>
        <v>-0.972812911837918</v>
      </c>
      <c r="E297" s="0" t="n">
        <f aca="false">1/(1+EXP(-MAX(-25,MIN(25,D297))))</f>
        <v>0.274320184400033</v>
      </c>
      <c r="F297" s="0" t="n">
        <f aca="false">SUMPRODUCT(Risk_Inputs!B297:AJ297,Risk_Coefs!$B$3:$AJ$3)</f>
        <v>9.27032413861088</v>
      </c>
      <c r="G297" s="0" t="n">
        <f aca="false">MAX(0,F297)</f>
        <v>9.27032413861088</v>
      </c>
      <c r="H297" s="0" t="n">
        <f aca="false">(SUMPRODUCT(--ISNUMBER($E$2:$E$800),--($E$2:$E$800&lt;E297))+(SUMPRODUCT(--ISNUMBER($E$2:$E$800),--($E$2:$E$800=E297))+1)/2)/COUNT($E$2:$E$800)</f>
        <v>0.416770963704631</v>
      </c>
      <c r="I297" s="0" t="n">
        <f aca="false">(SUMPRODUCT(--ISNUMBER($G$2:$G$800),--($G$2:$G$800&lt;G297))+(SUMPRODUCT(--ISNUMBER($G$2:$G$800),--($G$2:$G$800=G297))+1)/2)/COUNT($G$2:$G$800)</f>
        <v>0.712140175219024</v>
      </c>
      <c r="J297" s="0" t="n">
        <v>19.2023123384205</v>
      </c>
      <c r="K297" s="0" t="n">
        <v>4.25112612612612</v>
      </c>
      <c r="L297" s="0" t="n">
        <v>0.225225225225228</v>
      </c>
      <c r="M297" s="0" t="n">
        <f aca="false">IF(OR(B297="NW",COUNT(Risk_Rank_Keys!B297)=0),0.5,(SUMPRODUCT(--ISNUMBER(Risk_Rank_Keys!$B$2:$B$800),--(Risk_Rank_Keys!$B$2:$B$800&lt;Risk_Rank_Keys!B297))+(SUMPRODUCT(--ISNUMBER(Risk_Rank_Keys!$B$2:$B$800),--(Risk_Rank_Keys!$B$2:$B$800=Risk_Rank_Keys!B297))+1)/2)/COUNT(Risk_Rank_Keys!$B$2:$B$800))</f>
        <v>0.778242677824268</v>
      </c>
      <c r="N297" s="0" t="n">
        <f aca="false">IF(OR(B297="NW",COUNT(Risk_Rank_Keys!C297)=0),0.5,(SUMPRODUCT(--ISNUMBER(Risk_Rank_Keys!$C$2:$C$800),--(Risk_Rank_Keys!$C$2:$C$800&lt;Risk_Rank_Keys!C297))+(SUMPRODUCT(--ISNUMBER(Risk_Rank_Keys!$C$2:$C$800),--(Risk_Rank_Keys!$C$2:$C$800=Risk_Rank_Keys!C297))+1)/2)/COUNT(Risk_Rank_Keys!$C$2:$C$800))</f>
        <v>0.620641562064156</v>
      </c>
      <c r="O297" s="0" t="n">
        <f aca="false">IF(OR(B297="NW",COUNT(Risk_Rank_Keys!D297)=0),0.5,(SUMPRODUCT(--ISNUMBER(Risk_Rank_Keys!$D$2:$D$800),--(Risk_Rank_Keys!$D$2:$D$800&lt;Risk_Rank_Keys!D297))+(SUMPRODUCT(--ISNUMBER(Risk_Rank_Keys!$D$2:$D$800),--(Risk_Rank_Keys!$D$2:$D$800=Risk_Rank_Keys!D297))+1)/2)/COUNT(Risk_Rank_Keys!$D$2:$D$800))</f>
        <v>0.470013947001395</v>
      </c>
      <c r="P297" s="0" t="n">
        <f aca="false">AVERAGE(M297:O297)</f>
        <v>0.622966062296606</v>
      </c>
      <c r="Q297" s="0" t="n">
        <f aca="false">0.4*H297+0.4*I297+0.2*P297</f>
        <v>0.576157668028783</v>
      </c>
      <c r="R297" s="0" t="n">
        <f aca="false">PERCENTILE($Q$2:$Q$800,0.75)</f>
        <v>0.667715717403612</v>
      </c>
      <c r="S297" s="1" t="b">
        <f aca="false">OR(Q297&gt;=R297,AND(B297="CW",COUNT(J297:L297)&lt;3))</f>
        <v>0</v>
      </c>
      <c r="T297" s="0" t="n">
        <v>0.274320184400033</v>
      </c>
      <c r="U297" s="0" t="n">
        <v>9.27032413861088</v>
      </c>
      <c r="V297" s="0" t="n">
        <v>0.576157668028783</v>
      </c>
      <c r="W297" s="0" t="n">
        <f aca="false">Q297-V297</f>
        <v>0</v>
      </c>
    </row>
    <row r="298" customFormat="false" ht="15" hidden="false" customHeight="false" outlineLevel="0" collapsed="false">
      <c r="A298" s="0" t="s">
        <v>332</v>
      </c>
      <c r="B298" s="0" t="s">
        <v>3013</v>
      </c>
      <c r="C298" s="0" t="n">
        <v>-44.693575182715</v>
      </c>
      <c r="D298" s="0" t="n">
        <f aca="false">SUMPRODUCT(Risk_Inputs!B298:AJ298,Risk_Coefs!$B$2:$AJ$2)</f>
        <v>-0.773236048507858</v>
      </c>
      <c r="E298" s="0" t="n">
        <f aca="false">1/(1+EXP(-MAX(-25,MIN(25,D298))))</f>
        <v>0.315779500080928</v>
      </c>
      <c r="F298" s="0" t="n">
        <f aca="false">SUMPRODUCT(Risk_Inputs!B298:AJ298,Risk_Coefs!$B$3:$AJ$3)</f>
        <v>10.8448202553006</v>
      </c>
      <c r="G298" s="0" t="n">
        <f aca="false">MAX(0,F298)</f>
        <v>10.8448202553006</v>
      </c>
      <c r="H298" s="0" t="n">
        <f aca="false">(SUMPRODUCT(--ISNUMBER($E$2:$E$800),--($E$2:$E$800&lt;E298))+(SUMPRODUCT(--ISNUMBER($E$2:$E$800),--($E$2:$E$800=E298))+1)/2)/COUNT($E$2:$E$800)</f>
        <v>0.642052565707134</v>
      </c>
      <c r="I298" s="0" t="n">
        <f aca="false">(SUMPRODUCT(--ISNUMBER($G$2:$G$800),--($G$2:$G$800&lt;G298))+(SUMPRODUCT(--ISNUMBER($G$2:$G$800),--($G$2:$G$800=G298))+1)/2)/COUNT($G$2:$G$800)</f>
        <v>0.866082603254068</v>
      </c>
      <c r="J298" s="0" t="n">
        <v>2.94739613290056</v>
      </c>
      <c r="K298" s="0" t="n">
        <v>2.86669851887243</v>
      </c>
      <c r="L298" s="0" t="n">
        <v>0.238891543239369</v>
      </c>
      <c r="M298" s="0" t="n">
        <f aca="false">IF(OR(B298="NW",COUNT(Risk_Rank_Keys!B298)=0),0.5,(SUMPRODUCT(--ISNUMBER(Risk_Rank_Keys!$B$2:$B$800),--(Risk_Rank_Keys!$B$2:$B$800&lt;Risk_Rank_Keys!B298))+(SUMPRODUCT(--ISNUMBER(Risk_Rank_Keys!$B$2:$B$800),--(Risk_Rank_Keys!$B$2:$B$800=Risk_Rank_Keys!B298))+1)/2)/COUNT(Risk_Rank_Keys!$B$2:$B$800))</f>
        <v>0.0237099023709902</v>
      </c>
      <c r="N298" s="0" t="n">
        <f aca="false">IF(OR(B298="NW",COUNT(Risk_Rank_Keys!C298)=0),0.5,(SUMPRODUCT(--ISNUMBER(Risk_Rank_Keys!$C$2:$C$800),--(Risk_Rank_Keys!$C$2:$C$800&lt;Risk_Rank_Keys!C298))+(SUMPRODUCT(--ISNUMBER(Risk_Rank_Keys!$C$2:$C$800),--(Risk_Rank_Keys!$C$2:$C$800=Risk_Rank_Keys!C298))+1)/2)/COUNT(Risk_Rank_Keys!$C$2:$C$800))</f>
        <v>0.451882845188285</v>
      </c>
      <c r="O298" s="0" t="n">
        <f aca="false">IF(OR(B298="NW",COUNT(Risk_Rank_Keys!D298)=0),0.5,(SUMPRODUCT(--ISNUMBER(Risk_Rank_Keys!$D$2:$D$800),--(Risk_Rank_Keys!$D$2:$D$800&lt;Risk_Rank_Keys!D298))+(SUMPRODUCT(--ISNUMBER(Risk_Rank_Keys!$D$2:$D$800),--(Risk_Rank_Keys!$D$2:$D$800=Risk_Rank_Keys!D298))+1)/2)/COUNT(Risk_Rank_Keys!$D$2:$D$800))</f>
        <v>0.535564853556485</v>
      </c>
      <c r="P298" s="0" t="n">
        <f aca="false">AVERAGE(M298:O298)</f>
        <v>0.337052533705253</v>
      </c>
      <c r="Q298" s="0" t="n">
        <f aca="false">0.4*H298+0.4*I298+0.2*P298</f>
        <v>0.670664574325531</v>
      </c>
      <c r="R298" s="0" t="n">
        <f aca="false">PERCENTILE($Q$2:$Q$800,0.75)</f>
        <v>0.667715717403612</v>
      </c>
      <c r="S298" s="1" t="b">
        <f aca="false">OR(Q298&gt;=R298,AND(B298="CW",COUNT(J298:L298)&lt;3))</f>
        <v>1</v>
      </c>
      <c r="T298" s="0" t="n">
        <v>0.315779500080928</v>
      </c>
      <c r="U298" s="0" t="n">
        <v>10.8448202553007</v>
      </c>
      <c r="V298" s="0" t="n">
        <v>0.670664574325531</v>
      </c>
      <c r="W298" s="0" t="n">
        <f aca="false">Q298-V298</f>
        <v>0</v>
      </c>
    </row>
    <row r="299" customFormat="false" ht="15" hidden="false" customHeight="false" outlineLevel="0" collapsed="false">
      <c r="A299" s="0" t="s">
        <v>333</v>
      </c>
      <c r="B299" s="0" t="s">
        <v>3013</v>
      </c>
      <c r="C299" s="0" t="n">
        <v>31.6384269286022</v>
      </c>
      <c r="D299" s="0" t="n">
        <f aca="false">SUMPRODUCT(Risk_Inputs!B299:AJ299,Risk_Coefs!$B$2:$AJ$2)</f>
        <v>-0.928227520032159</v>
      </c>
      <c r="E299" s="0" t="n">
        <f aca="false">1/(1+EXP(-MAX(-25,MIN(25,D299))))</f>
        <v>0.283284450584341</v>
      </c>
      <c r="F299" s="0" t="n">
        <f aca="false">SUMPRODUCT(Risk_Inputs!B299:AJ299,Risk_Coefs!$B$3:$AJ$3)</f>
        <v>9.73104362463391</v>
      </c>
      <c r="G299" s="0" t="n">
        <f aca="false">MAX(0,F299)</f>
        <v>9.73104362463391</v>
      </c>
      <c r="H299" s="0" t="n">
        <f aca="false">(SUMPRODUCT(--ISNUMBER($E$2:$E$800),--($E$2:$E$800&lt;E299))+(SUMPRODUCT(--ISNUMBER($E$2:$E$800),--($E$2:$E$800=E299))+1)/2)/COUNT($E$2:$E$800)</f>
        <v>0.475594493116396</v>
      </c>
      <c r="I299" s="0" t="n">
        <f aca="false">(SUMPRODUCT(--ISNUMBER($G$2:$G$800),--($G$2:$G$800&lt;G299))+(SUMPRODUCT(--ISNUMBER($G$2:$G$800),--($G$2:$G$800=G299))+1)/2)/COUNT($G$2:$G$800)</f>
        <v>0.755944931163955</v>
      </c>
      <c r="J299" s="0" t="n">
        <v>18.331229905604</v>
      </c>
      <c r="K299" s="0" t="n">
        <v>2.39959585753977</v>
      </c>
      <c r="L299" s="0" t="n">
        <v>0.202071230108616</v>
      </c>
      <c r="M299" s="0" t="n">
        <f aca="false">IF(OR(B299="NW",COUNT(Risk_Rank_Keys!B299)=0),0.5,(SUMPRODUCT(--ISNUMBER(Risk_Rank_Keys!$B$2:$B$800),--(Risk_Rank_Keys!$B$2:$B$800&lt;Risk_Rank_Keys!B299))+(SUMPRODUCT(--ISNUMBER(Risk_Rank_Keys!$B$2:$B$800),--(Risk_Rank_Keys!$B$2:$B$800=Risk_Rank_Keys!B299))+1)/2)/COUNT(Risk_Rank_Keys!$B$2:$B$800))</f>
        <v>0.768479776847978</v>
      </c>
      <c r="N299" s="0" t="n">
        <f aca="false">IF(OR(B299="NW",COUNT(Risk_Rank_Keys!C299)=0),0.5,(SUMPRODUCT(--ISNUMBER(Risk_Rank_Keys!$C$2:$C$800),--(Risk_Rank_Keys!$C$2:$C$800&lt;Risk_Rank_Keys!C299))+(SUMPRODUCT(--ISNUMBER(Risk_Rank_Keys!$C$2:$C$800),--(Risk_Rank_Keys!$C$2:$C$800=Risk_Rank_Keys!C299))+1)/2)/COUNT(Risk_Rank_Keys!$C$2:$C$800))</f>
        <v>0.369595536959554</v>
      </c>
      <c r="O299" s="0" t="n">
        <f aca="false">IF(OR(B299="NW",COUNT(Risk_Rank_Keys!D299)=0),0.5,(SUMPRODUCT(--ISNUMBER(Risk_Rank_Keys!$D$2:$D$800),--(Risk_Rank_Keys!$D$2:$D$800&lt;Risk_Rank_Keys!D299))+(SUMPRODUCT(--ISNUMBER(Risk_Rank_Keys!$D$2:$D$800),--(Risk_Rank_Keys!$D$2:$D$800=Risk_Rank_Keys!D299))+1)/2)/COUNT(Risk_Rank_Keys!$D$2:$D$800))</f>
        <v>0.325662482566248</v>
      </c>
      <c r="P299" s="0" t="n">
        <f aca="false">AVERAGE(M299:O299)</f>
        <v>0.48791259879126</v>
      </c>
      <c r="Q299" s="0" t="n">
        <f aca="false">0.4*H299+0.4*I299+0.2*P299</f>
        <v>0.590198289470392</v>
      </c>
      <c r="R299" s="0" t="n">
        <f aca="false">PERCENTILE($Q$2:$Q$800,0.75)</f>
        <v>0.667715717403612</v>
      </c>
      <c r="S299" s="1" t="b">
        <f aca="false">OR(Q299&gt;=R299,AND(B299="CW",COUNT(J299:L299)&lt;3))</f>
        <v>0</v>
      </c>
      <c r="T299" s="0" t="n">
        <v>0.283284450584341</v>
      </c>
      <c r="U299" s="0" t="n">
        <v>9.73104362463391</v>
      </c>
      <c r="V299" s="0" t="n">
        <v>0.590198289470392</v>
      </c>
      <c r="W299" s="0" t="n">
        <f aca="false">Q299-V299</f>
        <v>0</v>
      </c>
    </row>
    <row r="300" customFormat="false" ht="15" hidden="false" customHeight="false" outlineLevel="0" collapsed="false">
      <c r="A300" s="0" t="s">
        <v>334</v>
      </c>
      <c r="B300" s="0" t="s">
        <v>33</v>
      </c>
      <c r="C300" s="0" t="n">
        <v>34.0608558978268</v>
      </c>
      <c r="D300" s="0" t="n">
        <f aca="false">SUMPRODUCT(Risk_Inputs!B300:AJ300,Risk_Coefs!$B$2:$AJ$2)</f>
        <v>-0.620136637220109</v>
      </c>
      <c r="E300" s="0" t="n">
        <f aca="false">1/(1+EXP(-MAX(-25,MIN(25,D300))))</f>
        <v>0.349750376061569</v>
      </c>
      <c r="F300" s="0" t="n">
        <f aca="false">SUMPRODUCT(Risk_Inputs!B300:AJ300,Risk_Coefs!$B$3:$AJ$3)</f>
        <v>10.8398848072261</v>
      </c>
      <c r="G300" s="0" t="n">
        <f aca="false">MAX(0,F300)</f>
        <v>10.8398848072261</v>
      </c>
      <c r="H300" s="0" t="n">
        <f aca="false">(SUMPRODUCT(--ISNUMBER($E$2:$E$800),--($E$2:$E$800&lt;E300))+(SUMPRODUCT(--ISNUMBER($E$2:$E$800),--($E$2:$E$800=E300))+1)/2)/COUNT($E$2:$E$800)</f>
        <v>0.81476846057572</v>
      </c>
      <c r="I300" s="0" t="n">
        <f aca="false">(SUMPRODUCT(--ISNUMBER($G$2:$G$800),--($G$2:$G$800&lt;G300))+(SUMPRODUCT(--ISNUMBER($G$2:$G$800),--($G$2:$G$800=G300))+1)/2)/COUNT($G$2:$G$800)</f>
        <v>0.863579474342929</v>
      </c>
      <c r="M300" s="0" t="n">
        <f aca="false">IF(OR(B300="NW",COUNT(Risk_Rank_Keys!B300)=0),0.5,(SUMPRODUCT(--ISNUMBER(Risk_Rank_Keys!$B$2:$B$800),--(Risk_Rank_Keys!$B$2:$B$800&lt;Risk_Rank_Keys!B300))+(SUMPRODUCT(--ISNUMBER(Risk_Rank_Keys!$B$2:$B$800),--(Risk_Rank_Keys!$B$2:$B$800=Risk_Rank_Keys!B300))+1)/2)/COUNT(Risk_Rank_Keys!$B$2:$B$800))</f>
        <v>0.5</v>
      </c>
      <c r="N300" s="0" t="n">
        <f aca="false">IF(OR(B300="NW",COUNT(Risk_Rank_Keys!C300)=0),0.5,(SUMPRODUCT(--ISNUMBER(Risk_Rank_Keys!$C$2:$C$800),--(Risk_Rank_Keys!$C$2:$C$800&lt;Risk_Rank_Keys!C300))+(SUMPRODUCT(--ISNUMBER(Risk_Rank_Keys!$C$2:$C$800),--(Risk_Rank_Keys!$C$2:$C$800=Risk_Rank_Keys!C300))+1)/2)/COUNT(Risk_Rank_Keys!$C$2:$C$800))</f>
        <v>0.5</v>
      </c>
      <c r="O300" s="0" t="n">
        <f aca="false">IF(OR(B300="NW",COUNT(Risk_Rank_Keys!D300)=0),0.5,(SUMPRODUCT(--ISNUMBER(Risk_Rank_Keys!$D$2:$D$800),--(Risk_Rank_Keys!$D$2:$D$800&lt;Risk_Rank_Keys!D300))+(SUMPRODUCT(--ISNUMBER(Risk_Rank_Keys!$D$2:$D$800),--(Risk_Rank_Keys!$D$2:$D$800=Risk_Rank_Keys!D300))+1)/2)/COUNT(Risk_Rank_Keys!$D$2:$D$800))</f>
        <v>0.5</v>
      </c>
      <c r="P300" s="0" t="n">
        <f aca="false">AVERAGE(M300:O300)</f>
        <v>0.5</v>
      </c>
      <c r="Q300" s="0" t="n">
        <f aca="false">0.4*H300+0.4*I300+0.2*P300</f>
        <v>0.771339173967459</v>
      </c>
      <c r="R300" s="0" t="n">
        <f aca="false">PERCENTILE($Q$2:$Q$800,0.75)</f>
        <v>0.667715717403612</v>
      </c>
      <c r="S300" s="1" t="b">
        <f aca="false">OR(Q300&gt;=R300,AND(B300="CW",COUNT(J300:L300)&lt;3))</f>
        <v>1</v>
      </c>
      <c r="T300" s="0" t="n">
        <v>0.349750376061569</v>
      </c>
      <c r="U300" s="0" t="n">
        <v>10.8398848072261</v>
      </c>
      <c r="V300" s="0" t="n">
        <v>0.771339173967459</v>
      </c>
      <c r="W300" s="0" t="n">
        <f aca="false">Q300-V300</f>
        <v>0</v>
      </c>
    </row>
    <row r="301" customFormat="false" ht="15" hidden="false" customHeight="false" outlineLevel="0" collapsed="false">
      <c r="A301" s="0" t="s">
        <v>335</v>
      </c>
      <c r="B301" s="0" t="s">
        <v>3013</v>
      </c>
      <c r="C301" s="0" t="n">
        <v>34.6586398022528</v>
      </c>
      <c r="D301" s="0" t="n">
        <f aca="false">SUMPRODUCT(Risk_Inputs!B301:AJ301,Risk_Coefs!$B$2:$AJ$2)</f>
        <v>-0.965994098323427</v>
      </c>
      <c r="E301" s="0" t="n">
        <f aca="false">1/(1+EXP(-MAX(-25,MIN(25,D301))))</f>
        <v>0.275679683024153</v>
      </c>
      <c r="F301" s="0" t="n">
        <f aca="false">SUMPRODUCT(Risk_Inputs!B301:AJ301,Risk_Coefs!$B$3:$AJ$3)</f>
        <v>7.46271790477988</v>
      </c>
      <c r="G301" s="0" t="n">
        <f aca="false">MAX(0,F301)</f>
        <v>7.46271790477988</v>
      </c>
      <c r="H301" s="0" t="n">
        <f aca="false">(SUMPRODUCT(--ISNUMBER($E$2:$E$800),--($E$2:$E$800&lt;E301))+(SUMPRODUCT(--ISNUMBER($E$2:$E$800),--($E$2:$E$800=E301))+1)/2)/COUNT($E$2:$E$800)</f>
        <v>0.430538172715895</v>
      </c>
      <c r="I301" s="0" t="n">
        <f aca="false">(SUMPRODUCT(--ISNUMBER($G$2:$G$800),--($G$2:$G$800&lt;G301))+(SUMPRODUCT(--ISNUMBER($G$2:$G$800),--($G$2:$G$800=G301))+1)/2)/COUNT($G$2:$G$800)</f>
        <v>0.476846057571965</v>
      </c>
      <c r="J301" s="0" t="n">
        <v>7.00414060038542</v>
      </c>
      <c r="K301" s="0" t="n">
        <v>2.26714012564872</v>
      </c>
      <c r="L301" s="0" t="n">
        <v>0.163889647637256</v>
      </c>
      <c r="M301" s="0" t="n">
        <f aca="false">IF(OR(B301="NW",COUNT(Risk_Rank_Keys!B301)=0),0.5,(SUMPRODUCT(--ISNUMBER(Risk_Rank_Keys!$B$2:$B$800),--(Risk_Rank_Keys!$B$2:$B$800&lt;Risk_Rank_Keys!B301))+(SUMPRODUCT(--ISNUMBER(Risk_Rank_Keys!$B$2:$B$800),--(Risk_Rank_Keys!$B$2:$B$800=Risk_Rank_Keys!B301))+1)/2)/COUNT(Risk_Rank_Keys!$B$2:$B$800))</f>
        <v>0.312412831241283</v>
      </c>
      <c r="N301" s="0" t="n">
        <f aca="false">IF(OR(B301="NW",COUNT(Risk_Rank_Keys!C301)=0),0.5,(SUMPRODUCT(--ISNUMBER(Risk_Rank_Keys!$C$2:$C$800),--(Risk_Rank_Keys!$C$2:$C$800&lt;Risk_Rank_Keys!C301))+(SUMPRODUCT(--ISNUMBER(Risk_Rank_Keys!$C$2:$C$800),--(Risk_Rank_Keys!$C$2:$C$800=Risk_Rank_Keys!C301))+1)/2)/COUNT(Risk_Rank_Keys!$C$2:$C$800))</f>
        <v>0.326359832635983</v>
      </c>
      <c r="O301" s="0" t="n">
        <f aca="false">IF(OR(B301="NW",COUNT(Risk_Rank_Keys!D301)=0),0.5,(SUMPRODUCT(--ISNUMBER(Risk_Rank_Keys!$D$2:$D$800),--(Risk_Rank_Keys!$D$2:$D$800&lt;Risk_Rank_Keys!D301))+(SUMPRODUCT(--ISNUMBER(Risk_Rank_Keys!$D$2:$D$800),--(Risk_Rank_Keys!$D$2:$D$800=Risk_Rank_Keys!D301))+1)/2)/COUNT(Risk_Rank_Keys!$D$2:$D$800))</f>
        <v>0.150627615062762</v>
      </c>
      <c r="P301" s="0" t="n">
        <f aca="false">AVERAGE(M301:O301)</f>
        <v>0.263133426313343</v>
      </c>
      <c r="Q301" s="0" t="n">
        <f aca="false">0.4*H301+0.4*I301+0.2*P301</f>
        <v>0.415580377377813</v>
      </c>
      <c r="R301" s="0" t="n">
        <f aca="false">PERCENTILE($Q$2:$Q$800,0.75)</f>
        <v>0.667715717403612</v>
      </c>
      <c r="S301" s="1" t="b">
        <f aca="false">OR(Q301&gt;=R301,AND(B301="CW",COUNT(J301:L301)&lt;3))</f>
        <v>0</v>
      </c>
      <c r="T301" s="0" t="n">
        <v>0.275679683024153</v>
      </c>
      <c r="U301" s="0" t="n">
        <v>7.46271790477988</v>
      </c>
      <c r="V301" s="0" t="n">
        <v>0.415580377377813</v>
      </c>
      <c r="W301" s="0" t="n">
        <f aca="false">Q301-V301</f>
        <v>0</v>
      </c>
    </row>
    <row r="302" customFormat="false" ht="15" hidden="false" customHeight="false" outlineLevel="0" collapsed="false">
      <c r="A302" s="0" t="s">
        <v>336</v>
      </c>
      <c r="B302" s="0" t="s">
        <v>3013</v>
      </c>
      <c r="C302" s="0" t="n">
        <v>23.8280747782849</v>
      </c>
      <c r="D302" s="0" t="n">
        <f aca="false">SUMPRODUCT(Risk_Inputs!B302:AJ302,Risk_Coefs!$B$2:$AJ$2)</f>
        <v>-1.35686525383207</v>
      </c>
      <c r="E302" s="0" t="n">
        <f aca="false">1/(1+EXP(-MAX(-25,MIN(25,D302))))</f>
        <v>0.204750253044375</v>
      </c>
      <c r="F302" s="0" t="n">
        <f aca="false">SUMPRODUCT(Risk_Inputs!B302:AJ302,Risk_Coefs!$B$3:$AJ$3)</f>
        <v>6.25239801482083</v>
      </c>
      <c r="G302" s="0" t="n">
        <f aca="false">MAX(0,F302)</f>
        <v>6.25239801482083</v>
      </c>
      <c r="H302" s="0" t="n">
        <f aca="false">(SUMPRODUCT(--ISNUMBER($E$2:$E$800),--($E$2:$E$800&lt;E302))+(SUMPRODUCT(--ISNUMBER($E$2:$E$800),--($E$2:$E$800=E302))+1)/2)/COUNT($E$2:$E$800)</f>
        <v>0.110137672090113</v>
      </c>
      <c r="I302" s="0" t="n">
        <f aca="false">(SUMPRODUCT(--ISNUMBER($G$2:$G$800),--($G$2:$G$800&lt;G302))+(SUMPRODUCT(--ISNUMBER($G$2:$G$800),--($G$2:$G$800=G302))+1)/2)/COUNT($G$2:$G$800)</f>
        <v>0.30287859824781</v>
      </c>
      <c r="J302" s="0" t="n">
        <v>14.5526661266441</v>
      </c>
      <c r="K302" s="0" t="n">
        <v>31.6371681415929</v>
      </c>
      <c r="L302" s="0" t="n">
        <v>0.276548672566372</v>
      </c>
      <c r="M302" s="0" t="n">
        <f aca="false">IF(OR(B302="NW",COUNT(Risk_Rank_Keys!B302)=0),0.5,(SUMPRODUCT(--ISNUMBER(Risk_Rank_Keys!$B$2:$B$800),--(Risk_Rank_Keys!$B$2:$B$800&lt;Risk_Rank_Keys!B302))+(SUMPRODUCT(--ISNUMBER(Risk_Rank_Keys!$B$2:$B$800),--(Risk_Rank_Keys!$B$2:$B$800=Risk_Rank_Keys!B302))+1)/2)/COUNT(Risk_Rank_Keys!$B$2:$B$800))</f>
        <v>0.697350069735007</v>
      </c>
      <c r="N302" s="0" t="n">
        <f aca="false">IF(OR(B302="NW",COUNT(Risk_Rank_Keys!C302)=0),0.5,(SUMPRODUCT(--ISNUMBER(Risk_Rank_Keys!$C$2:$C$800),--(Risk_Rank_Keys!$C$2:$C$800&lt;Risk_Rank_Keys!C302))+(SUMPRODUCT(--ISNUMBER(Risk_Rank_Keys!$C$2:$C$800),--(Risk_Rank_Keys!$C$2:$C$800=Risk_Rank_Keys!C302))+1)/2)/COUNT(Risk_Rank_Keys!$C$2:$C$800))</f>
        <v>0.99302649930265</v>
      </c>
      <c r="O302" s="0" t="n">
        <f aca="false">IF(OR(B302="NW",COUNT(Risk_Rank_Keys!D302)=0),0.5,(SUMPRODUCT(--ISNUMBER(Risk_Rank_Keys!$D$2:$D$800),--(Risk_Rank_Keys!$D$2:$D$800&lt;Risk_Rank_Keys!D302))+(SUMPRODUCT(--ISNUMBER(Risk_Rank_Keys!$D$2:$D$800),--(Risk_Rank_Keys!$D$2:$D$800=Risk_Rank_Keys!D302))+1)/2)/COUNT(Risk_Rank_Keys!$D$2:$D$800))</f>
        <v>0.686192468619247</v>
      </c>
      <c r="P302" s="0" t="n">
        <f aca="false">AVERAGE(M302:O302)</f>
        <v>0.792189679218968</v>
      </c>
      <c r="Q302" s="0" t="n">
        <f aca="false">0.4*H302+0.4*I302+0.2*P302</f>
        <v>0.323644443978963</v>
      </c>
      <c r="R302" s="0" t="n">
        <f aca="false">PERCENTILE($Q$2:$Q$800,0.75)</f>
        <v>0.667715717403612</v>
      </c>
      <c r="S302" s="1" t="b">
        <f aca="false">OR(Q302&gt;=R302,AND(B302="CW",COUNT(J302:L302)&lt;3))</f>
        <v>0</v>
      </c>
      <c r="T302" s="0" t="n">
        <v>0.204750253044375</v>
      </c>
      <c r="U302" s="0" t="n">
        <v>6.25239801482083</v>
      </c>
      <c r="V302" s="0" t="n">
        <v>0.323644443978963</v>
      </c>
      <c r="W302" s="0" t="n">
        <f aca="false">Q302-V302</f>
        <v>0</v>
      </c>
    </row>
    <row r="303" customFormat="false" ht="15" hidden="false" customHeight="false" outlineLevel="0" collapsed="false">
      <c r="A303" s="0" t="s">
        <v>337</v>
      </c>
      <c r="B303" s="0" t="s">
        <v>3013</v>
      </c>
      <c r="C303" s="0" t="n">
        <v>-37.9882064273962</v>
      </c>
      <c r="D303" s="0" t="n">
        <f aca="false">SUMPRODUCT(Risk_Inputs!B303:AJ303,Risk_Coefs!$B$2:$AJ$2)</f>
        <v>-0.882912173614807</v>
      </c>
      <c r="E303" s="0" t="n">
        <f aca="false">1/(1+EXP(-MAX(-25,MIN(25,D303))))</f>
        <v>0.292574668665523</v>
      </c>
      <c r="F303" s="0" t="n">
        <f aca="false">SUMPRODUCT(Risk_Inputs!B303:AJ303,Risk_Coefs!$B$3:$AJ$3)</f>
        <v>7.67646768487447</v>
      </c>
      <c r="G303" s="0" t="n">
        <f aca="false">MAX(0,F303)</f>
        <v>7.67646768487447</v>
      </c>
      <c r="H303" s="0" t="n">
        <f aca="false">(SUMPRODUCT(--ISNUMBER($E$2:$E$800),--($E$2:$E$800&lt;E303))+(SUMPRODUCT(--ISNUMBER($E$2:$E$800),--($E$2:$E$800=E303))+1)/2)/COUNT($E$2:$E$800)</f>
        <v>0.539424280350438</v>
      </c>
      <c r="I303" s="0" t="n">
        <f aca="false">(SUMPRODUCT(--ISNUMBER($G$2:$G$800),--($G$2:$G$800&lt;G303))+(SUMPRODUCT(--ISNUMBER($G$2:$G$800),--($G$2:$G$800=G303))+1)/2)/COUNT($G$2:$G$800)</f>
        <v>0.51063829787234</v>
      </c>
      <c r="J303" s="0" t="n">
        <v>9.60219096948527</v>
      </c>
      <c r="K303" s="0" t="n">
        <v>1.54628687690743</v>
      </c>
      <c r="L303" s="0" t="n">
        <v>0.162767039674468</v>
      </c>
      <c r="M303" s="0" t="n">
        <f aca="false">IF(OR(B303="NW",COUNT(Risk_Rank_Keys!B303)=0),0.5,(SUMPRODUCT(--ISNUMBER(Risk_Rank_Keys!$B$2:$B$800),--(Risk_Rank_Keys!$B$2:$B$800&lt;Risk_Rank_Keys!B303))+(SUMPRODUCT(--ISNUMBER(Risk_Rank_Keys!$B$2:$B$800),--(Risk_Rank_Keys!$B$2:$B$800=Risk_Rank_Keys!B303))+1)/2)/COUNT(Risk_Rank_Keys!$B$2:$B$800))</f>
        <v>0.483960948396095</v>
      </c>
      <c r="N303" s="0" t="n">
        <f aca="false">IF(OR(B303="NW",COUNT(Risk_Rank_Keys!C303)=0),0.5,(SUMPRODUCT(--ISNUMBER(Risk_Rank_Keys!$C$2:$C$800),--(Risk_Rank_Keys!$C$2:$C$800&lt;Risk_Rank_Keys!C303))+(SUMPRODUCT(--ISNUMBER(Risk_Rank_Keys!$C$2:$C$800),--(Risk_Rank_Keys!$C$2:$C$800=Risk_Rank_Keys!C303))+1)/2)/COUNT(Risk_Rank_Keys!$C$2:$C$800))</f>
        <v>0.145048814504881</v>
      </c>
      <c r="O303" s="0" t="n">
        <f aca="false">IF(OR(B303="NW",COUNT(Risk_Rank_Keys!D303)=0),0.5,(SUMPRODUCT(--ISNUMBER(Risk_Rank_Keys!$D$2:$D$800),--(Risk_Rank_Keys!$D$2:$D$800&lt;Risk_Rank_Keys!D303))+(SUMPRODUCT(--ISNUMBER(Risk_Rank_Keys!$D$2:$D$800),--(Risk_Rank_Keys!$D$2:$D$800=Risk_Rank_Keys!D303))+1)/2)/COUNT(Risk_Rank_Keys!$D$2:$D$800))</f>
        <v>0.143654114365411</v>
      </c>
      <c r="P303" s="0" t="n">
        <f aca="false">AVERAGE(M303:O303)</f>
        <v>0.257554625755463</v>
      </c>
      <c r="Q303" s="0" t="n">
        <f aca="false">0.4*H303+0.4*I303+0.2*P303</f>
        <v>0.471535956440204</v>
      </c>
      <c r="R303" s="0" t="n">
        <f aca="false">PERCENTILE($Q$2:$Q$800,0.75)</f>
        <v>0.667715717403612</v>
      </c>
      <c r="S303" s="1" t="b">
        <f aca="false">OR(Q303&gt;=R303,AND(B303="CW",COUNT(J303:L303)&lt;3))</f>
        <v>0</v>
      </c>
      <c r="T303" s="0" t="n">
        <v>0.292574668665523</v>
      </c>
      <c r="U303" s="0" t="n">
        <v>7.67646768487447</v>
      </c>
      <c r="V303" s="0" t="n">
        <v>0.471535956440204</v>
      </c>
      <c r="W303" s="0" t="n">
        <f aca="false">Q303-V303</f>
        <v>0</v>
      </c>
    </row>
    <row r="304" customFormat="false" ht="15" hidden="false" customHeight="false" outlineLevel="0" collapsed="false">
      <c r="A304" s="0" t="s">
        <v>338</v>
      </c>
      <c r="B304" s="0" t="s">
        <v>3013</v>
      </c>
      <c r="C304" s="0" t="n">
        <v>-37.253093183149</v>
      </c>
      <c r="D304" s="0" t="n">
        <f aca="false">SUMPRODUCT(Risk_Inputs!B304:AJ304,Risk_Coefs!$B$2:$AJ$2)</f>
        <v>-1.04247635218862</v>
      </c>
      <c r="E304" s="0" t="n">
        <f aca="false">1/(1+EXP(-MAX(-25,MIN(25,D304))))</f>
        <v>0.260672462783013</v>
      </c>
      <c r="F304" s="0" t="n">
        <f aca="false">SUMPRODUCT(Risk_Inputs!B304:AJ304,Risk_Coefs!$B$3:$AJ$3)</f>
        <v>5.90857168754014</v>
      </c>
      <c r="G304" s="0" t="n">
        <f aca="false">MAX(0,F304)</f>
        <v>5.90857168754014</v>
      </c>
      <c r="H304" s="0" t="n">
        <f aca="false">(SUMPRODUCT(--ISNUMBER($E$2:$E$800),--($E$2:$E$800&lt;E304))+(SUMPRODUCT(--ISNUMBER($E$2:$E$800),--($E$2:$E$800=E304))+1)/2)/COUNT($E$2:$E$800)</f>
        <v>0.335419274092616</v>
      </c>
      <c r="I304" s="0" t="n">
        <f aca="false">(SUMPRODUCT(--ISNUMBER($G$2:$G$800),--($G$2:$G$800&lt;G304))+(SUMPRODUCT(--ISNUMBER($G$2:$G$800),--($G$2:$G$800=G304))+1)/2)/COUNT($G$2:$G$800)</f>
        <v>0.251564455569462</v>
      </c>
      <c r="J304" s="0" t="n">
        <v>14.5522046017059</v>
      </c>
      <c r="K304" s="0" t="n">
        <v>8.24619771863119</v>
      </c>
      <c r="L304" s="0" t="n">
        <v>0.190114068441054</v>
      </c>
      <c r="M304" s="0" t="n">
        <f aca="false">IF(OR(B304="NW",COUNT(Risk_Rank_Keys!B304)=0),0.5,(SUMPRODUCT(--ISNUMBER(Risk_Rank_Keys!$B$2:$B$800),--(Risk_Rank_Keys!$B$2:$B$800&lt;Risk_Rank_Keys!B304))+(SUMPRODUCT(--ISNUMBER(Risk_Rank_Keys!$B$2:$B$800),--(Risk_Rank_Keys!$B$2:$B$800=Risk_Rank_Keys!B304))+1)/2)/COUNT(Risk_Rank_Keys!$B$2:$B$800))</f>
        <v>0.695955369595537</v>
      </c>
      <c r="N304" s="0" t="n">
        <f aca="false">IF(OR(B304="NW",COUNT(Risk_Rank_Keys!C304)=0),0.5,(SUMPRODUCT(--ISNUMBER(Risk_Rank_Keys!$C$2:$C$800),--(Risk_Rank_Keys!$C$2:$C$800&lt;Risk_Rank_Keys!C304))+(SUMPRODUCT(--ISNUMBER(Risk_Rank_Keys!$C$2:$C$800),--(Risk_Rank_Keys!$C$2:$C$800=Risk_Rank_Keys!C304))+1)/2)/COUNT(Risk_Rank_Keys!$C$2:$C$800))</f>
        <v>0.831241283124128</v>
      </c>
      <c r="O304" s="0" t="n">
        <f aca="false">IF(OR(B304="NW",COUNT(Risk_Rank_Keys!D304)=0),0.5,(SUMPRODUCT(--ISNUMBER(Risk_Rank_Keys!$D$2:$D$800),--(Risk_Rank_Keys!$D$2:$D$800&lt;Risk_Rank_Keys!D304))+(SUMPRODUCT(--ISNUMBER(Risk_Rank_Keys!$D$2:$D$800),--(Risk_Rank_Keys!$D$2:$D$800=Risk_Rank_Keys!D304))+1)/2)/COUNT(Risk_Rank_Keys!$D$2:$D$800))</f>
        <v>0.252440725244073</v>
      </c>
      <c r="P304" s="0" t="n">
        <f aca="false">AVERAGE(M304:O304)</f>
        <v>0.593212459321246</v>
      </c>
      <c r="Q304" s="0" t="n">
        <f aca="false">0.4*H304+0.4*I304+0.2*P304</f>
        <v>0.35343598372908</v>
      </c>
      <c r="R304" s="0" t="n">
        <f aca="false">PERCENTILE($Q$2:$Q$800,0.75)</f>
        <v>0.667715717403612</v>
      </c>
      <c r="S304" s="1" t="b">
        <f aca="false">OR(Q304&gt;=R304,AND(B304="CW",COUNT(J304:L304)&lt;3))</f>
        <v>0</v>
      </c>
      <c r="T304" s="0" t="n">
        <v>0.260672462783013</v>
      </c>
      <c r="U304" s="0" t="n">
        <v>5.90857168754014</v>
      </c>
      <c r="V304" s="0" t="n">
        <v>0.35343598372908</v>
      </c>
      <c r="W304" s="0" t="n">
        <f aca="false">Q304-V304</f>
        <v>0</v>
      </c>
    </row>
    <row r="305" customFormat="false" ht="15" hidden="false" customHeight="false" outlineLevel="0" collapsed="false">
      <c r="A305" s="0" t="s">
        <v>339</v>
      </c>
      <c r="B305" s="0" t="s">
        <v>3013</v>
      </c>
      <c r="C305" s="0" t="n">
        <v>27.0897141909001</v>
      </c>
      <c r="D305" s="0" t="n">
        <f aca="false">SUMPRODUCT(Risk_Inputs!B305:AJ305,Risk_Coefs!$B$2:$AJ$2)</f>
        <v>-1.17170916383363</v>
      </c>
      <c r="E305" s="0" t="n">
        <f aca="false">1/(1+EXP(-MAX(-25,MIN(25,D305))))</f>
        <v>0.236546183836575</v>
      </c>
      <c r="F305" s="0" t="n">
        <f aca="false">SUMPRODUCT(Risk_Inputs!B305:AJ305,Risk_Coefs!$B$3:$AJ$3)</f>
        <v>5.91897095609974</v>
      </c>
      <c r="G305" s="0" t="n">
        <f aca="false">MAX(0,F305)</f>
        <v>5.91897095609974</v>
      </c>
      <c r="H305" s="0" t="n">
        <f aca="false">(SUMPRODUCT(--ISNUMBER($E$2:$E$800),--($E$2:$E$800&lt;E305))+(SUMPRODUCT(--ISNUMBER($E$2:$E$800),--($E$2:$E$800=E305))+1)/2)/COUNT($E$2:$E$800)</f>
        <v>0.207759699624531</v>
      </c>
      <c r="I305" s="0" t="n">
        <f aca="false">(SUMPRODUCT(--ISNUMBER($G$2:$G$800),--($G$2:$G$800&lt;G305))+(SUMPRODUCT(--ISNUMBER($G$2:$G$800),--($G$2:$G$800=G305))+1)/2)/COUNT($G$2:$G$800)</f>
        <v>0.25531914893617</v>
      </c>
      <c r="J305" s="0" t="n">
        <v>12.3619581341685</v>
      </c>
      <c r="K305" s="0" t="n">
        <v>6.4776119402985</v>
      </c>
      <c r="L305" s="0" t="n">
        <v>0.238805970149257</v>
      </c>
      <c r="M305" s="0" t="n">
        <f aca="false">IF(OR(B305="NW",COUNT(Risk_Rank_Keys!B305)=0),0.5,(SUMPRODUCT(--ISNUMBER(Risk_Rank_Keys!$B$2:$B$800),--(Risk_Rank_Keys!$B$2:$B$800&lt;Risk_Rank_Keys!B305))+(SUMPRODUCT(--ISNUMBER(Risk_Rank_Keys!$B$2:$B$800),--(Risk_Rank_Keys!$B$2:$B$800=Risk_Rank_Keys!B305))+1)/2)/COUNT(Risk_Rank_Keys!$B$2:$B$800))</f>
        <v>0.612273361227336</v>
      </c>
      <c r="N305" s="0" t="n">
        <f aca="false">IF(OR(B305="NW",COUNT(Risk_Rank_Keys!C305)=0),0.5,(SUMPRODUCT(--ISNUMBER(Risk_Rank_Keys!$C$2:$C$800),--(Risk_Rank_Keys!$C$2:$C$800&lt;Risk_Rank_Keys!C305))+(SUMPRODUCT(--ISNUMBER(Risk_Rank_Keys!$C$2:$C$800),--(Risk_Rank_Keys!$C$2:$C$800=Risk_Rank_Keys!C305))+1)/2)/COUNT(Risk_Rank_Keys!$C$2:$C$800))</f>
        <v>0.761506276150628</v>
      </c>
      <c r="O305" s="0" t="n">
        <f aca="false">IF(OR(B305="NW",COUNT(Risk_Rank_Keys!D305)=0),0.5,(SUMPRODUCT(--ISNUMBER(Risk_Rank_Keys!$D$2:$D$800),--(Risk_Rank_Keys!$D$2:$D$800&lt;Risk_Rank_Keys!D305))+(SUMPRODUCT(--ISNUMBER(Risk_Rank_Keys!$D$2:$D$800),--(Risk_Rank_Keys!$D$2:$D$800=Risk_Rank_Keys!D305))+1)/2)/COUNT(Risk_Rank_Keys!$D$2:$D$800))</f>
        <v>0.534170153417015</v>
      </c>
      <c r="P305" s="0" t="n">
        <f aca="false">AVERAGE(M305:O305)</f>
        <v>0.635983263598326</v>
      </c>
      <c r="Q305" s="0" t="n">
        <f aca="false">0.4*H305+0.4*I305+0.2*P305</f>
        <v>0.312428192143946</v>
      </c>
      <c r="R305" s="0" t="n">
        <f aca="false">PERCENTILE($Q$2:$Q$800,0.75)</f>
        <v>0.667715717403612</v>
      </c>
      <c r="S305" s="1" t="b">
        <f aca="false">OR(Q305&gt;=R305,AND(B305="CW",COUNT(J305:L305)&lt;3))</f>
        <v>0</v>
      </c>
      <c r="T305" s="0" t="n">
        <v>0.236546183836575</v>
      </c>
      <c r="U305" s="0" t="n">
        <v>5.91897095609974</v>
      </c>
      <c r="V305" s="0" t="n">
        <v>0.312428192143946</v>
      </c>
      <c r="W305" s="0" t="n">
        <f aca="false">Q305-V305</f>
        <v>0</v>
      </c>
    </row>
    <row r="306" customFormat="false" ht="15" hidden="false" customHeight="false" outlineLevel="0" collapsed="false">
      <c r="A306" s="0" t="s">
        <v>340</v>
      </c>
      <c r="B306" s="0" t="s">
        <v>3013</v>
      </c>
      <c r="C306" s="0" t="n">
        <v>-1.14716625969841</v>
      </c>
      <c r="D306" s="0" t="n">
        <f aca="false">SUMPRODUCT(Risk_Inputs!B306:AJ306,Risk_Coefs!$B$2:$AJ$2)</f>
        <v>-1.04846388871975</v>
      </c>
      <c r="E306" s="0" t="n">
        <f aca="false">1/(1+EXP(-MAX(-25,MIN(25,D306))))</f>
        <v>0.259520185427815</v>
      </c>
      <c r="F306" s="0" t="n">
        <f aca="false">SUMPRODUCT(Risk_Inputs!B306:AJ306,Risk_Coefs!$B$3:$AJ$3)</f>
        <v>8.39009659355423</v>
      </c>
      <c r="G306" s="0" t="n">
        <f aca="false">MAX(0,F306)</f>
        <v>8.39009659355423</v>
      </c>
      <c r="H306" s="0" t="n">
        <f aca="false">(SUMPRODUCT(--ISNUMBER($E$2:$E$800),--($E$2:$E$800&lt;E306))+(SUMPRODUCT(--ISNUMBER($E$2:$E$800),--($E$2:$E$800=E306))+1)/2)/COUNT($E$2:$E$800)</f>
        <v>0.330413016270338</v>
      </c>
      <c r="I306" s="0" t="n">
        <f aca="false">(SUMPRODUCT(--ISNUMBER($G$2:$G$800),--($G$2:$G$800&lt;G306))+(SUMPRODUCT(--ISNUMBER($G$2:$G$800),--($G$2:$G$800=G306))+1)/2)/COUNT($G$2:$G$800)</f>
        <v>0.593241551939925</v>
      </c>
      <c r="J306" s="0" t="n">
        <v>6.42415254956703</v>
      </c>
      <c r="K306" s="0" t="n">
        <v>4.53091684434968</v>
      </c>
      <c r="L306" s="0" t="n">
        <v>0.373134328358211</v>
      </c>
      <c r="M306" s="0" t="n">
        <f aca="false">IF(OR(B306="NW",COUNT(Risk_Rank_Keys!B306)=0),0.5,(SUMPRODUCT(--ISNUMBER(Risk_Rank_Keys!$B$2:$B$800),--(Risk_Rank_Keys!$B$2:$B$800&lt;Risk_Rank_Keys!B306))+(SUMPRODUCT(--ISNUMBER(Risk_Rank_Keys!$B$2:$B$800),--(Risk_Rank_Keys!$B$2:$B$800=Risk_Rank_Keys!B306))+1)/2)/COUNT(Risk_Rank_Keys!$B$2:$B$800))</f>
        <v>0.270571827057183</v>
      </c>
      <c r="N306" s="0" t="n">
        <f aca="false">IF(OR(B306="NW",COUNT(Risk_Rank_Keys!C306)=0),0.5,(SUMPRODUCT(--ISNUMBER(Risk_Rank_Keys!$C$2:$C$800),--(Risk_Rank_Keys!$C$2:$C$800&lt;Risk_Rank_Keys!C306))+(SUMPRODUCT(--ISNUMBER(Risk_Rank_Keys!$C$2:$C$800),--(Risk_Rank_Keys!$C$2:$C$800=Risk_Rank_Keys!C306))+1)/2)/COUNT(Risk_Rank_Keys!$C$2:$C$800))</f>
        <v>0.647140864714087</v>
      </c>
      <c r="O306" s="0" t="n">
        <f aca="false">IF(OR(B306="NW",COUNT(Risk_Rank_Keys!D306)=0),0.5,(SUMPRODUCT(--ISNUMBER(Risk_Rank_Keys!$D$2:$D$800),--(Risk_Rank_Keys!$D$2:$D$800&lt;Risk_Rank_Keys!D306))+(SUMPRODUCT(--ISNUMBER(Risk_Rank_Keys!$D$2:$D$800),--(Risk_Rank_Keys!$D$2:$D$800=Risk_Rank_Keys!D306))+1)/2)/COUNT(Risk_Rank_Keys!$D$2:$D$800))</f>
        <v>0.859135285913529</v>
      </c>
      <c r="P306" s="0" t="n">
        <f aca="false">AVERAGE(M306:O306)</f>
        <v>0.592282659228266</v>
      </c>
      <c r="Q306" s="0" t="n">
        <f aca="false">0.4*H306+0.4*I306+0.2*P306</f>
        <v>0.487918359129758</v>
      </c>
      <c r="R306" s="0" t="n">
        <f aca="false">PERCENTILE($Q$2:$Q$800,0.75)</f>
        <v>0.667715717403612</v>
      </c>
      <c r="S306" s="1" t="b">
        <f aca="false">OR(Q306&gt;=R306,AND(B306="CW",COUNT(J306:L306)&lt;3))</f>
        <v>0</v>
      </c>
      <c r="T306" s="0" t="n">
        <v>0.259520185427815</v>
      </c>
      <c r="U306" s="0" t="n">
        <v>8.39009659355423</v>
      </c>
      <c r="V306" s="0" t="n">
        <v>0.487918359129758</v>
      </c>
      <c r="W306" s="0" t="n">
        <f aca="false">Q306-V306</f>
        <v>0</v>
      </c>
    </row>
    <row r="307" customFormat="false" ht="15" hidden="false" customHeight="false" outlineLevel="0" collapsed="false">
      <c r="A307" s="0" t="s">
        <v>341</v>
      </c>
      <c r="B307" s="0" t="s">
        <v>3013</v>
      </c>
      <c r="C307" s="0" t="n">
        <v>42.6066388788578</v>
      </c>
      <c r="D307" s="0" t="n">
        <f aca="false">SUMPRODUCT(Risk_Inputs!B307:AJ307,Risk_Coefs!$B$2:$AJ$2)</f>
        <v>-1.01048929802164</v>
      </c>
      <c r="E307" s="0" t="n">
        <f aca="false">1/(1+EXP(-MAX(-25,MIN(25,D307))))</f>
        <v>0.266884105268971</v>
      </c>
      <c r="F307" s="0" t="n">
        <f aca="false">SUMPRODUCT(Risk_Inputs!B307:AJ307,Risk_Coefs!$B$3:$AJ$3)</f>
        <v>4.2111725590526</v>
      </c>
      <c r="G307" s="0" t="n">
        <f aca="false">MAX(0,F307)</f>
        <v>4.2111725590526</v>
      </c>
      <c r="H307" s="0" t="n">
        <f aca="false">(SUMPRODUCT(--ISNUMBER($E$2:$E$800),--($E$2:$E$800&lt;E307))+(SUMPRODUCT(--ISNUMBER($E$2:$E$800),--($E$2:$E$800=E307))+1)/2)/COUNT($E$2:$E$800)</f>
        <v>0.377972465581977</v>
      </c>
      <c r="I307" s="0" t="n">
        <f aca="false">(SUMPRODUCT(--ISNUMBER($G$2:$G$800),--($G$2:$G$800&lt;G307))+(SUMPRODUCT(--ISNUMBER($G$2:$G$800),--($G$2:$G$800=G307))+1)/2)/COUNT($G$2:$G$800)</f>
        <v>0.0663329161451815</v>
      </c>
      <c r="J307" s="0" t="n">
        <v>20.9805044038731</v>
      </c>
      <c r="K307" s="0" t="n">
        <v>5.29027825489522</v>
      </c>
      <c r="L307" s="0" t="n">
        <v>0.171762281003092</v>
      </c>
      <c r="M307" s="0" t="n">
        <f aca="false">IF(OR(B307="NW",COUNT(Risk_Rank_Keys!B307)=0),0.5,(SUMPRODUCT(--ISNUMBER(Risk_Rank_Keys!$B$2:$B$800),--(Risk_Rank_Keys!$B$2:$B$800&lt;Risk_Rank_Keys!B307))+(SUMPRODUCT(--ISNUMBER(Risk_Rank_Keys!$B$2:$B$800),--(Risk_Rank_Keys!$B$2:$B$800=Risk_Rank_Keys!B307))+1)/2)/COUNT(Risk_Rank_Keys!$B$2:$B$800))</f>
        <v>0.808926080892608</v>
      </c>
      <c r="N307" s="0" t="n">
        <f aca="false">IF(OR(B307="NW",COUNT(Risk_Rank_Keys!C307)=0),0.5,(SUMPRODUCT(--ISNUMBER(Risk_Rank_Keys!$C$2:$C$800),--(Risk_Rank_Keys!$C$2:$C$800&lt;Risk_Rank_Keys!C307))+(SUMPRODUCT(--ISNUMBER(Risk_Rank_Keys!$C$2:$C$800),--(Risk_Rank_Keys!$C$2:$C$800=Risk_Rank_Keys!C307))+1)/2)/COUNT(Risk_Rank_Keys!$C$2:$C$800))</f>
        <v>0.708507670850767</v>
      </c>
      <c r="O307" s="0" t="n">
        <f aca="false">IF(OR(B307="NW",COUNT(Risk_Rank_Keys!D307)=0),0.5,(SUMPRODUCT(--ISNUMBER(Risk_Rank_Keys!$D$2:$D$800),--(Risk_Rank_Keys!$D$2:$D$800&lt;Risk_Rank_Keys!D307))+(SUMPRODUCT(--ISNUMBER(Risk_Rank_Keys!$D$2:$D$800),--(Risk_Rank_Keys!$D$2:$D$800=Risk_Rank_Keys!D307))+1)/2)/COUNT(Risk_Rank_Keys!$D$2:$D$800))</f>
        <v>0.177126917712692</v>
      </c>
      <c r="P307" s="0" t="n">
        <f aca="false">AVERAGE(M307:O307)</f>
        <v>0.564853556485356</v>
      </c>
      <c r="Q307" s="0" t="n">
        <f aca="false">0.4*H307+0.4*I307+0.2*P307</f>
        <v>0.290692863987935</v>
      </c>
      <c r="R307" s="0" t="n">
        <f aca="false">PERCENTILE($Q$2:$Q$800,0.75)</f>
        <v>0.667715717403612</v>
      </c>
      <c r="S307" s="1" t="b">
        <f aca="false">OR(Q307&gt;=R307,AND(B307="CW",COUNT(J307:L307)&lt;3))</f>
        <v>0</v>
      </c>
      <c r="T307" s="0" t="n">
        <v>0.266884105268971</v>
      </c>
      <c r="U307" s="0" t="n">
        <v>4.2111725590526</v>
      </c>
      <c r="V307" s="0" t="n">
        <v>0.290692863987935</v>
      </c>
      <c r="W307" s="0" t="n">
        <f aca="false">Q307-V307</f>
        <v>0</v>
      </c>
    </row>
    <row r="308" customFormat="false" ht="15" hidden="false" customHeight="false" outlineLevel="0" collapsed="false">
      <c r="A308" s="0" t="s">
        <v>342</v>
      </c>
      <c r="B308" s="0" t="s">
        <v>3013</v>
      </c>
      <c r="C308" s="0" t="n">
        <v>68.8545454456579</v>
      </c>
      <c r="D308" s="0" t="n">
        <f aca="false">SUMPRODUCT(Risk_Inputs!B308:AJ308,Risk_Coefs!$B$2:$AJ$2)</f>
        <v>-1.69882482254632</v>
      </c>
      <c r="E308" s="0" t="n">
        <f aca="false">1/(1+EXP(-MAX(-25,MIN(25,D308))))</f>
        <v>0.154618812345131</v>
      </c>
      <c r="F308" s="0" t="n">
        <f aca="false">SUMPRODUCT(Risk_Inputs!B308:AJ308,Risk_Coefs!$B$3:$AJ$3)</f>
        <v>3.75430954554422</v>
      </c>
      <c r="G308" s="0" t="n">
        <f aca="false">MAX(0,F308)</f>
        <v>3.75430954554422</v>
      </c>
      <c r="H308" s="0" t="n">
        <f aca="false">(SUMPRODUCT(--ISNUMBER($E$2:$E$800),--($E$2:$E$800&lt;E308))+(SUMPRODUCT(--ISNUMBER($E$2:$E$800),--($E$2:$E$800=E308))+1)/2)/COUNT($E$2:$E$800)</f>
        <v>0.0287859824780976</v>
      </c>
      <c r="I308" s="0" t="n">
        <f aca="false">(SUMPRODUCT(--ISNUMBER($G$2:$G$800),--($G$2:$G$800&lt;G308))+(SUMPRODUCT(--ISNUMBER($G$2:$G$800),--($G$2:$G$800=G308))+1)/2)/COUNT($G$2:$G$800)</f>
        <v>0.0413016270337922</v>
      </c>
      <c r="J308" s="0" t="n">
        <v>43.9289506874049</v>
      </c>
      <c r="K308" s="0" t="n">
        <v>39.5256916996047</v>
      </c>
      <c r="L308" s="0" t="n">
        <v>0.461133069828724</v>
      </c>
      <c r="M308" s="0" t="n">
        <f aca="false">IF(OR(B308="NW",COUNT(Risk_Rank_Keys!B308)=0),0.5,(SUMPRODUCT(--ISNUMBER(Risk_Rank_Keys!$B$2:$B$800),--(Risk_Rank_Keys!$B$2:$B$800&lt;Risk_Rank_Keys!B308))+(SUMPRODUCT(--ISNUMBER(Risk_Rank_Keys!$B$2:$B$800),--(Risk_Rank_Keys!$B$2:$B$800=Risk_Rank_Keys!B308))+1)/2)/COUNT(Risk_Rank_Keys!$B$2:$B$800))</f>
        <v>0.96652719665272</v>
      </c>
      <c r="N308" s="0" t="n">
        <f aca="false">IF(OR(B308="NW",COUNT(Risk_Rank_Keys!C308)=0),0.5,(SUMPRODUCT(--ISNUMBER(Risk_Rank_Keys!$C$2:$C$800),--(Risk_Rank_Keys!$C$2:$C$800&lt;Risk_Rank_Keys!C308))+(SUMPRODUCT(--ISNUMBER(Risk_Rank_Keys!$C$2:$C$800),--(Risk_Rank_Keys!$C$2:$C$800=Risk_Rank_Keys!C308))+1)/2)/COUNT(Risk_Rank_Keys!$C$2:$C$800))</f>
        <v>0.99860529986053</v>
      </c>
      <c r="O308" s="0" t="n">
        <f aca="false">IF(OR(B308="NW",COUNT(Risk_Rank_Keys!D308)=0),0.5,(SUMPRODUCT(--ISNUMBER(Risk_Rank_Keys!$D$2:$D$800),--(Risk_Rank_Keys!$D$2:$D$800&lt;Risk_Rank_Keys!D308))+(SUMPRODUCT(--ISNUMBER(Risk_Rank_Keys!$D$2:$D$800),--(Risk_Rank_Keys!$D$2:$D$800=Risk_Rank_Keys!D308))+1)/2)/COUNT(Risk_Rank_Keys!$D$2:$D$800))</f>
        <v>0.931659693165969</v>
      </c>
      <c r="P308" s="0" t="n">
        <f aca="false">AVERAGE(M308:O308)</f>
        <v>0.96559739655974</v>
      </c>
      <c r="Q308" s="0" t="n">
        <f aca="false">0.4*H308+0.4*I308+0.2*P308</f>
        <v>0.221154523116704</v>
      </c>
      <c r="R308" s="0" t="n">
        <f aca="false">PERCENTILE($Q$2:$Q$800,0.75)</f>
        <v>0.667715717403612</v>
      </c>
      <c r="S308" s="1" t="b">
        <f aca="false">OR(Q308&gt;=R308,AND(B308="CW",COUNT(J308:L308)&lt;3))</f>
        <v>0</v>
      </c>
      <c r="T308" s="0" t="n">
        <v>0.154618812345131</v>
      </c>
      <c r="U308" s="0" t="n">
        <v>3.75430954554422</v>
      </c>
      <c r="V308" s="0" t="n">
        <v>0.221154523116704</v>
      </c>
      <c r="W308" s="0" t="n">
        <f aca="false">Q308-V308</f>
        <v>0</v>
      </c>
    </row>
    <row r="309" customFormat="false" ht="15" hidden="false" customHeight="false" outlineLevel="0" collapsed="false">
      <c r="A309" s="0" t="s">
        <v>343</v>
      </c>
      <c r="B309" s="0" t="s">
        <v>3013</v>
      </c>
      <c r="C309" s="0" t="n">
        <v>-39.5214550321314</v>
      </c>
      <c r="D309" s="0" t="n">
        <f aca="false">SUMPRODUCT(Risk_Inputs!B309:AJ309,Risk_Coefs!$B$2:$AJ$2)</f>
        <v>-0.785027177913415</v>
      </c>
      <c r="E309" s="0" t="n">
        <f aca="false">1/(1+EXP(-MAX(-25,MIN(25,D309))))</f>
        <v>0.313237426820721</v>
      </c>
      <c r="F309" s="0" t="n">
        <f aca="false">SUMPRODUCT(Risk_Inputs!B309:AJ309,Risk_Coefs!$B$3:$AJ$3)</f>
        <v>8.47159475777706</v>
      </c>
      <c r="G309" s="0" t="n">
        <f aca="false">MAX(0,F309)</f>
        <v>8.47159475777706</v>
      </c>
      <c r="H309" s="0" t="n">
        <f aca="false">(SUMPRODUCT(--ISNUMBER($E$2:$E$800),--($E$2:$E$800&lt;E309))+(SUMPRODUCT(--ISNUMBER($E$2:$E$800),--($E$2:$E$800=E309))+1)/2)/COUNT($E$2:$E$800)</f>
        <v>0.632040050062578</v>
      </c>
      <c r="I309" s="0" t="n">
        <f aca="false">(SUMPRODUCT(--ISNUMBER($G$2:$G$800),--($G$2:$G$800&lt;G309))+(SUMPRODUCT(--ISNUMBER($G$2:$G$800),--($G$2:$G$800=G309))+1)/2)/COUNT($G$2:$G$800)</f>
        <v>0.598247809762203</v>
      </c>
      <c r="J309" s="0" t="n">
        <v>9.15877368247518</v>
      </c>
      <c r="K309" s="0" t="n">
        <v>3.74581939799331</v>
      </c>
      <c r="L309" s="0" t="n">
        <v>0.0891861761426928</v>
      </c>
      <c r="M309" s="0" t="n">
        <f aca="false">IF(OR(B309="NW",COUNT(Risk_Rank_Keys!B309)=0),0.5,(SUMPRODUCT(--ISNUMBER(Risk_Rank_Keys!$B$2:$B$800),--(Risk_Rank_Keys!$B$2:$B$800&lt;Risk_Rank_Keys!B309))+(SUMPRODUCT(--ISNUMBER(Risk_Rank_Keys!$B$2:$B$800),--(Risk_Rank_Keys!$B$2:$B$800=Risk_Rank_Keys!B309))+1)/2)/COUNT(Risk_Rank_Keys!$B$2:$B$800))</f>
        <v>0.456066945606695</v>
      </c>
      <c r="N309" s="0" t="n">
        <f aca="false">IF(OR(B309="NW",COUNT(Risk_Rank_Keys!C309)=0),0.5,(SUMPRODUCT(--ISNUMBER(Risk_Rank_Keys!$C$2:$C$800),--(Risk_Rank_Keys!$C$2:$C$800&lt;Risk_Rank_Keys!C309))+(SUMPRODUCT(--ISNUMBER(Risk_Rank_Keys!$C$2:$C$800),--(Risk_Rank_Keys!$C$2:$C$800=Risk_Rank_Keys!C309))+1)/2)/COUNT(Risk_Rank_Keys!$C$2:$C$800))</f>
        <v>0.564853556485356</v>
      </c>
      <c r="O309" s="0" t="n">
        <f aca="false">IF(OR(B309="NW",COUNT(Risk_Rank_Keys!D309)=0),0.5,(SUMPRODUCT(--ISNUMBER(Risk_Rank_Keys!$D$2:$D$800),--(Risk_Rank_Keys!$D$2:$D$800&lt;Risk_Rank_Keys!D309))+(SUMPRODUCT(--ISNUMBER(Risk_Rank_Keys!$D$2:$D$800),--(Risk_Rank_Keys!$D$2:$D$800=Risk_Rank_Keys!D309))+1)/2)/COUNT(Risk_Rank_Keys!$D$2:$D$800))</f>
        <v>0.0125523012552301</v>
      </c>
      <c r="P309" s="0" t="n">
        <f aca="false">AVERAGE(M309:O309)</f>
        <v>0.344490934449093</v>
      </c>
      <c r="Q309" s="0" t="n">
        <f aca="false">0.4*H309+0.4*I309+0.2*P309</f>
        <v>0.561013330819731</v>
      </c>
      <c r="R309" s="0" t="n">
        <f aca="false">PERCENTILE($Q$2:$Q$800,0.75)</f>
        <v>0.667715717403612</v>
      </c>
      <c r="S309" s="1" t="b">
        <f aca="false">OR(Q309&gt;=R309,AND(B309="CW",COUNT(J309:L309)&lt;3))</f>
        <v>0</v>
      </c>
      <c r="T309" s="0" t="n">
        <v>0.313237426820721</v>
      </c>
      <c r="U309" s="0" t="n">
        <v>8.47159475777706</v>
      </c>
      <c r="V309" s="0" t="n">
        <v>0.561013330819731</v>
      </c>
      <c r="W309" s="0" t="n">
        <f aca="false">Q309-V309</f>
        <v>0</v>
      </c>
    </row>
    <row r="310" customFormat="false" ht="15" hidden="false" customHeight="false" outlineLevel="0" collapsed="false">
      <c r="A310" s="0" t="s">
        <v>344</v>
      </c>
      <c r="B310" s="0" t="s">
        <v>3013</v>
      </c>
      <c r="C310" s="0" t="n">
        <v>7.71017841533444</v>
      </c>
      <c r="D310" s="0" t="n">
        <f aca="false">SUMPRODUCT(Risk_Inputs!B310:AJ310,Risk_Coefs!$B$2:$AJ$2)</f>
        <v>-0.76824459498119</v>
      </c>
      <c r="E310" s="0" t="n">
        <f aca="false">1/(1+EXP(-MAX(-25,MIN(25,D310))))</f>
        <v>0.316858957893518</v>
      </c>
      <c r="F310" s="0" t="n">
        <f aca="false">SUMPRODUCT(Risk_Inputs!B310:AJ310,Risk_Coefs!$B$3:$AJ$3)</f>
        <v>8.49828603037163</v>
      </c>
      <c r="G310" s="0" t="n">
        <f aca="false">MAX(0,F310)</f>
        <v>8.49828603037163</v>
      </c>
      <c r="H310" s="0" t="n">
        <f aca="false">(SUMPRODUCT(--ISNUMBER($E$2:$E$800),--($E$2:$E$800&lt;E310))+(SUMPRODUCT(--ISNUMBER($E$2:$E$800),--($E$2:$E$800=E310))+1)/2)/COUNT($E$2:$E$800)</f>
        <v>0.65081351689612</v>
      </c>
      <c r="I310" s="0" t="n">
        <f aca="false">(SUMPRODUCT(--ISNUMBER($G$2:$G$800),--($G$2:$G$800&lt;G310))+(SUMPRODUCT(--ISNUMBER($G$2:$G$800),--($G$2:$G$800=G310))+1)/2)/COUNT($G$2:$G$800)</f>
        <v>0.603254067584481</v>
      </c>
      <c r="J310" s="0" t="n">
        <v>13.0684639133474</v>
      </c>
      <c r="K310" s="0" t="n">
        <v>4.4073705179283</v>
      </c>
      <c r="L310" s="0" t="n">
        <v>0.124501992031873</v>
      </c>
      <c r="M310" s="0" t="n">
        <f aca="false">IF(OR(B310="NW",COUNT(Risk_Rank_Keys!B310)=0),0.5,(SUMPRODUCT(--ISNUMBER(Risk_Rank_Keys!$B$2:$B$800),--(Risk_Rank_Keys!$B$2:$B$800&lt;Risk_Rank_Keys!B310))+(SUMPRODUCT(--ISNUMBER(Risk_Rank_Keys!$B$2:$B$800),--(Risk_Rank_Keys!$B$2:$B$800=Risk_Rank_Keys!B310))+1)/2)/COUNT(Risk_Rank_Keys!$B$2:$B$800))</f>
        <v>0.644351464435147</v>
      </c>
      <c r="N310" s="0" t="n">
        <f aca="false">IF(OR(B310="NW",COUNT(Risk_Rank_Keys!C310)=0),0.5,(SUMPRODUCT(--ISNUMBER(Risk_Rank_Keys!$C$2:$C$800),--(Risk_Rank_Keys!$C$2:$C$800&lt;Risk_Rank_Keys!C310))+(SUMPRODUCT(--ISNUMBER(Risk_Rank_Keys!$C$2:$C$800),--(Risk_Rank_Keys!$C$2:$C$800=Risk_Rank_Keys!C310))+1)/2)/COUNT(Risk_Rank_Keys!$C$2:$C$800))</f>
        <v>0.638772663877266</v>
      </c>
      <c r="O310" s="0" t="n">
        <f aca="false">IF(OR(B310="NW",COUNT(Risk_Rank_Keys!D310)=0),0.5,(SUMPRODUCT(--ISNUMBER(Risk_Rank_Keys!$D$2:$D$800),--(Risk_Rank_Keys!$D$2:$D$800&lt;Risk_Rank_Keys!D310))+(SUMPRODUCT(--ISNUMBER(Risk_Rank_Keys!$D$2:$D$800),--(Risk_Rank_Keys!$D$2:$D$800=Risk_Rank_Keys!D310))+1)/2)/COUNT(Risk_Rank_Keys!$D$2:$D$800))</f>
        <v>0.0502092050209205</v>
      </c>
      <c r="P310" s="0" t="n">
        <f aca="false">AVERAGE(M310:O310)</f>
        <v>0.444444444444444</v>
      </c>
      <c r="Q310" s="0" t="n">
        <f aca="false">0.4*H310+0.4*I310+0.2*P310</f>
        <v>0.590515922681129</v>
      </c>
      <c r="R310" s="0" t="n">
        <f aca="false">PERCENTILE($Q$2:$Q$800,0.75)</f>
        <v>0.667715717403612</v>
      </c>
      <c r="S310" s="1" t="b">
        <f aca="false">OR(Q310&gt;=R310,AND(B310="CW",COUNT(J310:L310)&lt;3))</f>
        <v>0</v>
      </c>
      <c r="T310" s="0" t="n">
        <v>0.316858957893518</v>
      </c>
      <c r="U310" s="0" t="n">
        <v>8.49828603037163</v>
      </c>
      <c r="V310" s="0" t="n">
        <v>0.590515922681129</v>
      </c>
      <c r="W310" s="0" t="n">
        <f aca="false">Q310-V310</f>
        <v>0</v>
      </c>
    </row>
    <row r="311" customFormat="false" ht="15" hidden="false" customHeight="false" outlineLevel="0" collapsed="false">
      <c r="A311" s="0" t="s">
        <v>345</v>
      </c>
      <c r="B311" s="0" t="s">
        <v>3013</v>
      </c>
      <c r="C311" s="0" t="n">
        <v>29.2747806640842</v>
      </c>
      <c r="D311" s="0" t="n">
        <f aca="false">SUMPRODUCT(Risk_Inputs!B311:AJ311,Risk_Coefs!$B$2:$AJ$2)</f>
        <v>-0.853729623593925</v>
      </c>
      <c r="E311" s="0" t="n">
        <f aca="false">1/(1+EXP(-MAX(-25,MIN(25,D311))))</f>
        <v>0.298651069576963</v>
      </c>
      <c r="F311" s="0" t="n">
        <f aca="false">SUMPRODUCT(Risk_Inputs!B311:AJ311,Risk_Coefs!$B$3:$AJ$3)</f>
        <v>8.75683474133516</v>
      </c>
      <c r="G311" s="0" t="n">
        <f aca="false">MAX(0,F311)</f>
        <v>8.75683474133516</v>
      </c>
      <c r="H311" s="0" t="n">
        <f aca="false">(SUMPRODUCT(--ISNUMBER($E$2:$E$800),--($E$2:$E$800&lt;E311))+(SUMPRODUCT(--ISNUMBER($E$2:$E$800),--($E$2:$E$800=E311))+1)/2)/COUNT($E$2:$E$800)</f>
        <v>0.560700876095119</v>
      </c>
      <c r="I311" s="0" t="n">
        <f aca="false">(SUMPRODUCT(--ISNUMBER($G$2:$G$800),--($G$2:$G$800&lt;G311))+(SUMPRODUCT(--ISNUMBER($G$2:$G$800),--($G$2:$G$800=G311))+1)/2)/COUNT($G$2:$G$800)</f>
        <v>0.644555694618273</v>
      </c>
      <c r="J311" s="0" t="n">
        <v>6.70815576450304</v>
      </c>
      <c r="K311" s="0" t="n">
        <v>1.96548418024928</v>
      </c>
      <c r="L311" s="0" t="n">
        <v>0.287631831255996</v>
      </c>
      <c r="M311" s="0" t="n">
        <f aca="false">IF(OR(B311="NW",COUNT(Risk_Rank_Keys!B311)=0),0.5,(SUMPRODUCT(--ISNUMBER(Risk_Rank_Keys!$B$2:$B$800),--(Risk_Rank_Keys!$B$2:$B$800&lt;Risk_Rank_Keys!B311))+(SUMPRODUCT(--ISNUMBER(Risk_Rank_Keys!$B$2:$B$800),--(Risk_Rank_Keys!$B$2:$B$800=Risk_Rank_Keys!B311))+1)/2)/COUNT(Risk_Rank_Keys!$B$2:$B$800))</f>
        <v>0.291492329149233</v>
      </c>
      <c r="N311" s="0" t="n">
        <f aca="false">IF(OR(B311="NW",COUNT(Risk_Rank_Keys!C311)=0),0.5,(SUMPRODUCT(--ISNUMBER(Risk_Rank_Keys!$C$2:$C$800),--(Risk_Rank_Keys!$C$2:$C$800&lt;Risk_Rank_Keys!C311))+(SUMPRODUCT(--ISNUMBER(Risk_Rank_Keys!$C$2:$C$800),--(Risk_Rank_Keys!$C$2:$C$800=Risk_Rank_Keys!C311))+1)/2)/COUNT(Risk_Rank_Keys!$C$2:$C$800))</f>
        <v>0.260808926080893</v>
      </c>
      <c r="O311" s="0" t="n">
        <f aca="false">IF(OR(B311="NW",COUNT(Risk_Rank_Keys!D311)=0),0.5,(SUMPRODUCT(--ISNUMBER(Risk_Rank_Keys!$D$2:$D$800),--(Risk_Rank_Keys!$D$2:$D$800&lt;Risk_Rank_Keys!D311))+(SUMPRODUCT(--ISNUMBER(Risk_Rank_Keys!$D$2:$D$800),--(Risk_Rank_Keys!$D$2:$D$800=Risk_Rank_Keys!D311))+1)/2)/COUNT(Risk_Rank_Keys!$D$2:$D$800))</f>
        <v>0.721059972105997</v>
      </c>
      <c r="P311" s="0" t="n">
        <f aca="false">AVERAGE(M311:O311)</f>
        <v>0.424453742445374</v>
      </c>
      <c r="Q311" s="0" t="n">
        <f aca="false">0.4*H311+0.4*I311+0.2*P311</f>
        <v>0.566993376774432</v>
      </c>
      <c r="R311" s="0" t="n">
        <f aca="false">PERCENTILE($Q$2:$Q$800,0.75)</f>
        <v>0.667715717403612</v>
      </c>
      <c r="S311" s="1" t="b">
        <f aca="false">OR(Q311&gt;=R311,AND(B311="CW",COUNT(J311:L311)&lt;3))</f>
        <v>0</v>
      </c>
      <c r="T311" s="0" t="n">
        <v>0.298651069576963</v>
      </c>
      <c r="U311" s="0" t="n">
        <v>8.75683474133515</v>
      </c>
      <c r="V311" s="0" t="n">
        <v>0.566993376774432</v>
      </c>
      <c r="W311" s="0" t="n">
        <f aca="false">Q311-V311</f>
        <v>0</v>
      </c>
    </row>
    <row r="312" customFormat="false" ht="15" hidden="false" customHeight="false" outlineLevel="0" collapsed="false">
      <c r="A312" s="0" t="s">
        <v>346</v>
      </c>
      <c r="B312" s="0" t="s">
        <v>3013</v>
      </c>
      <c r="C312" s="0" t="n">
        <v>1.78548273430256</v>
      </c>
      <c r="D312" s="0" t="n">
        <f aca="false">SUMPRODUCT(Risk_Inputs!B312:AJ312,Risk_Coefs!$B$2:$AJ$2)</f>
        <v>-0.8787269883566</v>
      </c>
      <c r="E312" s="0" t="n">
        <f aca="false">1/(1+EXP(-MAX(-25,MIN(25,D312))))</f>
        <v>0.293441647632988</v>
      </c>
      <c r="F312" s="0" t="n">
        <f aca="false">SUMPRODUCT(Risk_Inputs!B312:AJ312,Risk_Coefs!$B$3:$AJ$3)</f>
        <v>8.08971567366635</v>
      </c>
      <c r="G312" s="0" t="n">
        <f aca="false">MAX(0,F312)</f>
        <v>8.08971567366635</v>
      </c>
      <c r="H312" s="0" t="n">
        <f aca="false">(SUMPRODUCT(--ISNUMBER($E$2:$E$800),--($E$2:$E$800&lt;E312))+(SUMPRODUCT(--ISNUMBER($E$2:$E$800),--($E$2:$E$800=E312))+1)/2)/COUNT($E$2:$E$800)</f>
        <v>0.543178973717146</v>
      </c>
      <c r="I312" s="0" t="n">
        <f aca="false">(SUMPRODUCT(--ISNUMBER($G$2:$G$800),--($G$2:$G$800&lt;G312))+(SUMPRODUCT(--ISNUMBER($G$2:$G$800),--($G$2:$G$800=G312))+1)/2)/COUNT($G$2:$G$800)</f>
        <v>0.553191489361702</v>
      </c>
      <c r="J312" s="0" t="n">
        <v>7.03804454076881</v>
      </c>
      <c r="K312" s="0" t="n">
        <v>2.39085239085239</v>
      </c>
      <c r="L312" s="0" t="n">
        <v>0.145530145530143</v>
      </c>
      <c r="M312" s="0" t="n">
        <f aca="false">IF(OR(B312="NW",COUNT(Risk_Rank_Keys!B312)=0),0.5,(SUMPRODUCT(--ISNUMBER(Risk_Rank_Keys!$B$2:$B$800),--(Risk_Rank_Keys!$B$2:$B$800&lt;Risk_Rank_Keys!B312))+(SUMPRODUCT(--ISNUMBER(Risk_Rank_Keys!$B$2:$B$800),--(Risk_Rank_Keys!$B$2:$B$800=Risk_Rank_Keys!B312))+1)/2)/COUNT(Risk_Rank_Keys!$B$2:$B$800))</f>
        <v>0.317991631799163</v>
      </c>
      <c r="N312" s="0" t="n">
        <f aca="false">IF(OR(B312="NW",COUNT(Risk_Rank_Keys!C312)=0),0.5,(SUMPRODUCT(--ISNUMBER(Risk_Rank_Keys!$C$2:$C$800),--(Risk_Rank_Keys!$C$2:$C$800&lt;Risk_Rank_Keys!C312))+(SUMPRODUCT(--ISNUMBER(Risk_Rank_Keys!$C$2:$C$800),--(Risk_Rank_Keys!$C$2:$C$800=Risk_Rank_Keys!C312))+1)/2)/COUNT(Risk_Rank_Keys!$C$2:$C$800))</f>
        <v>0.366806136680614</v>
      </c>
      <c r="O312" s="0" t="n">
        <f aca="false">IF(OR(B312="NW",COUNT(Risk_Rank_Keys!D312)=0),0.5,(SUMPRODUCT(--ISNUMBER(Risk_Rank_Keys!$D$2:$D$800),--(Risk_Rank_Keys!$D$2:$D$800&lt;Risk_Rank_Keys!D312))+(SUMPRODUCT(--ISNUMBER(Risk_Rank_Keys!$D$2:$D$800),--(Risk_Rank_Keys!$D$2:$D$800=Risk_Rank_Keys!D312))+1)/2)/COUNT(Risk_Rank_Keys!$D$2:$D$800))</f>
        <v>0.096234309623431</v>
      </c>
      <c r="P312" s="0" t="n">
        <f aca="false">AVERAGE(M312:O312)</f>
        <v>0.260344026034403</v>
      </c>
      <c r="Q312" s="0" t="n">
        <f aca="false">0.4*H312+0.4*I312+0.2*P312</f>
        <v>0.49061699043842</v>
      </c>
      <c r="R312" s="0" t="n">
        <f aca="false">PERCENTILE($Q$2:$Q$800,0.75)</f>
        <v>0.667715717403612</v>
      </c>
      <c r="S312" s="1" t="b">
        <f aca="false">OR(Q312&gt;=R312,AND(B312="CW",COUNT(J312:L312)&lt;3))</f>
        <v>0</v>
      </c>
      <c r="T312" s="0" t="n">
        <v>0.293441647632988</v>
      </c>
      <c r="U312" s="0" t="n">
        <v>8.08971567366635</v>
      </c>
      <c r="V312" s="0" t="n">
        <v>0.49061699043842</v>
      </c>
      <c r="W312" s="0" t="n">
        <f aca="false">Q312-V312</f>
        <v>0</v>
      </c>
    </row>
    <row r="313" customFormat="false" ht="15" hidden="false" customHeight="false" outlineLevel="0" collapsed="false">
      <c r="A313" s="0" t="s">
        <v>347</v>
      </c>
      <c r="B313" s="0" t="s">
        <v>3013</v>
      </c>
      <c r="C313" s="0" t="n">
        <v>2.62120774299866</v>
      </c>
      <c r="D313" s="0" t="n">
        <f aca="false">SUMPRODUCT(Risk_Inputs!B313:AJ313,Risk_Coefs!$B$2:$AJ$2)</f>
        <v>-1.20110786776788</v>
      </c>
      <c r="E313" s="0" t="n">
        <f aca="false">1/(1+EXP(-MAX(-25,MIN(25,D313))))</f>
        <v>0.231278191617179</v>
      </c>
      <c r="F313" s="0" t="n">
        <f aca="false">SUMPRODUCT(Risk_Inputs!B313:AJ313,Risk_Coefs!$B$3:$AJ$3)</f>
        <v>6.17461229464461</v>
      </c>
      <c r="G313" s="0" t="n">
        <f aca="false">MAX(0,F313)</f>
        <v>6.17461229464461</v>
      </c>
      <c r="H313" s="0" t="n">
        <f aca="false">(SUMPRODUCT(--ISNUMBER($E$2:$E$800),--($E$2:$E$800&lt;E313))+(SUMPRODUCT(--ISNUMBER($E$2:$E$800),--($E$2:$E$800=E313))+1)/2)/COUNT($E$2:$E$800)</f>
        <v>0.177722152690864</v>
      </c>
      <c r="I313" s="0" t="n">
        <f aca="false">(SUMPRODUCT(--ISNUMBER($G$2:$G$800),--($G$2:$G$800&lt;G313))+(SUMPRODUCT(--ISNUMBER($G$2:$G$800),--($G$2:$G$800=G313))+1)/2)/COUNT($G$2:$G$800)</f>
        <v>0.290362953692115</v>
      </c>
      <c r="J313" s="0" t="n">
        <v>6.26764508489014</v>
      </c>
      <c r="K313" s="0" t="n">
        <v>3.825</v>
      </c>
      <c r="L313" s="0" t="n">
        <v>0.274999999999999</v>
      </c>
      <c r="M313" s="0" t="n">
        <f aca="false">IF(OR(B313="NW",COUNT(Risk_Rank_Keys!B313)=0),0.5,(SUMPRODUCT(--ISNUMBER(Risk_Rank_Keys!$B$2:$B$800),--(Risk_Rank_Keys!$B$2:$B$800&lt;Risk_Rank_Keys!B313))+(SUMPRODUCT(--ISNUMBER(Risk_Rank_Keys!$B$2:$B$800),--(Risk_Rank_Keys!$B$2:$B$800=Risk_Rank_Keys!B313))+1)/2)/COUNT(Risk_Rank_Keys!$B$2:$B$800))</f>
        <v>0.246861924686192</v>
      </c>
      <c r="N313" s="0" t="n">
        <f aca="false">IF(OR(B313="NW",COUNT(Risk_Rank_Keys!C313)=0),0.5,(SUMPRODUCT(--ISNUMBER(Risk_Rank_Keys!$C$2:$C$800),--(Risk_Rank_Keys!$C$2:$C$800&lt;Risk_Rank_Keys!C313))+(SUMPRODUCT(--ISNUMBER(Risk_Rank_Keys!$C$2:$C$800),--(Risk_Rank_Keys!$C$2:$C$800=Risk_Rank_Keys!C313))+1)/2)/COUNT(Risk_Rank_Keys!$C$2:$C$800))</f>
        <v>0.571827057182706</v>
      </c>
      <c r="O313" s="0" t="n">
        <f aca="false">IF(OR(B313="NW",COUNT(Risk_Rank_Keys!D313)=0),0.5,(SUMPRODUCT(--ISNUMBER(Risk_Rank_Keys!$D$2:$D$800),--(Risk_Rank_Keys!$D$2:$D$800&lt;Risk_Rank_Keys!D313))+(SUMPRODUCT(--ISNUMBER(Risk_Rank_Keys!$D$2:$D$800),--(Risk_Rank_Keys!$D$2:$D$800=Risk_Rank_Keys!D313))+1)/2)/COUNT(Risk_Rank_Keys!$D$2:$D$800))</f>
        <v>0.677824267782427</v>
      </c>
      <c r="P313" s="0" t="n">
        <f aca="false">AVERAGE(M313:O313)</f>
        <v>0.498837749883775</v>
      </c>
      <c r="Q313" s="0" t="n">
        <f aca="false">0.4*H313+0.4*I313+0.2*P313</f>
        <v>0.287001592529947</v>
      </c>
      <c r="R313" s="0" t="n">
        <f aca="false">PERCENTILE($Q$2:$Q$800,0.75)</f>
        <v>0.667715717403612</v>
      </c>
      <c r="S313" s="1" t="b">
        <f aca="false">OR(Q313&gt;=R313,AND(B313="CW",COUNT(J313:L313)&lt;3))</f>
        <v>0</v>
      </c>
      <c r="T313" s="0" t="n">
        <v>0.231278191617179</v>
      </c>
      <c r="U313" s="0" t="n">
        <v>6.17461229464461</v>
      </c>
      <c r="V313" s="0" t="n">
        <v>0.287001592529947</v>
      </c>
      <c r="W313" s="0" t="n">
        <f aca="false">Q313-V313</f>
        <v>0</v>
      </c>
    </row>
    <row r="314" customFormat="false" ht="15" hidden="false" customHeight="false" outlineLevel="0" collapsed="false">
      <c r="A314" s="0" t="s">
        <v>348</v>
      </c>
      <c r="B314" s="0" t="s">
        <v>3013</v>
      </c>
      <c r="C314" s="0" t="n">
        <v>-37.1851462700736</v>
      </c>
      <c r="D314" s="0" t="n">
        <f aca="false">SUMPRODUCT(Risk_Inputs!B314:AJ314,Risk_Coefs!$B$2:$AJ$2)</f>
        <v>-0.590708733043955</v>
      </c>
      <c r="E314" s="0" t="n">
        <f aca="false">1/(1+EXP(-MAX(-25,MIN(25,D314))))</f>
        <v>0.356472254563474</v>
      </c>
      <c r="F314" s="0" t="n">
        <f aca="false">SUMPRODUCT(Risk_Inputs!B314:AJ314,Risk_Coefs!$B$3:$AJ$3)</f>
        <v>6.57236262057479</v>
      </c>
      <c r="G314" s="0" t="n">
        <f aca="false">MAX(0,F314)</f>
        <v>6.57236262057479</v>
      </c>
      <c r="H314" s="0" t="n">
        <f aca="false">(SUMPRODUCT(--ISNUMBER($E$2:$E$800),--($E$2:$E$800&lt;E314))+(SUMPRODUCT(--ISNUMBER($E$2:$E$800),--($E$2:$E$800=E314))+1)/2)/COUNT($E$2:$E$800)</f>
        <v>0.832290362953692</v>
      </c>
      <c r="I314" s="0" t="n">
        <f aca="false">(SUMPRODUCT(--ISNUMBER($G$2:$G$800),--($G$2:$G$800&lt;G314))+(SUMPRODUCT(--ISNUMBER($G$2:$G$800),--($G$2:$G$800=G314))+1)/2)/COUNT($G$2:$G$800)</f>
        <v>0.357947434292866</v>
      </c>
      <c r="J314" s="0" t="n">
        <v>6.28930817610063</v>
      </c>
      <c r="K314" s="0" t="n">
        <v>1.5778019586507</v>
      </c>
      <c r="L314" s="0" t="n">
        <v>0.163220892274202</v>
      </c>
      <c r="M314" s="0" t="n">
        <f aca="false">IF(OR(B314="NW",COUNT(Risk_Rank_Keys!B314)=0),0.5,(SUMPRODUCT(--ISNUMBER(Risk_Rank_Keys!$B$2:$B$800),--(Risk_Rank_Keys!$B$2:$B$800&lt;Risk_Rank_Keys!B314))+(SUMPRODUCT(--ISNUMBER(Risk_Rank_Keys!$B$2:$B$800),--(Risk_Rank_Keys!$B$2:$B$800=Risk_Rank_Keys!B314))+1)/2)/COUNT(Risk_Rank_Keys!$B$2:$B$800))</f>
        <v>0.248256624825663</v>
      </c>
      <c r="N314" s="0" t="n">
        <f aca="false">IF(OR(B314="NW",COUNT(Risk_Rank_Keys!C314)=0),0.5,(SUMPRODUCT(--ISNUMBER(Risk_Rank_Keys!$C$2:$C$800),--(Risk_Rank_Keys!$C$2:$C$800&lt;Risk_Rank_Keys!C314))+(SUMPRODUCT(--ISNUMBER(Risk_Rank_Keys!$C$2:$C$800),--(Risk_Rank_Keys!$C$2:$C$800=Risk_Rank_Keys!C314))+1)/2)/COUNT(Risk_Rank_Keys!$C$2:$C$800))</f>
        <v>0.150627615062762</v>
      </c>
      <c r="O314" s="0" t="n">
        <f aca="false">IF(OR(B314="NW",COUNT(Risk_Rank_Keys!D314)=0),0.5,(SUMPRODUCT(--ISNUMBER(Risk_Rank_Keys!$D$2:$D$800),--(Risk_Rank_Keys!$D$2:$D$800&lt;Risk_Rank_Keys!D314))+(SUMPRODUCT(--ISNUMBER(Risk_Rank_Keys!$D$2:$D$800),--(Risk_Rank_Keys!$D$2:$D$800=Risk_Rank_Keys!D314))+1)/2)/COUNT(Risk_Rank_Keys!$D$2:$D$800))</f>
        <v>0.147838214783821</v>
      </c>
      <c r="P314" s="0" t="n">
        <f aca="false">AVERAGE(M314:O314)</f>
        <v>0.182240818224082</v>
      </c>
      <c r="Q314" s="0" t="n">
        <f aca="false">0.4*H314+0.4*I314+0.2*P314</f>
        <v>0.51254328254344</v>
      </c>
      <c r="R314" s="0" t="n">
        <f aca="false">PERCENTILE($Q$2:$Q$800,0.75)</f>
        <v>0.667715717403612</v>
      </c>
      <c r="S314" s="1" t="b">
        <f aca="false">OR(Q314&gt;=R314,AND(B314="CW",COUNT(J314:L314)&lt;3))</f>
        <v>0</v>
      </c>
      <c r="T314" s="0" t="n">
        <v>0.356472254563474</v>
      </c>
      <c r="U314" s="0" t="n">
        <v>6.5723626205748</v>
      </c>
      <c r="V314" s="0" t="n">
        <v>0.51254328254344</v>
      </c>
      <c r="W314" s="0" t="n">
        <f aca="false">Q314-V314</f>
        <v>0</v>
      </c>
    </row>
    <row r="315" customFormat="false" ht="15" hidden="false" customHeight="false" outlineLevel="0" collapsed="false">
      <c r="A315" s="0" t="s">
        <v>349</v>
      </c>
      <c r="B315" s="0" t="s">
        <v>33</v>
      </c>
      <c r="C315" s="0" t="n">
        <v>-43.8809243216995</v>
      </c>
      <c r="D315" s="0" t="n">
        <f aca="false">SUMPRODUCT(Risk_Inputs!B315:AJ315,Risk_Coefs!$B$2:$AJ$2)</f>
        <v>-0.56315566815284</v>
      </c>
      <c r="E315" s="0" t="n">
        <f aca="false">1/(1+EXP(-MAX(-25,MIN(25,D315))))</f>
        <v>0.362817613875356</v>
      </c>
      <c r="F315" s="0" t="n">
        <f aca="false">SUMPRODUCT(Risk_Inputs!B315:AJ315,Risk_Coefs!$B$3:$AJ$3)</f>
        <v>11.0593876965001</v>
      </c>
      <c r="G315" s="0" t="n">
        <f aca="false">MAX(0,F315)</f>
        <v>11.0593876965001</v>
      </c>
      <c r="H315" s="0" t="n">
        <f aca="false">(SUMPRODUCT(--ISNUMBER($E$2:$E$800),--($E$2:$E$800&lt;E315))+(SUMPRODUCT(--ISNUMBER($E$2:$E$800),--($E$2:$E$800=E315))+1)/2)/COUNT($E$2:$E$800)</f>
        <v>0.851063829787234</v>
      </c>
      <c r="I315" s="0" t="n">
        <f aca="false">(SUMPRODUCT(--ISNUMBER($G$2:$G$800),--($G$2:$G$800&lt;G315))+(SUMPRODUCT(--ISNUMBER($G$2:$G$800),--($G$2:$G$800=G315))+1)/2)/COUNT($G$2:$G$800)</f>
        <v>0.886107634543179</v>
      </c>
      <c r="M315" s="0" t="n">
        <f aca="false">IF(OR(B315="NW",COUNT(Risk_Rank_Keys!B315)=0),0.5,(SUMPRODUCT(--ISNUMBER(Risk_Rank_Keys!$B$2:$B$800),--(Risk_Rank_Keys!$B$2:$B$800&lt;Risk_Rank_Keys!B315))+(SUMPRODUCT(--ISNUMBER(Risk_Rank_Keys!$B$2:$B$800),--(Risk_Rank_Keys!$B$2:$B$800=Risk_Rank_Keys!B315))+1)/2)/COUNT(Risk_Rank_Keys!$B$2:$B$800))</f>
        <v>0.5</v>
      </c>
      <c r="N315" s="0" t="n">
        <f aca="false">IF(OR(B315="NW",COUNT(Risk_Rank_Keys!C315)=0),0.5,(SUMPRODUCT(--ISNUMBER(Risk_Rank_Keys!$C$2:$C$800),--(Risk_Rank_Keys!$C$2:$C$800&lt;Risk_Rank_Keys!C315))+(SUMPRODUCT(--ISNUMBER(Risk_Rank_Keys!$C$2:$C$800),--(Risk_Rank_Keys!$C$2:$C$800=Risk_Rank_Keys!C315))+1)/2)/COUNT(Risk_Rank_Keys!$C$2:$C$800))</f>
        <v>0.5</v>
      </c>
      <c r="O315" s="0" t="n">
        <f aca="false">IF(OR(B315="NW",COUNT(Risk_Rank_Keys!D315)=0),0.5,(SUMPRODUCT(--ISNUMBER(Risk_Rank_Keys!$D$2:$D$800),--(Risk_Rank_Keys!$D$2:$D$800&lt;Risk_Rank_Keys!D315))+(SUMPRODUCT(--ISNUMBER(Risk_Rank_Keys!$D$2:$D$800),--(Risk_Rank_Keys!$D$2:$D$800=Risk_Rank_Keys!D315))+1)/2)/COUNT(Risk_Rank_Keys!$D$2:$D$800))</f>
        <v>0.5</v>
      </c>
      <c r="P315" s="0" t="n">
        <f aca="false">AVERAGE(M315:O315)</f>
        <v>0.5</v>
      </c>
      <c r="Q315" s="0" t="n">
        <f aca="false">0.4*H315+0.4*I315+0.2*P315</f>
        <v>0.794868585732165</v>
      </c>
      <c r="R315" s="0" t="n">
        <f aca="false">PERCENTILE($Q$2:$Q$800,0.75)</f>
        <v>0.667715717403612</v>
      </c>
      <c r="S315" s="1" t="b">
        <f aca="false">OR(Q315&gt;=R315,AND(B315="CW",COUNT(J315:L315)&lt;3))</f>
        <v>1</v>
      </c>
      <c r="T315" s="0" t="n">
        <v>0.362817613875356</v>
      </c>
      <c r="U315" s="0" t="n">
        <v>11.0593876965001</v>
      </c>
      <c r="V315" s="0" t="n">
        <v>0.794868585732165</v>
      </c>
      <c r="W315" s="0" t="n">
        <f aca="false">Q315-V315</f>
        <v>0</v>
      </c>
    </row>
    <row r="316" customFormat="false" ht="15" hidden="false" customHeight="false" outlineLevel="0" collapsed="false">
      <c r="A316" s="0" t="s">
        <v>350</v>
      </c>
      <c r="B316" s="0" t="s">
        <v>3013</v>
      </c>
      <c r="C316" s="0" t="n">
        <v>-34.9465998173876</v>
      </c>
      <c r="D316" s="0" t="n">
        <f aca="false">SUMPRODUCT(Risk_Inputs!B316:AJ316,Risk_Coefs!$B$2:$AJ$2)</f>
        <v>-0.554327906997391</v>
      </c>
      <c r="E316" s="0" t="n">
        <f aca="false">1/(1+EXP(-MAX(-25,MIN(25,D316))))</f>
        <v>0.364860885624807</v>
      </c>
      <c r="F316" s="0" t="n">
        <f aca="false">SUMPRODUCT(Risk_Inputs!B316:AJ316,Risk_Coefs!$B$3:$AJ$3)</f>
        <v>11.1267793941504</v>
      </c>
      <c r="G316" s="0" t="n">
        <f aca="false">MAX(0,F316)</f>
        <v>11.1267793941504</v>
      </c>
      <c r="H316" s="0" t="n">
        <f aca="false">(SUMPRODUCT(--ISNUMBER($E$2:$E$800),--($E$2:$E$800&lt;E316))+(SUMPRODUCT(--ISNUMBER($E$2:$E$800),--($E$2:$E$800=E316))+1)/2)/COUNT($E$2:$E$800)</f>
        <v>0.85982478097622</v>
      </c>
      <c r="I316" s="0" t="n">
        <f aca="false">(SUMPRODUCT(--ISNUMBER($G$2:$G$800),--($G$2:$G$800&lt;G316))+(SUMPRODUCT(--ISNUMBER($G$2:$G$800),--($G$2:$G$800=G316))+1)/2)/COUNT($G$2:$G$800)</f>
        <v>0.888610763454318</v>
      </c>
      <c r="J316" s="0" t="n">
        <v>23.6356741869361</v>
      </c>
      <c r="K316" s="0" t="n">
        <v>2.18665821581365</v>
      </c>
      <c r="L316" s="0" t="n">
        <v>0.126762795119634</v>
      </c>
      <c r="M316" s="0" t="n">
        <f aca="false">IF(OR(B316="NW",COUNT(Risk_Rank_Keys!B316)=0),0.5,(SUMPRODUCT(--ISNUMBER(Risk_Rank_Keys!$B$2:$B$800),--(Risk_Rank_Keys!$B$2:$B$800&lt;Risk_Rank_Keys!B316))+(SUMPRODUCT(--ISNUMBER(Risk_Rank_Keys!$B$2:$B$800),--(Risk_Rank_Keys!$B$2:$B$800=Risk_Rank_Keys!B316))+1)/2)/COUNT(Risk_Rank_Keys!$B$2:$B$800))</f>
        <v>0.842398884239888</v>
      </c>
      <c r="N316" s="0" t="n">
        <f aca="false">IF(OR(B316="NW",COUNT(Risk_Rank_Keys!C316)=0),0.5,(SUMPRODUCT(--ISNUMBER(Risk_Rank_Keys!$C$2:$C$800),--(Risk_Rank_Keys!$C$2:$C$800&lt;Risk_Rank_Keys!C316))+(SUMPRODUCT(--ISNUMBER(Risk_Rank_Keys!$C$2:$C$800),--(Risk_Rank_Keys!$C$2:$C$800=Risk_Rank_Keys!C316))+1)/2)/COUNT(Risk_Rank_Keys!$C$2:$C$800))</f>
        <v>0.312412831241283</v>
      </c>
      <c r="O316" s="0" t="n">
        <f aca="false">IF(OR(B316="NW",COUNT(Risk_Rank_Keys!D316)=0),0.5,(SUMPRODUCT(--ISNUMBER(Risk_Rank_Keys!$D$2:$D$800),--(Risk_Rank_Keys!$D$2:$D$800&lt;Risk_Rank_Keys!D316))+(SUMPRODUCT(--ISNUMBER(Risk_Rank_Keys!$D$2:$D$800),--(Risk_Rank_Keys!$D$2:$D$800=Risk_Rank_Keys!D316))+1)/2)/COUNT(Risk_Rank_Keys!$D$2:$D$800))</f>
        <v>0.0571827057182706</v>
      </c>
      <c r="P316" s="0" t="n">
        <f aca="false">AVERAGE(M316:O316)</f>
        <v>0.403998140399814</v>
      </c>
      <c r="Q316" s="0" t="n">
        <f aca="false">0.4*H316+0.4*I316+0.2*P316</f>
        <v>0.780173845852178</v>
      </c>
      <c r="R316" s="0" t="n">
        <f aca="false">PERCENTILE($Q$2:$Q$800,0.75)</f>
        <v>0.667715717403612</v>
      </c>
      <c r="S316" s="1" t="b">
        <f aca="false">OR(Q316&gt;=R316,AND(B316="CW",COUNT(J316:L316)&lt;3))</f>
        <v>1</v>
      </c>
      <c r="T316" s="0" t="n">
        <v>0.364860885624808</v>
      </c>
      <c r="U316" s="0" t="n">
        <v>11.1267793941504</v>
      </c>
      <c r="V316" s="0" t="n">
        <v>0.780173845852178</v>
      </c>
      <c r="W316" s="0" t="n">
        <f aca="false">Q316-V316</f>
        <v>0</v>
      </c>
    </row>
    <row r="317" customFormat="false" ht="15" hidden="false" customHeight="false" outlineLevel="0" collapsed="false">
      <c r="A317" s="0" t="s">
        <v>351</v>
      </c>
      <c r="B317" s="0" t="s">
        <v>3013</v>
      </c>
      <c r="C317" s="0" t="n">
        <v>9.81210547727392</v>
      </c>
      <c r="D317" s="0" t="n">
        <f aca="false">SUMPRODUCT(Risk_Inputs!B317:AJ317,Risk_Coefs!$B$2:$AJ$2)</f>
        <v>-1.25918182752834</v>
      </c>
      <c r="E317" s="0" t="n">
        <f aca="false">1/(1+EXP(-MAX(-25,MIN(25,D317))))</f>
        <v>0.221114768207856</v>
      </c>
      <c r="F317" s="0" t="n">
        <f aca="false">SUMPRODUCT(Risk_Inputs!B317:AJ317,Risk_Coefs!$B$3:$AJ$3)</f>
        <v>5.70943730643555</v>
      </c>
      <c r="G317" s="0" t="n">
        <f aca="false">MAX(0,F317)</f>
        <v>5.70943730643555</v>
      </c>
      <c r="H317" s="0" t="n">
        <f aca="false">(SUMPRODUCT(--ISNUMBER($E$2:$E$800),--($E$2:$E$800&lt;E317))+(SUMPRODUCT(--ISNUMBER($E$2:$E$800),--($E$2:$E$800=E317))+1)/2)/COUNT($E$2:$E$800)</f>
        <v>0.146433041301627</v>
      </c>
      <c r="I317" s="0" t="n">
        <f aca="false">(SUMPRODUCT(--ISNUMBER($G$2:$G$800),--($G$2:$G$800&lt;G317))+(SUMPRODUCT(--ISNUMBER($G$2:$G$800),--($G$2:$G$800=G317))+1)/2)/COUNT($G$2:$G$800)</f>
        <v>0.226533166458073</v>
      </c>
      <c r="J317" s="0" t="n">
        <v>11.105456856003</v>
      </c>
      <c r="K317" s="0" t="n">
        <v>4.27807486631016</v>
      </c>
      <c r="L317" s="0" t="n">
        <v>0.226244343891407</v>
      </c>
      <c r="M317" s="0" t="n">
        <f aca="false">IF(OR(B317="NW",COUNT(Risk_Rank_Keys!B317)=0),0.5,(SUMPRODUCT(--ISNUMBER(Risk_Rank_Keys!$B$2:$B$800),--(Risk_Rank_Keys!$B$2:$B$800&lt;Risk_Rank_Keys!B317))+(SUMPRODUCT(--ISNUMBER(Risk_Rank_Keys!$B$2:$B$800),--(Risk_Rank_Keys!$B$2:$B$800=Risk_Rank_Keys!B317))+1)/2)/COUNT(Risk_Rank_Keys!$B$2:$B$800))</f>
        <v>0.546722454672246</v>
      </c>
      <c r="N317" s="0" t="n">
        <f aca="false">IF(OR(B317="NW",COUNT(Risk_Rank_Keys!C317)=0),0.5,(SUMPRODUCT(--ISNUMBER(Risk_Rank_Keys!$C$2:$C$800),--(Risk_Rank_Keys!$C$2:$C$800&lt;Risk_Rank_Keys!C317))+(SUMPRODUCT(--ISNUMBER(Risk_Rank_Keys!$C$2:$C$800),--(Risk_Rank_Keys!$C$2:$C$800=Risk_Rank_Keys!C317))+1)/2)/COUNT(Risk_Rank_Keys!$C$2:$C$800))</f>
        <v>0.630404463040446</v>
      </c>
      <c r="O317" s="0" t="n">
        <f aca="false">IF(OR(B317="NW",COUNT(Risk_Rank_Keys!D317)=0),0.5,(SUMPRODUCT(--ISNUMBER(Risk_Rank_Keys!$D$2:$D$800),--(Risk_Rank_Keys!$D$2:$D$800&lt;Risk_Rank_Keys!D317))+(SUMPRODUCT(--ISNUMBER(Risk_Rank_Keys!$D$2:$D$800),--(Risk_Rank_Keys!$D$2:$D$800=Risk_Rank_Keys!D317))+1)/2)/COUNT(Risk_Rank_Keys!$D$2:$D$800))</f>
        <v>0.475592747559275</v>
      </c>
      <c r="P317" s="0" t="n">
        <f aca="false">AVERAGE(M317:O317)</f>
        <v>0.550906555090655</v>
      </c>
      <c r="Q317" s="0" t="n">
        <f aca="false">0.4*H317+0.4*I317+0.2*P317</f>
        <v>0.259367794122011</v>
      </c>
      <c r="R317" s="0" t="n">
        <f aca="false">PERCENTILE($Q$2:$Q$800,0.75)</f>
        <v>0.667715717403612</v>
      </c>
      <c r="S317" s="1" t="b">
        <f aca="false">OR(Q317&gt;=R317,AND(B317="CW",COUNT(J317:L317)&lt;3))</f>
        <v>0</v>
      </c>
      <c r="T317" s="0" t="n">
        <v>0.221114768207856</v>
      </c>
      <c r="U317" s="0" t="n">
        <v>5.70943730643555</v>
      </c>
      <c r="V317" s="0" t="n">
        <v>0.259367794122011</v>
      </c>
      <c r="W317" s="0" t="n">
        <f aca="false">Q317-V317</f>
        <v>0</v>
      </c>
    </row>
    <row r="318" customFormat="false" ht="15" hidden="false" customHeight="false" outlineLevel="0" collapsed="false">
      <c r="A318" s="0" t="s">
        <v>352</v>
      </c>
      <c r="B318" s="0" t="s">
        <v>3013</v>
      </c>
      <c r="C318" s="0" t="n">
        <v>-38.1653230944469</v>
      </c>
      <c r="D318" s="0" t="n">
        <f aca="false">SUMPRODUCT(Risk_Inputs!B318:AJ318,Risk_Coefs!$B$2:$AJ$2)</f>
        <v>-1.57555696495065</v>
      </c>
      <c r="E318" s="0" t="n">
        <f aca="false">1/(1+EXP(-MAX(-25,MIN(25,D318))))</f>
        <v>0.1714256448121</v>
      </c>
      <c r="F318" s="0" t="n">
        <f aca="false">SUMPRODUCT(Risk_Inputs!B318:AJ318,Risk_Coefs!$B$3:$AJ$3)</f>
        <v>4.42342182194585</v>
      </c>
      <c r="G318" s="0" t="n">
        <f aca="false">MAX(0,F318)</f>
        <v>4.42342182194585</v>
      </c>
      <c r="H318" s="0" t="n">
        <f aca="false">(SUMPRODUCT(--ISNUMBER($E$2:$E$800),--($E$2:$E$800&lt;E318))+(SUMPRODUCT(--ISNUMBER($E$2:$E$800),--($E$2:$E$800=E318))+1)/2)/COUNT($E$2:$E$800)</f>
        <v>0.0438047559449312</v>
      </c>
      <c r="I318" s="0" t="n">
        <f aca="false">(SUMPRODUCT(--ISNUMBER($G$2:$G$800),--($G$2:$G$800&lt;G318))+(SUMPRODUCT(--ISNUMBER($G$2:$G$800),--($G$2:$G$800=G318))+1)/2)/COUNT($G$2:$G$800)</f>
        <v>0.081351689612015</v>
      </c>
      <c r="J318" s="0" t="n">
        <v>43.8206439558664</v>
      </c>
      <c r="K318" s="0" t="n">
        <v>11.6681260945709</v>
      </c>
      <c r="L318" s="0" t="n">
        <v>0.284588441331001</v>
      </c>
      <c r="M318" s="0" t="n">
        <f aca="false">IF(OR(B318="NW",COUNT(Risk_Rank_Keys!B318)=0),0.5,(SUMPRODUCT(--ISNUMBER(Risk_Rank_Keys!$B$2:$B$800),--(Risk_Rank_Keys!$B$2:$B$800&lt;Risk_Rank_Keys!B318))+(SUMPRODUCT(--ISNUMBER(Risk_Rank_Keys!$B$2:$B$800),--(Risk_Rank_Keys!$B$2:$B$800=Risk_Rank_Keys!B318))+1)/2)/COUNT(Risk_Rank_Keys!$B$2:$B$800))</f>
        <v>0.96513249651325</v>
      </c>
      <c r="N318" s="0" t="n">
        <f aca="false">IF(OR(B318="NW",COUNT(Risk_Rank_Keys!C318)=0),0.5,(SUMPRODUCT(--ISNUMBER(Risk_Rank_Keys!$C$2:$C$800),--(Risk_Rank_Keys!$C$2:$C$800&lt;Risk_Rank_Keys!C318))+(SUMPRODUCT(--ISNUMBER(Risk_Rank_Keys!$C$2:$C$800),--(Risk_Rank_Keys!$C$2:$C$800=Risk_Rank_Keys!C318))+1)/2)/COUNT(Risk_Rank_Keys!$C$2:$C$800))</f>
        <v>0.900976290097629</v>
      </c>
      <c r="O318" s="0" t="n">
        <f aca="false">IF(OR(B318="NW",COUNT(Risk_Rank_Keys!D318)=0),0.5,(SUMPRODUCT(--ISNUMBER(Risk_Rank_Keys!$D$2:$D$800),--(Risk_Rank_Keys!$D$2:$D$800&lt;Risk_Rank_Keys!D318))+(SUMPRODUCT(--ISNUMBER(Risk_Rank_Keys!$D$2:$D$800),--(Risk_Rank_Keys!$D$2:$D$800=Risk_Rank_Keys!D318))+1)/2)/COUNT(Risk_Rank_Keys!$D$2:$D$800))</f>
        <v>0.709902370990237</v>
      </c>
      <c r="P318" s="0" t="n">
        <f aca="false">AVERAGE(M318:O318)</f>
        <v>0.858670385867039</v>
      </c>
      <c r="Q318" s="0" t="n">
        <f aca="false">0.4*H318+0.4*I318+0.2*P318</f>
        <v>0.221796655396186</v>
      </c>
      <c r="R318" s="0" t="n">
        <f aca="false">PERCENTILE($Q$2:$Q$800,0.75)</f>
        <v>0.667715717403612</v>
      </c>
      <c r="S318" s="1" t="b">
        <f aca="false">OR(Q318&gt;=R318,AND(B318="CW",COUNT(J318:L318)&lt;3))</f>
        <v>0</v>
      </c>
      <c r="T318" s="0" t="n">
        <v>0.1714256448121</v>
      </c>
      <c r="U318" s="0" t="n">
        <v>4.42342182194585</v>
      </c>
      <c r="V318" s="0" t="n">
        <v>0.221796655396186</v>
      </c>
      <c r="W318" s="0" t="n">
        <f aca="false">Q318-V318</f>
        <v>0</v>
      </c>
    </row>
    <row r="319" customFormat="false" ht="15" hidden="false" customHeight="false" outlineLevel="0" collapsed="false">
      <c r="A319" s="0" t="s">
        <v>353</v>
      </c>
      <c r="B319" s="0" t="s">
        <v>3013</v>
      </c>
      <c r="C319" s="0" t="n">
        <v>80.6250202764066</v>
      </c>
      <c r="D319" s="0" t="n">
        <f aca="false">SUMPRODUCT(Risk_Inputs!B319:AJ319,Risk_Coefs!$B$2:$AJ$2)</f>
        <v>-1.46769906984758</v>
      </c>
      <c r="E319" s="0" t="n">
        <f aca="false">1/(1+EXP(-MAX(-25,MIN(25,D319))))</f>
        <v>0.187292595960382</v>
      </c>
      <c r="F319" s="0" t="n">
        <f aca="false">SUMPRODUCT(Risk_Inputs!B319:AJ319,Risk_Coefs!$B$3:$AJ$3)</f>
        <v>6.13567337476515</v>
      </c>
      <c r="G319" s="0" t="n">
        <f aca="false">MAX(0,F319)</f>
        <v>6.13567337476515</v>
      </c>
      <c r="H319" s="0" t="n">
        <f aca="false">(SUMPRODUCT(--ISNUMBER($E$2:$E$800),--($E$2:$E$800&lt;E319))+(SUMPRODUCT(--ISNUMBER($E$2:$E$800),--($E$2:$E$800=E319))+1)/2)/COUNT($E$2:$E$800)</f>
        <v>0.0801001251564456</v>
      </c>
      <c r="I319" s="0" t="n">
        <f aca="false">(SUMPRODUCT(--ISNUMBER($G$2:$G$800),--($G$2:$G$800&lt;G319))+(SUMPRODUCT(--ISNUMBER($G$2:$G$800),--($G$2:$G$800=G319))+1)/2)/COUNT($G$2:$G$800)</f>
        <v>0.284105131414268</v>
      </c>
      <c r="J319" s="0" t="n">
        <v>15.5681966413513</v>
      </c>
      <c r="K319" s="0" t="n">
        <v>23.0023501762632</v>
      </c>
      <c r="L319" s="0" t="n">
        <v>0.352526439482966</v>
      </c>
      <c r="M319" s="0" t="n">
        <f aca="false">IF(OR(B319="NW",COUNT(Risk_Rank_Keys!B319)=0),0.5,(SUMPRODUCT(--ISNUMBER(Risk_Rank_Keys!$B$2:$B$800),--(Risk_Rank_Keys!$B$2:$B$800&lt;Risk_Rank_Keys!B319))+(SUMPRODUCT(--ISNUMBER(Risk_Rank_Keys!$B$2:$B$800),--(Risk_Rank_Keys!$B$2:$B$800=Risk_Rank_Keys!B319))+1)/2)/COUNT(Risk_Rank_Keys!$B$2:$B$800))</f>
        <v>0.721059972105997</v>
      </c>
      <c r="N319" s="0" t="n">
        <f aca="false">IF(OR(B319="NW",COUNT(Risk_Rank_Keys!C319)=0),0.5,(SUMPRODUCT(--ISNUMBER(Risk_Rank_Keys!$C$2:$C$800),--(Risk_Rank_Keys!$C$2:$C$800&lt;Risk_Rank_Keys!C319))+(SUMPRODUCT(--ISNUMBER(Risk_Rank_Keys!$C$2:$C$800),--(Risk_Rank_Keys!$C$2:$C$800=Risk_Rank_Keys!C319))+1)/2)/COUNT(Risk_Rank_Keys!$C$2:$C$800))</f>
        <v>0.97350069735007</v>
      </c>
      <c r="O319" s="0" t="n">
        <f aca="false">IF(OR(B319="NW",COUNT(Risk_Rank_Keys!D319)=0),0.5,(SUMPRODUCT(--ISNUMBER(Risk_Rank_Keys!$D$2:$D$800),--(Risk_Rank_Keys!$D$2:$D$800&lt;Risk_Rank_Keys!D319))+(SUMPRODUCT(--ISNUMBER(Risk_Rank_Keys!$D$2:$D$800),--(Risk_Rank_Keys!$D$2:$D$800=Risk_Rank_Keys!D319))+1)/2)/COUNT(Risk_Rank_Keys!$D$2:$D$800))</f>
        <v>0.835425383542538</v>
      </c>
      <c r="P319" s="0" t="n">
        <f aca="false">AVERAGE(M319:O319)</f>
        <v>0.843328684332869</v>
      </c>
      <c r="Q319" s="0" t="n">
        <f aca="false">0.4*H319+0.4*I319+0.2*P319</f>
        <v>0.314347839494859</v>
      </c>
      <c r="R319" s="0" t="n">
        <f aca="false">PERCENTILE($Q$2:$Q$800,0.75)</f>
        <v>0.667715717403612</v>
      </c>
      <c r="S319" s="1" t="b">
        <f aca="false">OR(Q319&gt;=R319,AND(B319="CW",COUNT(J319:L319)&lt;3))</f>
        <v>0</v>
      </c>
      <c r="T319" s="0" t="n">
        <v>0.187292595960382</v>
      </c>
      <c r="U319" s="0" t="n">
        <v>6.13567337476516</v>
      </c>
      <c r="V319" s="0" t="n">
        <v>0.314347839494859</v>
      </c>
      <c r="W319" s="0" t="n">
        <f aca="false">Q319-V319</f>
        <v>0</v>
      </c>
    </row>
    <row r="320" customFormat="false" ht="15" hidden="false" customHeight="false" outlineLevel="0" collapsed="false">
      <c r="A320" s="0" t="s">
        <v>354</v>
      </c>
      <c r="B320" s="0" t="s">
        <v>3013</v>
      </c>
      <c r="C320" s="0" t="n">
        <v>35.4107513376115</v>
      </c>
      <c r="D320" s="0" t="n">
        <f aca="false">SUMPRODUCT(Risk_Inputs!B320:AJ320,Risk_Coefs!$B$2:$AJ$2)</f>
        <v>-0.481886307289855</v>
      </c>
      <c r="E320" s="0" t="n">
        <f aca="false">1/(1+EXP(-MAX(-25,MIN(25,D320))))</f>
        <v>0.381806800275263</v>
      </c>
      <c r="F320" s="0" t="n">
        <f aca="false">SUMPRODUCT(Risk_Inputs!B320:AJ320,Risk_Coefs!$B$3:$AJ$3)</f>
        <v>7.99051498904375</v>
      </c>
      <c r="G320" s="0" t="n">
        <f aca="false">MAX(0,F320)</f>
        <v>7.99051498904375</v>
      </c>
      <c r="H320" s="0" t="n">
        <f aca="false">(SUMPRODUCT(--ISNUMBER($E$2:$E$800),--($E$2:$E$800&lt;E320))+(SUMPRODUCT(--ISNUMBER($E$2:$E$800),--($E$2:$E$800=E320))+1)/2)/COUNT($E$2:$E$800)</f>
        <v>0.90613266583229</v>
      </c>
      <c r="I320" s="0" t="n">
        <f aca="false">(SUMPRODUCT(--ISNUMBER($G$2:$G$800),--($G$2:$G$800&lt;G320))+(SUMPRODUCT(--ISNUMBER($G$2:$G$800),--($G$2:$G$800=G320))+1)/2)/COUNT($G$2:$G$800)</f>
        <v>0.541927409261577</v>
      </c>
      <c r="J320" s="0" t="n">
        <v>9.66189215460365</v>
      </c>
      <c r="K320" s="0" t="n">
        <v>1.56983568075116</v>
      </c>
      <c r="L320" s="0" t="n">
        <v>0.146713615023474</v>
      </c>
      <c r="M320" s="0" t="n">
        <f aca="false">IF(OR(B320="NW",COUNT(Risk_Rank_Keys!B320)=0),0.5,(SUMPRODUCT(--ISNUMBER(Risk_Rank_Keys!$B$2:$B$800),--(Risk_Rank_Keys!$B$2:$B$800&lt;Risk_Rank_Keys!B320))+(SUMPRODUCT(--ISNUMBER(Risk_Rank_Keys!$B$2:$B$800),--(Risk_Rank_Keys!$B$2:$B$800=Risk_Rank_Keys!B320))+1)/2)/COUNT(Risk_Rank_Keys!$B$2:$B$800))</f>
        <v>0.486750348675035</v>
      </c>
      <c r="N320" s="0" t="n">
        <f aca="false">IF(OR(B320="NW",COUNT(Risk_Rank_Keys!C320)=0),0.5,(SUMPRODUCT(--ISNUMBER(Risk_Rank_Keys!$C$2:$C$800),--(Risk_Rank_Keys!$C$2:$C$800&lt;Risk_Rank_Keys!C320))+(SUMPRODUCT(--ISNUMBER(Risk_Rank_Keys!$C$2:$C$800),--(Risk_Rank_Keys!$C$2:$C$800=Risk_Rank_Keys!C320))+1)/2)/COUNT(Risk_Rank_Keys!$C$2:$C$800))</f>
        <v>0.149232914923292</v>
      </c>
      <c r="O320" s="0" t="n">
        <f aca="false">IF(OR(B320="NW",COUNT(Risk_Rank_Keys!D320)=0),0.5,(SUMPRODUCT(--ISNUMBER(Risk_Rank_Keys!$D$2:$D$800),--(Risk_Rank_Keys!$D$2:$D$800&lt;Risk_Rank_Keys!D320))+(SUMPRODUCT(--ISNUMBER(Risk_Rank_Keys!$D$2:$D$800),--(Risk_Rank_Keys!$D$2:$D$800=Risk_Rank_Keys!D320))+1)/2)/COUNT(Risk_Rank_Keys!$D$2:$D$800))</f>
        <v>0.099023709902371</v>
      </c>
      <c r="P320" s="0" t="n">
        <f aca="false">AVERAGE(M320:O320)</f>
        <v>0.245002324500232</v>
      </c>
      <c r="Q320" s="0" t="n">
        <f aca="false">0.4*H320+0.4*I320+0.2*P320</f>
        <v>0.628224494937594</v>
      </c>
      <c r="R320" s="0" t="n">
        <f aca="false">PERCENTILE($Q$2:$Q$800,0.75)</f>
        <v>0.667715717403612</v>
      </c>
      <c r="S320" s="1" t="b">
        <f aca="false">OR(Q320&gt;=R320,AND(B320="CW",COUNT(J320:L320)&lt;3))</f>
        <v>0</v>
      </c>
      <c r="T320" s="0" t="n">
        <v>0.381806800275263</v>
      </c>
      <c r="U320" s="0" t="n">
        <v>7.99051498904375</v>
      </c>
      <c r="V320" s="0" t="n">
        <v>0.628224494937594</v>
      </c>
      <c r="W320" s="0" t="n">
        <f aca="false">Q320-V320</f>
        <v>0</v>
      </c>
    </row>
    <row r="321" customFormat="false" ht="15" hidden="false" customHeight="false" outlineLevel="0" collapsed="false">
      <c r="A321" s="0" t="s">
        <v>355</v>
      </c>
      <c r="B321" s="0" t="s">
        <v>3013</v>
      </c>
      <c r="C321" s="0" t="n">
        <v>15.9394984567512</v>
      </c>
      <c r="D321" s="0" t="n">
        <f aca="false">SUMPRODUCT(Risk_Inputs!B321:AJ321,Risk_Coefs!$B$2:$AJ$2)</f>
        <v>-0.559818976769385</v>
      </c>
      <c r="E321" s="0" t="n">
        <f aca="false">1/(1+EXP(-MAX(-25,MIN(25,D321))))</f>
        <v>0.363589346035542</v>
      </c>
      <c r="F321" s="0" t="n">
        <f aca="false">SUMPRODUCT(Risk_Inputs!B321:AJ321,Risk_Coefs!$B$3:$AJ$3)</f>
        <v>9.83959006680434</v>
      </c>
      <c r="G321" s="0" t="n">
        <f aca="false">MAX(0,F321)</f>
        <v>9.83959006680434</v>
      </c>
      <c r="H321" s="0" t="n">
        <f aca="false">(SUMPRODUCT(--ISNUMBER($E$2:$E$800),--($E$2:$E$800&lt;E321))+(SUMPRODUCT(--ISNUMBER($E$2:$E$800),--($E$2:$E$800=E321))+1)/2)/COUNT($E$2:$E$800)</f>
        <v>0.853566958698373</v>
      </c>
      <c r="I321" s="0" t="n">
        <f aca="false">(SUMPRODUCT(--ISNUMBER($G$2:$G$800),--($G$2:$G$800&lt;G321))+(SUMPRODUCT(--ISNUMBER($G$2:$G$800),--($G$2:$G$800=G321))+1)/2)/COUNT($G$2:$G$800)</f>
        <v>0.772215269086358</v>
      </c>
      <c r="J321" s="0" t="n">
        <v>3.29517404109093</v>
      </c>
      <c r="K321" s="0" t="n">
        <v>1.06040522628291</v>
      </c>
      <c r="L321" s="0" t="n">
        <v>0.208293883734146</v>
      </c>
      <c r="M321" s="0" t="n">
        <f aca="false">IF(OR(B321="NW",COUNT(Risk_Rank_Keys!B321)=0),0.5,(SUMPRODUCT(--ISNUMBER(Risk_Rank_Keys!$B$2:$B$800),--(Risk_Rank_Keys!$B$2:$B$800&lt;Risk_Rank_Keys!B321))+(SUMPRODUCT(--ISNUMBER(Risk_Rank_Keys!$B$2:$B$800),--(Risk_Rank_Keys!$B$2:$B$800=Risk_Rank_Keys!B321))+1)/2)/COUNT(Risk_Rank_Keys!$B$2:$B$800))</f>
        <v>0.0348675034867504</v>
      </c>
      <c r="N321" s="0" t="n">
        <f aca="false">IF(OR(B321="NW",COUNT(Risk_Rank_Keys!C321)=0),0.5,(SUMPRODUCT(--ISNUMBER(Risk_Rank_Keys!$C$2:$C$800),--(Risk_Rank_Keys!$C$2:$C$800&lt;Risk_Rank_Keys!C321))+(SUMPRODUCT(--ISNUMBER(Risk_Rank_Keys!$C$2:$C$800),--(Risk_Rank_Keys!$C$2:$C$800=Risk_Rank_Keys!C321))+1)/2)/COUNT(Risk_Rank_Keys!$C$2:$C$800))</f>
        <v>0.0362622036262204</v>
      </c>
      <c r="O321" s="0" t="n">
        <f aca="false">IF(OR(B321="NW",COUNT(Risk_Rank_Keys!D321)=0),0.5,(SUMPRODUCT(--ISNUMBER(Risk_Rank_Keys!$D$2:$D$800),--(Risk_Rank_Keys!$D$2:$D$800&lt;Risk_Rank_Keys!D321))+(SUMPRODUCT(--ISNUMBER(Risk_Rank_Keys!$D$2:$D$800),--(Risk_Rank_Keys!$D$2:$D$800=Risk_Rank_Keys!D321))+1)/2)/COUNT(Risk_Rank_Keys!$D$2:$D$800))</f>
        <v>0.364016736401674</v>
      </c>
      <c r="P321" s="0" t="n">
        <f aca="false">AVERAGE(M321:O321)</f>
        <v>0.145048814504881</v>
      </c>
      <c r="Q321" s="0" t="n">
        <f aca="false">0.4*H321+0.4*I321+0.2*P321</f>
        <v>0.679322654014869</v>
      </c>
      <c r="R321" s="0" t="n">
        <f aca="false">PERCENTILE($Q$2:$Q$800,0.75)</f>
        <v>0.667715717403612</v>
      </c>
      <c r="S321" s="1" t="b">
        <f aca="false">OR(Q321&gt;=R321,AND(B321="CW",COUNT(J321:L321)&lt;3))</f>
        <v>1</v>
      </c>
      <c r="T321" s="0" t="n">
        <v>0.363589346035542</v>
      </c>
      <c r="U321" s="0" t="n">
        <v>9.83959006680433</v>
      </c>
      <c r="V321" s="0" t="n">
        <v>0.679322654014869</v>
      </c>
      <c r="W321" s="0" t="n">
        <f aca="false">Q321-V321</f>
        <v>0</v>
      </c>
    </row>
    <row r="322" customFormat="false" ht="15" hidden="false" customHeight="false" outlineLevel="0" collapsed="false">
      <c r="A322" s="0" t="s">
        <v>356</v>
      </c>
      <c r="B322" s="0" t="s">
        <v>3013</v>
      </c>
      <c r="C322" s="0" t="n">
        <v>54.2947603287716</v>
      </c>
      <c r="D322" s="0" t="n">
        <f aca="false">SUMPRODUCT(Risk_Inputs!B322:AJ322,Risk_Coefs!$B$2:$AJ$2)</f>
        <v>-1.16524185982536</v>
      </c>
      <c r="E322" s="0" t="n">
        <f aca="false">1/(1+EXP(-MAX(-25,MIN(25,D322))))</f>
        <v>0.237716117059518</v>
      </c>
      <c r="F322" s="0" t="n">
        <f aca="false">SUMPRODUCT(Risk_Inputs!B322:AJ322,Risk_Coefs!$B$3:$AJ$3)</f>
        <v>6.00639856036554</v>
      </c>
      <c r="G322" s="0" t="n">
        <f aca="false">MAX(0,F322)</f>
        <v>6.00639856036554</v>
      </c>
      <c r="H322" s="0" t="n">
        <f aca="false">(SUMPRODUCT(--ISNUMBER($E$2:$E$800),--($E$2:$E$800&lt;E322))+(SUMPRODUCT(--ISNUMBER($E$2:$E$800),--($E$2:$E$800=E322))+1)/2)/COUNT($E$2:$E$800)</f>
        <v>0.21026282853567</v>
      </c>
      <c r="I322" s="0" t="n">
        <f aca="false">(SUMPRODUCT(--ISNUMBER($G$2:$G$800),--($G$2:$G$800&lt;G322))+(SUMPRODUCT(--ISNUMBER($G$2:$G$800),--($G$2:$G$800=G322))+1)/2)/COUNT($G$2:$G$800)</f>
        <v>0.269086357947434</v>
      </c>
      <c r="J322" s="0" t="n">
        <v>35.0973841342053</v>
      </c>
      <c r="K322" s="0" t="n">
        <v>7.02450408401401</v>
      </c>
      <c r="L322" s="0" t="n">
        <v>0.280046674445738</v>
      </c>
      <c r="M322" s="0" t="n">
        <f aca="false">IF(OR(B322="NW",COUNT(Risk_Rank_Keys!B322)=0),0.5,(SUMPRODUCT(--ISNUMBER(Risk_Rank_Keys!$B$2:$B$800),--(Risk_Rank_Keys!$B$2:$B$800&lt;Risk_Rank_Keys!B322))+(SUMPRODUCT(--ISNUMBER(Risk_Rank_Keys!$B$2:$B$800),--(Risk_Rank_Keys!$B$2:$B$800=Risk_Rank_Keys!B322))+1)/2)/COUNT(Risk_Rank_Keys!$B$2:$B$800))</f>
        <v>0.926080892608089</v>
      </c>
      <c r="N322" s="0" t="n">
        <f aca="false">IF(OR(B322="NW",COUNT(Risk_Rank_Keys!C322)=0),0.5,(SUMPRODUCT(--ISNUMBER(Risk_Rank_Keys!$C$2:$C$800),--(Risk_Rank_Keys!$C$2:$C$800&lt;Risk_Rank_Keys!C322))+(SUMPRODUCT(--ISNUMBER(Risk_Rank_Keys!$C$2:$C$800),--(Risk_Rank_Keys!$C$2:$C$800=Risk_Rank_Keys!C322))+1)/2)/COUNT(Risk_Rank_Keys!$C$2:$C$800))</f>
        <v>0.786610878661088</v>
      </c>
      <c r="O322" s="0" t="n">
        <f aca="false">IF(OR(B322="NW",COUNT(Risk_Rank_Keys!D322)=0),0.5,(SUMPRODUCT(--ISNUMBER(Risk_Rank_Keys!$D$2:$D$800),--(Risk_Rank_Keys!$D$2:$D$800&lt;Risk_Rank_Keys!D322))+(SUMPRODUCT(--ISNUMBER(Risk_Rank_Keys!$D$2:$D$800),--(Risk_Rank_Keys!$D$2:$D$800=Risk_Rank_Keys!D322))+1)/2)/COUNT(Risk_Rank_Keys!$D$2:$D$800))</f>
        <v>0.698744769874477</v>
      </c>
      <c r="P322" s="0" t="n">
        <f aca="false">AVERAGE(M322:O322)</f>
        <v>0.803812180381218</v>
      </c>
      <c r="Q322" s="0" t="n">
        <f aca="false">0.4*H322+0.4*I322+0.2*P322</f>
        <v>0.352502110669485</v>
      </c>
      <c r="R322" s="0" t="n">
        <f aca="false">PERCENTILE($Q$2:$Q$800,0.75)</f>
        <v>0.667715717403612</v>
      </c>
      <c r="S322" s="1" t="b">
        <f aca="false">OR(Q322&gt;=R322,AND(B322="CW",COUNT(J322:L322)&lt;3))</f>
        <v>0</v>
      </c>
      <c r="T322" s="0" t="n">
        <v>0.237716117059518</v>
      </c>
      <c r="U322" s="0" t="n">
        <v>6.00639856036554</v>
      </c>
      <c r="V322" s="0" t="n">
        <v>0.352502110669485</v>
      </c>
      <c r="W322" s="0" t="n">
        <f aca="false">Q322-V322</f>
        <v>0</v>
      </c>
    </row>
    <row r="323" customFormat="false" ht="15" hidden="false" customHeight="false" outlineLevel="0" collapsed="false">
      <c r="A323" s="0" t="s">
        <v>357</v>
      </c>
      <c r="B323" s="0" t="s">
        <v>3013</v>
      </c>
      <c r="C323" s="0" t="n">
        <v>-19.0980333620448</v>
      </c>
      <c r="D323" s="0" t="n">
        <f aca="false">SUMPRODUCT(Risk_Inputs!B323:AJ323,Risk_Coefs!$B$2:$AJ$2)</f>
        <v>-1.05829738039711</v>
      </c>
      <c r="E323" s="0" t="n">
        <f aca="false">1/(1+EXP(-MAX(-25,MIN(25,D323))))</f>
        <v>0.257634961939614</v>
      </c>
      <c r="F323" s="0" t="n">
        <f aca="false">SUMPRODUCT(Risk_Inputs!B323:AJ323,Risk_Coefs!$B$3:$AJ$3)</f>
        <v>8.88663975538783</v>
      </c>
      <c r="G323" s="0" t="n">
        <f aca="false">MAX(0,F323)</f>
        <v>8.88663975538783</v>
      </c>
      <c r="H323" s="0" t="n">
        <f aca="false">(SUMPRODUCT(--ISNUMBER($E$2:$E$800),--($E$2:$E$800&lt;E323))+(SUMPRODUCT(--ISNUMBER($E$2:$E$800),--($E$2:$E$800=E323))+1)/2)/COUNT($E$2:$E$800)</f>
        <v>0.316645807259074</v>
      </c>
      <c r="I323" s="0" t="n">
        <f aca="false">(SUMPRODUCT(--ISNUMBER($G$2:$G$800),--($G$2:$G$800&lt;G323))+(SUMPRODUCT(--ISNUMBER($G$2:$G$800),--($G$2:$G$800=G323))+1)/2)/COUNT($G$2:$G$800)</f>
        <v>0.662077596996245</v>
      </c>
      <c r="J323" s="0" t="n">
        <v>7.0580346902405</v>
      </c>
      <c r="K323" s="0" t="n">
        <v>6.59494855004678</v>
      </c>
      <c r="L323" s="0" t="n">
        <v>0.280636108512633</v>
      </c>
      <c r="M323" s="0" t="n">
        <f aca="false">IF(OR(B323="NW",COUNT(Risk_Rank_Keys!B323)=0),0.5,(SUMPRODUCT(--ISNUMBER(Risk_Rank_Keys!$B$2:$B$800),--(Risk_Rank_Keys!$B$2:$B$800&lt;Risk_Rank_Keys!B323))+(SUMPRODUCT(--ISNUMBER(Risk_Rank_Keys!$B$2:$B$800),--(Risk_Rank_Keys!$B$2:$B$800=Risk_Rank_Keys!B323))+1)/2)/COUNT(Risk_Rank_Keys!$B$2:$B$800))</f>
        <v>0.320781032078103</v>
      </c>
      <c r="N323" s="0" t="n">
        <f aca="false">IF(OR(B323="NW",COUNT(Risk_Rank_Keys!C323)=0),0.5,(SUMPRODUCT(--ISNUMBER(Risk_Rank_Keys!$C$2:$C$800),--(Risk_Rank_Keys!$C$2:$C$800&lt;Risk_Rank_Keys!C323))+(SUMPRODUCT(--ISNUMBER(Risk_Rank_Keys!$C$2:$C$800),--(Risk_Rank_Keys!$C$2:$C$800=Risk_Rank_Keys!C323))+1)/2)/COUNT(Risk_Rank_Keys!$C$2:$C$800))</f>
        <v>0.767085076708508</v>
      </c>
      <c r="O323" s="0" t="n">
        <f aca="false">IF(OR(B323="NW",COUNT(Risk_Rank_Keys!D323)=0),0.5,(SUMPRODUCT(--ISNUMBER(Risk_Rank_Keys!$D$2:$D$800),--(Risk_Rank_Keys!$D$2:$D$800&lt;Risk_Rank_Keys!D323))+(SUMPRODUCT(--ISNUMBER(Risk_Rank_Keys!$D$2:$D$800),--(Risk_Rank_Keys!$D$2:$D$800=Risk_Rank_Keys!D323))+1)/2)/COUNT(Risk_Rank_Keys!$D$2:$D$800))</f>
        <v>0.701534170153417</v>
      </c>
      <c r="P323" s="0" t="n">
        <f aca="false">AVERAGE(M323:O323)</f>
        <v>0.596466759646676</v>
      </c>
      <c r="Q323" s="0" t="n">
        <f aca="false">0.4*H323+0.4*I323+0.2*P323</f>
        <v>0.510782713631463</v>
      </c>
      <c r="R323" s="0" t="n">
        <f aca="false">PERCENTILE($Q$2:$Q$800,0.75)</f>
        <v>0.667715717403612</v>
      </c>
      <c r="S323" s="1" t="b">
        <f aca="false">OR(Q323&gt;=R323,AND(B323="CW",COUNT(J323:L323)&lt;3))</f>
        <v>0</v>
      </c>
      <c r="T323" s="0" t="n">
        <v>0.257634961939614</v>
      </c>
      <c r="U323" s="0" t="n">
        <v>8.88663975538783</v>
      </c>
      <c r="V323" s="0" t="n">
        <v>0.510782713631463</v>
      </c>
      <c r="W323" s="0" t="n">
        <f aca="false">Q323-V323</f>
        <v>0</v>
      </c>
    </row>
    <row r="324" customFormat="false" ht="15" hidden="false" customHeight="false" outlineLevel="0" collapsed="false">
      <c r="A324" s="0" t="s">
        <v>358</v>
      </c>
      <c r="B324" s="0" t="s">
        <v>3013</v>
      </c>
      <c r="C324" s="0" t="n">
        <v>42.9279104917578</v>
      </c>
      <c r="D324" s="0" t="n">
        <f aca="false">SUMPRODUCT(Risk_Inputs!B324:AJ324,Risk_Coefs!$B$2:$AJ$2)</f>
        <v>-1.18712519697684</v>
      </c>
      <c r="E324" s="0" t="n">
        <f aca="false">1/(1+EXP(-MAX(-25,MIN(25,D324))))</f>
        <v>0.233773486223015</v>
      </c>
      <c r="F324" s="0" t="n">
        <f aca="false">SUMPRODUCT(Risk_Inputs!B324:AJ324,Risk_Coefs!$B$3:$AJ$3)</f>
        <v>8.21602147437984</v>
      </c>
      <c r="G324" s="0" t="n">
        <f aca="false">MAX(0,F324)</f>
        <v>8.21602147437984</v>
      </c>
      <c r="H324" s="0" t="n">
        <f aca="false">(SUMPRODUCT(--ISNUMBER($E$2:$E$800),--($E$2:$E$800&lt;E324))+(SUMPRODUCT(--ISNUMBER($E$2:$E$800),--($E$2:$E$800=E324))+1)/2)/COUNT($E$2:$E$800)</f>
        <v>0.191489361702128</v>
      </c>
      <c r="I324" s="0" t="n">
        <f aca="false">(SUMPRODUCT(--ISNUMBER($G$2:$G$800),--($G$2:$G$800&lt;G324))+(SUMPRODUCT(--ISNUMBER($G$2:$G$800),--($G$2:$G$800=G324))+1)/2)/COUNT($G$2:$G$800)</f>
        <v>0.568210262828536</v>
      </c>
      <c r="J324" s="0" t="n">
        <v>25.0649694725334</v>
      </c>
      <c r="K324" s="0" t="n">
        <v>7.58226037195994</v>
      </c>
      <c r="L324" s="0" t="n">
        <v>0.182078293666274</v>
      </c>
      <c r="M324" s="0" t="n">
        <f aca="false">IF(OR(B324="NW",COUNT(Risk_Rank_Keys!B324)=0),0.5,(SUMPRODUCT(--ISNUMBER(Risk_Rank_Keys!$B$2:$B$800),--(Risk_Rank_Keys!$B$2:$B$800&lt;Risk_Rank_Keys!B324))+(SUMPRODUCT(--ISNUMBER(Risk_Rank_Keys!$B$2:$B$800),--(Risk_Rank_Keys!$B$2:$B$800=Risk_Rank_Keys!B324))+1)/2)/COUNT(Risk_Rank_Keys!$B$2:$B$800))</f>
        <v>0.859135285913529</v>
      </c>
      <c r="N324" s="0" t="n">
        <f aca="false">IF(OR(B324="NW",COUNT(Risk_Rank_Keys!C324)=0),0.5,(SUMPRODUCT(--ISNUMBER(Risk_Rank_Keys!$C$2:$C$800),--(Risk_Rank_Keys!$C$2:$C$800&lt;Risk_Rank_Keys!C324))+(SUMPRODUCT(--ISNUMBER(Risk_Rank_Keys!$C$2:$C$800),--(Risk_Rank_Keys!$C$2:$C$800=Risk_Rank_Keys!C324))+1)/2)/COUNT(Risk_Rank_Keys!$C$2:$C$800))</f>
        <v>0.811715481171548</v>
      </c>
      <c r="O324" s="0" t="n">
        <f aca="false">IF(OR(B324="NW",COUNT(Risk_Rank_Keys!D324)=0),0.5,(SUMPRODUCT(--ISNUMBER(Risk_Rank_Keys!$D$2:$D$800),--(Risk_Rank_Keys!$D$2:$D$800&lt;Risk_Rank_Keys!D324))+(SUMPRODUCT(--ISNUMBER(Risk_Rank_Keys!$D$2:$D$800),--(Risk_Rank_Keys!$D$2:$D$800=Risk_Rank_Keys!D324))+1)/2)/COUNT(Risk_Rank_Keys!$D$2:$D$800))</f>
        <v>0.217573221757322</v>
      </c>
      <c r="P324" s="0" t="n">
        <f aca="false">AVERAGE(M324:O324)</f>
        <v>0.629474662947466</v>
      </c>
      <c r="Q324" s="0" t="n">
        <f aca="false">0.4*H324+0.4*I324+0.2*P324</f>
        <v>0.429774782401759</v>
      </c>
      <c r="R324" s="0" t="n">
        <f aca="false">PERCENTILE($Q$2:$Q$800,0.75)</f>
        <v>0.667715717403612</v>
      </c>
      <c r="S324" s="1" t="b">
        <f aca="false">OR(Q324&gt;=R324,AND(B324="CW",COUNT(J324:L324)&lt;3))</f>
        <v>0</v>
      </c>
      <c r="T324" s="0" t="n">
        <v>0.233773486223015</v>
      </c>
      <c r="U324" s="0" t="n">
        <v>8.21602147437984</v>
      </c>
      <c r="V324" s="0" t="n">
        <v>0.429774782401759</v>
      </c>
      <c r="W324" s="0" t="n">
        <f aca="false">Q324-V324</f>
        <v>0</v>
      </c>
    </row>
    <row r="325" customFormat="false" ht="15" hidden="false" customHeight="false" outlineLevel="0" collapsed="false">
      <c r="A325" s="0" t="s">
        <v>359</v>
      </c>
      <c r="B325" s="0" t="s">
        <v>3013</v>
      </c>
      <c r="C325" s="0" t="n">
        <v>31.6272765417996</v>
      </c>
      <c r="D325" s="0" t="n">
        <f aca="false">SUMPRODUCT(Risk_Inputs!B325:AJ325,Risk_Coefs!$B$2:$AJ$2)</f>
        <v>-1.70655578466666</v>
      </c>
      <c r="E325" s="0" t="n">
        <f aca="false">1/(1+EXP(-MAX(-25,MIN(25,D325))))</f>
        <v>0.153610980159886</v>
      </c>
      <c r="F325" s="0" t="n">
        <f aca="false">SUMPRODUCT(Risk_Inputs!B325:AJ325,Risk_Coefs!$B$3:$AJ$3)</f>
        <v>3.01322035006767</v>
      </c>
      <c r="G325" s="0" t="n">
        <f aca="false">MAX(0,F325)</f>
        <v>3.01322035006767</v>
      </c>
      <c r="H325" s="0" t="n">
        <f aca="false">(SUMPRODUCT(--ISNUMBER($E$2:$E$800),--($E$2:$E$800&lt;E325))+(SUMPRODUCT(--ISNUMBER($E$2:$E$800),--($E$2:$E$800=E325))+1)/2)/COUNT($E$2:$E$800)</f>
        <v>0.0275344180225282</v>
      </c>
      <c r="I325" s="0" t="n">
        <f aca="false">(SUMPRODUCT(--ISNUMBER($G$2:$G$800),--($G$2:$G$800&lt;G325))+(SUMPRODUCT(--ISNUMBER($G$2:$G$800),--($G$2:$G$800=G325))+1)/2)/COUNT($G$2:$G$800)</f>
        <v>0.0250312891113892</v>
      </c>
      <c r="J325" s="0" t="n">
        <v>42.4108843856422</v>
      </c>
      <c r="K325" s="0" t="n">
        <v>30.134074558535</v>
      </c>
      <c r="L325" s="0" t="n">
        <v>0.261608894702424</v>
      </c>
      <c r="M325" s="0" t="n">
        <f aca="false">IF(OR(B325="NW",COUNT(Risk_Rank_Keys!B325)=0),0.5,(SUMPRODUCT(--ISNUMBER(Risk_Rank_Keys!$B$2:$B$800),--(Risk_Rank_Keys!$B$2:$B$800&lt;Risk_Rank_Keys!B325))+(SUMPRODUCT(--ISNUMBER(Risk_Rank_Keys!$B$2:$B$800),--(Risk_Rank_Keys!$B$2:$B$800=Risk_Rank_Keys!B325))+1)/2)/COUNT(Risk_Rank_Keys!$B$2:$B$800))</f>
        <v>0.96094839609484</v>
      </c>
      <c r="N325" s="0" t="n">
        <f aca="false">IF(OR(B325="NW",COUNT(Risk_Rank_Keys!C325)=0),0.5,(SUMPRODUCT(--ISNUMBER(Risk_Rank_Keys!$C$2:$C$800),--(Risk_Rank_Keys!$C$2:$C$800&lt;Risk_Rank_Keys!C325))+(SUMPRODUCT(--ISNUMBER(Risk_Rank_Keys!$C$2:$C$800),--(Risk_Rank_Keys!$C$2:$C$800=Risk_Rank_Keys!C325))+1)/2)/COUNT(Risk_Rank_Keys!$C$2:$C$800))</f>
        <v>0.98884239888424</v>
      </c>
      <c r="O325" s="0" t="n">
        <f aca="false">IF(OR(B325="NW",COUNT(Risk_Rank_Keys!D325)=0),0.5,(SUMPRODUCT(--ISNUMBER(Risk_Rank_Keys!$D$2:$D$800),--(Risk_Rank_Keys!$D$2:$D$800&lt;Risk_Rank_Keys!D325))+(SUMPRODUCT(--ISNUMBER(Risk_Rank_Keys!$D$2:$D$800),--(Risk_Rank_Keys!$D$2:$D$800=Risk_Rank_Keys!D325))+1)/2)/COUNT(Risk_Rank_Keys!$D$2:$D$800))</f>
        <v>0.641562064156206</v>
      </c>
      <c r="P325" s="0" t="n">
        <f aca="false">AVERAGE(M325:O325)</f>
        <v>0.863784286378429</v>
      </c>
      <c r="Q325" s="0" t="n">
        <f aca="false">0.4*H325+0.4*I325+0.2*P325</f>
        <v>0.193783140129253</v>
      </c>
      <c r="R325" s="0" t="n">
        <f aca="false">PERCENTILE($Q$2:$Q$800,0.75)</f>
        <v>0.667715717403612</v>
      </c>
      <c r="S325" s="1" t="b">
        <f aca="false">OR(Q325&gt;=R325,AND(B325="CW",COUNT(J325:L325)&lt;3))</f>
        <v>0</v>
      </c>
      <c r="T325" s="0" t="n">
        <v>0.153610980159886</v>
      </c>
      <c r="U325" s="0" t="n">
        <v>3.01322035006767</v>
      </c>
      <c r="V325" s="0" t="n">
        <v>0.193783140129253</v>
      </c>
      <c r="W325" s="0" t="n">
        <f aca="false">Q325-V325</f>
        <v>0</v>
      </c>
    </row>
    <row r="326" customFormat="false" ht="15" hidden="false" customHeight="false" outlineLevel="0" collapsed="false">
      <c r="A326" s="0" t="s">
        <v>360</v>
      </c>
      <c r="B326" s="0" t="s">
        <v>3013</v>
      </c>
      <c r="C326" s="0" t="n">
        <v>44.9416553062625</v>
      </c>
      <c r="D326" s="0" t="n">
        <f aca="false">SUMPRODUCT(Risk_Inputs!B326:AJ326,Risk_Coefs!$B$2:$AJ$2)</f>
        <v>-0.810478369001888</v>
      </c>
      <c r="E326" s="0" t="n">
        <f aca="false">1/(1+EXP(-MAX(-25,MIN(25,D326))))</f>
        <v>0.307788567532675</v>
      </c>
      <c r="F326" s="0" t="n">
        <f aca="false">SUMPRODUCT(Risk_Inputs!B326:AJ326,Risk_Coefs!$B$3:$AJ$3)</f>
        <v>7.64128396820659</v>
      </c>
      <c r="G326" s="0" t="n">
        <f aca="false">MAX(0,F326)</f>
        <v>7.64128396820659</v>
      </c>
      <c r="H326" s="0" t="n">
        <f aca="false">(SUMPRODUCT(--ISNUMBER($E$2:$E$800),--($E$2:$E$800&lt;E326))+(SUMPRODUCT(--ISNUMBER($E$2:$E$800),--($E$2:$E$800=E326))+1)/2)/COUNT($E$2:$E$800)</f>
        <v>0.60450563204005</v>
      </c>
      <c r="I326" s="0" t="n">
        <f aca="false">(SUMPRODUCT(--ISNUMBER($G$2:$G$800),--($G$2:$G$800&lt;G326))+(SUMPRODUCT(--ISNUMBER($G$2:$G$800),--($G$2:$G$800=G326))+1)/2)/COUNT($G$2:$G$800)</f>
        <v>0.501877346683354</v>
      </c>
      <c r="J326" s="0" t="n">
        <v>10.8100648603867</v>
      </c>
      <c r="K326" s="0" t="n">
        <v>5.6140350877193</v>
      </c>
      <c r="L326" s="0" t="n">
        <v>0.219298245614035</v>
      </c>
      <c r="M326" s="0" t="n">
        <f aca="false">IF(OR(B326="NW",COUNT(Risk_Rank_Keys!B326)=0),0.5,(SUMPRODUCT(--ISNUMBER(Risk_Rank_Keys!$B$2:$B$800),--(Risk_Rank_Keys!$B$2:$B$800&lt;Risk_Rank_Keys!B326))+(SUMPRODUCT(--ISNUMBER(Risk_Rank_Keys!$B$2:$B$800),--(Risk_Rank_Keys!$B$2:$B$800=Risk_Rank_Keys!B326))+1)/2)/COUNT(Risk_Rank_Keys!$B$2:$B$800))</f>
        <v>0.538354253835425</v>
      </c>
      <c r="N326" s="0" t="n">
        <f aca="false">IF(OR(B326="NW",COUNT(Risk_Rank_Keys!C326)=0),0.5,(SUMPRODUCT(--ISNUMBER(Risk_Rank_Keys!$C$2:$C$800),--(Risk_Rank_Keys!$C$2:$C$800&lt;Risk_Rank_Keys!C326))+(SUMPRODUCT(--ISNUMBER(Risk_Rank_Keys!$C$2:$C$800),--(Risk_Rank_Keys!$C$2:$C$800=Risk_Rank_Keys!C326))+1)/2)/COUNT(Risk_Rank_Keys!$C$2:$C$800))</f>
        <v>0.726638772663877</v>
      </c>
      <c r="O326" s="0" t="n">
        <f aca="false">IF(OR(B326="NW",COUNT(Risk_Rank_Keys!D326)=0),0.5,(SUMPRODUCT(--ISNUMBER(Risk_Rank_Keys!$D$2:$D$800),--(Risk_Rank_Keys!$D$2:$D$800&lt;Risk_Rank_Keys!D326))+(SUMPRODUCT(--ISNUMBER(Risk_Rank_Keys!$D$2:$D$800),--(Risk_Rank_Keys!$D$2:$D$800=Risk_Rank_Keys!D326))+1)/2)/COUNT(Risk_Rank_Keys!$D$2:$D$800))</f>
        <v>0.435146443514644</v>
      </c>
      <c r="P326" s="0" t="n">
        <f aca="false">AVERAGE(M326:O326)</f>
        <v>0.566713156671316</v>
      </c>
      <c r="Q326" s="0" t="n">
        <f aca="false">0.4*H326+0.4*I326+0.2*P326</f>
        <v>0.555895822823625</v>
      </c>
      <c r="R326" s="0" t="n">
        <f aca="false">PERCENTILE($Q$2:$Q$800,0.75)</f>
        <v>0.667715717403612</v>
      </c>
      <c r="S326" s="1" t="b">
        <f aca="false">OR(Q326&gt;=R326,AND(B326="CW",COUNT(J326:L326)&lt;3))</f>
        <v>0</v>
      </c>
      <c r="T326" s="0" t="n">
        <v>0.307788567532676</v>
      </c>
      <c r="U326" s="0" t="n">
        <v>7.64128396820659</v>
      </c>
      <c r="V326" s="0" t="n">
        <v>0.555895822823625</v>
      </c>
      <c r="W326" s="0" t="n">
        <f aca="false">Q326-V326</f>
        <v>0</v>
      </c>
    </row>
    <row r="327" customFormat="false" ht="15" hidden="false" customHeight="false" outlineLevel="0" collapsed="false">
      <c r="A327" s="0" t="s">
        <v>361</v>
      </c>
      <c r="B327" s="0" t="s">
        <v>3013</v>
      </c>
      <c r="C327" s="0" t="n">
        <v>-21.6098926948566</v>
      </c>
      <c r="D327" s="0" t="n">
        <f aca="false">SUMPRODUCT(Risk_Inputs!B327:AJ327,Risk_Coefs!$B$2:$AJ$2)</f>
        <v>-0.515106832674813</v>
      </c>
      <c r="E327" s="0" t="n">
        <f aca="false">1/(1+EXP(-MAX(-25,MIN(25,D327))))</f>
        <v>0.373997129880835</v>
      </c>
      <c r="F327" s="0" t="n">
        <f aca="false">SUMPRODUCT(Risk_Inputs!B327:AJ327,Risk_Coefs!$B$3:$AJ$3)</f>
        <v>6.55500923224817</v>
      </c>
      <c r="G327" s="0" t="n">
        <f aca="false">MAX(0,F327)</f>
        <v>6.55500923224817</v>
      </c>
      <c r="H327" s="0" t="n">
        <f aca="false">(SUMPRODUCT(--ISNUMBER($E$2:$E$800),--($E$2:$E$800&lt;E327))+(SUMPRODUCT(--ISNUMBER($E$2:$E$800),--($E$2:$E$800=E327))+1)/2)/COUNT($E$2:$E$800)</f>
        <v>0.88485607008761</v>
      </c>
      <c r="I327" s="0" t="n">
        <f aca="false">(SUMPRODUCT(--ISNUMBER($G$2:$G$800),--($G$2:$G$800&lt;G327))+(SUMPRODUCT(--ISNUMBER($G$2:$G$800),--($G$2:$G$800=G327))+1)/2)/COUNT($G$2:$G$800)</f>
        <v>0.352941176470588</v>
      </c>
      <c r="J327" s="0" t="n">
        <v>12.051223550196</v>
      </c>
      <c r="K327" s="0" t="n">
        <v>1.85081323611892</v>
      </c>
      <c r="L327" s="0" t="n">
        <v>0.13086558235185</v>
      </c>
      <c r="M327" s="0" t="n">
        <f aca="false">IF(OR(B327="NW",COUNT(Risk_Rank_Keys!B327)=0),0.5,(SUMPRODUCT(--ISNUMBER(Risk_Rank_Keys!$B$2:$B$800),--(Risk_Rank_Keys!$B$2:$B$800&lt;Risk_Rank_Keys!B327))+(SUMPRODUCT(--ISNUMBER(Risk_Rank_Keys!$B$2:$B$800),--(Risk_Rank_Keys!$B$2:$B$800=Risk_Rank_Keys!B327))+1)/2)/COUNT(Risk_Rank_Keys!$B$2:$B$800))</f>
        <v>0.603905160390516</v>
      </c>
      <c r="N327" s="0" t="n">
        <f aca="false">IF(OR(B327="NW",COUNT(Risk_Rank_Keys!C327)=0),0.5,(SUMPRODUCT(--ISNUMBER(Risk_Rank_Keys!$C$2:$C$800),--(Risk_Rank_Keys!$C$2:$C$800&lt;Risk_Rank_Keys!C327))+(SUMPRODUCT(--ISNUMBER(Risk_Rank_Keys!$C$2:$C$800),--(Risk_Rank_Keys!$C$2:$C$800=Risk_Rank_Keys!C327))+1)/2)/COUNT(Risk_Rank_Keys!$C$2:$C$800))</f>
        <v>0.231520223152022</v>
      </c>
      <c r="O327" s="0" t="n">
        <f aca="false">IF(OR(B327="NW",COUNT(Risk_Rank_Keys!D327)=0),0.5,(SUMPRODUCT(--ISNUMBER(Risk_Rank_Keys!$D$2:$D$800),--(Risk_Rank_Keys!$D$2:$D$800&lt;Risk_Rank_Keys!D327))+(SUMPRODUCT(--ISNUMBER(Risk_Rank_Keys!$D$2:$D$800),--(Risk_Rank_Keys!$D$2:$D$800=Risk_Rank_Keys!D327))+1)/2)/COUNT(Risk_Rank_Keys!$D$2:$D$800))</f>
        <v>0.0655509065550907</v>
      </c>
      <c r="P327" s="0" t="n">
        <f aca="false">AVERAGE(M327:O327)</f>
        <v>0.300325430032543</v>
      </c>
      <c r="Q327" s="0" t="n">
        <f aca="false">0.4*H327+0.4*I327+0.2*P327</f>
        <v>0.555183984629788</v>
      </c>
      <c r="R327" s="0" t="n">
        <f aca="false">PERCENTILE($Q$2:$Q$800,0.75)</f>
        <v>0.667715717403612</v>
      </c>
      <c r="S327" s="1" t="b">
        <f aca="false">OR(Q327&gt;=R327,AND(B327="CW",COUNT(J327:L327)&lt;3))</f>
        <v>0</v>
      </c>
      <c r="T327" s="0" t="n">
        <v>0.373997129880835</v>
      </c>
      <c r="U327" s="0" t="n">
        <v>6.55500923224817</v>
      </c>
      <c r="V327" s="0" t="n">
        <v>0.555183984629788</v>
      </c>
      <c r="W327" s="0" t="n">
        <f aca="false">Q327-V327</f>
        <v>0</v>
      </c>
    </row>
    <row r="328" customFormat="false" ht="15" hidden="false" customHeight="false" outlineLevel="0" collapsed="false">
      <c r="A328" s="0" t="s">
        <v>362</v>
      </c>
      <c r="B328" s="0" t="s">
        <v>3013</v>
      </c>
      <c r="C328" s="0" t="n">
        <v>-26.9984677019416</v>
      </c>
      <c r="D328" s="0" t="n">
        <f aca="false">SUMPRODUCT(Risk_Inputs!B328:AJ328,Risk_Coefs!$B$2:$AJ$2)</f>
        <v>-0.579037793242587</v>
      </c>
      <c r="E328" s="0" t="n">
        <f aca="false">1/(1+EXP(-MAX(-25,MIN(25,D328))))</f>
        <v>0.359154027466887</v>
      </c>
      <c r="F328" s="0" t="n">
        <f aca="false">SUMPRODUCT(Risk_Inputs!B328:AJ328,Risk_Coefs!$B$3:$AJ$3)</f>
        <v>9.43256559165553</v>
      </c>
      <c r="G328" s="0" t="n">
        <f aca="false">MAX(0,F328)</f>
        <v>9.43256559165553</v>
      </c>
      <c r="H328" s="0" t="n">
        <f aca="false">(SUMPRODUCT(--ISNUMBER($E$2:$E$800),--($E$2:$E$800&lt;E328))+(SUMPRODUCT(--ISNUMBER($E$2:$E$800),--($E$2:$E$800=E328))+1)/2)/COUNT($E$2:$E$800)</f>
        <v>0.844806007509387</v>
      </c>
      <c r="I328" s="0" t="n">
        <f aca="false">(SUMPRODUCT(--ISNUMBER($G$2:$G$800),--($G$2:$G$800&lt;G328))+(SUMPRODUCT(--ISNUMBER($G$2:$G$800),--($G$2:$G$800=G328))+1)/2)/COUNT($G$2:$G$800)</f>
        <v>0.72090112640801</v>
      </c>
      <c r="J328" s="0" t="n">
        <v>3.88481097327744</v>
      </c>
      <c r="K328" s="0" t="n">
        <v>1.39103554868625</v>
      </c>
      <c r="L328" s="0" t="n">
        <v>0.15455950540958</v>
      </c>
      <c r="M328" s="0" t="n">
        <f aca="false">IF(OR(B328="NW",COUNT(Risk_Rank_Keys!B328)=0),0.5,(SUMPRODUCT(--ISNUMBER(Risk_Rank_Keys!$B$2:$B$800),--(Risk_Rank_Keys!$B$2:$B$800&lt;Risk_Rank_Keys!B328))+(SUMPRODUCT(--ISNUMBER(Risk_Rank_Keys!$B$2:$B$800),--(Risk_Rank_Keys!$B$2:$B$800=Risk_Rank_Keys!B328))+1)/2)/COUNT(Risk_Rank_Keys!$B$2:$B$800))</f>
        <v>0.0697350069735007</v>
      </c>
      <c r="N328" s="0" t="n">
        <f aca="false">IF(OR(B328="NW",COUNT(Risk_Rank_Keys!C328)=0),0.5,(SUMPRODUCT(--ISNUMBER(Risk_Rank_Keys!$C$2:$C$800),--(Risk_Rank_Keys!$C$2:$C$800&lt;Risk_Rank_Keys!C328))+(SUMPRODUCT(--ISNUMBER(Risk_Rank_Keys!$C$2:$C$800),--(Risk_Rank_Keys!$C$2:$C$800=Risk_Rank_Keys!C328))+1)/2)/COUNT(Risk_Rank_Keys!$C$2:$C$800))</f>
        <v>0.105997210599721</v>
      </c>
      <c r="O328" s="0" t="n">
        <f aca="false">IF(OR(B328="NW",COUNT(Risk_Rank_Keys!D328)=0),0.5,(SUMPRODUCT(--ISNUMBER(Risk_Rank_Keys!$D$2:$D$800),--(Risk_Rank_Keys!$D$2:$D$800&lt;Risk_Rank_Keys!D328))+(SUMPRODUCT(--ISNUMBER(Risk_Rank_Keys!$D$2:$D$800),--(Risk_Rank_Keys!$D$2:$D$800=Risk_Rank_Keys!D328))+1)/2)/COUNT(Risk_Rank_Keys!$D$2:$D$800))</f>
        <v>0.118549511854951</v>
      </c>
      <c r="P328" s="0" t="n">
        <f aca="false">AVERAGE(M328:O328)</f>
        <v>0.098093909809391</v>
      </c>
      <c r="Q328" s="0" t="n">
        <f aca="false">0.4*H328+0.4*I328+0.2*P328</f>
        <v>0.645901635528837</v>
      </c>
      <c r="R328" s="0" t="n">
        <f aca="false">PERCENTILE($Q$2:$Q$800,0.75)</f>
        <v>0.667715717403612</v>
      </c>
      <c r="S328" s="1" t="b">
        <f aca="false">OR(Q328&gt;=R328,AND(B328="CW",COUNT(J328:L328)&lt;3))</f>
        <v>0</v>
      </c>
      <c r="T328" s="0" t="n">
        <v>0.359154027466887</v>
      </c>
      <c r="U328" s="0" t="n">
        <v>9.43256559165553</v>
      </c>
      <c r="V328" s="0" t="n">
        <v>0.645901635528837</v>
      </c>
      <c r="W328" s="0" t="n">
        <f aca="false">Q328-V328</f>
        <v>0</v>
      </c>
    </row>
    <row r="329" customFormat="false" ht="15" hidden="false" customHeight="false" outlineLevel="0" collapsed="false">
      <c r="A329" s="0" t="s">
        <v>363</v>
      </c>
      <c r="B329" s="0" t="s">
        <v>3013</v>
      </c>
      <c r="C329" s="0" t="n">
        <v>26.2313653103243</v>
      </c>
      <c r="D329" s="0" t="n">
        <f aca="false">SUMPRODUCT(Risk_Inputs!B329:AJ329,Risk_Coefs!$B$2:$AJ$2)</f>
        <v>-0.713854893915893</v>
      </c>
      <c r="E329" s="0" t="n">
        <f aca="false">1/(1+EXP(-MAX(-25,MIN(25,D329))))</f>
        <v>0.328747609761384</v>
      </c>
      <c r="F329" s="0" t="n">
        <f aca="false">SUMPRODUCT(Risk_Inputs!B329:AJ329,Risk_Coefs!$B$3:$AJ$3)</f>
        <v>10.8505385542437</v>
      </c>
      <c r="G329" s="0" t="n">
        <f aca="false">MAX(0,F329)</f>
        <v>10.8505385542437</v>
      </c>
      <c r="H329" s="0" t="n">
        <f aca="false">(SUMPRODUCT(--ISNUMBER($E$2:$E$800),--($E$2:$E$800&lt;E329))+(SUMPRODUCT(--ISNUMBER($E$2:$E$800),--($E$2:$E$800=E329))+1)/2)/COUNT($E$2:$E$800)</f>
        <v>0.728410513141427</v>
      </c>
      <c r="I329" s="0" t="n">
        <f aca="false">(SUMPRODUCT(--ISNUMBER($G$2:$G$800),--($G$2:$G$800&lt;G329))+(SUMPRODUCT(--ISNUMBER($G$2:$G$800),--($G$2:$G$800=G329))+1)/2)/COUNT($G$2:$G$800)</f>
        <v>0.868585732165207</v>
      </c>
      <c r="J329" s="0" t="n">
        <v>11.2009407614284</v>
      </c>
      <c r="K329" s="0" t="n">
        <v>2.502406159769</v>
      </c>
      <c r="L329" s="0" t="n">
        <v>0.216554379210781</v>
      </c>
      <c r="M329" s="0" t="n">
        <f aca="false">IF(OR(B329="NW",COUNT(Risk_Rank_Keys!B329)=0),0.5,(SUMPRODUCT(--ISNUMBER(Risk_Rank_Keys!$B$2:$B$800),--(Risk_Rank_Keys!$B$2:$B$800&lt;Risk_Rank_Keys!B329))+(SUMPRODUCT(--ISNUMBER(Risk_Rank_Keys!$B$2:$B$800),--(Risk_Rank_Keys!$B$2:$B$800=Risk_Rank_Keys!B329))+1)/2)/COUNT(Risk_Rank_Keys!$B$2:$B$800))</f>
        <v>0.553695955369596</v>
      </c>
      <c r="N329" s="0" t="n">
        <f aca="false">IF(OR(B329="NW",COUNT(Risk_Rank_Keys!C329)=0),0.5,(SUMPRODUCT(--ISNUMBER(Risk_Rank_Keys!$C$2:$C$800),--(Risk_Rank_Keys!$C$2:$C$800&lt;Risk_Rank_Keys!C329))+(SUMPRODUCT(--ISNUMBER(Risk_Rank_Keys!$C$2:$C$800),--(Risk_Rank_Keys!$C$2:$C$800=Risk_Rank_Keys!C329))+1)/2)/COUNT(Risk_Rank_Keys!$C$2:$C$800))</f>
        <v>0.389121338912134</v>
      </c>
      <c r="O329" s="0" t="n">
        <f aca="false">IF(OR(B329="NW",COUNT(Risk_Rank_Keys!D329)=0),0.5,(SUMPRODUCT(--ISNUMBER(Risk_Rank_Keys!$D$2:$D$800),--(Risk_Rank_Keys!$D$2:$D$800&lt;Risk_Rank_Keys!D329))+(SUMPRODUCT(--ISNUMBER(Risk_Rank_Keys!$D$2:$D$800),--(Risk_Rank_Keys!$D$2:$D$800=Risk_Rank_Keys!D329))+1)/2)/COUNT(Risk_Rank_Keys!$D$2:$D$800))</f>
        <v>0.423988842398884</v>
      </c>
      <c r="P329" s="0" t="n">
        <f aca="false">AVERAGE(M329:O329)</f>
        <v>0.455602045560205</v>
      </c>
      <c r="Q329" s="0" t="n">
        <f aca="false">0.4*H329+0.4*I329+0.2*P329</f>
        <v>0.729918907234694</v>
      </c>
      <c r="R329" s="0" t="n">
        <f aca="false">PERCENTILE($Q$2:$Q$800,0.75)</f>
        <v>0.667715717403612</v>
      </c>
      <c r="S329" s="1" t="b">
        <f aca="false">OR(Q329&gt;=R329,AND(B329="CW",COUNT(J329:L329)&lt;3))</f>
        <v>1</v>
      </c>
      <c r="T329" s="0" t="n">
        <v>0.328747609761384</v>
      </c>
      <c r="U329" s="0" t="n">
        <v>10.8505385542437</v>
      </c>
      <c r="V329" s="0" t="n">
        <v>0.729918907234694</v>
      </c>
      <c r="W329" s="0" t="n">
        <f aca="false">Q329-V329</f>
        <v>0</v>
      </c>
    </row>
    <row r="330" customFormat="false" ht="15" hidden="false" customHeight="false" outlineLevel="0" collapsed="false">
      <c r="A330" s="0" t="s">
        <v>364</v>
      </c>
      <c r="B330" s="0" t="s">
        <v>3013</v>
      </c>
      <c r="C330" s="0" t="n">
        <v>69.4051217750325</v>
      </c>
      <c r="D330" s="0" t="n">
        <f aca="false">SUMPRODUCT(Risk_Inputs!B330:AJ330,Risk_Coefs!$B$2:$AJ$2)</f>
        <v>-0.960557307055062</v>
      </c>
      <c r="E330" s="0" t="n">
        <f aca="false">1/(1+EXP(-MAX(-25,MIN(25,D330))))</f>
        <v>0.276766626594516</v>
      </c>
      <c r="F330" s="0" t="n">
        <f aca="false">SUMPRODUCT(Risk_Inputs!B330:AJ330,Risk_Coefs!$B$3:$AJ$3)</f>
        <v>8.73171761403276</v>
      </c>
      <c r="G330" s="0" t="n">
        <f aca="false">MAX(0,F330)</f>
        <v>8.73171761403276</v>
      </c>
      <c r="H330" s="0" t="n">
        <f aca="false">(SUMPRODUCT(--ISNUMBER($E$2:$E$800),--($E$2:$E$800&lt;E330))+(SUMPRODUCT(--ISNUMBER($E$2:$E$800),--($E$2:$E$800=E330))+1)/2)/COUNT($E$2:$E$800)</f>
        <v>0.44180225281602</v>
      </c>
      <c r="I330" s="0" t="n">
        <f aca="false">(SUMPRODUCT(--ISNUMBER($G$2:$G$800),--($G$2:$G$800&lt;G330))+(SUMPRODUCT(--ISNUMBER($G$2:$G$800),--($G$2:$G$800=G330))+1)/2)/COUNT($G$2:$G$800)</f>
        <v>0.637046307884856</v>
      </c>
      <c r="J330" s="0" t="n">
        <v>8.71678917948188</v>
      </c>
      <c r="K330" s="0" t="n">
        <v>3.80067567567568</v>
      </c>
      <c r="L330" s="0" t="n">
        <v>0.295608108108109</v>
      </c>
      <c r="M330" s="0" t="n">
        <f aca="false">IF(OR(B330="NW",COUNT(Risk_Rank_Keys!B330)=0),0.5,(SUMPRODUCT(--ISNUMBER(Risk_Rank_Keys!$B$2:$B$800),--(Risk_Rank_Keys!$B$2:$B$800&lt;Risk_Rank_Keys!B330))+(SUMPRODUCT(--ISNUMBER(Risk_Rank_Keys!$B$2:$B$800),--(Risk_Rank_Keys!$B$2:$B$800=Risk_Rank_Keys!B330))+1)/2)/COUNT(Risk_Rank_Keys!$B$2:$B$800))</f>
        <v>0.433751743375174</v>
      </c>
      <c r="N330" s="0" t="n">
        <f aca="false">IF(OR(B330="NW",COUNT(Risk_Rank_Keys!C330)=0),0.5,(SUMPRODUCT(--ISNUMBER(Risk_Rank_Keys!$C$2:$C$800),--(Risk_Rank_Keys!$C$2:$C$800&lt;Risk_Rank_Keys!C330))+(SUMPRODUCT(--ISNUMBER(Risk_Rank_Keys!$C$2:$C$800),--(Risk_Rank_Keys!$C$2:$C$800=Risk_Rank_Keys!C330))+1)/2)/COUNT(Risk_Rank_Keys!$C$2:$C$800))</f>
        <v>0.569037656903766</v>
      </c>
      <c r="O330" s="0" t="n">
        <f aca="false">IF(OR(B330="NW",COUNT(Risk_Rank_Keys!D330)=0),0.5,(SUMPRODUCT(--ISNUMBER(Risk_Rank_Keys!$D$2:$D$800),--(Risk_Rank_Keys!$D$2:$D$800&lt;Risk_Rank_Keys!D330))+(SUMPRODUCT(--ISNUMBER(Risk_Rank_Keys!$D$2:$D$800),--(Risk_Rank_Keys!$D$2:$D$800=Risk_Rank_Keys!D330))+1)/2)/COUNT(Risk_Rank_Keys!$D$2:$D$800))</f>
        <v>0.739191073919107</v>
      </c>
      <c r="P330" s="0" t="n">
        <f aca="false">AVERAGE(M330:O330)</f>
        <v>0.580660158066016</v>
      </c>
      <c r="Q330" s="0" t="n">
        <f aca="false">0.4*H330+0.4*I330+0.2*P330</f>
        <v>0.547671455893554</v>
      </c>
      <c r="R330" s="0" t="n">
        <f aca="false">PERCENTILE($Q$2:$Q$800,0.75)</f>
        <v>0.667715717403612</v>
      </c>
      <c r="S330" s="1" t="b">
        <f aca="false">OR(Q330&gt;=R330,AND(B330="CW",COUNT(J330:L330)&lt;3))</f>
        <v>0</v>
      </c>
      <c r="T330" s="0" t="n">
        <v>0.276766626594516</v>
      </c>
      <c r="U330" s="0" t="n">
        <v>8.73171761403276</v>
      </c>
      <c r="V330" s="0" t="n">
        <v>0.547671455893554</v>
      </c>
      <c r="W330" s="0" t="n">
        <f aca="false">Q330-V330</f>
        <v>0</v>
      </c>
    </row>
    <row r="331" customFormat="false" ht="15" hidden="false" customHeight="false" outlineLevel="0" collapsed="false">
      <c r="A331" s="0" t="s">
        <v>365</v>
      </c>
      <c r="B331" s="0" t="s">
        <v>3013</v>
      </c>
      <c r="C331" s="0" t="n">
        <v>22.5316564500501</v>
      </c>
      <c r="D331" s="0" t="n">
        <f aca="false">SUMPRODUCT(Risk_Inputs!B331:AJ331,Risk_Coefs!$B$2:$AJ$2)</f>
        <v>-0.965379110473611</v>
      </c>
      <c r="E331" s="0" t="n">
        <f aca="false">1/(1+EXP(-MAX(-25,MIN(25,D331))))</f>
        <v>0.275802500980556</v>
      </c>
      <c r="F331" s="0" t="n">
        <f aca="false">SUMPRODUCT(Risk_Inputs!B331:AJ331,Risk_Coefs!$B$3:$AJ$3)</f>
        <v>7.46472641298372</v>
      </c>
      <c r="G331" s="0" t="n">
        <f aca="false">MAX(0,F331)</f>
        <v>7.46472641298372</v>
      </c>
      <c r="H331" s="0" t="n">
        <f aca="false">(SUMPRODUCT(--ISNUMBER($E$2:$E$800),--($E$2:$E$800&lt;E331))+(SUMPRODUCT(--ISNUMBER($E$2:$E$800),--($E$2:$E$800=E331))+1)/2)/COUNT($E$2:$E$800)</f>
        <v>0.433041301627034</v>
      </c>
      <c r="I331" s="0" t="n">
        <f aca="false">(SUMPRODUCT(--ISNUMBER($G$2:$G$800),--($G$2:$G$800&lt;G331))+(SUMPRODUCT(--ISNUMBER($G$2:$G$800),--($G$2:$G$800=G331))+1)/2)/COUNT($G$2:$G$800)</f>
        <v>0.478097622027534</v>
      </c>
      <c r="J331" s="0" t="n">
        <v>5.55571465391168</v>
      </c>
      <c r="K331" s="0" t="n">
        <v>3.85185185185186</v>
      </c>
      <c r="L331" s="0" t="n">
        <v>0.0740740740740698</v>
      </c>
      <c r="M331" s="0" t="n">
        <f aca="false">IF(OR(B331="NW",COUNT(Risk_Rank_Keys!B331)=0),0.5,(SUMPRODUCT(--ISNUMBER(Risk_Rank_Keys!$B$2:$B$800),--(Risk_Rank_Keys!$B$2:$B$800&lt;Risk_Rank_Keys!B331))+(SUMPRODUCT(--ISNUMBER(Risk_Rank_Keys!$B$2:$B$800),--(Risk_Rank_Keys!$B$2:$B$800=Risk_Rank_Keys!B331))+1)/2)/COUNT(Risk_Rank_Keys!$B$2:$B$800))</f>
        <v>0.174337517433752</v>
      </c>
      <c r="N331" s="0" t="n">
        <f aca="false">IF(OR(B331="NW",COUNT(Risk_Rank_Keys!C331)=0),0.5,(SUMPRODUCT(--ISNUMBER(Risk_Rank_Keys!$C$2:$C$800),--(Risk_Rank_Keys!$C$2:$C$800&lt;Risk_Rank_Keys!C331))+(SUMPRODUCT(--ISNUMBER(Risk_Rank_Keys!$C$2:$C$800),--(Risk_Rank_Keys!$C$2:$C$800=Risk_Rank_Keys!C331))+1)/2)/COUNT(Risk_Rank_Keys!$C$2:$C$800))</f>
        <v>0.576011157601116</v>
      </c>
      <c r="O331" s="0" t="n">
        <f aca="false">IF(OR(B331="NW",COUNT(Risk_Rank_Keys!D331)=0),0.5,(SUMPRODUCT(--ISNUMBER(Risk_Rank_Keys!$D$2:$D$800),--(Risk_Rank_Keys!$D$2:$D$800&lt;Risk_Rank_Keys!D331))+(SUMPRODUCT(--ISNUMBER(Risk_Rank_Keys!$D$2:$D$800),--(Risk_Rank_Keys!$D$2:$D$800=Risk_Rank_Keys!D331))+1)/2)/COUNT(Risk_Rank_Keys!$D$2:$D$800))</f>
        <v>0.00557880055788006</v>
      </c>
      <c r="P331" s="0" t="n">
        <f aca="false">AVERAGE(M331:O331)</f>
        <v>0.251975825197583</v>
      </c>
      <c r="Q331" s="0" t="n">
        <f aca="false">0.4*H331+0.4*I331+0.2*P331</f>
        <v>0.414850734501344</v>
      </c>
      <c r="R331" s="0" t="n">
        <f aca="false">PERCENTILE($Q$2:$Q$800,0.75)</f>
        <v>0.667715717403612</v>
      </c>
      <c r="S331" s="1" t="b">
        <f aca="false">OR(Q331&gt;=R331,AND(B331="CW",COUNT(J331:L331)&lt;3))</f>
        <v>0</v>
      </c>
      <c r="T331" s="0" t="n">
        <v>0.275802500980556</v>
      </c>
      <c r="U331" s="0" t="n">
        <v>7.46472641298372</v>
      </c>
      <c r="V331" s="0" t="n">
        <v>0.414850734501344</v>
      </c>
      <c r="W331" s="0" t="n">
        <f aca="false">Q331-V331</f>
        <v>0</v>
      </c>
    </row>
    <row r="332" customFormat="false" ht="15" hidden="false" customHeight="false" outlineLevel="0" collapsed="false">
      <c r="A332" s="0" t="s">
        <v>366</v>
      </c>
      <c r="B332" s="0" t="s">
        <v>33</v>
      </c>
      <c r="C332" s="0" t="n">
        <v>6.44451193374542</v>
      </c>
      <c r="D332" s="0" t="n">
        <f aca="false">SUMPRODUCT(Risk_Inputs!B332:AJ332,Risk_Coefs!$B$2:$AJ$2)</f>
        <v>-0.608522980684753</v>
      </c>
      <c r="E332" s="0" t="n">
        <f aca="false">1/(1+EXP(-MAX(-25,MIN(25,D332))))</f>
        <v>0.352396199570543</v>
      </c>
      <c r="F332" s="0" t="n">
        <f aca="false">SUMPRODUCT(Risk_Inputs!B332:AJ332,Risk_Coefs!$B$3:$AJ$3)</f>
        <v>10.4278725399433</v>
      </c>
      <c r="G332" s="0" t="n">
        <f aca="false">MAX(0,F332)</f>
        <v>10.4278725399433</v>
      </c>
      <c r="H332" s="0" t="n">
        <f aca="false">(SUMPRODUCT(--ISNUMBER($E$2:$E$800),--($E$2:$E$800&lt;E332))+(SUMPRODUCT(--ISNUMBER($E$2:$E$800),--($E$2:$E$800=E332))+1)/2)/COUNT($E$2:$E$800)</f>
        <v>0.824780976220275</v>
      </c>
      <c r="I332" s="0" t="n">
        <f aca="false">(SUMPRODUCT(--ISNUMBER($G$2:$G$800),--($G$2:$G$800&lt;G332))+(SUMPRODUCT(--ISNUMBER($G$2:$G$800),--($G$2:$G$800=G332))+1)/2)/COUNT($G$2:$G$800)</f>
        <v>0.832290362953692</v>
      </c>
      <c r="M332" s="0" t="n">
        <f aca="false">IF(OR(B332="NW",COUNT(Risk_Rank_Keys!B332)=0),0.5,(SUMPRODUCT(--ISNUMBER(Risk_Rank_Keys!$B$2:$B$800),--(Risk_Rank_Keys!$B$2:$B$800&lt;Risk_Rank_Keys!B332))+(SUMPRODUCT(--ISNUMBER(Risk_Rank_Keys!$B$2:$B$800),--(Risk_Rank_Keys!$B$2:$B$800=Risk_Rank_Keys!B332))+1)/2)/COUNT(Risk_Rank_Keys!$B$2:$B$800))</f>
        <v>0.5</v>
      </c>
      <c r="N332" s="0" t="n">
        <f aca="false">IF(OR(B332="NW",COUNT(Risk_Rank_Keys!C332)=0),0.5,(SUMPRODUCT(--ISNUMBER(Risk_Rank_Keys!$C$2:$C$800),--(Risk_Rank_Keys!$C$2:$C$800&lt;Risk_Rank_Keys!C332))+(SUMPRODUCT(--ISNUMBER(Risk_Rank_Keys!$C$2:$C$800),--(Risk_Rank_Keys!$C$2:$C$800=Risk_Rank_Keys!C332))+1)/2)/COUNT(Risk_Rank_Keys!$C$2:$C$800))</f>
        <v>0.5</v>
      </c>
      <c r="O332" s="0" t="n">
        <f aca="false">IF(OR(B332="NW",COUNT(Risk_Rank_Keys!D332)=0),0.5,(SUMPRODUCT(--ISNUMBER(Risk_Rank_Keys!$D$2:$D$800),--(Risk_Rank_Keys!$D$2:$D$800&lt;Risk_Rank_Keys!D332))+(SUMPRODUCT(--ISNUMBER(Risk_Rank_Keys!$D$2:$D$800),--(Risk_Rank_Keys!$D$2:$D$800=Risk_Rank_Keys!D332))+1)/2)/COUNT(Risk_Rank_Keys!$D$2:$D$800))</f>
        <v>0.5</v>
      </c>
      <c r="P332" s="0" t="n">
        <f aca="false">AVERAGE(M332:O332)</f>
        <v>0.5</v>
      </c>
      <c r="Q332" s="0" t="n">
        <f aca="false">0.4*H332+0.4*I332+0.2*P332</f>
        <v>0.762828535669587</v>
      </c>
      <c r="R332" s="0" t="n">
        <f aca="false">PERCENTILE($Q$2:$Q$800,0.75)</f>
        <v>0.667715717403612</v>
      </c>
      <c r="S332" s="1" t="b">
        <f aca="false">OR(Q332&gt;=R332,AND(B332="CW",COUNT(J332:L332)&lt;3))</f>
        <v>1</v>
      </c>
      <c r="T332" s="0" t="n">
        <v>0.352396199570543</v>
      </c>
      <c r="U332" s="0" t="n">
        <v>10.4278725399433</v>
      </c>
      <c r="V332" s="0" t="n">
        <v>0.762828535669587</v>
      </c>
      <c r="W332" s="0" t="n">
        <f aca="false">Q332-V332</f>
        <v>0</v>
      </c>
    </row>
    <row r="333" customFormat="false" ht="15" hidden="false" customHeight="false" outlineLevel="0" collapsed="false">
      <c r="A333" s="0" t="s">
        <v>367</v>
      </c>
      <c r="B333" s="0" t="s">
        <v>3013</v>
      </c>
      <c r="C333" s="0" t="n">
        <v>16.3510190488595</v>
      </c>
      <c r="D333" s="0" t="n">
        <f aca="false">SUMPRODUCT(Risk_Inputs!B333:AJ333,Risk_Coefs!$B$2:$AJ$2)</f>
        <v>-1.66914578100353</v>
      </c>
      <c r="E333" s="0" t="n">
        <f aca="false">1/(1+EXP(-MAX(-25,MIN(25,D333))))</f>
        <v>0.158538101644876</v>
      </c>
      <c r="F333" s="0" t="n">
        <f aca="false">SUMPRODUCT(Risk_Inputs!B333:AJ333,Risk_Coefs!$B$3:$AJ$3)</f>
        <v>2.46452738249412</v>
      </c>
      <c r="G333" s="0" t="n">
        <f aca="false">MAX(0,F333)</f>
        <v>2.46452738249412</v>
      </c>
      <c r="H333" s="0" t="n">
        <f aca="false">(SUMPRODUCT(--ISNUMBER($E$2:$E$800),--($E$2:$E$800&lt;E333))+(SUMPRODUCT(--ISNUMBER($E$2:$E$800),--($E$2:$E$800=E333))+1)/2)/COUNT($E$2:$E$800)</f>
        <v>0.032540675844806</v>
      </c>
      <c r="I333" s="0" t="n">
        <f aca="false">(SUMPRODUCT(--ISNUMBER($G$2:$G$800),--($G$2:$G$800&lt;G333))+(SUMPRODUCT(--ISNUMBER($G$2:$G$800),--($G$2:$G$800=G333))+1)/2)/COUNT($G$2:$G$800)</f>
        <v>0.0150187734668335</v>
      </c>
      <c r="J333" s="0" t="n">
        <v>12.7716853171519</v>
      </c>
      <c r="K333" s="0" t="n">
        <v>32.3789692868298</v>
      </c>
      <c r="L333" s="0" t="n">
        <v>0.416449765747005</v>
      </c>
      <c r="M333" s="0" t="n">
        <f aca="false">IF(OR(B333="NW",COUNT(Risk_Rank_Keys!B333)=0),0.5,(SUMPRODUCT(--ISNUMBER(Risk_Rank_Keys!$B$2:$B$800),--(Risk_Rank_Keys!$B$2:$B$800&lt;Risk_Rank_Keys!B333))+(SUMPRODUCT(--ISNUMBER(Risk_Rank_Keys!$B$2:$B$800),--(Risk_Rank_Keys!$B$2:$B$800=Risk_Rank_Keys!B333))+1)/2)/COUNT(Risk_Rank_Keys!$B$2:$B$800))</f>
        <v>0.626220362622036</v>
      </c>
      <c r="N333" s="0" t="n">
        <f aca="false">IF(OR(B333="NW",COUNT(Risk_Rank_Keys!C333)=0),0.5,(SUMPRODUCT(--ISNUMBER(Risk_Rank_Keys!$C$2:$C$800),--(Risk_Rank_Keys!$C$2:$C$800&lt;Risk_Rank_Keys!C333))+(SUMPRODUCT(--ISNUMBER(Risk_Rank_Keys!$C$2:$C$800),--(Risk_Rank_Keys!$C$2:$C$800=Risk_Rank_Keys!C333))+1)/2)/COUNT(Risk_Rank_Keys!$C$2:$C$800))</f>
        <v>0.99581589958159</v>
      </c>
      <c r="O333" s="0" t="n">
        <f aca="false">IF(OR(B333="NW",COUNT(Risk_Rank_Keys!D333)=0),0.5,(SUMPRODUCT(--ISNUMBER(Risk_Rank_Keys!$D$2:$D$800),--(Risk_Rank_Keys!$D$2:$D$800&lt;Risk_Rank_Keys!D333))+(SUMPRODUCT(--ISNUMBER(Risk_Rank_Keys!$D$2:$D$800),--(Risk_Rank_Keys!$D$2:$D$800=Risk_Rank_Keys!D333))+1)/2)/COUNT(Risk_Rank_Keys!$D$2:$D$800))</f>
        <v>0.894002789400279</v>
      </c>
      <c r="P333" s="0" t="n">
        <f aca="false">AVERAGE(M333:O333)</f>
        <v>0.838679683867968</v>
      </c>
      <c r="Q333" s="0" t="n">
        <f aca="false">0.4*H333+0.4*I333+0.2*P333</f>
        <v>0.18675971649825</v>
      </c>
      <c r="R333" s="0" t="n">
        <f aca="false">PERCENTILE($Q$2:$Q$800,0.75)</f>
        <v>0.667715717403612</v>
      </c>
      <c r="S333" s="1" t="b">
        <f aca="false">OR(Q333&gt;=R333,AND(B333="CW",COUNT(J333:L333)&lt;3))</f>
        <v>0</v>
      </c>
      <c r="T333" s="0" t="n">
        <v>0.158538101644876</v>
      </c>
      <c r="U333" s="0" t="n">
        <v>2.46452738249412</v>
      </c>
      <c r="V333" s="0" t="n">
        <v>0.18675971649825</v>
      </c>
      <c r="W333" s="0" t="n">
        <f aca="false">Q333-V333</f>
        <v>0</v>
      </c>
    </row>
    <row r="334" customFormat="false" ht="15" hidden="false" customHeight="false" outlineLevel="0" collapsed="false">
      <c r="A334" s="0" t="s">
        <v>368</v>
      </c>
      <c r="B334" s="0" t="s">
        <v>3013</v>
      </c>
      <c r="C334" s="0" t="n">
        <v>46.4337309949622</v>
      </c>
      <c r="D334" s="0" t="n">
        <f aca="false">SUMPRODUCT(Risk_Inputs!B334:AJ334,Risk_Coefs!$B$2:$AJ$2)</f>
        <v>-1.692392882041</v>
      </c>
      <c r="E334" s="0" t="n">
        <f aca="false">1/(1+EXP(-MAX(-25,MIN(25,D334))))</f>
        <v>0.155461411998625</v>
      </c>
      <c r="F334" s="0" t="n">
        <f aca="false">SUMPRODUCT(Risk_Inputs!B334:AJ334,Risk_Coefs!$B$3:$AJ$3)</f>
        <v>5.34124410095931</v>
      </c>
      <c r="G334" s="0" t="n">
        <f aca="false">MAX(0,F334)</f>
        <v>5.34124410095931</v>
      </c>
      <c r="H334" s="0" t="n">
        <f aca="false">(SUMPRODUCT(--ISNUMBER($E$2:$E$800),--($E$2:$E$800&lt;E334))+(SUMPRODUCT(--ISNUMBER($E$2:$E$800),--($E$2:$E$800=E334))+1)/2)/COUNT($E$2:$E$800)</f>
        <v>0.0300375469336671</v>
      </c>
      <c r="I334" s="0" t="n">
        <f aca="false">(SUMPRODUCT(--ISNUMBER($G$2:$G$800),--($G$2:$G$800&lt;G334))+(SUMPRODUCT(--ISNUMBER($G$2:$G$800),--($G$2:$G$800=G334))+1)/2)/COUNT($G$2:$G$800)</f>
        <v>0.181476846057572</v>
      </c>
      <c r="J334" s="0" t="n">
        <v>26.3453435449682</v>
      </c>
      <c r="K334" s="0" t="n">
        <v>15.2667723190702</v>
      </c>
      <c r="L334" s="0" t="n">
        <v>0.528262017960916</v>
      </c>
      <c r="M334" s="0" t="n">
        <f aca="false">IF(OR(B334="NW",COUNT(Risk_Rank_Keys!B334)=0),0.5,(SUMPRODUCT(--ISNUMBER(Risk_Rank_Keys!$B$2:$B$800),--(Risk_Rank_Keys!$B$2:$B$800&lt;Risk_Rank_Keys!B334))+(SUMPRODUCT(--ISNUMBER(Risk_Rank_Keys!$B$2:$B$800),--(Risk_Rank_Keys!$B$2:$B$800=Risk_Rank_Keys!B334))+1)/2)/COUNT(Risk_Rank_Keys!$B$2:$B$800))</f>
        <v>0.873082287308229</v>
      </c>
      <c r="N334" s="0" t="n">
        <f aca="false">IF(OR(B334="NW",COUNT(Risk_Rank_Keys!C334)=0),0.5,(SUMPRODUCT(--ISNUMBER(Risk_Rank_Keys!$C$2:$C$800),--(Risk_Rank_Keys!$C$2:$C$800&lt;Risk_Rank_Keys!C334))+(SUMPRODUCT(--ISNUMBER(Risk_Rank_Keys!$C$2:$C$800),--(Risk_Rank_Keys!$C$2:$C$800=Risk_Rank_Keys!C334))+1)/2)/COUNT(Risk_Rank_Keys!$C$2:$C$800))</f>
        <v>0.931659693165969</v>
      </c>
      <c r="O334" s="0" t="n">
        <f aca="false">IF(OR(B334="NW",COUNT(Risk_Rank_Keys!D334)=0),0.5,(SUMPRODUCT(--ISNUMBER(Risk_Rank_Keys!$D$2:$D$800),--(Risk_Rank_Keys!$D$2:$D$800&lt;Risk_Rank_Keys!D334))+(SUMPRODUCT(--ISNUMBER(Risk_Rank_Keys!$D$2:$D$800),--(Risk_Rank_Keys!$D$2:$D$800=Risk_Rank_Keys!D334))+1)/2)/COUNT(Risk_Rank_Keys!$D$2:$D$800))</f>
        <v>0.96373779637378</v>
      </c>
      <c r="P334" s="0" t="n">
        <f aca="false">AVERAGE(M334:O334)</f>
        <v>0.922826592282659</v>
      </c>
      <c r="Q334" s="0" t="n">
        <f aca="false">0.4*H334+0.4*I334+0.2*P334</f>
        <v>0.269171075653027</v>
      </c>
      <c r="R334" s="0" t="n">
        <f aca="false">PERCENTILE($Q$2:$Q$800,0.75)</f>
        <v>0.667715717403612</v>
      </c>
      <c r="S334" s="1" t="b">
        <f aca="false">OR(Q334&gt;=R334,AND(B334="CW",COUNT(J334:L334)&lt;3))</f>
        <v>0</v>
      </c>
      <c r="T334" s="0" t="n">
        <v>0.155461411998625</v>
      </c>
      <c r="U334" s="0" t="n">
        <v>5.34124410095931</v>
      </c>
      <c r="V334" s="0" t="n">
        <v>0.269171075653027</v>
      </c>
      <c r="W334" s="0" t="n">
        <f aca="false">Q334-V334</f>
        <v>0</v>
      </c>
    </row>
    <row r="335" customFormat="false" ht="15" hidden="false" customHeight="false" outlineLevel="0" collapsed="false">
      <c r="A335" s="0" t="s">
        <v>369</v>
      </c>
      <c r="B335" s="0" t="s">
        <v>3013</v>
      </c>
      <c r="C335" s="0" t="n">
        <v>2.97632983062091</v>
      </c>
      <c r="D335" s="0" t="n">
        <f aca="false">SUMPRODUCT(Risk_Inputs!B335:AJ335,Risk_Coefs!$B$2:$AJ$2)</f>
        <v>-0.506543078854901</v>
      </c>
      <c r="E335" s="0" t="n">
        <f aca="false">1/(1+EXP(-MAX(-25,MIN(25,D335))))</f>
        <v>0.376004257525926</v>
      </c>
      <c r="F335" s="0" t="n">
        <f aca="false">SUMPRODUCT(Risk_Inputs!B335:AJ335,Risk_Coefs!$B$3:$AJ$3)</f>
        <v>10.9234875775157</v>
      </c>
      <c r="G335" s="0" t="n">
        <f aca="false">MAX(0,F335)</f>
        <v>10.9234875775157</v>
      </c>
      <c r="H335" s="0" t="n">
        <f aca="false">(SUMPRODUCT(--ISNUMBER($E$2:$E$800),--($E$2:$E$800&lt;E335))+(SUMPRODUCT(--ISNUMBER($E$2:$E$800),--($E$2:$E$800=E335))+1)/2)/COUNT($E$2:$E$800)</f>
        <v>0.888610763454318</v>
      </c>
      <c r="I335" s="0" t="n">
        <f aca="false">(SUMPRODUCT(--ISNUMBER($G$2:$G$800),--($G$2:$G$800&lt;G335))+(SUMPRODUCT(--ISNUMBER($G$2:$G$800),--($G$2:$G$800=G335))+1)/2)/COUNT($G$2:$G$800)</f>
        <v>0.873591989987484</v>
      </c>
      <c r="J335" s="0" t="n">
        <v>3.03454135666269</v>
      </c>
      <c r="K335" s="0" t="n">
        <v>0.574262594622826</v>
      </c>
      <c r="L335" s="0" t="n">
        <v>0.1827199164709</v>
      </c>
      <c r="M335" s="0" t="n">
        <f aca="false">IF(OR(B335="NW",COUNT(Risk_Rank_Keys!B335)=0),0.5,(SUMPRODUCT(--ISNUMBER(Risk_Rank_Keys!$B$2:$B$800),--(Risk_Rank_Keys!$B$2:$B$800&lt;Risk_Rank_Keys!B335))+(SUMPRODUCT(--ISNUMBER(Risk_Rank_Keys!$B$2:$B$800),--(Risk_Rank_Keys!$B$2:$B$800=Risk_Rank_Keys!B335))+1)/2)/COUNT(Risk_Rank_Keys!$B$2:$B$800))</f>
        <v>0.0264993026499303</v>
      </c>
      <c r="N335" s="0" t="n">
        <f aca="false">IF(OR(B335="NW",COUNT(Risk_Rank_Keys!C335)=0),0.5,(SUMPRODUCT(--ISNUMBER(Risk_Rank_Keys!$C$2:$C$800),--(Risk_Rank_Keys!$C$2:$C$800&lt;Risk_Rank_Keys!C335))+(SUMPRODUCT(--ISNUMBER(Risk_Rank_Keys!$C$2:$C$800),--(Risk_Rank_Keys!$C$2:$C$800=Risk_Rank_Keys!C335))+1)/2)/COUNT(Risk_Rank_Keys!$C$2:$C$800))</f>
        <v>0.00418410041841004</v>
      </c>
      <c r="O335" s="0" t="n">
        <f aca="false">IF(OR(B335="NW",COUNT(Risk_Rank_Keys!D335)=0),0.5,(SUMPRODUCT(--ISNUMBER(Risk_Rank_Keys!$D$2:$D$800),--(Risk_Rank_Keys!$D$2:$D$800&lt;Risk_Rank_Keys!D335))+(SUMPRODUCT(--ISNUMBER(Risk_Rank_Keys!$D$2:$D$800),--(Risk_Rank_Keys!$D$2:$D$800=Risk_Rank_Keys!D335))+1)/2)/COUNT(Risk_Rank_Keys!$D$2:$D$800))</f>
        <v>0.221757322175732</v>
      </c>
      <c r="P335" s="0" t="n">
        <f aca="false">AVERAGE(M335:O335)</f>
        <v>0.0841469084146908</v>
      </c>
      <c r="Q335" s="0" t="n">
        <f aca="false">0.4*H335+0.4*I335+0.2*P335</f>
        <v>0.721710483059659</v>
      </c>
      <c r="R335" s="0" t="n">
        <f aca="false">PERCENTILE($Q$2:$Q$800,0.75)</f>
        <v>0.667715717403612</v>
      </c>
      <c r="S335" s="1" t="b">
        <f aca="false">OR(Q335&gt;=R335,AND(B335="CW",COUNT(J335:L335)&lt;3))</f>
        <v>1</v>
      </c>
      <c r="T335" s="0" t="n">
        <v>0.376004257525926</v>
      </c>
      <c r="U335" s="0" t="n">
        <v>10.9234875775157</v>
      </c>
      <c r="V335" s="0" t="n">
        <v>0.721710483059659</v>
      </c>
      <c r="W335" s="0" t="n">
        <f aca="false">Q335-V335</f>
        <v>0</v>
      </c>
    </row>
    <row r="336" customFormat="false" ht="15" hidden="false" customHeight="false" outlineLevel="0" collapsed="false">
      <c r="A336" s="0" t="s">
        <v>370</v>
      </c>
      <c r="B336" s="0" t="s">
        <v>3013</v>
      </c>
      <c r="C336" s="0" t="n">
        <v>-5.02603977774557</v>
      </c>
      <c r="D336" s="0" t="n">
        <f aca="false">SUMPRODUCT(Risk_Inputs!B336:AJ336,Risk_Coefs!$B$2:$AJ$2)</f>
        <v>-0.716603605414516</v>
      </c>
      <c r="E336" s="0" t="n">
        <f aca="false">1/(1+EXP(-MAX(-25,MIN(25,D336))))</f>
        <v>0.328141330168278</v>
      </c>
      <c r="F336" s="0" t="n">
        <f aca="false">SUMPRODUCT(Risk_Inputs!B336:AJ336,Risk_Coefs!$B$3:$AJ$3)</f>
        <v>9.29894859820063</v>
      </c>
      <c r="G336" s="0" t="n">
        <f aca="false">MAX(0,F336)</f>
        <v>9.29894859820063</v>
      </c>
      <c r="H336" s="0" t="n">
        <f aca="false">(SUMPRODUCT(--ISNUMBER($E$2:$E$800),--($E$2:$E$800&lt;E336))+(SUMPRODUCT(--ISNUMBER($E$2:$E$800),--($E$2:$E$800=E336))+1)/2)/COUNT($E$2:$E$800)</f>
        <v>0.72215269086358</v>
      </c>
      <c r="I336" s="0" t="n">
        <f aca="false">(SUMPRODUCT(--ISNUMBER($G$2:$G$800),--($G$2:$G$800&lt;G336))+(SUMPRODUCT(--ISNUMBER($G$2:$G$800),--($G$2:$G$800=G336))+1)/2)/COUNT($G$2:$G$800)</f>
        <v>0.713391739674593</v>
      </c>
      <c r="J336" s="0" t="n">
        <v>6.42087307339241</v>
      </c>
      <c r="K336" s="0" t="n">
        <v>2.28571428571429</v>
      </c>
      <c r="L336" s="0" t="n">
        <v>0.21052631578947</v>
      </c>
      <c r="M336" s="0" t="n">
        <f aca="false">IF(OR(B336="NW",COUNT(Risk_Rank_Keys!B336)=0),0.5,(SUMPRODUCT(--ISNUMBER(Risk_Rank_Keys!$B$2:$B$800),--(Risk_Rank_Keys!$B$2:$B$800&lt;Risk_Rank_Keys!B336))+(SUMPRODUCT(--ISNUMBER(Risk_Rank_Keys!$B$2:$B$800),--(Risk_Rank_Keys!$B$2:$B$800=Risk_Rank_Keys!B336))+1)/2)/COUNT(Risk_Rank_Keys!$B$2:$B$800))</f>
        <v>0.267782426778243</v>
      </c>
      <c r="N336" s="0" t="n">
        <f aca="false">IF(OR(B336="NW",COUNT(Risk_Rank_Keys!C336)=0),0.5,(SUMPRODUCT(--ISNUMBER(Risk_Rank_Keys!$C$2:$C$800),--(Risk_Rank_Keys!$C$2:$C$800&lt;Risk_Rank_Keys!C336))+(SUMPRODUCT(--ISNUMBER(Risk_Rank_Keys!$C$2:$C$800),--(Risk_Rank_Keys!$C$2:$C$800=Risk_Rank_Keys!C336))+1)/2)/COUNT(Risk_Rank_Keys!$C$2:$C$800))</f>
        <v>0.337517433751743</v>
      </c>
      <c r="O336" s="0" t="n">
        <f aca="false">IF(OR(B336="NW",COUNT(Risk_Rank_Keys!D336)=0),0.5,(SUMPRODUCT(--ISNUMBER(Risk_Rank_Keys!$D$2:$D$800),--(Risk_Rank_Keys!$D$2:$D$800&lt;Risk_Rank_Keys!D336))+(SUMPRODUCT(--ISNUMBER(Risk_Rank_Keys!$D$2:$D$800),--(Risk_Rank_Keys!$D$2:$D$800=Risk_Rank_Keys!D336))+1)/2)/COUNT(Risk_Rank_Keys!$D$2:$D$800))</f>
        <v>0.382147838214784</v>
      </c>
      <c r="P336" s="0" t="n">
        <f aca="false">AVERAGE(M336:O336)</f>
        <v>0.329149232914923</v>
      </c>
      <c r="Q336" s="0" t="n">
        <f aca="false">0.4*H336+0.4*I336+0.2*P336</f>
        <v>0.640047618798254</v>
      </c>
      <c r="R336" s="0" t="n">
        <f aca="false">PERCENTILE($Q$2:$Q$800,0.75)</f>
        <v>0.667715717403612</v>
      </c>
      <c r="S336" s="1" t="b">
        <f aca="false">OR(Q336&gt;=R336,AND(B336="CW",COUNT(J336:L336)&lt;3))</f>
        <v>0</v>
      </c>
      <c r="T336" s="0" t="n">
        <v>0.328141330168278</v>
      </c>
      <c r="U336" s="0" t="n">
        <v>9.29894859820063</v>
      </c>
      <c r="V336" s="0" t="n">
        <v>0.640047618798254</v>
      </c>
      <c r="W336" s="0" t="n">
        <f aca="false">Q336-V336</f>
        <v>0</v>
      </c>
    </row>
    <row r="337" customFormat="false" ht="15" hidden="false" customHeight="false" outlineLevel="0" collapsed="false">
      <c r="A337" s="0" t="s">
        <v>371</v>
      </c>
      <c r="B337" s="0" t="s">
        <v>3013</v>
      </c>
      <c r="C337" s="0" t="n">
        <v>32.4436770756751</v>
      </c>
      <c r="D337" s="0" t="n">
        <f aca="false">SUMPRODUCT(Risk_Inputs!B337:AJ337,Risk_Coefs!$B$2:$AJ$2)</f>
        <v>-0.964732872982369</v>
      </c>
      <c r="E337" s="0" t="n">
        <f aca="false">1/(1+EXP(-MAX(-25,MIN(25,D337))))</f>
        <v>0.275931596236441</v>
      </c>
      <c r="F337" s="0" t="n">
        <f aca="false">SUMPRODUCT(Risk_Inputs!B337:AJ337,Risk_Coefs!$B$3:$AJ$3)</f>
        <v>9.50015461098322</v>
      </c>
      <c r="G337" s="0" t="n">
        <f aca="false">MAX(0,F337)</f>
        <v>9.50015461098322</v>
      </c>
      <c r="H337" s="0" t="n">
        <f aca="false">(SUMPRODUCT(--ISNUMBER($E$2:$E$800),--($E$2:$E$800&lt;E337))+(SUMPRODUCT(--ISNUMBER($E$2:$E$800),--($E$2:$E$800=E337))+1)/2)/COUNT($E$2:$E$800)</f>
        <v>0.434292866082603</v>
      </c>
      <c r="I337" s="0" t="n">
        <f aca="false">(SUMPRODUCT(--ISNUMBER($G$2:$G$800),--($G$2:$G$800&lt;G337))+(SUMPRODUCT(--ISNUMBER($G$2:$G$800),--($G$2:$G$800=G337))+1)/2)/COUNT($G$2:$G$800)</f>
        <v>0.728410513141427</v>
      </c>
      <c r="J337" s="0" t="n">
        <v>8.38581409038827</v>
      </c>
      <c r="K337" s="0" t="n">
        <v>6.79475164011247</v>
      </c>
      <c r="L337" s="0" t="n">
        <v>0.328022492970948</v>
      </c>
      <c r="M337" s="0" t="n">
        <f aca="false">IF(OR(B337="NW",COUNT(Risk_Rank_Keys!B337)=0),0.5,(SUMPRODUCT(--ISNUMBER(Risk_Rank_Keys!$B$2:$B$800),--(Risk_Rank_Keys!$B$2:$B$800&lt;Risk_Rank_Keys!B337))+(SUMPRODUCT(--ISNUMBER(Risk_Rank_Keys!$B$2:$B$800),--(Risk_Rank_Keys!$B$2:$B$800=Risk_Rank_Keys!B337))+1)/2)/COUNT(Risk_Rank_Keys!$B$2:$B$800))</f>
        <v>0.407252440725244</v>
      </c>
      <c r="N337" s="0" t="n">
        <f aca="false">IF(OR(B337="NW",COUNT(Risk_Rank_Keys!C337)=0),0.5,(SUMPRODUCT(--ISNUMBER(Risk_Rank_Keys!$C$2:$C$800),--(Risk_Rank_Keys!$C$2:$C$800&lt;Risk_Rank_Keys!C337))+(SUMPRODUCT(--ISNUMBER(Risk_Rank_Keys!$C$2:$C$800),--(Risk_Rank_Keys!$C$2:$C$800=Risk_Rank_Keys!C337))+1)/2)/COUNT(Risk_Rank_Keys!$C$2:$C$800))</f>
        <v>0.776847977684798</v>
      </c>
      <c r="O337" s="0" t="n">
        <f aca="false">IF(OR(B337="NW",COUNT(Risk_Rank_Keys!D337)=0),0.5,(SUMPRODUCT(--ISNUMBER(Risk_Rank_Keys!$D$2:$D$800),--(Risk_Rank_Keys!$D$2:$D$800&lt;Risk_Rank_Keys!D337))+(SUMPRODUCT(--ISNUMBER(Risk_Rank_Keys!$D$2:$D$800),--(Risk_Rank_Keys!$D$2:$D$800=Risk_Rank_Keys!D337))+1)/2)/COUNT(Risk_Rank_Keys!$D$2:$D$800))</f>
        <v>0.792189679218968</v>
      </c>
      <c r="P337" s="0" t="n">
        <f aca="false">AVERAGE(M337:O337)</f>
        <v>0.658763365876337</v>
      </c>
      <c r="Q337" s="0" t="n">
        <f aca="false">0.4*H337+0.4*I337+0.2*P337</f>
        <v>0.596834024864879</v>
      </c>
      <c r="R337" s="0" t="n">
        <f aca="false">PERCENTILE($Q$2:$Q$800,0.75)</f>
        <v>0.667715717403612</v>
      </c>
      <c r="S337" s="1" t="b">
        <f aca="false">OR(Q337&gt;=R337,AND(B337="CW",COUNT(J337:L337)&lt;3))</f>
        <v>0</v>
      </c>
      <c r="T337" s="0" t="n">
        <v>0.275931596236441</v>
      </c>
      <c r="U337" s="0" t="n">
        <v>9.50015461098323</v>
      </c>
      <c r="V337" s="0" t="n">
        <v>0.596834024864879</v>
      </c>
      <c r="W337" s="0" t="n">
        <f aca="false">Q337-V337</f>
        <v>0</v>
      </c>
    </row>
    <row r="338" customFormat="false" ht="15" hidden="false" customHeight="false" outlineLevel="0" collapsed="false">
      <c r="A338" s="0" t="s">
        <v>372</v>
      </c>
      <c r="B338" s="0" t="s">
        <v>33</v>
      </c>
      <c r="C338" s="0" t="n">
        <v>28.1862199249569</v>
      </c>
      <c r="D338" s="0" t="n">
        <f aca="false">SUMPRODUCT(Risk_Inputs!B338:AJ338,Risk_Coefs!$B$2:$AJ$2)</f>
        <v>-0.559170726690944</v>
      </c>
      <c r="E338" s="0" t="n">
        <f aca="false">1/(1+EXP(-MAX(-25,MIN(25,D338))))</f>
        <v>0.363739359264373</v>
      </c>
      <c r="F338" s="0" t="n">
        <f aca="false">SUMPRODUCT(Risk_Inputs!B338:AJ338,Risk_Coefs!$B$3:$AJ$3)</f>
        <v>11.303639989524</v>
      </c>
      <c r="G338" s="0" t="n">
        <f aca="false">MAX(0,F338)</f>
        <v>11.303639989524</v>
      </c>
      <c r="H338" s="0" t="n">
        <f aca="false">(SUMPRODUCT(--ISNUMBER($E$2:$E$800),--($E$2:$E$800&lt;E338))+(SUMPRODUCT(--ISNUMBER($E$2:$E$800),--($E$2:$E$800=E338))+1)/2)/COUNT($E$2:$E$800)</f>
        <v>0.854818523153943</v>
      </c>
      <c r="I338" s="0" t="n">
        <f aca="false">(SUMPRODUCT(--ISNUMBER($G$2:$G$800),--($G$2:$G$800&lt;G338))+(SUMPRODUCT(--ISNUMBER($G$2:$G$800),--($G$2:$G$800=G338))+1)/2)/COUNT($G$2:$G$800)</f>
        <v>0.899874843554443</v>
      </c>
      <c r="M338" s="0" t="n">
        <f aca="false">IF(OR(B338="NW",COUNT(Risk_Rank_Keys!B338)=0),0.5,(SUMPRODUCT(--ISNUMBER(Risk_Rank_Keys!$B$2:$B$800),--(Risk_Rank_Keys!$B$2:$B$800&lt;Risk_Rank_Keys!B338))+(SUMPRODUCT(--ISNUMBER(Risk_Rank_Keys!$B$2:$B$800),--(Risk_Rank_Keys!$B$2:$B$800=Risk_Rank_Keys!B338))+1)/2)/COUNT(Risk_Rank_Keys!$B$2:$B$800))</f>
        <v>0.5</v>
      </c>
      <c r="N338" s="0" t="n">
        <f aca="false">IF(OR(B338="NW",COUNT(Risk_Rank_Keys!C338)=0),0.5,(SUMPRODUCT(--ISNUMBER(Risk_Rank_Keys!$C$2:$C$800),--(Risk_Rank_Keys!$C$2:$C$800&lt;Risk_Rank_Keys!C338))+(SUMPRODUCT(--ISNUMBER(Risk_Rank_Keys!$C$2:$C$800),--(Risk_Rank_Keys!$C$2:$C$800=Risk_Rank_Keys!C338))+1)/2)/COUNT(Risk_Rank_Keys!$C$2:$C$800))</f>
        <v>0.5</v>
      </c>
      <c r="O338" s="0" t="n">
        <f aca="false">IF(OR(B338="NW",COUNT(Risk_Rank_Keys!D338)=0),0.5,(SUMPRODUCT(--ISNUMBER(Risk_Rank_Keys!$D$2:$D$800),--(Risk_Rank_Keys!$D$2:$D$800&lt;Risk_Rank_Keys!D338))+(SUMPRODUCT(--ISNUMBER(Risk_Rank_Keys!$D$2:$D$800),--(Risk_Rank_Keys!$D$2:$D$800=Risk_Rank_Keys!D338))+1)/2)/COUNT(Risk_Rank_Keys!$D$2:$D$800))</f>
        <v>0.5</v>
      </c>
      <c r="P338" s="0" t="n">
        <f aca="false">AVERAGE(M338:O338)</f>
        <v>0.5</v>
      </c>
      <c r="Q338" s="0" t="n">
        <f aca="false">0.4*H338+0.4*I338+0.2*P338</f>
        <v>0.801877346683354</v>
      </c>
      <c r="R338" s="0" t="n">
        <f aca="false">PERCENTILE($Q$2:$Q$800,0.75)</f>
        <v>0.667715717403612</v>
      </c>
      <c r="S338" s="1" t="b">
        <f aca="false">OR(Q338&gt;=R338,AND(B338="CW",COUNT(J338:L338)&lt;3))</f>
        <v>1</v>
      </c>
      <c r="T338" s="0" t="n">
        <v>0.363739359264373</v>
      </c>
      <c r="U338" s="0" t="n">
        <v>11.303639989524</v>
      </c>
      <c r="V338" s="0" t="n">
        <v>0.801877346683354</v>
      </c>
      <c r="W338" s="0" t="n">
        <f aca="false">Q338-V338</f>
        <v>0</v>
      </c>
    </row>
    <row r="339" customFormat="false" ht="15" hidden="false" customHeight="false" outlineLevel="0" collapsed="false">
      <c r="A339" s="0" t="s">
        <v>373</v>
      </c>
      <c r="B339" s="0" t="s">
        <v>3013</v>
      </c>
      <c r="C339" s="0" t="n">
        <v>0.706541075170567</v>
      </c>
      <c r="D339" s="0" t="n">
        <f aca="false">SUMPRODUCT(Risk_Inputs!B339:AJ339,Risk_Coefs!$B$2:$AJ$2)</f>
        <v>-1.08283918961288</v>
      </c>
      <c r="E339" s="0" t="n">
        <f aca="false">1/(1+EXP(-MAX(-25,MIN(25,D339))))</f>
        <v>0.252969102503003</v>
      </c>
      <c r="F339" s="0" t="n">
        <f aca="false">SUMPRODUCT(Risk_Inputs!B339:AJ339,Risk_Coefs!$B$3:$AJ$3)</f>
        <v>6.25432374195283</v>
      </c>
      <c r="G339" s="0" t="n">
        <f aca="false">MAX(0,F339)</f>
        <v>6.25432374195283</v>
      </c>
      <c r="H339" s="0" t="n">
        <f aca="false">(SUMPRODUCT(--ISNUMBER($E$2:$E$800),--($E$2:$E$800&lt;E339))+(SUMPRODUCT(--ISNUMBER($E$2:$E$800),--($E$2:$E$800=E339))+1)/2)/COUNT($E$2:$E$800)</f>
        <v>0.285356695869837</v>
      </c>
      <c r="I339" s="0" t="n">
        <f aca="false">(SUMPRODUCT(--ISNUMBER($G$2:$G$800),--($G$2:$G$800&lt;G339))+(SUMPRODUCT(--ISNUMBER($G$2:$G$800),--($G$2:$G$800=G339))+1)/2)/COUNT($G$2:$G$800)</f>
        <v>0.304130162703379</v>
      </c>
      <c r="J339" s="0" t="n">
        <v>13.1220733964927</v>
      </c>
      <c r="K339" s="0" t="n">
        <v>1.7981072555205</v>
      </c>
      <c r="L339" s="0" t="n">
        <v>0.220820189274453</v>
      </c>
      <c r="M339" s="0" t="n">
        <f aca="false">IF(OR(B339="NW",COUNT(Risk_Rank_Keys!B339)=0),0.5,(SUMPRODUCT(--ISNUMBER(Risk_Rank_Keys!$B$2:$B$800),--(Risk_Rank_Keys!$B$2:$B$800&lt;Risk_Rank_Keys!B339))+(SUMPRODUCT(--ISNUMBER(Risk_Rank_Keys!$B$2:$B$800),--(Risk_Rank_Keys!$B$2:$B$800=Risk_Rank_Keys!B339))+1)/2)/COUNT(Risk_Rank_Keys!$B$2:$B$800))</f>
        <v>0.647140864714087</v>
      </c>
      <c r="N339" s="0" t="n">
        <f aca="false">IF(OR(B339="NW",COUNT(Risk_Rank_Keys!C339)=0),0.5,(SUMPRODUCT(--ISNUMBER(Risk_Rank_Keys!$C$2:$C$800),--(Risk_Rank_Keys!$C$2:$C$800&lt;Risk_Rank_Keys!C339))+(SUMPRODUCT(--ISNUMBER(Risk_Rank_Keys!$C$2:$C$800),--(Risk_Rank_Keys!$C$2:$C$800=Risk_Rank_Keys!C339))+1)/2)/COUNT(Risk_Rank_Keys!$C$2:$C$800))</f>
        <v>0.213389121338912</v>
      </c>
      <c r="O339" s="0" t="n">
        <f aca="false">IF(OR(B339="NW",COUNT(Risk_Rank_Keys!D339)=0),0.5,(SUMPRODUCT(--ISNUMBER(Risk_Rank_Keys!$D$2:$D$800),--(Risk_Rank_Keys!$D$2:$D$800&lt;Risk_Rank_Keys!D339))+(SUMPRODUCT(--ISNUMBER(Risk_Rank_Keys!$D$2:$D$800),--(Risk_Rank_Keys!$D$2:$D$800=Risk_Rank_Keys!D339))+1)/2)/COUNT(Risk_Rank_Keys!$D$2:$D$800))</f>
        <v>0.442119944211994</v>
      </c>
      <c r="P339" s="0" t="n">
        <f aca="false">AVERAGE(M339:O339)</f>
        <v>0.434216643421664</v>
      </c>
      <c r="Q339" s="0" t="n">
        <f aca="false">0.4*H339+0.4*I339+0.2*P339</f>
        <v>0.32263807211362</v>
      </c>
      <c r="R339" s="0" t="n">
        <f aca="false">PERCENTILE($Q$2:$Q$800,0.75)</f>
        <v>0.667715717403612</v>
      </c>
      <c r="S339" s="1" t="b">
        <f aca="false">OR(Q339&gt;=R339,AND(B339="CW",COUNT(J339:L339)&lt;3))</f>
        <v>0</v>
      </c>
      <c r="T339" s="0" t="n">
        <v>0.252969102503003</v>
      </c>
      <c r="U339" s="0" t="n">
        <v>6.25432374195283</v>
      </c>
      <c r="V339" s="0" t="n">
        <v>0.32263807211362</v>
      </c>
      <c r="W339" s="0" t="n">
        <f aca="false">Q339-V339</f>
        <v>0</v>
      </c>
    </row>
    <row r="340" customFormat="false" ht="15" hidden="false" customHeight="false" outlineLevel="0" collapsed="false">
      <c r="A340" s="0" t="s">
        <v>374</v>
      </c>
      <c r="B340" s="0" t="s">
        <v>3013</v>
      </c>
      <c r="C340" s="0" t="n">
        <v>22.078919813746</v>
      </c>
      <c r="D340" s="0" t="n">
        <f aca="false">SUMPRODUCT(Risk_Inputs!B340:AJ340,Risk_Coefs!$B$2:$AJ$2)</f>
        <v>-0.471065105078303</v>
      </c>
      <c r="E340" s="0" t="n">
        <f aca="false">1/(1+EXP(-MAX(-25,MIN(25,D340))))</f>
        <v>0.384364178522739</v>
      </c>
      <c r="F340" s="0" t="n">
        <f aca="false">SUMPRODUCT(Risk_Inputs!B340:AJ340,Risk_Coefs!$B$3:$AJ$3)</f>
        <v>11.2370759580416</v>
      </c>
      <c r="G340" s="0" t="n">
        <f aca="false">MAX(0,F340)</f>
        <v>11.2370759580416</v>
      </c>
      <c r="H340" s="0" t="n">
        <f aca="false">(SUMPRODUCT(--ISNUMBER($E$2:$E$800),--($E$2:$E$800&lt;E340))+(SUMPRODUCT(--ISNUMBER($E$2:$E$800),--($E$2:$E$800=E340))+1)/2)/COUNT($E$2:$E$800)</f>
        <v>0.913642052565707</v>
      </c>
      <c r="I340" s="0" t="n">
        <f aca="false">(SUMPRODUCT(--ISNUMBER($G$2:$G$800),--($G$2:$G$800&lt;G340))+(SUMPRODUCT(--ISNUMBER($G$2:$G$800),--($G$2:$G$800=G340))+1)/2)/COUNT($G$2:$G$800)</f>
        <v>0.894868585732165</v>
      </c>
      <c r="J340" s="0" t="n">
        <v>5.56809508676919</v>
      </c>
      <c r="K340" s="0" t="n">
        <v>3.47923681257013</v>
      </c>
      <c r="L340" s="0" t="n">
        <v>0.224466891133561</v>
      </c>
      <c r="M340" s="0" t="n">
        <f aca="false">IF(OR(B340="NW",COUNT(Risk_Rank_Keys!B340)=0),0.5,(SUMPRODUCT(--ISNUMBER(Risk_Rank_Keys!$B$2:$B$800),--(Risk_Rank_Keys!$B$2:$B$800&lt;Risk_Rank_Keys!B340))+(SUMPRODUCT(--ISNUMBER(Risk_Rank_Keys!$B$2:$B$800),--(Risk_Rank_Keys!$B$2:$B$800=Risk_Rank_Keys!B340))+1)/2)/COUNT(Risk_Rank_Keys!$B$2:$B$800))</f>
        <v>0.175732217573222</v>
      </c>
      <c r="N340" s="0" t="n">
        <f aca="false">IF(OR(B340="NW",COUNT(Risk_Rank_Keys!C340)=0),0.5,(SUMPRODUCT(--ISNUMBER(Risk_Rank_Keys!$C$2:$C$800),--(Risk_Rank_Keys!$C$2:$C$800&lt;Risk_Rank_Keys!C340))+(SUMPRODUCT(--ISNUMBER(Risk_Rank_Keys!$C$2:$C$800),--(Risk_Rank_Keys!$C$2:$C$800=Risk_Rank_Keys!C340))+1)/2)/COUNT(Risk_Rank_Keys!$C$2:$C$800))</f>
        <v>0.523012552301255</v>
      </c>
      <c r="O340" s="0" t="n">
        <f aca="false">IF(OR(B340="NW",COUNT(Risk_Rank_Keys!D340)=0),0.5,(SUMPRODUCT(--ISNUMBER(Risk_Rank_Keys!$D$2:$D$800),--(Risk_Rank_Keys!$D$2:$D$800&lt;Risk_Rank_Keys!D340))+(SUMPRODUCT(--ISNUMBER(Risk_Rank_Keys!$D$2:$D$800),--(Risk_Rank_Keys!$D$2:$D$800=Risk_Rank_Keys!D340))+1)/2)/COUNT(Risk_Rank_Keys!$D$2:$D$800))</f>
        <v>0.467224546722455</v>
      </c>
      <c r="P340" s="0" t="n">
        <f aca="false">AVERAGE(M340:O340)</f>
        <v>0.388656438865644</v>
      </c>
      <c r="Q340" s="0" t="n">
        <f aca="false">0.4*H340+0.4*I340+0.2*P340</f>
        <v>0.801135543092278</v>
      </c>
      <c r="R340" s="0" t="n">
        <f aca="false">PERCENTILE($Q$2:$Q$800,0.75)</f>
        <v>0.667715717403612</v>
      </c>
      <c r="S340" s="1" t="b">
        <f aca="false">OR(Q340&gt;=R340,AND(B340="CW",COUNT(J340:L340)&lt;3))</f>
        <v>1</v>
      </c>
      <c r="T340" s="0" t="n">
        <v>0.384364178522739</v>
      </c>
      <c r="U340" s="0" t="n">
        <v>11.2370759580416</v>
      </c>
      <c r="V340" s="0" t="n">
        <v>0.801135543092278</v>
      </c>
      <c r="W340" s="0" t="n">
        <f aca="false">Q340-V340</f>
        <v>0</v>
      </c>
    </row>
    <row r="341" customFormat="false" ht="15" hidden="false" customHeight="false" outlineLevel="0" collapsed="false">
      <c r="A341" s="0" t="s">
        <v>375</v>
      </c>
      <c r="B341" s="0" t="s">
        <v>33</v>
      </c>
      <c r="C341" s="0" t="n">
        <v>22.1452057973759</v>
      </c>
      <c r="D341" s="0" t="n">
        <f aca="false">SUMPRODUCT(Risk_Inputs!B341:AJ341,Risk_Coefs!$B$2:$AJ$2)</f>
        <v>-0.516399988716218</v>
      </c>
      <c r="E341" s="0" t="n">
        <f aca="false">1/(1+EXP(-MAX(-25,MIN(25,D341))))</f>
        <v>0.373694421317041</v>
      </c>
      <c r="F341" s="0" t="n">
        <f aca="false">SUMPRODUCT(Risk_Inputs!B341:AJ341,Risk_Coefs!$B$3:$AJ$3)</f>
        <v>10.9089028947656</v>
      </c>
      <c r="G341" s="0" t="n">
        <f aca="false">MAX(0,F341)</f>
        <v>10.9089028947656</v>
      </c>
      <c r="H341" s="0" t="n">
        <f aca="false">(SUMPRODUCT(--ISNUMBER($E$2:$E$800),--($E$2:$E$800&lt;E341))+(SUMPRODUCT(--ISNUMBER($E$2:$E$800),--($E$2:$E$800=E341))+1)/2)/COUNT($E$2:$E$800)</f>
        <v>0.88360450563204</v>
      </c>
      <c r="I341" s="0" t="n">
        <f aca="false">(SUMPRODUCT(--ISNUMBER($G$2:$G$800),--($G$2:$G$800&lt;G341))+(SUMPRODUCT(--ISNUMBER($G$2:$G$800),--($G$2:$G$800=G341))+1)/2)/COUNT($G$2:$G$800)</f>
        <v>0.871088861076345</v>
      </c>
      <c r="M341" s="0" t="n">
        <f aca="false">IF(OR(B341="NW",COUNT(Risk_Rank_Keys!B341)=0),0.5,(SUMPRODUCT(--ISNUMBER(Risk_Rank_Keys!$B$2:$B$800),--(Risk_Rank_Keys!$B$2:$B$800&lt;Risk_Rank_Keys!B341))+(SUMPRODUCT(--ISNUMBER(Risk_Rank_Keys!$B$2:$B$800),--(Risk_Rank_Keys!$B$2:$B$800=Risk_Rank_Keys!B341))+1)/2)/COUNT(Risk_Rank_Keys!$B$2:$B$800))</f>
        <v>0.5</v>
      </c>
      <c r="N341" s="0" t="n">
        <f aca="false">IF(OR(B341="NW",COUNT(Risk_Rank_Keys!C341)=0),0.5,(SUMPRODUCT(--ISNUMBER(Risk_Rank_Keys!$C$2:$C$800),--(Risk_Rank_Keys!$C$2:$C$800&lt;Risk_Rank_Keys!C341))+(SUMPRODUCT(--ISNUMBER(Risk_Rank_Keys!$C$2:$C$800),--(Risk_Rank_Keys!$C$2:$C$800=Risk_Rank_Keys!C341))+1)/2)/COUNT(Risk_Rank_Keys!$C$2:$C$800))</f>
        <v>0.5</v>
      </c>
      <c r="O341" s="0" t="n">
        <f aca="false">IF(OR(B341="NW",COUNT(Risk_Rank_Keys!D341)=0),0.5,(SUMPRODUCT(--ISNUMBER(Risk_Rank_Keys!$D$2:$D$800),--(Risk_Rank_Keys!$D$2:$D$800&lt;Risk_Rank_Keys!D341))+(SUMPRODUCT(--ISNUMBER(Risk_Rank_Keys!$D$2:$D$800),--(Risk_Rank_Keys!$D$2:$D$800=Risk_Rank_Keys!D341))+1)/2)/COUNT(Risk_Rank_Keys!$D$2:$D$800))</f>
        <v>0.5</v>
      </c>
      <c r="P341" s="0" t="n">
        <f aca="false">AVERAGE(M341:O341)</f>
        <v>0.5</v>
      </c>
      <c r="Q341" s="0" t="n">
        <f aca="false">0.4*H341+0.4*I341+0.2*P341</f>
        <v>0.801877346683354</v>
      </c>
      <c r="R341" s="0" t="n">
        <f aca="false">PERCENTILE($Q$2:$Q$800,0.75)</f>
        <v>0.667715717403612</v>
      </c>
      <c r="S341" s="1" t="b">
        <f aca="false">OR(Q341&gt;=R341,AND(B341="CW",COUNT(J341:L341)&lt;3))</f>
        <v>1</v>
      </c>
      <c r="T341" s="0" t="n">
        <v>0.373694421317041</v>
      </c>
      <c r="U341" s="0" t="n">
        <v>10.9089028947656</v>
      </c>
      <c r="V341" s="0" t="n">
        <v>0.801877346683354</v>
      </c>
      <c r="W341" s="0" t="n">
        <f aca="false">Q341-V341</f>
        <v>0</v>
      </c>
    </row>
    <row r="342" customFormat="false" ht="15" hidden="false" customHeight="false" outlineLevel="0" collapsed="false">
      <c r="A342" s="0" t="s">
        <v>376</v>
      </c>
      <c r="B342" s="0" t="s">
        <v>3013</v>
      </c>
      <c r="C342" s="0" t="n">
        <v>19.2982979019856</v>
      </c>
      <c r="D342" s="0" t="n">
        <f aca="false">SUMPRODUCT(Risk_Inputs!B342:AJ342,Risk_Coefs!$B$2:$AJ$2)</f>
        <v>-1.02926210192317</v>
      </c>
      <c r="E342" s="0" t="n">
        <f aca="false">1/(1+EXP(-MAX(-25,MIN(25,D342))))</f>
        <v>0.263227186107135</v>
      </c>
      <c r="F342" s="0" t="n">
        <f aca="false">SUMPRODUCT(Risk_Inputs!B342:AJ342,Risk_Coefs!$B$3:$AJ$3)</f>
        <v>4.13757140108644</v>
      </c>
      <c r="G342" s="0" t="n">
        <f aca="false">MAX(0,F342)</f>
        <v>4.13757140108644</v>
      </c>
      <c r="H342" s="0" t="n">
        <f aca="false">(SUMPRODUCT(--ISNUMBER($E$2:$E$800),--($E$2:$E$800&lt;E342))+(SUMPRODUCT(--ISNUMBER($E$2:$E$800),--($E$2:$E$800=E342))+1)/2)/COUNT($E$2:$E$800)</f>
        <v>0.356695869837297</v>
      </c>
      <c r="I342" s="0" t="n">
        <f aca="false">(SUMPRODUCT(--ISNUMBER($G$2:$G$800),--($G$2:$G$800&lt;G342))+(SUMPRODUCT(--ISNUMBER($G$2:$G$800),--($G$2:$G$800=G342))+1)/2)/COUNT($G$2:$G$800)</f>
        <v>0.0625782227784731</v>
      </c>
      <c r="J342" s="0" t="n">
        <v>6.32097353985511</v>
      </c>
      <c r="K342" s="0" t="n">
        <v>1.73770491803281</v>
      </c>
      <c r="L342" s="0" t="n">
        <v>0.131147540983608</v>
      </c>
      <c r="M342" s="0" t="n">
        <f aca="false">IF(OR(B342="NW",COUNT(Risk_Rank_Keys!B342)=0),0.5,(SUMPRODUCT(--ISNUMBER(Risk_Rank_Keys!$B$2:$B$800),--(Risk_Rank_Keys!$B$2:$B$800&lt;Risk_Rank_Keys!B342))+(SUMPRODUCT(--ISNUMBER(Risk_Rank_Keys!$B$2:$B$800),--(Risk_Rank_Keys!$B$2:$B$800=Risk_Rank_Keys!B342))+1)/2)/COUNT(Risk_Rank_Keys!$B$2:$B$800))</f>
        <v>0.252440725244073</v>
      </c>
      <c r="N342" s="0" t="n">
        <f aca="false">IF(OR(B342="NW",COUNT(Risk_Rank_Keys!C342)=0),0.5,(SUMPRODUCT(--ISNUMBER(Risk_Rank_Keys!$C$2:$C$800),--(Risk_Rank_Keys!$C$2:$C$800&lt;Risk_Rank_Keys!C342))+(SUMPRODUCT(--ISNUMBER(Risk_Rank_Keys!$C$2:$C$800),--(Risk_Rank_Keys!$C$2:$C$800=Risk_Rank_Keys!C342))+1)/2)/COUNT(Risk_Rank_Keys!$C$2:$C$800))</f>
        <v>0.199442119944212</v>
      </c>
      <c r="O342" s="0" t="n">
        <f aca="false">IF(OR(B342="NW",COUNT(Risk_Rank_Keys!D342)=0),0.5,(SUMPRODUCT(--ISNUMBER(Risk_Rank_Keys!$D$2:$D$800),--(Risk_Rank_Keys!$D$2:$D$800&lt;Risk_Rank_Keys!D342))+(SUMPRODUCT(--ISNUMBER(Risk_Rank_Keys!$D$2:$D$800),--(Risk_Rank_Keys!$D$2:$D$800=Risk_Rank_Keys!D342))+1)/2)/COUNT(Risk_Rank_Keys!$D$2:$D$800))</f>
        <v>0.0669456066945607</v>
      </c>
      <c r="P342" s="0" t="n">
        <f aca="false">AVERAGE(M342:O342)</f>
        <v>0.172942817294282</v>
      </c>
      <c r="Q342" s="0" t="n">
        <f aca="false">0.4*H342+0.4*I342+0.2*P342</f>
        <v>0.202298200505164</v>
      </c>
      <c r="R342" s="0" t="n">
        <f aca="false">PERCENTILE($Q$2:$Q$800,0.75)</f>
        <v>0.667715717403612</v>
      </c>
      <c r="S342" s="1" t="b">
        <f aca="false">OR(Q342&gt;=R342,AND(B342="CW",COUNT(J342:L342)&lt;3))</f>
        <v>0</v>
      </c>
      <c r="T342" s="0" t="n">
        <v>0.263227186107135</v>
      </c>
      <c r="U342" s="0" t="n">
        <v>4.13757140108644</v>
      </c>
      <c r="V342" s="0" t="n">
        <v>0.202298200505164</v>
      </c>
      <c r="W342" s="0" t="n">
        <f aca="false">Q342-V342</f>
        <v>0</v>
      </c>
    </row>
    <row r="343" customFormat="false" ht="15" hidden="false" customHeight="false" outlineLevel="0" collapsed="false">
      <c r="A343" s="0" t="s">
        <v>377</v>
      </c>
      <c r="B343" s="0" t="s">
        <v>3013</v>
      </c>
      <c r="C343" s="0" t="n">
        <v>16.73945354941</v>
      </c>
      <c r="D343" s="0" t="n">
        <f aca="false">SUMPRODUCT(Risk_Inputs!B343:AJ343,Risk_Coefs!$B$2:$AJ$2)</f>
        <v>-1.15119876118704</v>
      </c>
      <c r="E343" s="0" t="n">
        <f aca="false">1/(1+EXP(-MAX(-25,MIN(25,D343))))</f>
        <v>0.240270192545567</v>
      </c>
      <c r="F343" s="0" t="n">
        <f aca="false">SUMPRODUCT(Risk_Inputs!B343:AJ343,Risk_Coefs!$B$3:$AJ$3)</f>
        <v>6.16561924390862</v>
      </c>
      <c r="G343" s="0" t="n">
        <f aca="false">MAX(0,F343)</f>
        <v>6.16561924390862</v>
      </c>
      <c r="H343" s="0" t="n">
        <f aca="false">(SUMPRODUCT(--ISNUMBER($E$2:$E$800),--($E$2:$E$800&lt;E343))+(SUMPRODUCT(--ISNUMBER($E$2:$E$800),--($E$2:$E$800=E343))+1)/2)/COUNT($E$2:$E$800)</f>
        <v>0.224030037546934</v>
      </c>
      <c r="I343" s="0" t="n">
        <f aca="false">(SUMPRODUCT(--ISNUMBER($G$2:$G$800),--($G$2:$G$800&lt;G343))+(SUMPRODUCT(--ISNUMBER($G$2:$G$800),--($G$2:$G$800=G343))+1)/2)/COUNT($G$2:$G$800)</f>
        <v>0.285356695869837</v>
      </c>
      <c r="J343" s="0" t="n">
        <v>6.61856277234035</v>
      </c>
      <c r="K343" s="0" t="n">
        <v>2.74039637876193</v>
      </c>
      <c r="L343" s="0" t="n">
        <v>0.146806948862238</v>
      </c>
      <c r="M343" s="0" t="n">
        <f aca="false">IF(OR(B343="NW",COUNT(Risk_Rank_Keys!B343)=0),0.5,(SUMPRODUCT(--ISNUMBER(Risk_Rank_Keys!$B$2:$B$800),--(Risk_Rank_Keys!$B$2:$B$800&lt;Risk_Rank_Keys!B343))+(SUMPRODUCT(--ISNUMBER(Risk_Rank_Keys!$B$2:$B$800),--(Risk_Rank_Keys!$B$2:$B$800=Risk_Rank_Keys!B343))+1)/2)/COUNT(Risk_Rank_Keys!$B$2:$B$800))</f>
        <v>0.283124128312413</v>
      </c>
      <c r="N343" s="0" t="n">
        <f aca="false">IF(OR(B343="NW",COUNT(Risk_Rank_Keys!C343)=0),0.5,(SUMPRODUCT(--ISNUMBER(Risk_Rank_Keys!$C$2:$C$800),--(Risk_Rank_Keys!$C$2:$C$800&lt;Risk_Rank_Keys!C343))+(SUMPRODUCT(--ISNUMBER(Risk_Rank_Keys!$C$2:$C$800),--(Risk_Rank_Keys!$C$2:$C$800=Risk_Rank_Keys!C343))+1)/2)/COUNT(Risk_Rank_Keys!$C$2:$C$800))</f>
        <v>0.430962343096234</v>
      </c>
      <c r="O343" s="0" t="n">
        <f aca="false">IF(OR(B343="NW",COUNT(Risk_Rank_Keys!D343)=0),0.5,(SUMPRODUCT(--ISNUMBER(Risk_Rank_Keys!$D$2:$D$800),--(Risk_Rank_Keys!$D$2:$D$800&lt;Risk_Rank_Keys!D343))+(SUMPRODUCT(--ISNUMBER(Risk_Rank_Keys!$D$2:$D$800),--(Risk_Rank_Keys!$D$2:$D$800=Risk_Rank_Keys!D343))+1)/2)/COUNT(Risk_Rank_Keys!$D$2:$D$800))</f>
        <v>0.100418410041841</v>
      </c>
      <c r="P343" s="0" t="n">
        <f aca="false">AVERAGE(M343:O343)</f>
        <v>0.271501627150163</v>
      </c>
      <c r="Q343" s="0" t="n">
        <f aca="false">0.4*H343+0.4*I343+0.2*P343</f>
        <v>0.258055018796741</v>
      </c>
      <c r="R343" s="0" t="n">
        <f aca="false">PERCENTILE($Q$2:$Q$800,0.75)</f>
        <v>0.667715717403612</v>
      </c>
      <c r="S343" s="1" t="b">
        <f aca="false">OR(Q343&gt;=R343,AND(B343="CW",COUNT(J343:L343)&lt;3))</f>
        <v>0</v>
      </c>
      <c r="T343" s="0" t="n">
        <v>0.240270192545568</v>
      </c>
      <c r="U343" s="0" t="n">
        <v>6.16561924390862</v>
      </c>
      <c r="V343" s="0" t="n">
        <v>0.258055018796741</v>
      </c>
      <c r="W343" s="0" t="n">
        <f aca="false">Q343-V343</f>
        <v>0</v>
      </c>
    </row>
    <row r="344" customFormat="false" ht="15" hidden="false" customHeight="false" outlineLevel="0" collapsed="false">
      <c r="A344" s="0" t="s">
        <v>378</v>
      </c>
      <c r="B344" s="0" t="s">
        <v>3013</v>
      </c>
      <c r="C344" s="0" t="n">
        <v>-0.742087724903248</v>
      </c>
      <c r="D344" s="0" t="n">
        <f aca="false">SUMPRODUCT(Risk_Inputs!B344:AJ344,Risk_Coefs!$B$2:$AJ$2)</f>
        <v>-0.813520563897797</v>
      </c>
      <c r="E344" s="0" t="n">
        <f aca="false">1/(1+EXP(-MAX(-25,MIN(25,D344))))</f>
        <v>0.307140792695804</v>
      </c>
      <c r="F344" s="0" t="n">
        <f aca="false">SUMPRODUCT(Risk_Inputs!B344:AJ344,Risk_Coefs!$B$3:$AJ$3)</f>
        <v>4.82755637401482</v>
      </c>
      <c r="G344" s="0" t="n">
        <f aca="false">MAX(0,F344)</f>
        <v>4.82755637401482</v>
      </c>
      <c r="H344" s="0" t="n">
        <f aca="false">(SUMPRODUCT(--ISNUMBER($E$2:$E$800),--($E$2:$E$800&lt;E344))+(SUMPRODUCT(--ISNUMBER($E$2:$E$800),--($E$2:$E$800=E344))+1)/2)/COUNT($E$2:$E$800)</f>
        <v>0.603254067584481</v>
      </c>
      <c r="I344" s="0" t="n">
        <f aca="false">(SUMPRODUCT(--ISNUMBER($G$2:$G$800),--($G$2:$G$800&lt;G344))+(SUMPRODUCT(--ISNUMBER($G$2:$G$800),--($G$2:$G$800=G344))+1)/2)/COUNT($G$2:$G$800)</f>
        <v>0.11514392991239</v>
      </c>
      <c r="J344" s="0" t="n">
        <v>6.29579991785619</v>
      </c>
      <c r="K344" s="0" t="n">
        <v>2.93775450843514</v>
      </c>
      <c r="L344" s="0" t="n">
        <v>0.232693426410707</v>
      </c>
      <c r="M344" s="0" t="n">
        <f aca="false">IF(OR(B344="NW",COUNT(Risk_Rank_Keys!B344)=0),0.5,(SUMPRODUCT(--ISNUMBER(Risk_Rank_Keys!$B$2:$B$800),--(Risk_Rank_Keys!$B$2:$B$800&lt;Risk_Rank_Keys!B344))+(SUMPRODUCT(--ISNUMBER(Risk_Rank_Keys!$B$2:$B$800),--(Risk_Rank_Keys!$B$2:$B$800=Risk_Rank_Keys!B344))+1)/2)/COUNT(Risk_Rank_Keys!$B$2:$B$800))</f>
        <v>0.249651324965133</v>
      </c>
      <c r="N344" s="0" t="n">
        <f aca="false">IF(OR(B344="NW",COUNT(Risk_Rank_Keys!C344)=0),0.5,(SUMPRODUCT(--ISNUMBER(Risk_Rank_Keys!$C$2:$C$800),--(Risk_Rank_Keys!$C$2:$C$800&lt;Risk_Rank_Keys!C344))+(SUMPRODUCT(--ISNUMBER(Risk_Rank_Keys!$C$2:$C$800),--(Risk_Rank_Keys!$C$2:$C$800=Risk_Rank_Keys!C344))+1)/2)/COUNT(Risk_Rank_Keys!$C$2:$C$800))</f>
        <v>0.463040446304045</v>
      </c>
      <c r="O344" s="0" t="n">
        <f aca="false">IF(OR(B344="NW",COUNT(Risk_Rank_Keys!D344)=0),0.5,(SUMPRODUCT(--ISNUMBER(Risk_Rank_Keys!$D$2:$D$800),--(Risk_Rank_Keys!$D$2:$D$800&lt;Risk_Rank_Keys!D344))+(SUMPRODUCT(--ISNUMBER(Risk_Rank_Keys!$D$2:$D$800),--(Risk_Rank_Keys!$D$2:$D$800=Risk_Rank_Keys!D344))+1)/2)/COUNT(Risk_Rank_Keys!$D$2:$D$800))</f>
        <v>0.51255230125523</v>
      </c>
      <c r="P344" s="0" t="n">
        <f aca="false">AVERAGE(M344:O344)</f>
        <v>0.408414690841469</v>
      </c>
      <c r="Q344" s="0" t="n">
        <f aca="false">0.4*H344+0.4*I344+0.2*P344</f>
        <v>0.369042137167042</v>
      </c>
      <c r="R344" s="0" t="n">
        <f aca="false">PERCENTILE($Q$2:$Q$800,0.75)</f>
        <v>0.667715717403612</v>
      </c>
      <c r="S344" s="1" t="b">
        <f aca="false">OR(Q344&gt;=R344,AND(B344="CW",COUNT(J344:L344)&lt;3))</f>
        <v>0</v>
      </c>
      <c r="T344" s="0" t="n">
        <v>0.307140792695804</v>
      </c>
      <c r="U344" s="0" t="n">
        <v>4.82755637401482</v>
      </c>
      <c r="V344" s="0" t="n">
        <v>0.369042137167042</v>
      </c>
      <c r="W344" s="0" t="n">
        <f aca="false">Q344-V344</f>
        <v>0</v>
      </c>
    </row>
    <row r="345" customFormat="false" ht="15" hidden="false" customHeight="false" outlineLevel="0" collapsed="false">
      <c r="A345" s="0" t="s">
        <v>379</v>
      </c>
      <c r="B345" s="0" t="s">
        <v>3013</v>
      </c>
      <c r="C345" s="0" t="n">
        <v>30.9465426088834</v>
      </c>
      <c r="D345" s="0" t="n">
        <f aca="false">SUMPRODUCT(Risk_Inputs!B345:AJ345,Risk_Coefs!$B$2:$AJ$2)</f>
        <v>-1.16306398269458</v>
      </c>
      <c r="E345" s="0" t="n">
        <f aca="false">1/(1+EXP(-MAX(-25,MIN(25,D345))))</f>
        <v>0.238110989403279</v>
      </c>
      <c r="F345" s="0" t="n">
        <f aca="false">SUMPRODUCT(Risk_Inputs!B345:AJ345,Risk_Coefs!$B$3:$AJ$3)</f>
        <v>5.1880783885628</v>
      </c>
      <c r="G345" s="0" t="n">
        <f aca="false">MAX(0,F345)</f>
        <v>5.1880783885628</v>
      </c>
      <c r="H345" s="0" t="n">
        <f aca="false">(SUMPRODUCT(--ISNUMBER($E$2:$E$800),--($E$2:$E$800&lt;E345))+(SUMPRODUCT(--ISNUMBER($E$2:$E$800),--($E$2:$E$800=E345))+1)/2)/COUNT($E$2:$E$800)</f>
        <v>0.214017521902378</v>
      </c>
      <c r="I345" s="0" t="n">
        <f aca="false">(SUMPRODUCT(--ISNUMBER($G$2:$G$800),--($G$2:$G$800&lt;G345))+(SUMPRODUCT(--ISNUMBER($G$2:$G$800),--($G$2:$G$800=G345))+1)/2)/COUNT($G$2:$G$800)</f>
        <v>0.160200250312891</v>
      </c>
      <c r="J345" s="0" t="n">
        <v>7.3362445414855</v>
      </c>
      <c r="K345" s="0" t="n">
        <v>3.4253408713003</v>
      </c>
      <c r="L345" s="0" t="n">
        <v>0.133022946458266</v>
      </c>
      <c r="M345" s="0" t="n">
        <f aca="false">IF(OR(B345="NW",COUNT(Risk_Rank_Keys!B345)=0),0.5,(SUMPRODUCT(--ISNUMBER(Risk_Rank_Keys!$B$2:$B$800),--(Risk_Rank_Keys!$B$2:$B$800&lt;Risk_Rank_Keys!B345))+(SUMPRODUCT(--ISNUMBER(Risk_Rank_Keys!$B$2:$B$800),--(Risk_Rank_Keys!$B$2:$B$800=Risk_Rank_Keys!B345))+1)/2)/COUNT(Risk_Rank_Keys!$B$2:$B$800))</f>
        <v>0.340306834030683</v>
      </c>
      <c r="N345" s="0" t="n">
        <f aca="false">IF(OR(B345="NW",COUNT(Risk_Rank_Keys!C345)=0),0.5,(SUMPRODUCT(--ISNUMBER(Risk_Rank_Keys!$C$2:$C$800),--(Risk_Rank_Keys!$C$2:$C$800&lt;Risk_Rank_Keys!C345))+(SUMPRODUCT(--ISNUMBER(Risk_Rank_Keys!$C$2:$C$800),--(Risk_Rank_Keys!$C$2:$C$800=Risk_Rank_Keys!C345))+1)/2)/COUNT(Risk_Rank_Keys!$C$2:$C$800))</f>
        <v>0.520223152022315</v>
      </c>
      <c r="O345" s="0" t="n">
        <f aca="false">IF(OR(B345="NW",COUNT(Risk_Rank_Keys!D345)=0),0.5,(SUMPRODUCT(--ISNUMBER(Risk_Rank_Keys!$D$2:$D$800),--(Risk_Rank_Keys!$D$2:$D$800&lt;Risk_Rank_Keys!D345))+(SUMPRODUCT(--ISNUMBER(Risk_Rank_Keys!$D$2:$D$800),--(Risk_Rank_Keys!$D$2:$D$800=Risk_Rank_Keys!D345))+1)/2)/COUNT(Risk_Rank_Keys!$D$2:$D$800))</f>
        <v>0.0697350069735007</v>
      </c>
      <c r="P345" s="0" t="n">
        <f aca="false">AVERAGE(M345:O345)</f>
        <v>0.310088331008833</v>
      </c>
      <c r="Q345" s="0" t="n">
        <f aca="false">0.4*H345+0.4*I345+0.2*P345</f>
        <v>0.211704775087874</v>
      </c>
      <c r="R345" s="0" t="n">
        <f aca="false">PERCENTILE($Q$2:$Q$800,0.75)</f>
        <v>0.667715717403612</v>
      </c>
      <c r="S345" s="1" t="b">
        <f aca="false">OR(Q345&gt;=R345,AND(B345="CW",COUNT(J345:L345)&lt;3))</f>
        <v>0</v>
      </c>
      <c r="T345" s="0" t="n">
        <v>0.238110989403279</v>
      </c>
      <c r="U345" s="0" t="n">
        <v>5.1880783885628</v>
      </c>
      <c r="V345" s="0" t="n">
        <v>0.211704775087874</v>
      </c>
      <c r="W345" s="0" t="n">
        <f aca="false">Q345-V345</f>
        <v>0</v>
      </c>
    </row>
    <row r="346" customFormat="false" ht="15" hidden="false" customHeight="false" outlineLevel="0" collapsed="false">
      <c r="A346" s="0" t="s">
        <v>380</v>
      </c>
      <c r="B346" s="0" t="s">
        <v>3013</v>
      </c>
      <c r="C346" s="0" t="n">
        <v>15.5778902639064</v>
      </c>
      <c r="D346" s="0" t="n">
        <f aca="false">SUMPRODUCT(Risk_Inputs!B346:AJ346,Risk_Coefs!$B$2:$AJ$2)</f>
        <v>-1.25546289594772</v>
      </c>
      <c r="E346" s="0" t="n">
        <f aca="false">1/(1+EXP(-MAX(-25,MIN(25,D346))))</f>
        <v>0.221755918096616</v>
      </c>
      <c r="F346" s="0" t="n">
        <f aca="false">SUMPRODUCT(Risk_Inputs!B346:AJ346,Risk_Coefs!$B$3:$AJ$3)</f>
        <v>4.37086068002053</v>
      </c>
      <c r="G346" s="0" t="n">
        <f aca="false">MAX(0,F346)</f>
        <v>4.37086068002053</v>
      </c>
      <c r="H346" s="0" t="n">
        <f aca="false">(SUMPRODUCT(--ISNUMBER($E$2:$E$800),--($E$2:$E$800&lt;E346))+(SUMPRODUCT(--ISNUMBER($E$2:$E$800),--($E$2:$E$800=E346))+1)/2)/COUNT($E$2:$E$800)</f>
        <v>0.150187734668335</v>
      </c>
      <c r="I346" s="0" t="n">
        <f aca="false">(SUMPRODUCT(--ISNUMBER($G$2:$G$800),--($G$2:$G$800&lt;G346))+(SUMPRODUCT(--ISNUMBER($G$2:$G$800),--($G$2:$G$800=G346))+1)/2)/COUNT($G$2:$G$800)</f>
        <v>0.0788485607008761</v>
      </c>
      <c r="J346" s="0" t="n">
        <v>7.13219306953167</v>
      </c>
      <c r="K346" s="0" t="n">
        <v>2.22772277227724</v>
      </c>
      <c r="L346" s="0" t="n">
        <v>0.247524752475246</v>
      </c>
      <c r="M346" s="0" t="n">
        <f aca="false">IF(OR(B346="NW",COUNT(Risk_Rank_Keys!B346)=0),0.5,(SUMPRODUCT(--ISNUMBER(Risk_Rank_Keys!$B$2:$B$800),--(Risk_Rank_Keys!$B$2:$B$800&lt;Risk_Rank_Keys!B346))+(SUMPRODUCT(--ISNUMBER(Risk_Rank_Keys!$B$2:$B$800),--(Risk_Rank_Keys!$B$2:$B$800=Risk_Rank_Keys!B346))+1)/2)/COUNT(Risk_Rank_Keys!$B$2:$B$800))</f>
        <v>0.326359832635983</v>
      </c>
      <c r="N346" s="0" t="n">
        <f aca="false">IF(OR(B346="NW",COUNT(Risk_Rank_Keys!C346)=0),0.5,(SUMPRODUCT(--ISNUMBER(Risk_Rank_Keys!$C$2:$C$800),--(Risk_Rank_Keys!$C$2:$C$800&lt;Risk_Rank_Keys!C346))+(SUMPRODUCT(--ISNUMBER(Risk_Rank_Keys!$C$2:$C$800),--(Risk_Rank_Keys!$C$2:$C$800=Risk_Rank_Keys!C346))+1)/2)/COUNT(Risk_Rank_Keys!$C$2:$C$800))</f>
        <v>0.319386331938633</v>
      </c>
      <c r="O346" s="0" t="n">
        <f aca="false">IF(OR(B346="NW",COUNT(Risk_Rank_Keys!D346)=0),0.5,(SUMPRODUCT(--ISNUMBER(Risk_Rank_Keys!$D$2:$D$800),--(Risk_Rank_Keys!$D$2:$D$800&lt;Risk_Rank_Keys!D346))+(SUMPRODUCT(--ISNUMBER(Risk_Rank_Keys!$D$2:$D$800),--(Risk_Rank_Keys!$D$2:$D$800=Risk_Rank_Keys!D346))+1)/2)/COUNT(Risk_Rank_Keys!$D$2:$D$800))</f>
        <v>0.574616457461646</v>
      </c>
      <c r="P346" s="0" t="n">
        <f aca="false">AVERAGE(M346:O346)</f>
        <v>0.406787540678754</v>
      </c>
      <c r="Q346" s="0" t="n">
        <f aca="false">0.4*H346+0.4*I346+0.2*P346</f>
        <v>0.172972026283435</v>
      </c>
      <c r="R346" s="0" t="n">
        <f aca="false">PERCENTILE($Q$2:$Q$800,0.75)</f>
        <v>0.667715717403612</v>
      </c>
      <c r="S346" s="1" t="b">
        <f aca="false">OR(Q346&gt;=R346,AND(B346="CW",COUNT(J346:L346)&lt;3))</f>
        <v>0</v>
      </c>
      <c r="T346" s="0" t="n">
        <v>0.221755918096616</v>
      </c>
      <c r="U346" s="0" t="n">
        <v>4.37086068002053</v>
      </c>
      <c r="V346" s="0" t="n">
        <v>0.172972026283435</v>
      </c>
      <c r="W346" s="0" t="n">
        <f aca="false">Q346-V346</f>
        <v>0</v>
      </c>
    </row>
    <row r="347" customFormat="false" ht="15" hidden="false" customHeight="false" outlineLevel="0" collapsed="false">
      <c r="A347" s="0" t="s">
        <v>381</v>
      </c>
      <c r="B347" s="0" t="s">
        <v>3013</v>
      </c>
      <c r="C347" s="0" t="n">
        <v>-21.5046773701132</v>
      </c>
      <c r="D347" s="0" t="n">
        <f aca="false">SUMPRODUCT(Risk_Inputs!B347:AJ347,Risk_Coefs!$B$2:$AJ$2)</f>
        <v>-0.79874663313941</v>
      </c>
      <c r="E347" s="0" t="n">
        <f aca="false">1/(1+EXP(-MAX(-25,MIN(25,D347))))</f>
        <v>0.310293690015678</v>
      </c>
      <c r="F347" s="0" t="n">
        <f aca="false">SUMPRODUCT(Risk_Inputs!B347:AJ347,Risk_Coefs!$B$3:$AJ$3)</f>
        <v>7.69814206190006</v>
      </c>
      <c r="G347" s="0" t="n">
        <f aca="false">MAX(0,F347)</f>
        <v>7.69814206190006</v>
      </c>
      <c r="H347" s="0" t="n">
        <f aca="false">(SUMPRODUCT(--ISNUMBER($E$2:$E$800),--($E$2:$E$800&lt;E347))+(SUMPRODUCT(--ISNUMBER($E$2:$E$800),--($E$2:$E$800=E347))+1)/2)/COUNT($E$2:$E$800)</f>
        <v>0.619524405506884</v>
      </c>
      <c r="I347" s="0" t="n">
        <f aca="false">(SUMPRODUCT(--ISNUMBER($G$2:$G$800),--($G$2:$G$800&lt;G347))+(SUMPRODUCT(--ISNUMBER($G$2:$G$800),--($G$2:$G$800=G347))+1)/2)/COUNT($G$2:$G$800)</f>
        <v>0.514392991239049</v>
      </c>
      <c r="J347" s="0" t="n">
        <v>5.66381516726878</v>
      </c>
      <c r="K347" s="0" t="n">
        <v>1.52691511387163</v>
      </c>
      <c r="L347" s="0" t="n">
        <v>0.129399585921325</v>
      </c>
      <c r="M347" s="0" t="n">
        <f aca="false">IF(OR(B347="NW",COUNT(Risk_Rank_Keys!B347)=0),0.5,(SUMPRODUCT(--ISNUMBER(Risk_Rank_Keys!$B$2:$B$800),--(Risk_Rank_Keys!$B$2:$B$800&lt;Risk_Rank_Keys!B347))+(SUMPRODUCT(--ISNUMBER(Risk_Rank_Keys!$B$2:$B$800),--(Risk_Rank_Keys!$B$2:$B$800=Risk_Rank_Keys!B347))+1)/2)/COUNT(Risk_Rank_Keys!$B$2:$B$800))</f>
        <v>0.188284518828452</v>
      </c>
      <c r="N347" s="0" t="n">
        <f aca="false">IF(OR(B347="NW",COUNT(Risk_Rank_Keys!C347)=0),0.5,(SUMPRODUCT(--ISNUMBER(Risk_Rank_Keys!$C$2:$C$800),--(Risk_Rank_Keys!$C$2:$C$800&lt;Risk_Rank_Keys!C347))+(SUMPRODUCT(--ISNUMBER(Risk_Rank_Keys!$C$2:$C$800),--(Risk_Rank_Keys!$C$2:$C$800=Risk_Rank_Keys!C347))+1)/2)/COUNT(Risk_Rank_Keys!$C$2:$C$800))</f>
        <v>0.138075313807531</v>
      </c>
      <c r="O347" s="0" t="n">
        <f aca="false">IF(OR(B347="NW",COUNT(Risk_Rank_Keys!D347)=0),0.5,(SUMPRODUCT(--ISNUMBER(Risk_Rank_Keys!$D$2:$D$800),--(Risk_Rank_Keys!$D$2:$D$800&lt;Risk_Rank_Keys!D347))+(SUMPRODUCT(--ISNUMBER(Risk_Rank_Keys!$D$2:$D$800),--(Risk_Rank_Keys!$D$2:$D$800=Risk_Rank_Keys!D347))+1)/2)/COUNT(Risk_Rank_Keys!$D$2:$D$800))</f>
        <v>0.0613668061366806</v>
      </c>
      <c r="P347" s="0" t="n">
        <f aca="false">AVERAGE(M347:O347)</f>
        <v>0.129242212924221</v>
      </c>
      <c r="Q347" s="0" t="n">
        <f aca="false">0.4*H347+0.4*I347+0.2*P347</f>
        <v>0.479415401283217</v>
      </c>
      <c r="R347" s="0" t="n">
        <f aca="false">PERCENTILE($Q$2:$Q$800,0.75)</f>
        <v>0.667715717403612</v>
      </c>
      <c r="S347" s="1" t="b">
        <f aca="false">OR(Q347&gt;=R347,AND(B347="CW",COUNT(J347:L347)&lt;3))</f>
        <v>0</v>
      </c>
      <c r="T347" s="0" t="n">
        <v>0.310293690015678</v>
      </c>
      <c r="U347" s="0" t="n">
        <v>7.69814206190006</v>
      </c>
      <c r="V347" s="0" t="n">
        <v>0.479415401283217</v>
      </c>
      <c r="W347" s="0" t="n">
        <f aca="false">Q347-V347</f>
        <v>0</v>
      </c>
    </row>
    <row r="348" customFormat="false" ht="15" hidden="false" customHeight="false" outlineLevel="0" collapsed="false">
      <c r="A348" s="0" t="s">
        <v>382</v>
      </c>
      <c r="B348" s="0" t="s">
        <v>3013</v>
      </c>
      <c r="C348" s="0" t="n">
        <v>6.92329431167162</v>
      </c>
      <c r="D348" s="0" t="n">
        <f aca="false">SUMPRODUCT(Risk_Inputs!B348:AJ348,Risk_Coefs!$B$2:$AJ$2)</f>
        <v>-1.13939877831228</v>
      </c>
      <c r="E348" s="0" t="n">
        <f aca="false">1/(1+EXP(-MAX(-25,MIN(25,D348))))</f>
        <v>0.242430763122274</v>
      </c>
      <c r="F348" s="0" t="n">
        <f aca="false">SUMPRODUCT(Risk_Inputs!B348:AJ348,Risk_Coefs!$B$3:$AJ$3)</f>
        <v>5.05365279075968</v>
      </c>
      <c r="G348" s="0" t="n">
        <f aca="false">MAX(0,F348)</f>
        <v>5.05365279075968</v>
      </c>
      <c r="H348" s="0" t="n">
        <f aca="false">(SUMPRODUCT(--ISNUMBER($E$2:$E$800),--($E$2:$E$800&lt;E348))+(SUMPRODUCT(--ISNUMBER($E$2:$E$800),--($E$2:$E$800=E348))+1)/2)/COUNT($E$2:$E$800)</f>
        <v>0.234042553191489</v>
      </c>
      <c r="I348" s="0" t="n">
        <f aca="false">(SUMPRODUCT(--ISNUMBER($G$2:$G$800),--($G$2:$G$800&lt;G348))+(SUMPRODUCT(--ISNUMBER($G$2:$G$800),--($G$2:$G$800=G348))+1)/2)/COUNT($G$2:$G$800)</f>
        <v>0.141426783479349</v>
      </c>
      <c r="J348" s="0" t="n">
        <v>12.3332993720722</v>
      </c>
      <c r="K348" s="0" t="n">
        <v>2.37199884292741</v>
      </c>
      <c r="L348" s="0" t="n">
        <v>0.260341336418854</v>
      </c>
      <c r="M348" s="0" t="n">
        <f aca="false">IF(OR(B348="NW",COUNT(Risk_Rank_Keys!B348)=0),0.5,(SUMPRODUCT(--ISNUMBER(Risk_Rank_Keys!$B$2:$B$800),--(Risk_Rank_Keys!$B$2:$B$800&lt;Risk_Rank_Keys!B348))+(SUMPRODUCT(--ISNUMBER(Risk_Rank_Keys!$B$2:$B$800),--(Risk_Rank_Keys!$B$2:$B$800=Risk_Rank_Keys!B348))+1)/2)/COUNT(Risk_Rank_Keys!$B$2:$B$800))</f>
        <v>0.610878661087866</v>
      </c>
      <c r="N348" s="0" t="n">
        <f aca="false">IF(OR(B348="NW",COUNT(Risk_Rank_Keys!C348)=0),0.5,(SUMPRODUCT(--ISNUMBER(Risk_Rank_Keys!$C$2:$C$800),--(Risk_Rank_Keys!$C$2:$C$800&lt;Risk_Rank_Keys!C348))+(SUMPRODUCT(--ISNUMBER(Risk_Rank_Keys!$C$2:$C$800),--(Risk_Rank_Keys!$C$2:$C$800=Risk_Rank_Keys!C348))+1)/2)/COUNT(Risk_Rank_Keys!$C$2:$C$800))</f>
        <v>0.359832635983264</v>
      </c>
      <c r="O348" s="0" t="n">
        <f aca="false">IF(OR(B348="NW",COUNT(Risk_Rank_Keys!D348)=0),0.5,(SUMPRODUCT(--ISNUMBER(Risk_Rank_Keys!$D$2:$D$800),--(Risk_Rank_Keys!$D$2:$D$800&lt;Risk_Rank_Keys!D348))+(SUMPRODUCT(--ISNUMBER(Risk_Rank_Keys!$D$2:$D$800),--(Risk_Rank_Keys!$D$2:$D$800=Risk_Rank_Keys!D348))+1)/2)/COUNT(Risk_Rank_Keys!$D$2:$D$800))</f>
        <v>0.635983263598326</v>
      </c>
      <c r="P348" s="0" t="n">
        <f aca="false">AVERAGE(M348:O348)</f>
        <v>0.535564853556485</v>
      </c>
      <c r="Q348" s="0" t="n">
        <f aca="false">0.4*H348+0.4*I348+0.2*P348</f>
        <v>0.257300705379633</v>
      </c>
      <c r="R348" s="0" t="n">
        <f aca="false">PERCENTILE($Q$2:$Q$800,0.75)</f>
        <v>0.667715717403612</v>
      </c>
      <c r="S348" s="1" t="b">
        <f aca="false">OR(Q348&gt;=R348,AND(B348="CW",COUNT(J348:L348)&lt;3))</f>
        <v>0</v>
      </c>
      <c r="T348" s="0" t="n">
        <v>0.242430763122274</v>
      </c>
      <c r="U348" s="0" t="n">
        <v>5.05365279075968</v>
      </c>
      <c r="V348" s="0" t="n">
        <v>0.257300705379633</v>
      </c>
      <c r="W348" s="0" t="n">
        <f aca="false">Q348-V348</f>
        <v>0</v>
      </c>
    </row>
    <row r="349" customFormat="false" ht="15" hidden="false" customHeight="false" outlineLevel="0" collapsed="false">
      <c r="A349" s="0" t="s">
        <v>383</v>
      </c>
      <c r="B349" s="0" t="s">
        <v>3013</v>
      </c>
      <c r="C349" s="0" t="n">
        <v>37.0404376330198</v>
      </c>
      <c r="D349" s="0" t="n">
        <f aca="false">SUMPRODUCT(Risk_Inputs!B349:AJ349,Risk_Coefs!$B$2:$AJ$2)</f>
        <v>-0.576179031751538</v>
      </c>
      <c r="E349" s="0" t="n">
        <f aca="false">1/(1+EXP(-MAX(-25,MIN(25,D349))))</f>
        <v>0.359812271497463</v>
      </c>
      <c r="F349" s="0" t="n">
        <f aca="false">SUMPRODUCT(Risk_Inputs!B349:AJ349,Risk_Coefs!$B$3:$AJ$3)</f>
        <v>8.9100918796429</v>
      </c>
      <c r="G349" s="0" t="n">
        <f aca="false">MAX(0,F349)</f>
        <v>8.9100918796429</v>
      </c>
      <c r="H349" s="0" t="n">
        <f aca="false">(SUMPRODUCT(--ISNUMBER($E$2:$E$800),--($E$2:$E$800&lt;E349))+(SUMPRODUCT(--ISNUMBER($E$2:$E$800),--($E$2:$E$800=E349))+1)/2)/COUNT($E$2:$E$800)</f>
        <v>0.847309136420526</v>
      </c>
      <c r="I349" s="0" t="n">
        <f aca="false">(SUMPRODUCT(--ISNUMBER($G$2:$G$800),--($G$2:$G$800&lt;G349))+(SUMPRODUCT(--ISNUMBER($G$2:$G$800),--($G$2:$G$800=G349))+1)/2)/COUNT($G$2:$G$800)</f>
        <v>0.665832290362954</v>
      </c>
      <c r="J349" s="0" t="n">
        <v>7.32158661195669</v>
      </c>
      <c r="K349" s="0" t="n">
        <v>1.43524699599464</v>
      </c>
      <c r="L349" s="0" t="n">
        <v>0.166889185580774</v>
      </c>
      <c r="M349" s="0" t="n">
        <f aca="false">IF(OR(B349="NW",COUNT(Risk_Rank_Keys!B349)=0),0.5,(SUMPRODUCT(--ISNUMBER(Risk_Rank_Keys!$B$2:$B$800),--(Risk_Rank_Keys!$B$2:$B$800&lt;Risk_Rank_Keys!B349))+(SUMPRODUCT(--ISNUMBER(Risk_Rank_Keys!$B$2:$B$800),--(Risk_Rank_Keys!$B$2:$B$800=Risk_Rank_Keys!B349))+1)/2)/COUNT(Risk_Rank_Keys!$B$2:$B$800))</f>
        <v>0.337517433751743</v>
      </c>
      <c r="N349" s="0" t="n">
        <f aca="false">IF(OR(B349="NW",COUNT(Risk_Rank_Keys!C349)=0),0.5,(SUMPRODUCT(--ISNUMBER(Risk_Rank_Keys!$C$2:$C$800),--(Risk_Rank_Keys!$C$2:$C$800&lt;Risk_Rank_Keys!C349))+(SUMPRODUCT(--ISNUMBER(Risk_Rank_Keys!$C$2:$C$800),--(Risk_Rank_Keys!$C$2:$C$800=Risk_Rank_Keys!C349))+1)/2)/COUNT(Risk_Rank_Keys!$C$2:$C$800))</f>
        <v>0.112970711297071</v>
      </c>
      <c r="O349" s="0" t="n">
        <f aca="false">IF(OR(B349="NW",COUNT(Risk_Rank_Keys!D349)=0),0.5,(SUMPRODUCT(--ISNUMBER(Risk_Rank_Keys!$D$2:$D$800),--(Risk_Rank_Keys!$D$2:$D$800&lt;Risk_Rank_Keys!D349))+(SUMPRODUCT(--ISNUMBER(Risk_Rank_Keys!$D$2:$D$800),--(Risk_Rank_Keys!$D$2:$D$800=Risk_Rank_Keys!D349))+1)/2)/COUNT(Risk_Rank_Keys!$D$2:$D$800))</f>
        <v>0.158995815899582</v>
      </c>
      <c r="P349" s="0" t="n">
        <f aca="false">AVERAGE(M349:O349)</f>
        <v>0.203161320316132</v>
      </c>
      <c r="Q349" s="0" t="n">
        <f aca="false">0.4*H349+0.4*I349+0.2*P349</f>
        <v>0.645888834776618</v>
      </c>
      <c r="R349" s="0" t="n">
        <f aca="false">PERCENTILE($Q$2:$Q$800,0.75)</f>
        <v>0.667715717403612</v>
      </c>
      <c r="S349" s="1" t="b">
        <f aca="false">OR(Q349&gt;=R349,AND(B349="CW",COUNT(J349:L349)&lt;3))</f>
        <v>0</v>
      </c>
      <c r="T349" s="0" t="n">
        <v>0.359812271497463</v>
      </c>
      <c r="U349" s="0" t="n">
        <v>8.9100918796429</v>
      </c>
      <c r="V349" s="0" t="n">
        <v>0.645888834776618</v>
      </c>
      <c r="W349" s="0" t="n">
        <f aca="false">Q349-V349</f>
        <v>0</v>
      </c>
    </row>
    <row r="350" customFormat="false" ht="15" hidden="false" customHeight="false" outlineLevel="0" collapsed="false">
      <c r="A350" s="0" t="s">
        <v>384</v>
      </c>
      <c r="B350" s="0" t="s">
        <v>33</v>
      </c>
      <c r="C350" s="0" t="n">
        <v>47.7561468764383</v>
      </c>
      <c r="D350" s="0" t="n">
        <f aca="false">SUMPRODUCT(Risk_Inputs!B350:AJ350,Risk_Coefs!$B$2:$AJ$2)</f>
        <v>-0.613185862330017</v>
      </c>
      <c r="E350" s="0" t="n">
        <f aca="false">1/(1+EXP(-MAX(-25,MIN(25,D350))))</f>
        <v>0.35133280263026</v>
      </c>
      <c r="F350" s="0" t="n">
        <f aca="false">SUMPRODUCT(Risk_Inputs!B350:AJ350,Risk_Coefs!$B$3:$AJ$3)</f>
        <v>10.3635562827162</v>
      </c>
      <c r="G350" s="0" t="n">
        <f aca="false">MAX(0,F350)</f>
        <v>10.3635562827162</v>
      </c>
      <c r="H350" s="0" t="n">
        <f aca="false">(SUMPRODUCT(--ISNUMBER($E$2:$E$800),--($E$2:$E$800&lt;E350))+(SUMPRODUCT(--ISNUMBER($E$2:$E$800),--($E$2:$E$800=E350))+1)/2)/COUNT($E$2:$E$800)</f>
        <v>0.819774718397998</v>
      </c>
      <c r="I350" s="0" t="n">
        <f aca="false">(SUMPRODUCT(--ISNUMBER($G$2:$G$800),--($G$2:$G$800&lt;G350))+(SUMPRODUCT(--ISNUMBER($G$2:$G$800),--($G$2:$G$800=G350))+1)/2)/COUNT($G$2:$G$800)</f>
        <v>0.826032540675845</v>
      </c>
      <c r="M350" s="0" t="n">
        <f aca="false">IF(OR(B350="NW",COUNT(Risk_Rank_Keys!B350)=0),0.5,(SUMPRODUCT(--ISNUMBER(Risk_Rank_Keys!$B$2:$B$800),--(Risk_Rank_Keys!$B$2:$B$800&lt;Risk_Rank_Keys!B350))+(SUMPRODUCT(--ISNUMBER(Risk_Rank_Keys!$B$2:$B$800),--(Risk_Rank_Keys!$B$2:$B$800=Risk_Rank_Keys!B350))+1)/2)/COUNT(Risk_Rank_Keys!$B$2:$B$800))</f>
        <v>0.5</v>
      </c>
      <c r="N350" s="0" t="n">
        <f aca="false">IF(OR(B350="NW",COUNT(Risk_Rank_Keys!C350)=0),0.5,(SUMPRODUCT(--ISNUMBER(Risk_Rank_Keys!$C$2:$C$800),--(Risk_Rank_Keys!$C$2:$C$800&lt;Risk_Rank_Keys!C350))+(SUMPRODUCT(--ISNUMBER(Risk_Rank_Keys!$C$2:$C$800),--(Risk_Rank_Keys!$C$2:$C$800=Risk_Rank_Keys!C350))+1)/2)/COUNT(Risk_Rank_Keys!$C$2:$C$800))</f>
        <v>0.5</v>
      </c>
      <c r="O350" s="0" t="n">
        <f aca="false">IF(OR(B350="NW",COUNT(Risk_Rank_Keys!D350)=0),0.5,(SUMPRODUCT(--ISNUMBER(Risk_Rank_Keys!$D$2:$D$800),--(Risk_Rank_Keys!$D$2:$D$800&lt;Risk_Rank_Keys!D350))+(SUMPRODUCT(--ISNUMBER(Risk_Rank_Keys!$D$2:$D$800),--(Risk_Rank_Keys!$D$2:$D$800=Risk_Rank_Keys!D350))+1)/2)/COUNT(Risk_Rank_Keys!$D$2:$D$800))</f>
        <v>0.5</v>
      </c>
      <c r="P350" s="0" t="n">
        <f aca="false">AVERAGE(M350:O350)</f>
        <v>0.5</v>
      </c>
      <c r="Q350" s="0" t="n">
        <f aca="false">0.4*H350+0.4*I350+0.2*P350</f>
        <v>0.758322903629537</v>
      </c>
      <c r="R350" s="0" t="n">
        <f aca="false">PERCENTILE($Q$2:$Q$800,0.75)</f>
        <v>0.667715717403612</v>
      </c>
      <c r="S350" s="1" t="b">
        <f aca="false">OR(Q350&gt;=R350,AND(B350="CW",COUNT(J350:L350)&lt;3))</f>
        <v>1</v>
      </c>
      <c r="T350" s="0" t="n">
        <v>0.35133280263026</v>
      </c>
      <c r="U350" s="0" t="n">
        <v>10.3635562827162</v>
      </c>
      <c r="V350" s="0" t="n">
        <v>0.758322903629537</v>
      </c>
      <c r="W350" s="0" t="n">
        <f aca="false">Q350-V350</f>
        <v>0</v>
      </c>
    </row>
    <row r="351" customFormat="false" ht="15" hidden="false" customHeight="false" outlineLevel="0" collapsed="false">
      <c r="A351" s="0" t="s">
        <v>385</v>
      </c>
      <c r="B351" s="0" t="s">
        <v>3013</v>
      </c>
      <c r="C351" s="0" t="n">
        <v>-5.61872479436834</v>
      </c>
      <c r="D351" s="0" t="n">
        <f aca="false">SUMPRODUCT(Risk_Inputs!B351:AJ351,Risk_Coefs!$B$2:$AJ$2)</f>
        <v>-0.673976279397345</v>
      </c>
      <c r="E351" s="0" t="n">
        <f aca="false">1/(1+EXP(-MAX(-25,MIN(25,D351))))</f>
        <v>0.337607057893179</v>
      </c>
      <c r="F351" s="0" t="n">
        <f aca="false">SUMPRODUCT(Risk_Inputs!B351:AJ351,Risk_Coefs!$B$3:$AJ$3)</f>
        <v>6.28981097231591</v>
      </c>
      <c r="G351" s="0" t="n">
        <f aca="false">MAX(0,F351)</f>
        <v>6.28981097231591</v>
      </c>
      <c r="H351" s="0" t="n">
        <f aca="false">(SUMPRODUCT(--ISNUMBER($E$2:$E$800),--($E$2:$E$800&lt;E351))+(SUMPRODUCT(--ISNUMBER($E$2:$E$800),--($E$2:$E$800=E351))+1)/2)/COUNT($E$2:$E$800)</f>
        <v>0.772215269086358</v>
      </c>
      <c r="I351" s="0" t="n">
        <f aca="false">(SUMPRODUCT(--ISNUMBER($G$2:$G$800),--($G$2:$G$800&lt;G351))+(SUMPRODUCT(--ISNUMBER($G$2:$G$800),--($G$2:$G$800=G351))+1)/2)/COUNT($G$2:$G$800)</f>
        <v>0.309136420525657</v>
      </c>
      <c r="J351" s="0" t="n">
        <v>6.67830392798251</v>
      </c>
      <c r="K351" s="0" t="n">
        <v>1.61333691852649</v>
      </c>
      <c r="L351" s="0" t="n">
        <v>0.188222640494746</v>
      </c>
      <c r="M351" s="0" t="n">
        <f aca="false">IF(OR(B351="NW",COUNT(Risk_Rank_Keys!B351)=0),0.5,(SUMPRODUCT(--ISNUMBER(Risk_Rank_Keys!$B$2:$B$800),--(Risk_Rank_Keys!$B$2:$B$800&lt;Risk_Rank_Keys!B351))+(SUMPRODUCT(--ISNUMBER(Risk_Rank_Keys!$B$2:$B$800),--(Risk_Rank_Keys!$B$2:$B$800=Risk_Rank_Keys!B351))+1)/2)/COUNT(Risk_Rank_Keys!$B$2:$B$800))</f>
        <v>0.287308228730823</v>
      </c>
      <c r="N351" s="0" t="n">
        <f aca="false">IF(OR(B351="NW",COUNT(Risk_Rank_Keys!C351)=0),0.5,(SUMPRODUCT(--ISNUMBER(Risk_Rank_Keys!$C$2:$C$800),--(Risk_Rank_Keys!$C$2:$C$800&lt;Risk_Rank_Keys!C351))+(SUMPRODUCT(--ISNUMBER(Risk_Rank_Keys!$C$2:$C$800),--(Risk_Rank_Keys!$C$2:$C$800=Risk_Rank_Keys!C351))+1)/2)/COUNT(Risk_Rank_Keys!$C$2:$C$800))</f>
        <v>0.161785216178522</v>
      </c>
      <c r="O351" s="0" t="n">
        <f aca="false">IF(OR(B351="NW",COUNT(Risk_Rank_Keys!D351)=0),0.5,(SUMPRODUCT(--ISNUMBER(Risk_Rank_Keys!$D$2:$D$800),--(Risk_Rank_Keys!$D$2:$D$800&lt;Risk_Rank_Keys!D351))+(SUMPRODUCT(--ISNUMBER(Risk_Rank_Keys!$D$2:$D$800),--(Risk_Rank_Keys!$D$2:$D$800=Risk_Rank_Keys!D351))+1)/2)/COUNT(Risk_Rank_Keys!$D$2:$D$800))</f>
        <v>0.242677824267782</v>
      </c>
      <c r="P351" s="0" t="n">
        <f aca="false">AVERAGE(M351:O351)</f>
        <v>0.230590423059042</v>
      </c>
      <c r="Q351" s="0" t="n">
        <f aca="false">0.4*H351+0.4*I351+0.2*P351</f>
        <v>0.478658760456615</v>
      </c>
      <c r="R351" s="0" t="n">
        <f aca="false">PERCENTILE($Q$2:$Q$800,0.75)</f>
        <v>0.667715717403612</v>
      </c>
      <c r="S351" s="1" t="b">
        <f aca="false">OR(Q351&gt;=R351,AND(B351="CW",COUNT(J351:L351)&lt;3))</f>
        <v>0</v>
      </c>
      <c r="T351" s="0" t="n">
        <v>0.33760705789318</v>
      </c>
      <c r="U351" s="0" t="n">
        <v>6.28981097231591</v>
      </c>
      <c r="V351" s="0" t="n">
        <v>0.478658760456615</v>
      </c>
      <c r="W351" s="0" t="n">
        <f aca="false">Q351-V351</f>
        <v>0</v>
      </c>
    </row>
    <row r="352" customFormat="false" ht="15" hidden="false" customHeight="false" outlineLevel="0" collapsed="false">
      <c r="A352" s="0" t="s">
        <v>386</v>
      </c>
      <c r="B352" s="0" t="s">
        <v>3013</v>
      </c>
      <c r="C352" s="0" t="n">
        <v>-22.8552633168066</v>
      </c>
      <c r="D352" s="0" t="n">
        <f aca="false">SUMPRODUCT(Risk_Inputs!B352:AJ352,Risk_Coefs!$B$2:$AJ$2)</f>
        <v>-1.04454329472021</v>
      </c>
      <c r="E352" s="0" t="n">
        <f aca="false">1/(1+EXP(-MAX(-25,MIN(25,D352))))</f>
        <v>0.260274313899047</v>
      </c>
      <c r="F352" s="0" t="n">
        <f aca="false">SUMPRODUCT(Risk_Inputs!B352:AJ352,Risk_Coefs!$B$3:$AJ$3)</f>
        <v>5.48599910158425</v>
      </c>
      <c r="G352" s="0" t="n">
        <f aca="false">MAX(0,F352)</f>
        <v>5.48599910158425</v>
      </c>
      <c r="H352" s="0" t="n">
        <f aca="false">(SUMPRODUCT(--ISNUMBER($E$2:$E$800),--($E$2:$E$800&lt;E352))+(SUMPRODUCT(--ISNUMBER($E$2:$E$800),--($E$2:$E$800=E352))+1)/2)/COUNT($E$2:$E$800)</f>
        <v>0.334167709637046</v>
      </c>
      <c r="I352" s="0" t="n">
        <f aca="false">(SUMPRODUCT(--ISNUMBER($G$2:$G$800),--($G$2:$G$800&lt;G352))+(SUMPRODUCT(--ISNUMBER($G$2:$G$800),--($G$2:$G$800=G352))+1)/2)/COUNT($G$2:$G$800)</f>
        <v>0.196495619524406</v>
      </c>
      <c r="J352" s="0" t="n">
        <v>12.5966218150579</v>
      </c>
      <c r="K352" s="0" t="n">
        <v>2.66040688575899</v>
      </c>
      <c r="L352" s="0" t="n">
        <v>0.178850883076231</v>
      </c>
      <c r="M352" s="0" t="n">
        <f aca="false">IF(OR(B352="NW",COUNT(Risk_Rank_Keys!B352)=0),0.5,(SUMPRODUCT(--ISNUMBER(Risk_Rank_Keys!$B$2:$B$800),--(Risk_Rank_Keys!$B$2:$B$800&lt;Risk_Rank_Keys!B352))+(SUMPRODUCT(--ISNUMBER(Risk_Rank_Keys!$B$2:$B$800),--(Risk_Rank_Keys!$B$2:$B$800=Risk_Rank_Keys!B352))+1)/2)/COUNT(Risk_Rank_Keys!$B$2:$B$800))</f>
        <v>0.617852161785216</v>
      </c>
      <c r="N352" s="0" t="n">
        <f aca="false">IF(OR(B352="NW",COUNT(Risk_Rank_Keys!C352)=0),0.5,(SUMPRODUCT(--ISNUMBER(Risk_Rank_Keys!$C$2:$C$800),--(Risk_Rank_Keys!$C$2:$C$800&lt;Risk_Rank_Keys!C352))+(SUMPRODUCT(--ISNUMBER(Risk_Rank_Keys!$C$2:$C$800),--(Risk_Rank_Keys!$C$2:$C$800=Risk_Rank_Keys!C352))+1)/2)/COUNT(Risk_Rank_Keys!$C$2:$C$800))</f>
        <v>0.421199442119944</v>
      </c>
      <c r="O352" s="0" t="n">
        <f aca="false">IF(OR(B352="NW",COUNT(Risk_Rank_Keys!D352)=0),0.5,(SUMPRODUCT(--ISNUMBER(Risk_Rank_Keys!$D$2:$D$800),--(Risk_Rank_Keys!$D$2:$D$800&lt;Risk_Rank_Keys!D352))+(SUMPRODUCT(--ISNUMBER(Risk_Rank_Keys!$D$2:$D$800),--(Risk_Rank_Keys!$D$2:$D$800=Risk_Rank_Keys!D352))+1)/2)/COUNT(Risk_Rank_Keys!$D$2:$D$800))</f>
        <v>0.205020920502092</v>
      </c>
      <c r="P352" s="0" t="n">
        <f aca="false">AVERAGE(M352:O352)</f>
        <v>0.414690841469084</v>
      </c>
      <c r="Q352" s="0" t="n">
        <f aca="false">0.4*H352+0.4*I352+0.2*P352</f>
        <v>0.295203499958398</v>
      </c>
      <c r="R352" s="0" t="n">
        <f aca="false">PERCENTILE($Q$2:$Q$800,0.75)</f>
        <v>0.667715717403612</v>
      </c>
      <c r="S352" s="1" t="b">
        <f aca="false">OR(Q352&gt;=R352,AND(B352="CW",COUNT(J352:L352)&lt;3))</f>
        <v>0</v>
      </c>
      <c r="T352" s="0" t="n">
        <v>0.260274313899047</v>
      </c>
      <c r="U352" s="0" t="n">
        <v>5.48599910158425</v>
      </c>
      <c r="V352" s="0" t="n">
        <v>0.295203499958398</v>
      </c>
      <c r="W352" s="0" t="n">
        <f aca="false">Q352-V352</f>
        <v>0</v>
      </c>
    </row>
    <row r="353" customFormat="false" ht="15" hidden="false" customHeight="false" outlineLevel="0" collapsed="false">
      <c r="A353" s="0" t="s">
        <v>387</v>
      </c>
      <c r="B353" s="0" t="s">
        <v>3013</v>
      </c>
      <c r="C353" s="0" t="n">
        <v>-34.476613086521</v>
      </c>
      <c r="D353" s="0" t="n">
        <f aca="false">SUMPRODUCT(Risk_Inputs!B353:AJ353,Risk_Coefs!$B$2:$AJ$2)</f>
        <v>-0.485363392335583</v>
      </c>
      <c r="E353" s="0" t="n">
        <f aca="false">1/(1+EXP(-MAX(-25,MIN(25,D353))))</f>
        <v>0.3809864405819</v>
      </c>
      <c r="F353" s="0" t="n">
        <f aca="false">SUMPRODUCT(Risk_Inputs!B353:AJ353,Risk_Coefs!$B$3:$AJ$3)</f>
        <v>12.9943282300642</v>
      </c>
      <c r="G353" s="0" t="n">
        <f aca="false">MAX(0,F353)</f>
        <v>12.9943282300642</v>
      </c>
      <c r="H353" s="0" t="n">
        <f aca="false">(SUMPRODUCT(--ISNUMBER($E$2:$E$800),--($E$2:$E$800&lt;E353))+(SUMPRODUCT(--ISNUMBER($E$2:$E$800),--($E$2:$E$800=E353))+1)/2)/COUNT($E$2:$E$800)</f>
        <v>0.902377972465582</v>
      </c>
      <c r="I353" s="0" t="n">
        <f aca="false">(SUMPRODUCT(--ISNUMBER($G$2:$G$800),--($G$2:$G$800&lt;G353))+(SUMPRODUCT(--ISNUMBER($G$2:$G$800),--($G$2:$G$800=G353))+1)/2)/COUNT($G$2:$G$800)</f>
        <v>0.949937421777222</v>
      </c>
      <c r="J353" s="0" t="n">
        <v>4.71089278225952</v>
      </c>
      <c r="K353" s="0" t="n">
        <v>2.10639057479473</v>
      </c>
      <c r="L353" s="0" t="n">
        <v>0.214209210996071</v>
      </c>
      <c r="M353" s="0" t="n">
        <f aca="false">IF(OR(B353="NW",COUNT(Risk_Rank_Keys!B353)=0),0.5,(SUMPRODUCT(--ISNUMBER(Risk_Rank_Keys!$B$2:$B$800),--(Risk_Rank_Keys!$B$2:$B$800&lt;Risk_Rank_Keys!B353))+(SUMPRODUCT(--ISNUMBER(Risk_Rank_Keys!$B$2:$B$800),--(Risk_Rank_Keys!$B$2:$B$800=Risk_Rank_Keys!B353))+1)/2)/COUNT(Risk_Rank_Keys!$B$2:$B$800))</f>
        <v>0.115760111576011</v>
      </c>
      <c r="N353" s="0" t="n">
        <f aca="false">IF(OR(B353="NW",COUNT(Risk_Rank_Keys!C353)=0),0.5,(SUMPRODUCT(--ISNUMBER(Risk_Rank_Keys!$C$2:$C$800),--(Risk_Rank_Keys!$C$2:$C$800&lt;Risk_Rank_Keys!C353))+(SUMPRODUCT(--ISNUMBER(Risk_Rank_Keys!$C$2:$C$800),--(Risk_Rank_Keys!$C$2:$C$800=Risk_Rank_Keys!C353))+1)/2)/COUNT(Risk_Rank_Keys!$C$2:$C$800))</f>
        <v>0.297071129707113</v>
      </c>
      <c r="O353" s="0" t="n">
        <f aca="false">IF(OR(B353="NW",COUNT(Risk_Rank_Keys!D353)=0),0.5,(SUMPRODUCT(--ISNUMBER(Risk_Rank_Keys!$D$2:$D$800),--(Risk_Rank_Keys!$D$2:$D$800&lt;Risk_Rank_Keys!D353))+(SUMPRODUCT(--ISNUMBER(Risk_Rank_Keys!$D$2:$D$800),--(Risk_Rank_Keys!$D$2:$D$800=Risk_Rank_Keys!D353))+1)/2)/COUNT(Risk_Rank_Keys!$D$2:$D$800))</f>
        <v>0.407252440725244</v>
      </c>
      <c r="P353" s="0" t="n">
        <f aca="false">AVERAGE(M353:O353)</f>
        <v>0.273361227336123</v>
      </c>
      <c r="Q353" s="0" t="n">
        <f aca="false">0.4*H353+0.4*I353+0.2*P353</f>
        <v>0.795598403164346</v>
      </c>
      <c r="R353" s="0" t="n">
        <f aca="false">PERCENTILE($Q$2:$Q$800,0.75)</f>
        <v>0.667715717403612</v>
      </c>
      <c r="S353" s="1" t="b">
        <f aca="false">OR(Q353&gt;=R353,AND(B353="CW",COUNT(J353:L353)&lt;3))</f>
        <v>1</v>
      </c>
      <c r="T353" s="0" t="n">
        <v>0.3809864405819</v>
      </c>
      <c r="U353" s="0" t="n">
        <v>12.9943282300642</v>
      </c>
      <c r="V353" s="0" t="n">
        <v>0.795598403164346</v>
      </c>
      <c r="W353" s="0" t="n">
        <f aca="false">Q353-V353</f>
        <v>0</v>
      </c>
    </row>
    <row r="354" customFormat="false" ht="15" hidden="false" customHeight="false" outlineLevel="0" collapsed="false">
      <c r="A354" s="0" t="s">
        <v>388</v>
      </c>
      <c r="B354" s="0" t="s">
        <v>3013</v>
      </c>
      <c r="C354" s="0" t="n">
        <v>-46.1464094174063</v>
      </c>
      <c r="D354" s="0" t="n">
        <f aca="false">SUMPRODUCT(Risk_Inputs!B354:AJ354,Risk_Coefs!$B$2:$AJ$2)</f>
        <v>-0.607388140286757</v>
      </c>
      <c r="E354" s="0" t="n">
        <f aca="false">1/(1+EXP(-MAX(-25,MIN(25,D354))))</f>
        <v>0.352655228397593</v>
      </c>
      <c r="F354" s="0" t="n">
        <f aca="false">SUMPRODUCT(Risk_Inputs!B354:AJ354,Risk_Coefs!$B$3:$AJ$3)</f>
        <v>12.3281228698159</v>
      </c>
      <c r="G354" s="0" t="n">
        <f aca="false">MAX(0,F354)</f>
        <v>12.3281228698159</v>
      </c>
      <c r="H354" s="0" t="n">
        <f aca="false">(SUMPRODUCT(--ISNUMBER($E$2:$E$800),--($E$2:$E$800&lt;E354))+(SUMPRODUCT(--ISNUMBER($E$2:$E$800),--($E$2:$E$800=E354))+1)/2)/COUNT($E$2:$E$800)</f>
        <v>0.826032540675845</v>
      </c>
      <c r="I354" s="0" t="n">
        <f aca="false">(SUMPRODUCT(--ISNUMBER($G$2:$G$800),--($G$2:$G$800&lt;G354))+(SUMPRODUCT(--ISNUMBER($G$2:$G$800),--($G$2:$G$800=G354))+1)/2)/COUNT($G$2:$G$800)</f>
        <v>0.933667083854819</v>
      </c>
      <c r="J354" s="0" t="n">
        <v>12.8346870416187</v>
      </c>
      <c r="K354" s="0" t="n">
        <v>4.51727192205491</v>
      </c>
      <c r="L354" s="0" t="n">
        <v>0.177147918511954</v>
      </c>
      <c r="M354" s="0" t="n">
        <f aca="false">IF(OR(B354="NW",COUNT(Risk_Rank_Keys!B354)=0),0.5,(SUMPRODUCT(--ISNUMBER(Risk_Rank_Keys!$B$2:$B$800),--(Risk_Rank_Keys!$B$2:$B$800&lt;Risk_Rank_Keys!B354))+(SUMPRODUCT(--ISNUMBER(Risk_Rank_Keys!$B$2:$B$800),--(Risk_Rank_Keys!$B$2:$B$800=Risk_Rank_Keys!B354))+1)/2)/COUNT(Risk_Rank_Keys!$B$2:$B$800))</f>
        <v>0.630404463040446</v>
      </c>
      <c r="N354" s="0" t="n">
        <f aca="false">IF(OR(B354="NW",COUNT(Risk_Rank_Keys!C354)=0),0.5,(SUMPRODUCT(--ISNUMBER(Risk_Rank_Keys!$C$2:$C$800),--(Risk_Rank_Keys!$C$2:$C$800&lt;Risk_Rank_Keys!C354))+(SUMPRODUCT(--ISNUMBER(Risk_Rank_Keys!$C$2:$C$800),--(Risk_Rank_Keys!$C$2:$C$800=Risk_Rank_Keys!C354))+1)/2)/COUNT(Risk_Rank_Keys!$C$2:$C$800))</f>
        <v>0.644351464435147</v>
      </c>
      <c r="O354" s="0" t="n">
        <f aca="false">IF(OR(B354="NW",COUNT(Risk_Rank_Keys!D354)=0),0.5,(SUMPRODUCT(--ISNUMBER(Risk_Rank_Keys!$D$2:$D$800),--(Risk_Rank_Keys!$D$2:$D$800&lt;Risk_Rank_Keys!D354))+(SUMPRODUCT(--ISNUMBER(Risk_Rank_Keys!$D$2:$D$800),--(Risk_Rank_Keys!$D$2:$D$800=Risk_Rank_Keys!D354))+1)/2)/COUNT(Risk_Rank_Keys!$D$2:$D$800))</f>
        <v>0.198047419804742</v>
      </c>
      <c r="P354" s="0" t="n">
        <f aca="false">AVERAGE(M354:O354)</f>
        <v>0.490934449093445</v>
      </c>
      <c r="Q354" s="0" t="n">
        <f aca="false">0.4*H354+0.4*I354+0.2*P354</f>
        <v>0.802066739630954</v>
      </c>
      <c r="R354" s="0" t="n">
        <f aca="false">PERCENTILE($Q$2:$Q$800,0.75)</f>
        <v>0.667715717403612</v>
      </c>
      <c r="S354" s="1" t="b">
        <f aca="false">OR(Q354&gt;=R354,AND(B354="CW",COUNT(J354:L354)&lt;3))</f>
        <v>1</v>
      </c>
      <c r="T354" s="0" t="n">
        <v>0.352655228397593</v>
      </c>
      <c r="U354" s="0" t="n">
        <v>12.3281228698159</v>
      </c>
      <c r="V354" s="0" t="n">
        <v>0.802066739630954</v>
      </c>
      <c r="W354" s="0" t="n">
        <f aca="false">Q354-V354</f>
        <v>0</v>
      </c>
    </row>
    <row r="355" customFormat="false" ht="15" hidden="false" customHeight="false" outlineLevel="0" collapsed="false">
      <c r="A355" s="0" t="s">
        <v>389</v>
      </c>
      <c r="B355" s="0" t="s">
        <v>3013</v>
      </c>
      <c r="C355" s="0" t="n">
        <v>30.3569373226327</v>
      </c>
      <c r="D355" s="0" t="n">
        <f aca="false">SUMPRODUCT(Risk_Inputs!B355:AJ355,Risk_Coefs!$B$2:$AJ$2)</f>
        <v>-1.32784845357923</v>
      </c>
      <c r="E355" s="0" t="n">
        <f aca="false">1/(1+EXP(-MAX(-25,MIN(25,D355))))</f>
        <v>0.209515478921594</v>
      </c>
      <c r="F355" s="0" t="n">
        <f aca="false">SUMPRODUCT(Risk_Inputs!B355:AJ355,Risk_Coefs!$B$3:$AJ$3)</f>
        <v>5.24467601767624</v>
      </c>
      <c r="G355" s="0" t="n">
        <f aca="false">MAX(0,F355)</f>
        <v>5.24467601767624</v>
      </c>
      <c r="H355" s="0" t="n">
        <f aca="false">(SUMPRODUCT(--ISNUMBER($E$2:$E$800),--($E$2:$E$800&lt;E355))+(SUMPRODUCT(--ISNUMBER($E$2:$E$800),--($E$2:$E$800=E355))+1)/2)/COUNT($E$2:$E$800)</f>
        <v>0.121401752190238</v>
      </c>
      <c r="I355" s="0" t="n">
        <f aca="false">(SUMPRODUCT(--ISNUMBER($G$2:$G$800),--($G$2:$G$800&lt;G355))+(SUMPRODUCT(--ISNUMBER($G$2:$G$800),--($G$2:$G$800=G355))+1)/2)/COUNT($G$2:$G$800)</f>
        <v>0.16270337922403</v>
      </c>
      <c r="J355" s="0" t="n">
        <v>7.81746360597854</v>
      </c>
      <c r="K355" s="0" t="n">
        <v>1.83437221727515</v>
      </c>
      <c r="L355" s="0" t="n">
        <v>0.213713268032055</v>
      </c>
      <c r="M355" s="0" t="n">
        <f aca="false">IF(OR(B355="NW",COUNT(Risk_Rank_Keys!B355)=0),0.5,(SUMPRODUCT(--ISNUMBER(Risk_Rank_Keys!$B$2:$B$800),--(Risk_Rank_Keys!$B$2:$B$800&lt;Risk_Rank_Keys!B355))+(SUMPRODUCT(--ISNUMBER(Risk_Rank_Keys!$B$2:$B$800),--(Risk_Rank_Keys!$B$2:$B$800=Risk_Rank_Keys!B355))+1)/2)/COUNT(Risk_Rank_Keys!$B$2:$B$800))</f>
        <v>0.370990237099024</v>
      </c>
      <c r="N355" s="0" t="n">
        <f aca="false">IF(OR(B355="NW",COUNT(Risk_Rank_Keys!C355)=0),0.5,(SUMPRODUCT(--ISNUMBER(Risk_Rank_Keys!$C$2:$C$800),--(Risk_Rank_Keys!$C$2:$C$800&lt;Risk_Rank_Keys!C355))+(SUMPRODUCT(--ISNUMBER(Risk_Rank_Keys!$C$2:$C$800),--(Risk_Rank_Keys!$C$2:$C$800=Risk_Rank_Keys!C355))+1)/2)/COUNT(Risk_Rank_Keys!$C$2:$C$800))</f>
        <v>0.227336122733612</v>
      </c>
      <c r="O355" s="0" t="n">
        <f aca="false">IF(OR(B355="NW",COUNT(Risk_Rank_Keys!D355)=0),0.5,(SUMPRODUCT(--ISNUMBER(Risk_Rank_Keys!$D$2:$D$800),--(Risk_Rank_Keys!$D$2:$D$800&lt;Risk_Rank_Keys!D355))+(SUMPRODUCT(--ISNUMBER(Risk_Rank_Keys!$D$2:$D$800),--(Risk_Rank_Keys!$D$2:$D$800=Risk_Rank_Keys!D355))+1)/2)/COUNT(Risk_Rank_Keys!$D$2:$D$800))</f>
        <v>0.401673640167364</v>
      </c>
      <c r="P355" s="0" t="n">
        <f aca="false">AVERAGE(M355:O355)</f>
        <v>0.333333333333333</v>
      </c>
      <c r="Q355" s="0" t="n">
        <f aca="false">0.4*H355+0.4*I355+0.2*P355</f>
        <v>0.180308719232374</v>
      </c>
      <c r="R355" s="0" t="n">
        <f aca="false">PERCENTILE($Q$2:$Q$800,0.75)</f>
        <v>0.667715717403612</v>
      </c>
      <c r="S355" s="1" t="b">
        <f aca="false">OR(Q355&gt;=R355,AND(B355="CW",COUNT(J355:L355)&lt;3))</f>
        <v>0</v>
      </c>
      <c r="T355" s="0" t="n">
        <v>0.209515478921594</v>
      </c>
      <c r="U355" s="0" t="n">
        <v>5.24467601767624</v>
      </c>
      <c r="V355" s="0" t="n">
        <v>0.180308719232374</v>
      </c>
      <c r="W355" s="0" t="n">
        <f aca="false">Q355-V355</f>
        <v>0</v>
      </c>
    </row>
    <row r="356" customFormat="false" ht="15" hidden="false" customHeight="false" outlineLevel="0" collapsed="false">
      <c r="A356" s="0" t="s">
        <v>390</v>
      </c>
      <c r="B356" s="0" t="s">
        <v>3013</v>
      </c>
      <c r="C356" s="0" t="n">
        <v>8.79671274804966</v>
      </c>
      <c r="D356" s="0" t="n">
        <f aca="false">SUMPRODUCT(Risk_Inputs!B356:AJ356,Risk_Coefs!$B$2:$AJ$2)</f>
        <v>-0.689938536351583</v>
      </c>
      <c r="E356" s="0" t="n">
        <f aca="false">1/(1+EXP(-MAX(-25,MIN(25,D356))))</f>
        <v>0.334046746282285</v>
      </c>
      <c r="F356" s="0" t="n">
        <f aca="false">SUMPRODUCT(Risk_Inputs!B356:AJ356,Risk_Coefs!$B$3:$AJ$3)</f>
        <v>8.05310823457463</v>
      </c>
      <c r="G356" s="0" t="n">
        <f aca="false">MAX(0,F356)</f>
        <v>8.05310823457463</v>
      </c>
      <c r="H356" s="0" t="n">
        <f aca="false">(SUMPRODUCT(--ISNUMBER($E$2:$E$800),--($E$2:$E$800&lt;E356))+(SUMPRODUCT(--ISNUMBER($E$2:$E$800),--($E$2:$E$800=E356))+1)/2)/COUNT($E$2:$E$800)</f>
        <v>0.755944931163955</v>
      </c>
      <c r="I356" s="0" t="n">
        <f aca="false">(SUMPRODUCT(--ISNUMBER($G$2:$G$800),--($G$2:$G$800&lt;G356))+(SUMPRODUCT(--ISNUMBER($G$2:$G$800),--($G$2:$G$800=G356))+1)/2)/COUNT($G$2:$G$800)</f>
        <v>0.549436795994994</v>
      </c>
      <c r="J356" s="0" t="n">
        <v>14.7514093614059</v>
      </c>
      <c r="K356" s="0" t="n">
        <v>1.82210031347964</v>
      </c>
      <c r="L356" s="0" t="n">
        <v>0.137147335423195</v>
      </c>
      <c r="M356" s="0" t="n">
        <f aca="false">IF(OR(B356="NW",COUNT(Risk_Rank_Keys!B356)=0),0.5,(SUMPRODUCT(--ISNUMBER(Risk_Rank_Keys!$B$2:$B$800),--(Risk_Rank_Keys!$B$2:$B$800&lt;Risk_Rank_Keys!B356))+(SUMPRODUCT(--ISNUMBER(Risk_Rank_Keys!$B$2:$B$800),--(Risk_Rank_Keys!$B$2:$B$800=Risk_Rank_Keys!B356))+1)/2)/COUNT(Risk_Rank_Keys!$B$2:$B$800))</f>
        <v>0.701534170153417</v>
      </c>
      <c r="N356" s="0" t="n">
        <f aca="false">IF(OR(B356="NW",COUNT(Risk_Rank_Keys!C356)=0),0.5,(SUMPRODUCT(--ISNUMBER(Risk_Rank_Keys!$C$2:$C$800),--(Risk_Rank_Keys!$C$2:$C$800&lt;Risk_Rank_Keys!C356))+(SUMPRODUCT(--ISNUMBER(Risk_Rank_Keys!$C$2:$C$800),--(Risk_Rank_Keys!$C$2:$C$800=Risk_Rank_Keys!C356))+1)/2)/COUNT(Risk_Rank_Keys!$C$2:$C$800))</f>
        <v>0.223152022315202</v>
      </c>
      <c r="O356" s="0" t="n">
        <f aca="false">IF(OR(B356="NW",COUNT(Risk_Rank_Keys!D356)=0),0.5,(SUMPRODUCT(--ISNUMBER(Risk_Rank_Keys!$D$2:$D$800),--(Risk_Rank_Keys!$D$2:$D$800&lt;Risk_Rank_Keys!D356))+(SUMPRODUCT(--ISNUMBER(Risk_Rank_Keys!$D$2:$D$800),--(Risk_Rank_Keys!$D$2:$D$800=Risk_Rank_Keys!D356))+1)/2)/COUNT(Risk_Rank_Keys!$D$2:$D$800))</f>
        <v>0.0794979079497908</v>
      </c>
      <c r="P356" s="0" t="n">
        <f aca="false">AVERAGE(M356:O356)</f>
        <v>0.334728033472803</v>
      </c>
      <c r="Q356" s="0" t="n">
        <f aca="false">0.4*H356+0.4*I356+0.2*P356</f>
        <v>0.58909829755814</v>
      </c>
      <c r="R356" s="0" t="n">
        <f aca="false">PERCENTILE($Q$2:$Q$800,0.75)</f>
        <v>0.667715717403612</v>
      </c>
      <c r="S356" s="1" t="b">
        <f aca="false">OR(Q356&gt;=R356,AND(B356="CW",COUNT(J356:L356)&lt;3))</f>
        <v>0</v>
      </c>
      <c r="T356" s="0" t="n">
        <v>0.334046746282285</v>
      </c>
      <c r="U356" s="0" t="n">
        <v>8.05310823457463</v>
      </c>
      <c r="V356" s="0" t="n">
        <v>0.58909829755814</v>
      </c>
      <c r="W356" s="0" t="n">
        <f aca="false">Q356-V356</f>
        <v>0</v>
      </c>
    </row>
    <row r="357" customFormat="false" ht="15" hidden="false" customHeight="false" outlineLevel="0" collapsed="false">
      <c r="A357" s="0" t="s">
        <v>391</v>
      </c>
      <c r="B357" s="0" t="s">
        <v>3013</v>
      </c>
      <c r="C357" s="0" t="n">
        <v>29.9658533997658</v>
      </c>
      <c r="D357" s="0" t="n">
        <f aca="false">SUMPRODUCT(Risk_Inputs!B357:AJ357,Risk_Coefs!$B$2:$AJ$2)</f>
        <v>-1.0370878598747</v>
      </c>
      <c r="E357" s="0" t="n">
        <f aca="false">1/(1+EXP(-MAX(-25,MIN(25,D357))))</f>
        <v>0.261712284029207</v>
      </c>
      <c r="F357" s="0" t="n">
        <f aca="false">SUMPRODUCT(Risk_Inputs!B357:AJ357,Risk_Coefs!$B$3:$AJ$3)</f>
        <v>5.69118597400793</v>
      </c>
      <c r="G357" s="0" t="n">
        <f aca="false">MAX(0,F357)</f>
        <v>5.69118597400793</v>
      </c>
      <c r="H357" s="0" t="n">
        <f aca="false">(SUMPRODUCT(--ISNUMBER($E$2:$E$800),--($E$2:$E$800&lt;E357))+(SUMPRODUCT(--ISNUMBER($E$2:$E$800),--($E$2:$E$800=E357))+1)/2)/COUNT($E$2:$E$800)</f>
        <v>0.341677096370463</v>
      </c>
      <c r="I357" s="0" t="n">
        <f aca="false">(SUMPRODUCT(--ISNUMBER($G$2:$G$800),--($G$2:$G$800&lt;G357))+(SUMPRODUCT(--ISNUMBER($G$2:$G$800),--($G$2:$G$800=G357))+1)/2)/COUNT($G$2:$G$800)</f>
        <v>0.225281602002503</v>
      </c>
      <c r="J357" s="0" t="n">
        <v>20.6729201328824</v>
      </c>
      <c r="K357" s="0" t="n">
        <v>10.0129617627997</v>
      </c>
      <c r="L357" s="0" t="n">
        <v>0.129617627997409</v>
      </c>
      <c r="M357" s="0" t="n">
        <f aca="false">IF(OR(B357="NW",COUNT(Risk_Rank_Keys!B357)=0),0.5,(SUMPRODUCT(--ISNUMBER(Risk_Rank_Keys!$B$2:$B$800),--(Risk_Rank_Keys!$B$2:$B$800&lt;Risk_Rank_Keys!B357))+(SUMPRODUCT(--ISNUMBER(Risk_Rank_Keys!$B$2:$B$800),--(Risk_Rank_Keys!$B$2:$B$800=Risk_Rank_Keys!B357))+1)/2)/COUNT(Risk_Rank_Keys!$B$2:$B$800))</f>
        <v>0.799163179916318</v>
      </c>
      <c r="N357" s="0" t="n">
        <f aca="false">IF(OR(B357="NW",COUNT(Risk_Rank_Keys!C357)=0),0.5,(SUMPRODUCT(--ISNUMBER(Risk_Rank_Keys!$C$2:$C$800),--(Risk_Rank_Keys!$C$2:$C$800&lt;Risk_Rank_Keys!C357))+(SUMPRODUCT(--ISNUMBER(Risk_Rank_Keys!$C$2:$C$800),--(Risk_Rank_Keys!$C$2:$C$800=Risk_Rank_Keys!C357))+1)/2)/COUNT(Risk_Rank_Keys!$C$2:$C$800))</f>
        <v>0.882845188284519</v>
      </c>
      <c r="O357" s="0" t="n">
        <f aca="false">IF(OR(B357="NW",COUNT(Risk_Rank_Keys!D357)=0),0.5,(SUMPRODUCT(--ISNUMBER(Risk_Rank_Keys!$D$2:$D$800),--(Risk_Rank_Keys!$D$2:$D$800&lt;Risk_Rank_Keys!D357))+(SUMPRODUCT(--ISNUMBER(Risk_Rank_Keys!$D$2:$D$800),--(Risk_Rank_Keys!$D$2:$D$800=Risk_Rank_Keys!D357))+1)/2)/COUNT(Risk_Rank_Keys!$D$2:$D$800))</f>
        <v>0.0627615062761506</v>
      </c>
      <c r="P357" s="0" t="n">
        <f aca="false">AVERAGE(M357:O357)</f>
        <v>0.581589958158996</v>
      </c>
      <c r="Q357" s="0" t="n">
        <f aca="false">0.4*H357+0.4*I357+0.2*P357</f>
        <v>0.343101470980986</v>
      </c>
      <c r="R357" s="0" t="n">
        <f aca="false">PERCENTILE($Q$2:$Q$800,0.75)</f>
        <v>0.667715717403612</v>
      </c>
      <c r="S357" s="1" t="b">
        <f aca="false">OR(Q357&gt;=R357,AND(B357="CW",COUNT(J357:L357)&lt;3))</f>
        <v>0</v>
      </c>
      <c r="T357" s="0" t="n">
        <v>0.261712284029207</v>
      </c>
      <c r="U357" s="0" t="n">
        <v>5.69118597400793</v>
      </c>
      <c r="V357" s="0" t="n">
        <v>0.343101470980986</v>
      </c>
      <c r="W357" s="0" t="n">
        <f aca="false">Q357-V357</f>
        <v>0</v>
      </c>
    </row>
    <row r="358" customFormat="false" ht="15" hidden="false" customHeight="false" outlineLevel="0" collapsed="false">
      <c r="A358" s="0" t="s">
        <v>392</v>
      </c>
      <c r="B358" s="0" t="s">
        <v>3013</v>
      </c>
      <c r="C358" s="0" t="n">
        <v>2.3595671972989</v>
      </c>
      <c r="D358" s="0" t="n">
        <f aca="false">SUMPRODUCT(Risk_Inputs!B358:AJ358,Risk_Coefs!$B$2:$AJ$2)</f>
        <v>-1.45107644671622</v>
      </c>
      <c r="E358" s="0" t="n">
        <f aca="false">1/(1+EXP(-MAX(-25,MIN(25,D358))))</f>
        <v>0.189835955100359</v>
      </c>
      <c r="F358" s="0" t="n">
        <f aca="false">SUMPRODUCT(Risk_Inputs!B358:AJ358,Risk_Coefs!$B$3:$AJ$3)</f>
        <v>4.55183297217871</v>
      </c>
      <c r="G358" s="0" t="n">
        <f aca="false">MAX(0,F358)</f>
        <v>4.55183297217871</v>
      </c>
      <c r="H358" s="0" t="n">
        <f aca="false">(SUMPRODUCT(--ISNUMBER($E$2:$E$800),--($E$2:$E$800&lt;E358))+(SUMPRODUCT(--ISNUMBER($E$2:$E$800),--($E$2:$E$800=E358))+1)/2)/COUNT($E$2:$E$800)</f>
        <v>0.0876095118898623</v>
      </c>
      <c r="I358" s="0" t="n">
        <f aca="false">(SUMPRODUCT(--ISNUMBER($G$2:$G$800),--($G$2:$G$800&lt;G358))+(SUMPRODUCT(--ISNUMBER($G$2:$G$800),--($G$2:$G$800=G358))+1)/2)/COUNT($G$2:$G$800)</f>
        <v>0.0876095118898623</v>
      </c>
      <c r="J358" s="0" t="n">
        <v>17.5944628701418</v>
      </c>
      <c r="K358" s="0" t="n">
        <v>16.2292447777183</v>
      </c>
      <c r="L358" s="0" t="n">
        <v>0.428494911622923</v>
      </c>
      <c r="M358" s="0" t="n">
        <f aca="false">IF(OR(B358="NW",COUNT(Risk_Rank_Keys!B358)=0),0.5,(SUMPRODUCT(--ISNUMBER(Risk_Rank_Keys!$B$2:$B$800),--(Risk_Rank_Keys!$B$2:$B$800&lt;Risk_Rank_Keys!B358))+(SUMPRODUCT(--ISNUMBER(Risk_Rank_Keys!$B$2:$B$800),--(Risk_Rank_Keys!$B$2:$B$800=Risk_Rank_Keys!B358))+1)/2)/COUNT(Risk_Rank_Keys!$B$2:$B$800))</f>
        <v>0.754532775453278</v>
      </c>
      <c r="N358" s="0" t="n">
        <f aca="false">IF(OR(B358="NW",COUNT(Risk_Rank_Keys!C358)=0),0.5,(SUMPRODUCT(--ISNUMBER(Risk_Rank_Keys!$C$2:$C$800),--(Risk_Rank_Keys!$C$2:$C$800&lt;Risk_Rank_Keys!C358))+(SUMPRODUCT(--ISNUMBER(Risk_Rank_Keys!$C$2:$C$800),--(Risk_Rank_Keys!$C$2:$C$800=Risk_Rank_Keys!C358))+1)/2)/COUNT(Risk_Rank_Keys!$C$2:$C$800))</f>
        <v>0.942817294281729</v>
      </c>
      <c r="O358" s="0" t="n">
        <f aca="false">IF(OR(B358="NW",COUNT(Risk_Rank_Keys!D358)=0),0.5,(SUMPRODUCT(--ISNUMBER(Risk_Rank_Keys!$D$2:$D$800),--(Risk_Rank_Keys!$D$2:$D$800&lt;Risk_Rank_Keys!D358))+(SUMPRODUCT(--ISNUMBER(Risk_Rank_Keys!$D$2:$D$800),--(Risk_Rank_Keys!$D$2:$D$800=Risk_Rank_Keys!D358))+1)/2)/COUNT(Risk_Rank_Keys!$D$2:$D$800))</f>
        <v>0.906555090655509</v>
      </c>
      <c r="P358" s="0" t="n">
        <f aca="false">AVERAGE(M358:O358)</f>
        <v>0.867968386796839</v>
      </c>
      <c r="Q358" s="0" t="n">
        <f aca="false">0.4*H358+0.4*I358+0.2*P358</f>
        <v>0.243681286871258</v>
      </c>
      <c r="R358" s="0" t="n">
        <f aca="false">PERCENTILE($Q$2:$Q$800,0.75)</f>
        <v>0.667715717403612</v>
      </c>
      <c r="S358" s="1" t="b">
        <f aca="false">OR(Q358&gt;=R358,AND(B358="CW",COUNT(J358:L358)&lt;3))</f>
        <v>0</v>
      </c>
      <c r="T358" s="0" t="n">
        <v>0.189835955100359</v>
      </c>
      <c r="U358" s="0" t="n">
        <v>4.55183297217871</v>
      </c>
      <c r="V358" s="0" t="n">
        <v>0.243681286871258</v>
      </c>
      <c r="W358" s="0" t="n">
        <f aca="false">Q358-V358</f>
        <v>0</v>
      </c>
    </row>
    <row r="359" customFormat="false" ht="15" hidden="false" customHeight="false" outlineLevel="0" collapsed="false">
      <c r="A359" s="0" t="s">
        <v>393</v>
      </c>
      <c r="B359" s="0" t="s">
        <v>3013</v>
      </c>
      <c r="C359" s="0" t="n">
        <v>25.6399589908173</v>
      </c>
      <c r="D359" s="0" t="n">
        <f aca="false">SUMPRODUCT(Risk_Inputs!B359:AJ359,Risk_Coefs!$B$2:$AJ$2)</f>
        <v>-1.03558100872328</v>
      </c>
      <c r="E359" s="0" t="n">
        <f aca="false">1/(1+EXP(-MAX(-25,MIN(25,D359))))</f>
        <v>0.262003540772951</v>
      </c>
      <c r="F359" s="0" t="n">
        <f aca="false">SUMPRODUCT(Risk_Inputs!B359:AJ359,Risk_Coefs!$B$3:$AJ$3)</f>
        <v>6.66605451078543</v>
      </c>
      <c r="G359" s="0" t="n">
        <f aca="false">MAX(0,F359)</f>
        <v>6.66605451078543</v>
      </c>
      <c r="H359" s="0" t="n">
        <f aca="false">(SUMPRODUCT(--ISNUMBER($E$2:$E$800),--($E$2:$E$800&lt;E359))+(SUMPRODUCT(--ISNUMBER($E$2:$E$800),--($E$2:$E$800=E359))+1)/2)/COUNT($E$2:$E$800)</f>
        <v>0.34793491864831</v>
      </c>
      <c r="I359" s="0" t="n">
        <f aca="false">(SUMPRODUCT(--ISNUMBER($G$2:$G$800),--($G$2:$G$800&lt;G359))+(SUMPRODUCT(--ISNUMBER($G$2:$G$800),--($G$2:$G$800=G359))+1)/2)/COUNT($G$2:$G$800)</f>
        <v>0.369211514392991</v>
      </c>
      <c r="J359" s="0" t="n">
        <v>9.81091933274685</v>
      </c>
      <c r="K359" s="0" t="n">
        <v>3.19829424307036</v>
      </c>
      <c r="L359" s="0" t="n">
        <v>0.213219616204692</v>
      </c>
      <c r="M359" s="0" t="n">
        <f aca="false">IF(OR(B359="NW",COUNT(Risk_Rank_Keys!B359)=0),0.5,(SUMPRODUCT(--ISNUMBER(Risk_Rank_Keys!$B$2:$B$800),--(Risk_Rank_Keys!$B$2:$B$800&lt;Risk_Rank_Keys!B359))+(SUMPRODUCT(--ISNUMBER(Risk_Rank_Keys!$B$2:$B$800),--(Risk_Rank_Keys!$B$2:$B$800=Risk_Rank_Keys!B359))+1)/2)/COUNT(Risk_Rank_Keys!$B$2:$B$800))</f>
        <v>0.497907949790795</v>
      </c>
      <c r="N359" s="0" t="n">
        <f aca="false">IF(OR(B359="NW",COUNT(Risk_Rank_Keys!C359)=0),0.5,(SUMPRODUCT(--ISNUMBER(Risk_Rank_Keys!$C$2:$C$800),--(Risk_Rank_Keys!$C$2:$C$800&lt;Risk_Rank_Keys!C359))+(SUMPRODUCT(--ISNUMBER(Risk_Rank_Keys!$C$2:$C$800),--(Risk_Rank_Keys!$C$2:$C$800=Risk_Rank_Keys!C359))+1)/2)/COUNT(Risk_Rank_Keys!$C$2:$C$800))</f>
        <v>0.492329149232915</v>
      </c>
      <c r="O359" s="0" t="n">
        <f aca="false">IF(OR(B359="NW",COUNT(Risk_Rank_Keys!D359)=0),0.5,(SUMPRODUCT(--ISNUMBER(Risk_Rank_Keys!$D$2:$D$800),--(Risk_Rank_Keys!$D$2:$D$800&lt;Risk_Rank_Keys!D359))+(SUMPRODUCT(--ISNUMBER(Risk_Rank_Keys!$D$2:$D$800),--(Risk_Rank_Keys!$D$2:$D$800=Risk_Rank_Keys!D359))+1)/2)/COUNT(Risk_Rank_Keys!$D$2:$D$800))</f>
        <v>0.396094839609484</v>
      </c>
      <c r="P359" s="0" t="n">
        <f aca="false">AVERAGE(M359:O359)</f>
        <v>0.462110646211065</v>
      </c>
      <c r="Q359" s="0" t="n">
        <f aca="false">0.4*H359+0.4*I359+0.2*P359</f>
        <v>0.379280702458734</v>
      </c>
      <c r="R359" s="0" t="n">
        <f aca="false">PERCENTILE($Q$2:$Q$800,0.75)</f>
        <v>0.667715717403612</v>
      </c>
      <c r="S359" s="1" t="b">
        <f aca="false">OR(Q359&gt;=R359,AND(B359="CW",COUNT(J359:L359)&lt;3))</f>
        <v>0</v>
      </c>
      <c r="T359" s="0" t="n">
        <v>0.262003540772951</v>
      </c>
      <c r="U359" s="0" t="n">
        <v>6.66605451078543</v>
      </c>
      <c r="V359" s="0" t="n">
        <v>0.379280702458734</v>
      </c>
      <c r="W359" s="0" t="n">
        <f aca="false">Q359-V359</f>
        <v>0</v>
      </c>
    </row>
    <row r="360" customFormat="false" ht="15" hidden="false" customHeight="false" outlineLevel="0" collapsed="false">
      <c r="A360" s="0" t="s">
        <v>394</v>
      </c>
      <c r="B360" s="0" t="s">
        <v>3013</v>
      </c>
      <c r="C360" s="0" t="n">
        <v>34.804911791826</v>
      </c>
      <c r="D360" s="0" t="n">
        <f aca="false">SUMPRODUCT(Risk_Inputs!B360:AJ360,Risk_Coefs!$B$2:$AJ$2)</f>
        <v>-1.08697000289667</v>
      </c>
      <c r="E360" s="0" t="n">
        <f aca="false">1/(1+EXP(-MAX(-25,MIN(25,D360))))</f>
        <v>0.252189275897724</v>
      </c>
      <c r="F360" s="0" t="n">
        <f aca="false">SUMPRODUCT(Risk_Inputs!B360:AJ360,Risk_Coefs!$B$3:$AJ$3)</f>
        <v>5.0572553192122</v>
      </c>
      <c r="G360" s="0" t="n">
        <f aca="false">MAX(0,F360)</f>
        <v>5.0572553192122</v>
      </c>
      <c r="H360" s="0" t="n">
        <f aca="false">(SUMPRODUCT(--ISNUMBER($E$2:$E$800),--($E$2:$E$800&lt;E360))+(SUMPRODUCT(--ISNUMBER($E$2:$E$800),--($E$2:$E$800=E360))+1)/2)/COUNT($E$2:$E$800)</f>
        <v>0.280350438047559</v>
      </c>
      <c r="I360" s="0" t="n">
        <f aca="false">(SUMPRODUCT(--ISNUMBER($G$2:$G$800),--($G$2:$G$800&lt;G360))+(SUMPRODUCT(--ISNUMBER($G$2:$G$800),--($G$2:$G$800=G360))+1)/2)/COUNT($G$2:$G$800)</f>
        <v>0.142678347934919</v>
      </c>
      <c r="J360" s="0" t="n">
        <v>5.96878627344113</v>
      </c>
      <c r="K360" s="0" t="n">
        <v>1.68444693992139</v>
      </c>
      <c r="L360" s="0" t="n">
        <v>0.11229646266142</v>
      </c>
      <c r="M360" s="0" t="n">
        <f aca="false">IF(OR(B360="NW",COUNT(Risk_Rank_Keys!B360)=0),0.5,(SUMPRODUCT(--ISNUMBER(Risk_Rank_Keys!$B$2:$B$800),--(Risk_Rank_Keys!$B$2:$B$800&lt;Risk_Rank_Keys!B360))+(SUMPRODUCT(--ISNUMBER(Risk_Rank_Keys!$B$2:$B$800),--(Risk_Rank_Keys!$B$2:$B$800=Risk_Rank_Keys!B360))+1)/2)/COUNT(Risk_Rank_Keys!$B$2:$B$800))</f>
        <v>0.224546722454672</v>
      </c>
      <c r="N360" s="0" t="n">
        <f aca="false">IF(OR(B360="NW",COUNT(Risk_Rank_Keys!C360)=0),0.5,(SUMPRODUCT(--ISNUMBER(Risk_Rank_Keys!$C$2:$C$800),--(Risk_Rank_Keys!$C$2:$C$800&lt;Risk_Rank_Keys!C360))+(SUMPRODUCT(--ISNUMBER(Risk_Rank_Keys!$C$2:$C$800),--(Risk_Rank_Keys!$C$2:$C$800=Risk_Rank_Keys!C360))+1)/2)/COUNT(Risk_Rank_Keys!$C$2:$C$800))</f>
        <v>0.182705718270572</v>
      </c>
      <c r="O360" s="0" t="n">
        <f aca="false">IF(OR(B360="NW",COUNT(Risk_Rank_Keys!D360)=0),0.5,(SUMPRODUCT(--ISNUMBER(Risk_Rank_Keys!$D$2:$D$800),--(Risk_Rank_Keys!$D$2:$D$800&lt;Risk_Rank_Keys!D360))+(SUMPRODUCT(--ISNUMBER(Risk_Rank_Keys!$D$2:$D$800),--(Risk_Rank_Keys!$D$2:$D$800=Risk_Rank_Keys!D360))+1)/2)/COUNT(Risk_Rank_Keys!$D$2:$D$800))</f>
        <v>0.0362622036262204</v>
      </c>
      <c r="P360" s="0" t="n">
        <f aca="false">AVERAGE(M360:O360)</f>
        <v>0.147838214783821</v>
      </c>
      <c r="Q360" s="0" t="n">
        <f aca="false">0.4*H360+0.4*I360+0.2*P360</f>
        <v>0.198779157349756</v>
      </c>
      <c r="R360" s="0" t="n">
        <f aca="false">PERCENTILE($Q$2:$Q$800,0.75)</f>
        <v>0.667715717403612</v>
      </c>
      <c r="S360" s="1" t="b">
        <f aca="false">OR(Q360&gt;=R360,AND(B360="CW",COUNT(J360:L360)&lt;3))</f>
        <v>0</v>
      </c>
      <c r="T360" s="0" t="n">
        <v>0.252189275897724</v>
      </c>
      <c r="U360" s="0" t="n">
        <v>5.0572553192122</v>
      </c>
      <c r="V360" s="0" t="n">
        <v>0.198779157349756</v>
      </c>
      <c r="W360" s="0" t="n">
        <f aca="false">Q360-V360</f>
        <v>0</v>
      </c>
    </row>
    <row r="361" customFormat="false" ht="15" hidden="false" customHeight="false" outlineLevel="0" collapsed="false">
      <c r="A361" s="0" t="s">
        <v>395</v>
      </c>
      <c r="B361" s="0" t="s">
        <v>3013</v>
      </c>
      <c r="C361" s="0" t="n">
        <v>-40.8440803590565</v>
      </c>
      <c r="D361" s="0" t="n">
        <f aca="false">SUMPRODUCT(Risk_Inputs!B361:AJ361,Risk_Coefs!$B$2:$AJ$2)</f>
        <v>-1.05449057035491</v>
      </c>
      <c r="E361" s="0" t="n">
        <f aca="false">1/(1+EXP(-MAX(-25,MIN(25,D361))))</f>
        <v>0.258363720838717</v>
      </c>
      <c r="F361" s="0" t="n">
        <f aca="false">SUMPRODUCT(Risk_Inputs!B361:AJ361,Risk_Coefs!$B$3:$AJ$3)</f>
        <v>6.72608365205097</v>
      </c>
      <c r="G361" s="0" t="n">
        <f aca="false">MAX(0,F361)</f>
        <v>6.72608365205097</v>
      </c>
      <c r="H361" s="0" t="n">
        <f aca="false">(SUMPRODUCT(--ISNUMBER($E$2:$E$800),--($E$2:$E$800&lt;E361))+(SUMPRODUCT(--ISNUMBER($E$2:$E$800),--($E$2:$E$800=E361))+1)/2)/COUNT($E$2:$E$800)</f>
        <v>0.320400500625782</v>
      </c>
      <c r="I361" s="0" t="n">
        <f aca="false">(SUMPRODUCT(--ISNUMBER($G$2:$G$800),--($G$2:$G$800&lt;G361))+(SUMPRODUCT(--ISNUMBER($G$2:$G$800),--($G$2:$G$800=G361))+1)/2)/COUNT($G$2:$G$800)</f>
        <v>0.379224030037547</v>
      </c>
      <c r="J361" s="0" t="n">
        <v>6.36690963379212</v>
      </c>
      <c r="K361" s="0" t="n">
        <v>1.44092219020173</v>
      </c>
      <c r="L361" s="0" t="n">
        <v>0.324207492795391</v>
      </c>
      <c r="M361" s="0" t="n">
        <f aca="false">IF(OR(B361="NW",COUNT(Risk_Rank_Keys!B361)=0),0.5,(SUMPRODUCT(--ISNUMBER(Risk_Rank_Keys!$B$2:$B$800),--(Risk_Rank_Keys!$B$2:$B$800&lt;Risk_Rank_Keys!B361))+(SUMPRODUCT(--ISNUMBER(Risk_Rank_Keys!$B$2:$B$800),--(Risk_Rank_Keys!$B$2:$B$800=Risk_Rank_Keys!B361))+1)/2)/COUNT(Risk_Rank_Keys!$B$2:$B$800))</f>
        <v>0.258019525801953</v>
      </c>
      <c r="N361" s="0" t="n">
        <f aca="false">IF(OR(B361="NW",COUNT(Risk_Rank_Keys!C361)=0),0.5,(SUMPRODUCT(--ISNUMBER(Risk_Rank_Keys!$C$2:$C$800),--(Risk_Rank_Keys!$C$2:$C$800&lt;Risk_Rank_Keys!C361))+(SUMPRODUCT(--ISNUMBER(Risk_Rank_Keys!$C$2:$C$800),--(Risk_Rank_Keys!$C$2:$C$800=Risk_Rank_Keys!C361))+1)/2)/COUNT(Risk_Rank_Keys!$C$2:$C$800))</f>
        <v>0.115760111576011</v>
      </c>
      <c r="O361" s="0" t="n">
        <f aca="false">IF(OR(B361="NW",COUNT(Risk_Rank_Keys!D361)=0),0.5,(SUMPRODUCT(--ISNUMBER(Risk_Rank_Keys!$D$2:$D$800),--(Risk_Rank_Keys!$D$2:$D$800&lt;Risk_Rank_Keys!D361))+(SUMPRODUCT(--ISNUMBER(Risk_Rank_Keys!$D$2:$D$800),--(Risk_Rank_Keys!$D$2:$D$800=Risk_Rank_Keys!D361))+1)/2)/COUNT(Risk_Rank_Keys!$D$2:$D$800))</f>
        <v>0.788005578800558</v>
      </c>
      <c r="P361" s="0" t="n">
        <f aca="false">AVERAGE(M361:O361)</f>
        <v>0.387261738726174</v>
      </c>
      <c r="Q361" s="0" t="n">
        <f aca="false">0.4*H361+0.4*I361+0.2*P361</f>
        <v>0.357302160010566</v>
      </c>
      <c r="R361" s="0" t="n">
        <f aca="false">PERCENTILE($Q$2:$Q$800,0.75)</f>
        <v>0.667715717403612</v>
      </c>
      <c r="S361" s="1" t="b">
        <f aca="false">OR(Q361&gt;=R361,AND(B361="CW",COUNT(J361:L361)&lt;3))</f>
        <v>0</v>
      </c>
      <c r="T361" s="0" t="n">
        <v>0.258363720838717</v>
      </c>
      <c r="U361" s="0" t="n">
        <v>6.72608365205097</v>
      </c>
      <c r="V361" s="0" t="n">
        <v>0.357302160010567</v>
      </c>
      <c r="W361" s="0" t="n">
        <f aca="false">Q361-V361</f>
        <v>0</v>
      </c>
    </row>
    <row r="362" customFormat="false" ht="15" hidden="false" customHeight="false" outlineLevel="0" collapsed="false">
      <c r="A362" s="0" t="s">
        <v>396</v>
      </c>
      <c r="B362" s="0" t="s">
        <v>3013</v>
      </c>
      <c r="C362" s="0" t="n">
        <v>-1.04393659473091</v>
      </c>
      <c r="D362" s="0" t="n">
        <f aca="false">SUMPRODUCT(Risk_Inputs!B362:AJ362,Risk_Coefs!$B$2:$AJ$2)</f>
        <v>-0.792640362724299</v>
      </c>
      <c r="E362" s="0" t="n">
        <f aca="false">1/(1+EXP(-MAX(-25,MIN(25,D362))))</f>
        <v>0.311602013698368</v>
      </c>
      <c r="F362" s="0" t="n">
        <f aca="false">SUMPRODUCT(Risk_Inputs!B362:AJ362,Risk_Coefs!$B$3:$AJ$3)</f>
        <v>10.6215520520476</v>
      </c>
      <c r="G362" s="0" t="n">
        <f aca="false">MAX(0,F362)</f>
        <v>10.6215520520476</v>
      </c>
      <c r="H362" s="0" t="n">
        <f aca="false">(SUMPRODUCT(--ISNUMBER($E$2:$E$800),--($E$2:$E$800&lt;E362))+(SUMPRODUCT(--ISNUMBER($E$2:$E$800),--($E$2:$E$800=E362))+1)/2)/COUNT($E$2:$E$800)</f>
        <v>0.623279098873592</v>
      </c>
      <c r="I362" s="0" t="n">
        <f aca="false">(SUMPRODUCT(--ISNUMBER($G$2:$G$800),--($G$2:$G$800&lt;G362))+(SUMPRODUCT(--ISNUMBER($G$2:$G$800),--($G$2:$G$800=G362))+1)/2)/COUNT($G$2:$G$800)</f>
        <v>0.853566958698373</v>
      </c>
      <c r="J362" s="0" t="n">
        <v>5.34245703197326</v>
      </c>
      <c r="K362" s="0" t="n">
        <v>2.2760290556901</v>
      </c>
      <c r="L362" s="0" t="n">
        <v>0.242130750605327</v>
      </c>
      <c r="M362" s="0" t="n">
        <f aca="false">IF(OR(B362="NW",COUNT(Risk_Rank_Keys!B362)=0),0.5,(SUMPRODUCT(--ISNUMBER(Risk_Rank_Keys!$B$2:$B$800),--(Risk_Rank_Keys!$B$2:$B$800&lt;Risk_Rank_Keys!B362))+(SUMPRODUCT(--ISNUMBER(Risk_Rank_Keys!$B$2:$B$800),--(Risk_Rank_Keys!$B$2:$B$800=Risk_Rank_Keys!B362))+1)/2)/COUNT(Risk_Rank_Keys!$B$2:$B$800))</f>
        <v>0.154811715481172</v>
      </c>
      <c r="N362" s="0" t="n">
        <f aca="false">IF(OR(B362="NW",COUNT(Risk_Rank_Keys!C362)=0),0.5,(SUMPRODUCT(--ISNUMBER(Risk_Rank_Keys!$C$2:$C$800),--(Risk_Rank_Keys!$C$2:$C$800&lt;Risk_Rank_Keys!C362))+(SUMPRODUCT(--ISNUMBER(Risk_Rank_Keys!$C$2:$C$800),--(Risk_Rank_Keys!$C$2:$C$800=Risk_Rank_Keys!C362))+1)/2)/COUNT(Risk_Rank_Keys!$C$2:$C$800))</f>
        <v>0.331938633193863</v>
      </c>
      <c r="O362" s="0" t="n">
        <f aca="false">IF(OR(B362="NW",COUNT(Risk_Rank_Keys!D362)=0),0.5,(SUMPRODUCT(--ISNUMBER(Risk_Rank_Keys!$D$2:$D$800),--(Risk_Rank_Keys!$D$2:$D$800&lt;Risk_Rank_Keys!D362))+(SUMPRODUCT(--ISNUMBER(Risk_Rank_Keys!$D$2:$D$800),--(Risk_Rank_Keys!$D$2:$D$800=Risk_Rank_Keys!D362))+1)/2)/COUNT(Risk_Rank_Keys!$D$2:$D$800))</f>
        <v>0.555090655509066</v>
      </c>
      <c r="P362" s="0" t="n">
        <f aca="false">AVERAGE(M362:O362)</f>
        <v>0.347280334728034</v>
      </c>
      <c r="Q362" s="0" t="n">
        <f aca="false">0.4*H362+0.4*I362+0.2*P362</f>
        <v>0.660194489974393</v>
      </c>
      <c r="R362" s="0" t="n">
        <f aca="false">PERCENTILE($Q$2:$Q$800,0.75)</f>
        <v>0.667715717403612</v>
      </c>
      <c r="S362" s="1" t="b">
        <f aca="false">OR(Q362&gt;=R362,AND(B362="CW",COUNT(J362:L362)&lt;3))</f>
        <v>0</v>
      </c>
      <c r="T362" s="0" t="n">
        <v>0.311602013698368</v>
      </c>
      <c r="U362" s="0" t="n">
        <v>10.6215520520476</v>
      </c>
      <c r="V362" s="0" t="n">
        <v>0.660194489974393</v>
      </c>
      <c r="W362" s="0" t="n">
        <f aca="false">Q362-V362</f>
        <v>0</v>
      </c>
    </row>
    <row r="363" customFormat="false" ht="15" hidden="false" customHeight="false" outlineLevel="0" collapsed="false">
      <c r="A363" s="0" t="s">
        <v>397</v>
      </c>
      <c r="B363" s="0" t="s">
        <v>3013</v>
      </c>
      <c r="C363" s="0" t="n">
        <v>-32.3678427718489</v>
      </c>
      <c r="D363" s="0" t="n">
        <f aca="false">SUMPRODUCT(Risk_Inputs!B363:AJ363,Risk_Coefs!$B$2:$AJ$2)</f>
        <v>-0.609210050683878</v>
      </c>
      <c r="E363" s="0" t="n">
        <f aca="false">1/(1+EXP(-MAX(-25,MIN(25,D363))))</f>
        <v>0.352239417089819</v>
      </c>
      <c r="F363" s="0" t="n">
        <f aca="false">SUMPRODUCT(Risk_Inputs!B363:AJ363,Risk_Coefs!$B$3:$AJ$3)</f>
        <v>9.55493412689116</v>
      </c>
      <c r="G363" s="0" t="n">
        <f aca="false">MAX(0,F363)</f>
        <v>9.55493412689116</v>
      </c>
      <c r="H363" s="0" t="n">
        <f aca="false">(SUMPRODUCT(--ISNUMBER($E$2:$E$800),--($E$2:$E$800&lt;E363))+(SUMPRODUCT(--ISNUMBER($E$2:$E$800),--($E$2:$E$800=E363))+1)/2)/COUNT($E$2:$E$800)</f>
        <v>0.823529411764706</v>
      </c>
      <c r="I363" s="0" t="n">
        <f aca="false">(SUMPRODUCT(--ISNUMBER($G$2:$G$800),--($G$2:$G$800&lt;G363))+(SUMPRODUCT(--ISNUMBER($G$2:$G$800),--($G$2:$G$800=G363))+1)/2)/COUNT($G$2:$G$800)</f>
        <v>0.732165206508135</v>
      </c>
      <c r="J363" s="0" t="n">
        <v>8.1593190880576</v>
      </c>
      <c r="K363" s="0" t="n">
        <v>2.90370370370371</v>
      </c>
      <c r="L363" s="0" t="n">
        <v>0.207407407407412</v>
      </c>
      <c r="M363" s="0" t="n">
        <f aca="false">IF(OR(B363="NW",COUNT(Risk_Rank_Keys!B363)=0),0.5,(SUMPRODUCT(--ISNUMBER(Risk_Rank_Keys!$B$2:$B$800),--(Risk_Rank_Keys!$B$2:$B$800&lt;Risk_Rank_Keys!B363))+(SUMPRODUCT(--ISNUMBER(Risk_Rank_Keys!$B$2:$B$800),--(Risk_Rank_Keys!$B$2:$B$800=Risk_Rank_Keys!B363))+1)/2)/COUNT(Risk_Rank_Keys!$B$2:$B$800))</f>
        <v>0.393305439330544</v>
      </c>
      <c r="N363" s="0" t="n">
        <f aca="false">IF(OR(B363="NW",COUNT(Risk_Rank_Keys!C363)=0),0.5,(SUMPRODUCT(--ISNUMBER(Risk_Rank_Keys!$C$2:$C$800),--(Risk_Rank_Keys!$C$2:$C$800&lt;Risk_Rank_Keys!C363))+(SUMPRODUCT(--ISNUMBER(Risk_Rank_Keys!$C$2:$C$800),--(Risk_Rank_Keys!$C$2:$C$800=Risk_Rank_Keys!C363))+1)/2)/COUNT(Risk_Rank_Keys!$C$2:$C$800))</f>
        <v>0.458856345885635</v>
      </c>
      <c r="O363" s="0" t="n">
        <f aca="false">IF(OR(B363="NW",COUNT(Risk_Rank_Keys!D363)=0),0.5,(SUMPRODUCT(--ISNUMBER(Risk_Rank_Keys!$D$2:$D$800),--(Risk_Rank_Keys!$D$2:$D$800&lt;Risk_Rank_Keys!D363))+(SUMPRODUCT(--ISNUMBER(Risk_Rank_Keys!$D$2:$D$800),--(Risk_Rank_Keys!$D$2:$D$800=Risk_Rank_Keys!D363))+1)/2)/COUNT(Risk_Rank_Keys!$D$2:$D$800))</f>
        <v>0.358437935843794</v>
      </c>
      <c r="P363" s="0" t="n">
        <f aca="false">AVERAGE(M363:O363)</f>
        <v>0.403533240353324</v>
      </c>
      <c r="Q363" s="0" t="n">
        <f aca="false">0.4*H363+0.4*I363+0.2*P363</f>
        <v>0.702984495379801</v>
      </c>
      <c r="R363" s="0" t="n">
        <f aca="false">PERCENTILE($Q$2:$Q$800,0.75)</f>
        <v>0.667715717403612</v>
      </c>
      <c r="S363" s="1" t="b">
        <f aca="false">OR(Q363&gt;=R363,AND(B363="CW",COUNT(J363:L363)&lt;3))</f>
        <v>1</v>
      </c>
      <c r="T363" s="0" t="n">
        <v>0.352239417089819</v>
      </c>
      <c r="U363" s="0" t="n">
        <v>9.55493412689116</v>
      </c>
      <c r="V363" s="0" t="n">
        <v>0.702984495379801</v>
      </c>
      <c r="W363" s="0" t="n">
        <f aca="false">Q363-V363</f>
        <v>0</v>
      </c>
    </row>
    <row r="364" customFormat="false" ht="15" hidden="false" customHeight="false" outlineLevel="0" collapsed="false">
      <c r="A364" s="0" t="s">
        <v>398</v>
      </c>
      <c r="B364" s="0" t="s">
        <v>3013</v>
      </c>
      <c r="C364" s="0" t="n">
        <v>40.5879190978232</v>
      </c>
      <c r="D364" s="0" t="n">
        <f aca="false">SUMPRODUCT(Risk_Inputs!B364:AJ364,Risk_Coefs!$B$2:$AJ$2)</f>
        <v>-0.936369044319361</v>
      </c>
      <c r="E364" s="0" t="n">
        <f aca="false">1/(1+EXP(-MAX(-25,MIN(25,D364))))</f>
        <v>0.281634361847381</v>
      </c>
      <c r="F364" s="0" t="n">
        <f aca="false">SUMPRODUCT(Risk_Inputs!B364:AJ364,Risk_Coefs!$B$3:$AJ$3)</f>
        <v>9.71457306728228</v>
      </c>
      <c r="G364" s="0" t="n">
        <f aca="false">MAX(0,F364)</f>
        <v>9.71457306728228</v>
      </c>
      <c r="H364" s="0" t="n">
        <f aca="false">(SUMPRODUCT(--ISNUMBER($E$2:$E$800),--($E$2:$E$800&lt;E364))+(SUMPRODUCT(--ISNUMBER($E$2:$E$800),--($E$2:$E$800=E364))+1)/2)/COUNT($E$2:$E$800)</f>
        <v>0.469336670838548</v>
      </c>
      <c r="I364" s="0" t="n">
        <f aca="false">(SUMPRODUCT(--ISNUMBER($G$2:$G$800),--($G$2:$G$800&lt;G364))+(SUMPRODUCT(--ISNUMBER($G$2:$G$800),--($G$2:$G$800=G364))+1)/2)/COUNT($G$2:$G$800)</f>
        <v>0.750938673341677</v>
      </c>
      <c r="J364" s="0" t="n">
        <v>11.912367380759</v>
      </c>
      <c r="K364" s="0" t="n">
        <v>2.46007768666379</v>
      </c>
      <c r="L364" s="0" t="n">
        <v>0.345274061286145</v>
      </c>
      <c r="M364" s="0" t="n">
        <f aca="false">IF(OR(B364="NW",COUNT(Risk_Rank_Keys!B364)=0),0.5,(SUMPRODUCT(--ISNUMBER(Risk_Rank_Keys!$B$2:$B$800),--(Risk_Rank_Keys!$B$2:$B$800&lt;Risk_Rank_Keys!B364))+(SUMPRODUCT(--ISNUMBER(Risk_Rank_Keys!$B$2:$B$800),--(Risk_Rank_Keys!$B$2:$B$800=Risk_Rank_Keys!B364))+1)/2)/COUNT(Risk_Rank_Keys!$B$2:$B$800))</f>
        <v>0.596931659693166</v>
      </c>
      <c r="N364" s="0" t="n">
        <f aca="false">IF(OR(B364="NW",COUNT(Risk_Rank_Keys!C364)=0),0.5,(SUMPRODUCT(--ISNUMBER(Risk_Rank_Keys!$C$2:$C$800),--(Risk_Rank_Keys!$C$2:$C$800&lt;Risk_Rank_Keys!C364))+(SUMPRODUCT(--ISNUMBER(Risk_Rank_Keys!$C$2:$C$800),--(Risk_Rank_Keys!$C$2:$C$800=Risk_Rank_Keys!C364))+1)/2)/COUNT(Risk_Rank_Keys!$C$2:$C$800))</f>
        <v>0.379358437935844</v>
      </c>
      <c r="O364" s="0" t="n">
        <f aca="false">IF(OR(B364="NW",COUNT(Risk_Rank_Keys!D364)=0),0.5,(SUMPRODUCT(--ISNUMBER(Risk_Rank_Keys!$D$2:$D$800),--(Risk_Rank_Keys!$D$2:$D$800&lt;Risk_Rank_Keys!D364))+(SUMPRODUCT(--ISNUMBER(Risk_Rank_Keys!$D$2:$D$800),--(Risk_Rank_Keys!$D$2:$D$800=Risk_Rank_Keys!D364))+1)/2)/COUNT(Risk_Rank_Keys!$D$2:$D$800))</f>
        <v>0.825662482566248</v>
      </c>
      <c r="P364" s="0" t="n">
        <f aca="false">AVERAGE(M364:O364)</f>
        <v>0.600650860065086</v>
      </c>
      <c r="Q364" s="0" t="n">
        <f aca="false">0.4*H364+0.4*I364+0.2*P364</f>
        <v>0.608240309685107</v>
      </c>
      <c r="R364" s="0" t="n">
        <f aca="false">PERCENTILE($Q$2:$Q$800,0.75)</f>
        <v>0.667715717403612</v>
      </c>
      <c r="S364" s="1" t="b">
        <f aca="false">OR(Q364&gt;=R364,AND(B364="CW",COUNT(J364:L364)&lt;3))</f>
        <v>0</v>
      </c>
      <c r="T364" s="0" t="n">
        <v>0.281634361847381</v>
      </c>
      <c r="U364" s="0" t="n">
        <v>9.71457306728228</v>
      </c>
      <c r="V364" s="0" t="n">
        <v>0.608240309685107</v>
      </c>
      <c r="W364" s="0" t="n">
        <f aca="false">Q364-V364</f>
        <v>0</v>
      </c>
    </row>
    <row r="365" customFormat="false" ht="15" hidden="false" customHeight="false" outlineLevel="0" collapsed="false">
      <c r="A365" s="0" t="s">
        <v>399</v>
      </c>
      <c r="B365" s="0" t="s">
        <v>3013</v>
      </c>
      <c r="C365" s="0" t="n">
        <v>35.1889598282326</v>
      </c>
      <c r="D365" s="0" t="n">
        <f aca="false">SUMPRODUCT(Risk_Inputs!B365:AJ365,Risk_Coefs!$B$2:$AJ$2)</f>
        <v>-1.28708691914037</v>
      </c>
      <c r="E365" s="0" t="n">
        <f aca="false">1/(1+EXP(-MAX(-25,MIN(25,D365))))</f>
        <v>0.216346288104637</v>
      </c>
      <c r="F365" s="0" t="n">
        <f aca="false">SUMPRODUCT(Risk_Inputs!B365:AJ365,Risk_Coefs!$B$3:$AJ$3)</f>
        <v>6.106522337696</v>
      </c>
      <c r="G365" s="0" t="n">
        <f aca="false">MAX(0,F365)</f>
        <v>6.106522337696</v>
      </c>
      <c r="H365" s="0" t="n">
        <f aca="false">(SUMPRODUCT(--ISNUMBER($E$2:$E$800),--($E$2:$E$800&lt;E365))+(SUMPRODUCT(--ISNUMBER($E$2:$E$800),--($E$2:$E$800=E365))+1)/2)/COUNT($E$2:$E$800)</f>
        <v>0.132665832290363</v>
      </c>
      <c r="I365" s="0" t="n">
        <f aca="false">(SUMPRODUCT(--ISNUMBER($G$2:$G$800),--($G$2:$G$800&lt;G365))+(SUMPRODUCT(--ISNUMBER($G$2:$G$800),--($G$2:$G$800=G365))+1)/2)/COUNT($G$2:$G$800)</f>
        <v>0.27909887359199</v>
      </c>
      <c r="J365" s="0" t="n">
        <v>19.2123496759662</v>
      </c>
      <c r="K365" s="0" t="n">
        <v>3.56886657101865</v>
      </c>
      <c r="L365" s="0" t="n">
        <v>0.32281205164993</v>
      </c>
      <c r="M365" s="0" t="n">
        <f aca="false">IF(OR(B365="NW",COUNT(Risk_Rank_Keys!B365)=0),0.5,(SUMPRODUCT(--ISNUMBER(Risk_Rank_Keys!$B$2:$B$800),--(Risk_Rank_Keys!$B$2:$B$800&lt;Risk_Rank_Keys!B365))+(SUMPRODUCT(--ISNUMBER(Risk_Rank_Keys!$B$2:$B$800),--(Risk_Rank_Keys!$B$2:$B$800=Risk_Rank_Keys!B365))+1)/2)/COUNT(Risk_Rank_Keys!$B$2:$B$800))</f>
        <v>0.779637377963738</v>
      </c>
      <c r="N365" s="0" t="n">
        <f aca="false">IF(OR(B365="NW",COUNT(Risk_Rank_Keys!C365)=0),0.5,(SUMPRODUCT(--ISNUMBER(Risk_Rank_Keys!$C$2:$C$800),--(Risk_Rank_Keys!$C$2:$C$800&lt;Risk_Rank_Keys!C365))+(SUMPRODUCT(--ISNUMBER(Risk_Rank_Keys!$C$2:$C$800),--(Risk_Rank_Keys!$C$2:$C$800=Risk_Rank_Keys!C365))+1)/2)/COUNT(Risk_Rank_Keys!$C$2:$C$800))</f>
        <v>0.538354253835425</v>
      </c>
      <c r="O365" s="0" t="n">
        <f aca="false">IF(OR(B365="NW",COUNT(Risk_Rank_Keys!D365)=0),0.5,(SUMPRODUCT(--ISNUMBER(Risk_Rank_Keys!$D$2:$D$800),--(Risk_Rank_Keys!$D$2:$D$800&lt;Risk_Rank_Keys!D365))+(SUMPRODUCT(--ISNUMBER(Risk_Rank_Keys!$D$2:$D$800),--(Risk_Rank_Keys!$D$2:$D$800=Risk_Rank_Keys!D365))+1)/2)/COUNT(Risk_Rank_Keys!$D$2:$D$800))</f>
        <v>0.783821478382148</v>
      </c>
      <c r="P365" s="0" t="n">
        <f aca="false">AVERAGE(M365:O365)</f>
        <v>0.700604370060437</v>
      </c>
      <c r="Q365" s="0" t="n">
        <f aca="false">0.4*H365+0.4*I365+0.2*P365</f>
        <v>0.304826756365029</v>
      </c>
      <c r="R365" s="0" t="n">
        <f aca="false">PERCENTILE($Q$2:$Q$800,0.75)</f>
        <v>0.667715717403612</v>
      </c>
      <c r="S365" s="1" t="b">
        <f aca="false">OR(Q365&gt;=R365,AND(B365="CW",COUNT(J365:L365)&lt;3))</f>
        <v>0</v>
      </c>
      <c r="T365" s="0" t="n">
        <v>0.216346288104637</v>
      </c>
      <c r="U365" s="0" t="n">
        <v>6.106522337696</v>
      </c>
      <c r="V365" s="0" t="n">
        <v>0.304826756365029</v>
      </c>
      <c r="W365" s="0" t="n">
        <f aca="false">Q365-V365</f>
        <v>0</v>
      </c>
    </row>
    <row r="366" customFormat="false" ht="15" hidden="false" customHeight="false" outlineLevel="0" collapsed="false">
      <c r="A366" s="0" t="s">
        <v>400</v>
      </c>
      <c r="B366" s="0" t="s">
        <v>3013</v>
      </c>
      <c r="C366" s="0" t="n">
        <v>12.3611316952852</v>
      </c>
      <c r="D366" s="0" t="n">
        <f aca="false">SUMPRODUCT(Risk_Inputs!B366:AJ366,Risk_Coefs!$B$2:$AJ$2)</f>
        <v>-1.09241765775891</v>
      </c>
      <c r="E366" s="0" t="n">
        <f aca="false">1/(1+EXP(-MAX(-25,MIN(25,D366))))</f>
        <v>0.251163291115295</v>
      </c>
      <c r="F366" s="0" t="n">
        <f aca="false">SUMPRODUCT(Risk_Inputs!B366:AJ366,Risk_Coefs!$B$3:$AJ$3)</f>
        <v>5.60871632172423</v>
      </c>
      <c r="G366" s="0" t="n">
        <f aca="false">MAX(0,F366)</f>
        <v>5.60871632172423</v>
      </c>
      <c r="H366" s="0" t="n">
        <f aca="false">(SUMPRODUCT(--ISNUMBER($E$2:$E$800),--($E$2:$E$800&lt;E366))+(SUMPRODUCT(--ISNUMBER($E$2:$E$800),--($E$2:$E$800=E366))+1)/2)/COUNT($E$2:$E$800)</f>
        <v>0.272841051314143</v>
      </c>
      <c r="I366" s="0" t="n">
        <f aca="false">(SUMPRODUCT(--ISNUMBER($G$2:$G$800),--($G$2:$G$800&lt;G366))+(SUMPRODUCT(--ISNUMBER($G$2:$G$800),--($G$2:$G$800=G366))+1)/2)/COUNT($G$2:$G$800)</f>
        <v>0.219023779724656</v>
      </c>
      <c r="J366" s="0" t="n">
        <v>18.1547003915829</v>
      </c>
      <c r="K366" s="0" t="n">
        <v>5.09656652360515</v>
      </c>
      <c r="L366" s="0" t="n">
        <v>0.13412017167382</v>
      </c>
      <c r="M366" s="0" t="n">
        <f aca="false">IF(OR(B366="NW",COUNT(Risk_Rank_Keys!B366)=0),0.5,(SUMPRODUCT(--ISNUMBER(Risk_Rank_Keys!$B$2:$B$800),--(Risk_Rank_Keys!$B$2:$B$800&lt;Risk_Rank_Keys!B366))+(SUMPRODUCT(--ISNUMBER(Risk_Rank_Keys!$B$2:$B$800),--(Risk_Rank_Keys!$B$2:$B$800=Risk_Rank_Keys!B366))+1)/2)/COUNT(Risk_Rank_Keys!$B$2:$B$800))</f>
        <v>0.761506276150628</v>
      </c>
      <c r="N366" s="0" t="n">
        <f aca="false">IF(OR(B366="NW",COUNT(Risk_Rank_Keys!C366)=0),0.5,(SUMPRODUCT(--ISNUMBER(Risk_Rank_Keys!$C$2:$C$800),--(Risk_Rank_Keys!$C$2:$C$800&lt;Risk_Rank_Keys!C366))+(SUMPRODUCT(--ISNUMBER(Risk_Rank_Keys!$C$2:$C$800),--(Risk_Rank_Keys!$C$2:$C$800=Risk_Rank_Keys!C366))+1)/2)/COUNT(Risk_Rank_Keys!$C$2:$C$800))</f>
        <v>0.693165969316597</v>
      </c>
      <c r="O366" s="0" t="n">
        <f aca="false">IF(OR(B366="NW",COUNT(Risk_Rank_Keys!D366)=0),0.5,(SUMPRODUCT(--ISNUMBER(Risk_Rank_Keys!$D$2:$D$800),--(Risk_Rank_Keys!$D$2:$D$800&lt;Risk_Rank_Keys!D366))+(SUMPRODUCT(--ISNUMBER(Risk_Rank_Keys!$D$2:$D$800),--(Risk_Rank_Keys!$D$2:$D$800=Risk_Rank_Keys!D366))+1)/2)/COUNT(Risk_Rank_Keys!$D$2:$D$800))</f>
        <v>0.0739191073919107</v>
      </c>
      <c r="P366" s="0" t="n">
        <f aca="false">AVERAGE(M366:O366)</f>
        <v>0.509530450953045</v>
      </c>
      <c r="Q366" s="0" t="n">
        <f aca="false">0.4*H366+0.4*I366+0.2*P366</f>
        <v>0.298652022606128</v>
      </c>
      <c r="R366" s="0" t="n">
        <f aca="false">PERCENTILE($Q$2:$Q$800,0.75)</f>
        <v>0.667715717403612</v>
      </c>
      <c r="S366" s="1" t="b">
        <f aca="false">OR(Q366&gt;=R366,AND(B366="CW",COUNT(J366:L366)&lt;3))</f>
        <v>0</v>
      </c>
      <c r="T366" s="0" t="n">
        <v>0.251163291115295</v>
      </c>
      <c r="U366" s="0" t="n">
        <v>5.60871632172423</v>
      </c>
      <c r="V366" s="0" t="n">
        <v>0.298652022606128</v>
      </c>
      <c r="W366" s="0" t="n">
        <f aca="false">Q366-V366</f>
        <v>0</v>
      </c>
    </row>
    <row r="367" customFormat="false" ht="15" hidden="false" customHeight="false" outlineLevel="0" collapsed="false">
      <c r="A367" s="0" t="s">
        <v>401</v>
      </c>
      <c r="B367" s="0" t="s">
        <v>3013</v>
      </c>
      <c r="C367" s="0" t="n">
        <v>23.0164853991246</v>
      </c>
      <c r="D367" s="0" t="n">
        <f aca="false">SUMPRODUCT(Risk_Inputs!B367:AJ367,Risk_Coefs!$B$2:$AJ$2)</f>
        <v>-1.0366921023331</v>
      </c>
      <c r="E367" s="0" t="n">
        <f aca="false">1/(1+EXP(-MAX(-25,MIN(25,D367))))</f>
        <v>0.261788759102474</v>
      </c>
      <c r="F367" s="0" t="n">
        <f aca="false">SUMPRODUCT(Risk_Inputs!B367:AJ367,Risk_Coefs!$B$3:$AJ$3)</f>
        <v>7.17794688057435</v>
      </c>
      <c r="G367" s="0" t="n">
        <f aca="false">MAX(0,F367)</f>
        <v>7.17794688057435</v>
      </c>
      <c r="H367" s="0" t="n">
        <f aca="false">(SUMPRODUCT(--ISNUMBER($E$2:$E$800),--($E$2:$E$800&lt;E367))+(SUMPRODUCT(--ISNUMBER($E$2:$E$800),--($E$2:$E$800=E367))+1)/2)/COUNT($E$2:$E$800)</f>
        <v>0.342928660826033</v>
      </c>
      <c r="I367" s="0" t="n">
        <f aca="false">(SUMPRODUCT(--ISNUMBER($G$2:$G$800),--($G$2:$G$800&lt;G367))+(SUMPRODUCT(--ISNUMBER($G$2:$G$800),--($G$2:$G$800=G367))+1)/2)/COUNT($G$2:$G$800)</f>
        <v>0.440550688360451</v>
      </c>
      <c r="J367" s="0" t="n">
        <v>13.5600725048775</v>
      </c>
      <c r="K367" s="0" t="n">
        <v>3.45791128187215</v>
      </c>
      <c r="L367" s="0" t="n">
        <v>0.209570380719523</v>
      </c>
      <c r="M367" s="0" t="n">
        <f aca="false">IF(OR(B367="NW",COUNT(Risk_Rank_Keys!B367)=0),0.5,(SUMPRODUCT(--ISNUMBER(Risk_Rank_Keys!$B$2:$B$800),--(Risk_Rank_Keys!$B$2:$B$800&lt;Risk_Rank_Keys!B367))+(SUMPRODUCT(--ISNUMBER(Risk_Rank_Keys!$B$2:$B$800),--(Risk_Rank_Keys!$B$2:$B$800=Risk_Rank_Keys!B367))+1)/2)/COUNT(Risk_Rank_Keys!$B$2:$B$800))</f>
        <v>0.663877266387727</v>
      </c>
      <c r="N367" s="0" t="n">
        <f aca="false">IF(OR(B367="NW",COUNT(Risk_Rank_Keys!C367)=0),0.5,(SUMPRODUCT(--ISNUMBER(Risk_Rank_Keys!$C$2:$C$800),--(Risk_Rank_Keys!$C$2:$C$800&lt;Risk_Rank_Keys!C367))+(SUMPRODUCT(--ISNUMBER(Risk_Rank_Keys!$C$2:$C$800),--(Risk_Rank_Keys!$C$2:$C$800=Risk_Rank_Keys!C367))+1)/2)/COUNT(Risk_Rank_Keys!$C$2:$C$800))</f>
        <v>0.521617852161785</v>
      </c>
      <c r="O367" s="0" t="n">
        <f aca="false">IF(OR(B367="NW",COUNT(Risk_Rank_Keys!D367)=0),0.5,(SUMPRODUCT(--ISNUMBER(Risk_Rank_Keys!$D$2:$D$800),--(Risk_Rank_Keys!$D$2:$D$800&lt;Risk_Rank_Keys!D367))+(SUMPRODUCT(--ISNUMBER(Risk_Rank_Keys!$D$2:$D$800),--(Risk_Rank_Keys!$D$2:$D$800=Risk_Rank_Keys!D367))+1)/2)/COUNT(Risk_Rank_Keys!$D$2:$D$800))</f>
        <v>0.373779637377964</v>
      </c>
      <c r="P367" s="0" t="n">
        <f aca="false">AVERAGE(M367:O367)</f>
        <v>0.519758251975825</v>
      </c>
      <c r="Q367" s="0" t="n">
        <f aca="false">0.4*H367+0.4*I367+0.2*P367</f>
        <v>0.417343390069758</v>
      </c>
      <c r="R367" s="0" t="n">
        <f aca="false">PERCENTILE($Q$2:$Q$800,0.75)</f>
        <v>0.667715717403612</v>
      </c>
      <c r="S367" s="1" t="b">
        <f aca="false">OR(Q367&gt;=R367,AND(B367="CW",COUNT(J367:L367)&lt;3))</f>
        <v>0</v>
      </c>
      <c r="T367" s="0" t="n">
        <v>0.261788759102474</v>
      </c>
      <c r="U367" s="0" t="n">
        <v>7.17794688057434</v>
      </c>
      <c r="V367" s="0" t="n">
        <v>0.417343390069758</v>
      </c>
      <c r="W367" s="0" t="n">
        <f aca="false">Q367-V367</f>
        <v>0</v>
      </c>
    </row>
    <row r="368" customFormat="false" ht="15" hidden="false" customHeight="false" outlineLevel="0" collapsed="false">
      <c r="A368" s="0" t="s">
        <v>402</v>
      </c>
      <c r="B368" s="0" t="s">
        <v>3013</v>
      </c>
      <c r="C368" s="0" t="n">
        <v>12.5224997539227</v>
      </c>
      <c r="D368" s="0" t="n">
        <f aca="false">SUMPRODUCT(Risk_Inputs!B368:AJ368,Risk_Coefs!$B$2:$AJ$2)</f>
        <v>-1.45873022988312</v>
      </c>
      <c r="E368" s="0" t="n">
        <f aca="false">1/(1+EXP(-MAX(-25,MIN(25,D368))))</f>
        <v>0.188661610070427</v>
      </c>
      <c r="F368" s="0" t="n">
        <f aca="false">SUMPRODUCT(Risk_Inputs!B368:AJ368,Risk_Coefs!$B$3:$AJ$3)</f>
        <v>4.90150565494896</v>
      </c>
      <c r="G368" s="0" t="n">
        <f aca="false">MAX(0,F368)</f>
        <v>4.90150565494896</v>
      </c>
      <c r="H368" s="0" t="n">
        <f aca="false">(SUMPRODUCT(--ISNUMBER($E$2:$E$800),--($E$2:$E$800&lt;E368))+(SUMPRODUCT(--ISNUMBER($E$2:$E$800),--($E$2:$E$800=E368))+1)/2)/COUNT($E$2:$E$800)</f>
        <v>0.0851063829787234</v>
      </c>
      <c r="I368" s="0" t="n">
        <f aca="false">(SUMPRODUCT(--ISNUMBER($G$2:$G$800),--($G$2:$G$800&lt;G368))+(SUMPRODUCT(--ISNUMBER($G$2:$G$800),--($G$2:$G$800=G368))+1)/2)/COUNT($G$2:$G$800)</f>
        <v>0.123904881101377</v>
      </c>
      <c r="J368" s="0" t="n">
        <v>16.8925446465551</v>
      </c>
      <c r="K368" s="0" t="n">
        <v>15.8394931362196</v>
      </c>
      <c r="L368" s="0" t="n">
        <v>0.475184794086585</v>
      </c>
      <c r="M368" s="0" t="n">
        <f aca="false">IF(OR(B368="NW",COUNT(Risk_Rank_Keys!B368)=0),0.5,(SUMPRODUCT(--ISNUMBER(Risk_Rank_Keys!$B$2:$B$800),--(Risk_Rank_Keys!$B$2:$B$800&lt;Risk_Rank_Keys!B368))+(SUMPRODUCT(--ISNUMBER(Risk_Rank_Keys!$B$2:$B$800),--(Risk_Rank_Keys!$B$2:$B$800=Risk_Rank_Keys!B368))+1)/2)/COUNT(Risk_Rank_Keys!$B$2:$B$800))</f>
        <v>0.743375174337517</v>
      </c>
      <c r="N368" s="0" t="n">
        <f aca="false">IF(OR(B368="NW",COUNT(Risk_Rank_Keys!C368)=0),0.5,(SUMPRODUCT(--ISNUMBER(Risk_Rank_Keys!$C$2:$C$800),--(Risk_Rank_Keys!$C$2:$C$800&lt;Risk_Rank_Keys!C368))+(SUMPRODUCT(--ISNUMBER(Risk_Rank_Keys!$C$2:$C$800),--(Risk_Rank_Keys!$C$2:$C$800=Risk_Rank_Keys!C368))+1)/2)/COUNT(Risk_Rank_Keys!$C$2:$C$800))</f>
        <v>0.940027894002789</v>
      </c>
      <c r="O368" s="0" t="n">
        <f aca="false">IF(OR(B368="NW",COUNT(Risk_Rank_Keys!D368)=0),0.5,(SUMPRODUCT(--ISNUMBER(Risk_Rank_Keys!$D$2:$D$800),--(Risk_Rank_Keys!$D$2:$D$800&lt;Risk_Rank_Keys!D368))+(SUMPRODUCT(--ISNUMBER(Risk_Rank_Keys!$D$2:$D$800),--(Risk_Rank_Keys!$D$2:$D$800=Risk_Rank_Keys!D368))+1)/2)/COUNT(Risk_Rank_Keys!$D$2:$D$800))</f>
        <v>0.942817294281729</v>
      </c>
      <c r="P368" s="0" t="n">
        <f aca="false">AVERAGE(M368:O368)</f>
        <v>0.875406787540679</v>
      </c>
      <c r="Q368" s="0" t="n">
        <f aca="false">0.4*H368+0.4*I368+0.2*P368</f>
        <v>0.258685863140176</v>
      </c>
      <c r="R368" s="0" t="n">
        <f aca="false">PERCENTILE($Q$2:$Q$800,0.75)</f>
        <v>0.667715717403612</v>
      </c>
      <c r="S368" s="1" t="b">
        <f aca="false">OR(Q368&gt;=R368,AND(B368="CW",COUNT(J368:L368)&lt;3))</f>
        <v>0</v>
      </c>
      <c r="T368" s="0" t="n">
        <v>0.188661610070427</v>
      </c>
      <c r="U368" s="0" t="n">
        <v>4.90150565494897</v>
      </c>
      <c r="V368" s="0" t="n">
        <v>0.258685863140176</v>
      </c>
      <c r="W368" s="0" t="n">
        <f aca="false">Q368-V368</f>
        <v>0</v>
      </c>
    </row>
    <row r="369" customFormat="false" ht="15" hidden="false" customHeight="false" outlineLevel="0" collapsed="false">
      <c r="A369" s="0" t="s">
        <v>403</v>
      </c>
      <c r="B369" s="0" t="s">
        <v>3013</v>
      </c>
      <c r="C369" s="0" t="n">
        <v>25.5880894945274</v>
      </c>
      <c r="D369" s="0" t="n">
        <f aca="false">SUMPRODUCT(Risk_Inputs!B369:AJ369,Risk_Coefs!$B$2:$AJ$2)</f>
        <v>-1.24534962976809</v>
      </c>
      <c r="E369" s="0" t="n">
        <f aca="false">1/(1+EXP(-MAX(-25,MIN(25,D369))))</f>
        <v>0.223506178146732</v>
      </c>
      <c r="F369" s="0" t="n">
        <f aca="false">SUMPRODUCT(Risk_Inputs!B369:AJ369,Risk_Coefs!$B$3:$AJ$3)</f>
        <v>6.16660749805358</v>
      </c>
      <c r="G369" s="0" t="n">
        <f aca="false">MAX(0,F369)</f>
        <v>6.16660749805358</v>
      </c>
      <c r="H369" s="0" t="n">
        <f aca="false">(SUMPRODUCT(--ISNUMBER($E$2:$E$800),--($E$2:$E$800&lt;E369))+(SUMPRODUCT(--ISNUMBER($E$2:$E$800),--($E$2:$E$800=E369))+1)/2)/COUNT($E$2:$E$800)</f>
        <v>0.153942428035044</v>
      </c>
      <c r="I369" s="0" t="n">
        <f aca="false">(SUMPRODUCT(--ISNUMBER($G$2:$G$800),--($G$2:$G$800&lt;G369))+(SUMPRODUCT(--ISNUMBER($G$2:$G$800),--($G$2:$G$800=G369))+1)/2)/COUNT($G$2:$G$800)</f>
        <v>0.286608260325407</v>
      </c>
      <c r="J369" s="0" t="n">
        <v>6.70594566252541</v>
      </c>
      <c r="K369" s="0" t="n">
        <v>1.35617416131336</v>
      </c>
      <c r="L369" s="0" t="n">
        <v>0.190340233166782</v>
      </c>
      <c r="M369" s="0" t="n">
        <f aca="false">IF(OR(B369="NW",COUNT(Risk_Rank_Keys!B369)=0),0.5,(SUMPRODUCT(--ISNUMBER(Risk_Rank_Keys!$B$2:$B$800),--(Risk_Rank_Keys!$B$2:$B$800&lt;Risk_Rank_Keys!B369))+(SUMPRODUCT(--ISNUMBER(Risk_Rank_Keys!$B$2:$B$800),--(Risk_Rank_Keys!$B$2:$B$800=Risk_Rank_Keys!B369))+1)/2)/COUNT(Risk_Rank_Keys!$B$2:$B$800))</f>
        <v>0.290097629009763</v>
      </c>
      <c r="N369" s="0" t="n">
        <f aca="false">IF(OR(B369="NW",COUNT(Risk_Rank_Keys!C369)=0),0.5,(SUMPRODUCT(--ISNUMBER(Risk_Rank_Keys!$C$2:$C$800),--(Risk_Rank_Keys!$C$2:$C$800&lt;Risk_Rank_Keys!C369))+(SUMPRODUCT(--ISNUMBER(Risk_Rank_Keys!$C$2:$C$800),--(Risk_Rank_Keys!$C$2:$C$800=Risk_Rank_Keys!C369))+1)/2)/COUNT(Risk_Rank_Keys!$C$2:$C$800))</f>
        <v>0.100418410041841</v>
      </c>
      <c r="O369" s="0" t="n">
        <f aca="false">IF(OR(B369="NW",COUNT(Risk_Rank_Keys!D369)=0),0.5,(SUMPRODUCT(--ISNUMBER(Risk_Rank_Keys!$D$2:$D$800),--(Risk_Rank_Keys!$D$2:$D$800&lt;Risk_Rank_Keys!D369))+(SUMPRODUCT(--ISNUMBER(Risk_Rank_Keys!$D$2:$D$800),--(Risk_Rank_Keys!$D$2:$D$800=Risk_Rank_Keys!D369))+1)/2)/COUNT(Risk_Rank_Keys!$D$2:$D$800))</f>
        <v>0.256624825662483</v>
      </c>
      <c r="P369" s="0" t="n">
        <f aca="false">AVERAGE(M369:O369)</f>
        <v>0.215713621571362</v>
      </c>
      <c r="Q369" s="0" t="n">
        <f aca="false">0.4*H369+0.4*I369+0.2*P369</f>
        <v>0.219362999658453</v>
      </c>
      <c r="R369" s="0" t="n">
        <f aca="false">PERCENTILE($Q$2:$Q$800,0.75)</f>
        <v>0.667715717403612</v>
      </c>
      <c r="S369" s="1" t="b">
        <f aca="false">OR(Q369&gt;=R369,AND(B369="CW",COUNT(J369:L369)&lt;3))</f>
        <v>0</v>
      </c>
      <c r="T369" s="0" t="n">
        <v>0.223506178146732</v>
      </c>
      <c r="U369" s="0" t="n">
        <v>6.16660749805358</v>
      </c>
      <c r="V369" s="0" t="n">
        <v>0.219362999658453</v>
      </c>
      <c r="W369" s="0" t="n">
        <f aca="false">Q369-V369</f>
        <v>0</v>
      </c>
    </row>
    <row r="370" customFormat="false" ht="15" hidden="false" customHeight="false" outlineLevel="0" collapsed="false">
      <c r="A370" s="0" t="s">
        <v>404</v>
      </c>
      <c r="B370" s="0" t="s">
        <v>3013</v>
      </c>
      <c r="C370" s="0" t="n">
        <v>-13.2419475489911</v>
      </c>
      <c r="D370" s="0" t="n">
        <f aca="false">SUMPRODUCT(Risk_Inputs!B370:AJ370,Risk_Coefs!$B$2:$AJ$2)</f>
        <v>-1.12908216279076</v>
      </c>
      <c r="E370" s="0" t="n">
        <f aca="false">1/(1+EXP(-MAX(-25,MIN(25,D370))))</f>
        <v>0.244330524282766</v>
      </c>
      <c r="F370" s="0" t="n">
        <f aca="false">SUMPRODUCT(Risk_Inputs!B370:AJ370,Risk_Coefs!$B$3:$AJ$3)</f>
        <v>7.07318399316934</v>
      </c>
      <c r="G370" s="0" t="n">
        <f aca="false">MAX(0,F370)</f>
        <v>7.07318399316934</v>
      </c>
      <c r="H370" s="0" t="n">
        <f aca="false">(SUMPRODUCT(--ISNUMBER($E$2:$E$800),--($E$2:$E$800&lt;E370))+(SUMPRODUCT(--ISNUMBER($E$2:$E$800),--($E$2:$E$800=E370))+1)/2)/COUNT($E$2:$E$800)</f>
        <v>0.241551939924906</v>
      </c>
      <c r="I370" s="0" t="n">
        <f aca="false">(SUMPRODUCT(--ISNUMBER($G$2:$G$800),--($G$2:$G$800&lt;G370))+(SUMPRODUCT(--ISNUMBER($G$2:$G$800),--($G$2:$G$800=G370))+1)/2)/COUNT($G$2:$G$800)</f>
        <v>0.426783479349187</v>
      </c>
      <c r="J370" s="0" t="n">
        <v>41.6088375934881</v>
      </c>
      <c r="K370" s="0" t="n">
        <v>9.51207491375062</v>
      </c>
      <c r="L370" s="0" t="n">
        <v>0.209462789551502</v>
      </c>
      <c r="M370" s="0" t="n">
        <f aca="false">IF(OR(B370="NW",COUNT(Risk_Rank_Keys!B370)=0),0.5,(SUMPRODUCT(--ISNUMBER(Risk_Rank_Keys!$B$2:$B$800),--(Risk_Rank_Keys!$B$2:$B$800&lt;Risk_Rank_Keys!B370))+(SUMPRODUCT(--ISNUMBER(Risk_Rank_Keys!$B$2:$B$800),--(Risk_Rank_Keys!$B$2:$B$800=Risk_Rank_Keys!B370))+1)/2)/COUNT(Risk_Rank_Keys!$B$2:$B$800))</f>
        <v>0.9581589958159</v>
      </c>
      <c r="N370" s="0" t="n">
        <f aca="false">IF(OR(B370="NW",COUNT(Risk_Rank_Keys!C370)=0),0.5,(SUMPRODUCT(--ISNUMBER(Risk_Rank_Keys!$C$2:$C$800),--(Risk_Rank_Keys!$C$2:$C$800&lt;Risk_Rank_Keys!C370))+(SUMPRODUCT(--ISNUMBER(Risk_Rank_Keys!$C$2:$C$800),--(Risk_Rank_Keys!$C$2:$C$800=Risk_Rank_Keys!C370))+1)/2)/COUNT(Risk_Rank_Keys!$C$2:$C$800))</f>
        <v>0.867503486750349</v>
      </c>
      <c r="O370" s="0" t="n">
        <f aca="false">IF(OR(B370="NW",COUNT(Risk_Rank_Keys!D370)=0),0.5,(SUMPRODUCT(--ISNUMBER(Risk_Rank_Keys!$D$2:$D$800),--(Risk_Rank_Keys!$D$2:$D$800&lt;Risk_Rank_Keys!D370))+(SUMPRODUCT(--ISNUMBER(Risk_Rank_Keys!$D$2:$D$800),--(Risk_Rank_Keys!$D$2:$D$800=Risk_Rank_Keys!D370))+1)/2)/COUNT(Risk_Rank_Keys!$D$2:$D$800))</f>
        <v>0.370990237099024</v>
      </c>
      <c r="P370" s="0" t="n">
        <f aca="false">AVERAGE(M370:O370)</f>
        <v>0.732217573221757</v>
      </c>
      <c r="Q370" s="0" t="n">
        <f aca="false">0.4*H370+0.4*I370+0.2*P370</f>
        <v>0.413777682353989</v>
      </c>
      <c r="R370" s="0" t="n">
        <f aca="false">PERCENTILE($Q$2:$Q$800,0.75)</f>
        <v>0.667715717403612</v>
      </c>
      <c r="S370" s="1" t="b">
        <f aca="false">OR(Q370&gt;=R370,AND(B370="CW",COUNT(J370:L370)&lt;3))</f>
        <v>0</v>
      </c>
      <c r="T370" s="0" t="n">
        <v>0.244330524282766</v>
      </c>
      <c r="U370" s="0" t="n">
        <v>7.07318399316934</v>
      </c>
      <c r="V370" s="0" t="n">
        <v>0.413777682353989</v>
      </c>
      <c r="W370" s="0" t="n">
        <f aca="false">Q370-V370</f>
        <v>0</v>
      </c>
    </row>
    <row r="371" customFormat="false" ht="15" hidden="false" customHeight="false" outlineLevel="0" collapsed="false">
      <c r="A371" s="0" t="s">
        <v>405</v>
      </c>
      <c r="B371" s="0" t="s">
        <v>3013</v>
      </c>
      <c r="C371" s="0" t="n">
        <v>-39.5565233584274</v>
      </c>
      <c r="D371" s="0" t="n">
        <f aca="false">SUMPRODUCT(Risk_Inputs!B371:AJ371,Risk_Coefs!$B$2:$AJ$2)</f>
        <v>-1.1246214195358</v>
      </c>
      <c r="E371" s="0" t="n">
        <f aca="false">1/(1+EXP(-MAX(-25,MIN(25,D371))))</f>
        <v>0.245155064224503</v>
      </c>
      <c r="F371" s="0" t="n">
        <f aca="false">SUMPRODUCT(Risk_Inputs!B371:AJ371,Risk_Coefs!$B$3:$AJ$3)</f>
        <v>9.85577985131871</v>
      </c>
      <c r="G371" s="0" t="n">
        <f aca="false">MAX(0,F371)</f>
        <v>9.85577985131871</v>
      </c>
      <c r="H371" s="0" t="n">
        <f aca="false">(SUMPRODUCT(--ISNUMBER($E$2:$E$800),--($E$2:$E$800&lt;E371))+(SUMPRODUCT(--ISNUMBER($E$2:$E$800),--($E$2:$E$800=E371))+1)/2)/COUNT($E$2:$E$800)</f>
        <v>0.244055068836045</v>
      </c>
      <c r="I371" s="0" t="n">
        <f aca="false">(SUMPRODUCT(--ISNUMBER($G$2:$G$800),--($G$2:$G$800&lt;G371))+(SUMPRODUCT(--ISNUMBER($G$2:$G$800),--($G$2:$G$800=G371))+1)/2)/COUNT($G$2:$G$800)</f>
        <v>0.777221526908636</v>
      </c>
      <c r="J371" s="0" t="n">
        <v>56.9140569140569</v>
      </c>
      <c r="K371" s="0" t="n">
        <v>13.6506687647522</v>
      </c>
      <c r="L371" s="0" t="n">
        <v>0.262260687123</v>
      </c>
      <c r="M371" s="0" t="n">
        <f aca="false">IF(OR(B371="NW",COUNT(Risk_Rank_Keys!B371)=0),0.5,(SUMPRODUCT(--ISNUMBER(Risk_Rank_Keys!$B$2:$B$800),--(Risk_Rank_Keys!$B$2:$B$800&lt;Risk_Rank_Keys!B371))+(SUMPRODUCT(--ISNUMBER(Risk_Rank_Keys!$B$2:$B$800),--(Risk_Rank_Keys!$B$2:$B$800=Risk_Rank_Keys!B371))+1)/2)/COUNT(Risk_Rank_Keys!$B$2:$B$800))</f>
        <v>0.98465829846583</v>
      </c>
      <c r="N371" s="0" t="n">
        <f aca="false">IF(OR(B371="NW",COUNT(Risk_Rank_Keys!C371)=0),0.5,(SUMPRODUCT(--ISNUMBER(Risk_Rank_Keys!$C$2:$C$800),--(Risk_Rank_Keys!$C$2:$C$800&lt;Risk_Rank_Keys!C371))+(SUMPRODUCT(--ISNUMBER(Risk_Rank_Keys!$C$2:$C$800),--(Risk_Rank_Keys!$C$2:$C$800=Risk_Rank_Keys!C371))+1)/2)/COUNT(Risk_Rank_Keys!$C$2:$C$800))</f>
        <v>0.914923291492329</v>
      </c>
      <c r="O371" s="0" t="n">
        <f aca="false">IF(OR(B371="NW",COUNT(Risk_Rank_Keys!D371)=0),0.5,(SUMPRODUCT(--ISNUMBER(Risk_Rank_Keys!$D$2:$D$800),--(Risk_Rank_Keys!$D$2:$D$800&lt;Risk_Rank_Keys!D371))+(SUMPRODUCT(--ISNUMBER(Risk_Rank_Keys!$D$2:$D$800),--(Risk_Rank_Keys!$D$2:$D$800=Risk_Rank_Keys!D371))+1)/2)/COUNT(Risk_Rank_Keys!$D$2:$D$800))</f>
        <v>0.642956764295676</v>
      </c>
      <c r="P371" s="0" t="n">
        <f aca="false">AVERAGE(M371:O371)</f>
        <v>0.847512784751279</v>
      </c>
      <c r="Q371" s="0" t="n">
        <f aca="false">0.4*H371+0.4*I371+0.2*P371</f>
        <v>0.578013195248128</v>
      </c>
      <c r="R371" s="0" t="n">
        <f aca="false">PERCENTILE($Q$2:$Q$800,0.75)</f>
        <v>0.667715717403612</v>
      </c>
      <c r="S371" s="1" t="b">
        <f aca="false">OR(Q371&gt;=R371,AND(B371="CW",COUNT(J371:L371)&lt;3))</f>
        <v>0</v>
      </c>
      <c r="T371" s="0" t="n">
        <v>0.245155064224503</v>
      </c>
      <c r="U371" s="0" t="n">
        <v>9.85577985131871</v>
      </c>
      <c r="V371" s="0" t="n">
        <v>0.578013195248128</v>
      </c>
      <c r="W371" s="0" t="n">
        <f aca="false">Q371-V371</f>
        <v>0</v>
      </c>
    </row>
    <row r="372" customFormat="false" ht="15" hidden="false" customHeight="false" outlineLevel="0" collapsed="false">
      <c r="A372" s="0" t="s">
        <v>406</v>
      </c>
      <c r="B372" s="0" t="s">
        <v>3013</v>
      </c>
      <c r="C372" s="0" t="n">
        <v>20.7761647411338</v>
      </c>
      <c r="D372" s="0" t="n">
        <f aca="false">SUMPRODUCT(Risk_Inputs!B372:AJ372,Risk_Coefs!$B$2:$AJ$2)</f>
        <v>-0.991304688406945</v>
      </c>
      <c r="E372" s="0" t="n">
        <f aca="false">1/(1+EXP(-MAX(-25,MIN(25,D372))))</f>
        <v>0.270654454298718</v>
      </c>
      <c r="F372" s="0" t="n">
        <f aca="false">SUMPRODUCT(Risk_Inputs!B372:AJ372,Risk_Coefs!$B$3:$AJ$3)</f>
        <v>8.90445330805751</v>
      </c>
      <c r="G372" s="0" t="n">
        <f aca="false">MAX(0,F372)</f>
        <v>8.90445330805751</v>
      </c>
      <c r="H372" s="0" t="n">
        <f aca="false">(SUMPRODUCT(--ISNUMBER($E$2:$E$800),--($E$2:$E$800&lt;E372))+(SUMPRODUCT(--ISNUMBER($E$2:$E$800),--($E$2:$E$800=E372))+1)/2)/COUNT($E$2:$E$800)</f>
        <v>0.39424280350438</v>
      </c>
      <c r="I372" s="0" t="n">
        <f aca="false">(SUMPRODUCT(--ISNUMBER($G$2:$G$800),--($G$2:$G$800&lt;G372))+(SUMPRODUCT(--ISNUMBER($G$2:$G$800),--($G$2:$G$800=G372))+1)/2)/COUNT($G$2:$G$800)</f>
        <v>0.663329161451815</v>
      </c>
      <c r="J372" s="0" t="n">
        <v>25.8115530704174</v>
      </c>
      <c r="K372" s="0" t="n">
        <v>6.46871686108166</v>
      </c>
      <c r="L372" s="0" t="n">
        <v>0.25753673685805</v>
      </c>
      <c r="M372" s="0" t="n">
        <f aca="false">IF(OR(B372="NW",COUNT(Risk_Rank_Keys!B372)=0),0.5,(SUMPRODUCT(--ISNUMBER(Risk_Rank_Keys!$B$2:$B$800),--(Risk_Rank_Keys!$B$2:$B$800&lt;Risk_Rank_Keys!B372))+(SUMPRODUCT(--ISNUMBER(Risk_Rank_Keys!$B$2:$B$800),--(Risk_Rank_Keys!$B$2:$B$800=Risk_Rank_Keys!B372))+1)/2)/COUNT(Risk_Rank_Keys!$B$2:$B$800))</f>
        <v>0.867503486750349</v>
      </c>
      <c r="N372" s="0" t="n">
        <f aca="false">IF(OR(B372="NW",COUNT(Risk_Rank_Keys!C372)=0),0.5,(SUMPRODUCT(--ISNUMBER(Risk_Rank_Keys!$C$2:$C$800),--(Risk_Rank_Keys!$C$2:$C$800&lt;Risk_Rank_Keys!C372))+(SUMPRODUCT(--ISNUMBER(Risk_Rank_Keys!$C$2:$C$800),--(Risk_Rank_Keys!$C$2:$C$800=Risk_Rank_Keys!C372))+1)/2)/COUNT(Risk_Rank_Keys!$C$2:$C$800))</f>
        <v>0.760111576011158</v>
      </c>
      <c r="O372" s="0" t="n">
        <f aca="false">IF(OR(B372="NW",COUNT(Risk_Rank_Keys!D372)=0),0.5,(SUMPRODUCT(--ISNUMBER(Risk_Rank_Keys!$D$2:$D$800),--(Risk_Rank_Keys!$D$2:$D$800&lt;Risk_Rank_Keys!D372))+(SUMPRODUCT(--ISNUMBER(Risk_Rank_Keys!$D$2:$D$800),--(Risk_Rank_Keys!$D$2:$D$800=Risk_Rank_Keys!D372))+1)/2)/COUNT(Risk_Rank_Keys!$D$2:$D$800))</f>
        <v>0.617852161785216</v>
      </c>
      <c r="P372" s="0" t="n">
        <f aca="false">AVERAGE(M372:O372)</f>
        <v>0.748489074848908</v>
      </c>
      <c r="Q372" s="0" t="n">
        <f aca="false">0.4*H372+0.4*I372+0.2*P372</f>
        <v>0.57272660095226</v>
      </c>
      <c r="R372" s="0" t="n">
        <f aca="false">PERCENTILE($Q$2:$Q$800,0.75)</f>
        <v>0.667715717403612</v>
      </c>
      <c r="S372" s="1" t="b">
        <f aca="false">OR(Q372&gt;=R372,AND(B372="CW",COUNT(J372:L372)&lt;3))</f>
        <v>0</v>
      </c>
      <c r="T372" s="0" t="n">
        <v>0.270654454298718</v>
      </c>
      <c r="U372" s="0" t="n">
        <v>8.90445330805751</v>
      </c>
      <c r="V372" s="0" t="n">
        <v>0.57272660095226</v>
      </c>
      <c r="W372" s="0" t="n">
        <f aca="false">Q372-V372</f>
        <v>0</v>
      </c>
    </row>
    <row r="373" customFormat="false" ht="15" hidden="false" customHeight="false" outlineLevel="0" collapsed="false">
      <c r="A373" s="0" t="s">
        <v>407</v>
      </c>
      <c r="B373" s="0" t="s">
        <v>3013</v>
      </c>
      <c r="C373" s="0" t="n">
        <v>23.677931733576</v>
      </c>
      <c r="D373" s="0" t="n">
        <f aca="false">SUMPRODUCT(Risk_Inputs!B373:AJ373,Risk_Coefs!$B$2:$AJ$2)</f>
        <v>-0.061480866375713</v>
      </c>
      <c r="E373" s="0" t="n">
        <f aca="false">1/(1+EXP(-MAX(-25,MIN(25,D373))))</f>
        <v>0.48463462306295</v>
      </c>
      <c r="F373" s="0" t="n">
        <f aca="false">SUMPRODUCT(Risk_Inputs!B373:AJ373,Risk_Coefs!$B$3:$AJ$3)</f>
        <v>13.525307412473</v>
      </c>
      <c r="G373" s="0" t="n">
        <f aca="false">MAX(0,F373)</f>
        <v>13.525307412473</v>
      </c>
      <c r="H373" s="0" t="n">
        <f aca="false">(SUMPRODUCT(--ISNUMBER($E$2:$E$800),--($E$2:$E$800&lt;E373))+(SUMPRODUCT(--ISNUMBER($E$2:$E$800),--($E$2:$E$800=E373))+1)/2)/COUNT($E$2:$E$800)</f>
        <v>0.988735919899875</v>
      </c>
      <c r="I373" s="0" t="n">
        <f aca="false">(SUMPRODUCT(--ISNUMBER($G$2:$G$800),--($G$2:$G$800&lt;G373))+(SUMPRODUCT(--ISNUMBER($G$2:$G$800),--($G$2:$G$800=G373))+1)/2)/COUNT($G$2:$G$800)</f>
        <v>0.962453066332916</v>
      </c>
      <c r="J373" s="0" t="n">
        <v>9.58974993532004</v>
      </c>
      <c r="K373" s="0" t="n">
        <v>1.91445325974472</v>
      </c>
      <c r="L373" s="0" t="n">
        <v>0.17247326664367</v>
      </c>
      <c r="M373" s="0" t="n">
        <f aca="false">IF(OR(B373="NW",COUNT(Risk_Rank_Keys!B373)=0),0.5,(SUMPRODUCT(--ISNUMBER(Risk_Rank_Keys!$B$2:$B$800),--(Risk_Rank_Keys!$B$2:$B$800&lt;Risk_Rank_Keys!B373))+(SUMPRODUCT(--ISNUMBER(Risk_Rank_Keys!$B$2:$B$800),--(Risk_Rank_Keys!$B$2:$B$800=Risk_Rank_Keys!B373))+1)/2)/COUNT(Risk_Rank_Keys!$B$2:$B$800))</f>
        <v>0.482566248256625</v>
      </c>
      <c r="N373" s="0" t="n">
        <f aca="false">IF(OR(B373="NW",COUNT(Risk_Rank_Keys!C373)=0),0.5,(SUMPRODUCT(--ISNUMBER(Risk_Rank_Keys!$C$2:$C$800),--(Risk_Rank_Keys!$C$2:$C$800&lt;Risk_Rank_Keys!C373))+(SUMPRODUCT(--ISNUMBER(Risk_Rank_Keys!$C$2:$C$800),--(Risk_Rank_Keys!$C$2:$C$800=Risk_Rank_Keys!C373))+1)/2)/COUNT(Risk_Rank_Keys!$C$2:$C$800))</f>
        <v>0.251046025104603</v>
      </c>
      <c r="O373" s="0" t="n">
        <f aca="false">IF(OR(B373="NW",COUNT(Risk_Rank_Keys!D373)=0),0.5,(SUMPRODUCT(--ISNUMBER(Risk_Rank_Keys!$D$2:$D$800),--(Risk_Rank_Keys!$D$2:$D$800&lt;Risk_Rank_Keys!D373))+(SUMPRODUCT(--ISNUMBER(Risk_Rank_Keys!$D$2:$D$800),--(Risk_Rank_Keys!$D$2:$D$800=Risk_Rank_Keys!D373))+1)/2)/COUNT(Risk_Rank_Keys!$D$2:$D$800))</f>
        <v>0.179916317991632</v>
      </c>
      <c r="P373" s="0" t="n">
        <f aca="false">AVERAGE(M373:O373)</f>
        <v>0.304509530450953</v>
      </c>
      <c r="Q373" s="0" t="n">
        <f aca="false">0.4*H373+0.4*I373+0.2*P373</f>
        <v>0.841377500583307</v>
      </c>
      <c r="R373" s="0" t="n">
        <f aca="false">PERCENTILE($Q$2:$Q$800,0.75)</f>
        <v>0.667715717403612</v>
      </c>
      <c r="S373" s="1" t="b">
        <f aca="false">OR(Q373&gt;=R373,AND(B373="CW",COUNT(J373:L373)&lt;3))</f>
        <v>1</v>
      </c>
      <c r="T373" s="0" t="n">
        <v>0.48463462306295</v>
      </c>
      <c r="U373" s="0" t="n">
        <v>13.525307412473</v>
      </c>
      <c r="V373" s="0" t="n">
        <v>0.841377500583307</v>
      </c>
      <c r="W373" s="0" t="n">
        <f aca="false">Q373-V373</f>
        <v>0</v>
      </c>
    </row>
    <row r="374" customFormat="false" ht="15" hidden="false" customHeight="false" outlineLevel="0" collapsed="false">
      <c r="A374" s="0" t="s">
        <v>408</v>
      </c>
      <c r="B374" s="0" t="s">
        <v>3013</v>
      </c>
      <c r="C374" s="0" t="n">
        <v>30.2792276719263</v>
      </c>
      <c r="D374" s="0" t="n">
        <f aca="false">SUMPRODUCT(Risk_Inputs!B374:AJ374,Risk_Coefs!$B$2:$AJ$2)</f>
        <v>-1.73192402776818</v>
      </c>
      <c r="E374" s="0" t="n">
        <f aca="false">1/(1+EXP(-MAX(-25,MIN(25,D374))))</f>
        <v>0.150341640921275</v>
      </c>
      <c r="F374" s="0" t="n">
        <f aca="false">SUMPRODUCT(Risk_Inputs!B374:AJ374,Risk_Coefs!$B$3:$AJ$3)</f>
        <v>4.59932258491247</v>
      </c>
      <c r="G374" s="0" t="n">
        <f aca="false">MAX(0,F374)</f>
        <v>4.59932258491247</v>
      </c>
      <c r="H374" s="0" t="n">
        <f aca="false">(SUMPRODUCT(--ISNUMBER($E$2:$E$800),--($E$2:$E$800&lt;E374))+(SUMPRODUCT(--ISNUMBER($E$2:$E$800),--($E$2:$E$800=E374))+1)/2)/COUNT($E$2:$E$800)</f>
        <v>0.0225281602002503</v>
      </c>
      <c r="I374" s="0" t="n">
        <f aca="false">(SUMPRODUCT(--ISNUMBER($G$2:$G$800),--($G$2:$G$800&lt;G374))+(SUMPRODUCT(--ISNUMBER($G$2:$G$800),--($G$2:$G$800=G374))+1)/2)/COUNT($G$2:$G$800)</f>
        <v>0.0938673341677096</v>
      </c>
      <c r="J374" s="0" t="n">
        <v>39.306470581518</v>
      </c>
      <c r="K374" s="0" t="n">
        <v>29.829210836278</v>
      </c>
      <c r="L374" s="0" t="n">
        <v>0.736160188457008</v>
      </c>
      <c r="M374" s="0" t="n">
        <f aca="false">IF(OR(B374="NW",COUNT(Risk_Rank_Keys!B374)=0),0.5,(SUMPRODUCT(--ISNUMBER(Risk_Rank_Keys!$B$2:$B$800),--(Risk_Rank_Keys!$B$2:$B$800&lt;Risk_Rank_Keys!B374))+(SUMPRODUCT(--ISNUMBER(Risk_Rank_Keys!$B$2:$B$800),--(Risk_Rank_Keys!$B$2:$B$800=Risk_Rank_Keys!B374))+1)/2)/COUNT(Risk_Rank_Keys!$B$2:$B$800))</f>
        <v>0.94839609483961</v>
      </c>
      <c r="N374" s="0" t="n">
        <f aca="false">IF(OR(B374="NW",COUNT(Risk_Rank_Keys!C374)=0),0.5,(SUMPRODUCT(--ISNUMBER(Risk_Rank_Keys!$C$2:$C$800),--(Risk_Rank_Keys!$C$2:$C$800&lt;Risk_Rank_Keys!C374))+(SUMPRODUCT(--ISNUMBER(Risk_Rank_Keys!$C$2:$C$800),--(Risk_Rank_Keys!$C$2:$C$800=Risk_Rank_Keys!C374))+1)/2)/COUNT(Risk_Rank_Keys!$C$2:$C$800))</f>
        <v>0.98744769874477</v>
      </c>
      <c r="O374" s="0" t="n">
        <f aca="false">IF(OR(B374="NW",COUNT(Risk_Rank_Keys!D374)=0),0.5,(SUMPRODUCT(--ISNUMBER(Risk_Rank_Keys!$D$2:$D$800),--(Risk_Rank_Keys!$D$2:$D$800&lt;Risk_Rank_Keys!D374))+(SUMPRODUCT(--ISNUMBER(Risk_Rank_Keys!$D$2:$D$800),--(Risk_Rank_Keys!$D$2:$D$800=Risk_Rank_Keys!D374))+1)/2)/COUNT(Risk_Rank_Keys!$D$2:$D$800))</f>
        <v>0.9860529986053</v>
      </c>
      <c r="P374" s="0" t="n">
        <f aca="false">AVERAGE(M374:O374)</f>
        <v>0.97396559739656</v>
      </c>
      <c r="Q374" s="0" t="n">
        <f aca="false">0.4*H374+0.4*I374+0.2*P374</f>
        <v>0.241351317226496</v>
      </c>
      <c r="R374" s="0" t="n">
        <f aca="false">PERCENTILE($Q$2:$Q$800,0.75)</f>
        <v>0.667715717403612</v>
      </c>
      <c r="S374" s="1" t="b">
        <f aca="false">OR(Q374&gt;=R374,AND(B374="CW",COUNT(J374:L374)&lt;3))</f>
        <v>0</v>
      </c>
      <c r="T374" s="0" t="n">
        <v>0.150341640921275</v>
      </c>
      <c r="U374" s="0" t="n">
        <v>4.59932258491247</v>
      </c>
      <c r="V374" s="0" t="n">
        <v>0.241351317226496</v>
      </c>
      <c r="W374" s="0" t="n">
        <f aca="false">Q374-V374</f>
        <v>0</v>
      </c>
    </row>
    <row r="375" customFormat="false" ht="15" hidden="false" customHeight="false" outlineLevel="0" collapsed="false">
      <c r="A375" s="0" t="s">
        <v>409</v>
      </c>
      <c r="B375" s="0" t="s">
        <v>3013</v>
      </c>
      <c r="C375" s="0" t="n">
        <v>12.0842118852604</v>
      </c>
      <c r="D375" s="0" t="n">
        <f aca="false">SUMPRODUCT(Risk_Inputs!B375:AJ375,Risk_Coefs!$B$2:$AJ$2)</f>
        <v>-1.05585882987498</v>
      </c>
      <c r="E375" s="0" t="n">
        <f aca="false">1/(1+EXP(-MAX(-25,MIN(25,D375))))</f>
        <v>0.258101632713389</v>
      </c>
      <c r="F375" s="0" t="n">
        <f aca="false">SUMPRODUCT(Risk_Inputs!B375:AJ375,Risk_Coefs!$B$3:$AJ$3)</f>
        <v>6.40224081669</v>
      </c>
      <c r="G375" s="0" t="n">
        <f aca="false">MAX(0,F375)</f>
        <v>6.40224081669</v>
      </c>
      <c r="H375" s="0" t="n">
        <f aca="false">(SUMPRODUCT(--ISNUMBER($E$2:$E$800),--($E$2:$E$800&lt;E375))+(SUMPRODUCT(--ISNUMBER($E$2:$E$800),--($E$2:$E$800=E375))+1)/2)/COUNT($E$2:$E$800)</f>
        <v>0.319148936170213</v>
      </c>
      <c r="I375" s="0" t="n">
        <f aca="false">(SUMPRODUCT(--ISNUMBER($G$2:$G$800),--($G$2:$G$800&lt;G375))+(SUMPRODUCT(--ISNUMBER($G$2:$G$800),--($G$2:$G$800=G375))+1)/2)/COUNT($G$2:$G$800)</f>
        <v>0.32540675844806</v>
      </c>
      <c r="J375" s="0" t="n">
        <v>7.56416889748765</v>
      </c>
      <c r="K375" s="0" t="n">
        <v>2.3076923076923</v>
      </c>
      <c r="L375" s="0" t="n">
        <v>0.223325062034741</v>
      </c>
      <c r="M375" s="0" t="n">
        <f aca="false">IF(OR(B375="NW",COUNT(Risk_Rank_Keys!B375)=0),0.5,(SUMPRODUCT(--ISNUMBER(Risk_Rank_Keys!$B$2:$B$800),--(Risk_Rank_Keys!$B$2:$B$800&lt;Risk_Rank_Keys!B375))+(SUMPRODUCT(--ISNUMBER(Risk_Rank_Keys!$B$2:$B$800),--(Risk_Rank_Keys!$B$2:$B$800=Risk_Rank_Keys!B375))+1)/2)/COUNT(Risk_Rank_Keys!$B$2:$B$800))</f>
        <v>0.358437935843794</v>
      </c>
      <c r="N375" s="0" t="n">
        <f aca="false">IF(OR(B375="NW",COUNT(Risk_Rank_Keys!C375)=0),0.5,(SUMPRODUCT(--ISNUMBER(Risk_Rank_Keys!$C$2:$C$800),--(Risk_Rank_Keys!$C$2:$C$800&lt;Risk_Rank_Keys!C375))+(SUMPRODUCT(--ISNUMBER(Risk_Rank_Keys!$C$2:$C$800),--(Risk_Rank_Keys!$C$2:$C$800=Risk_Rank_Keys!C375))+1)/2)/COUNT(Risk_Rank_Keys!$C$2:$C$800))</f>
        <v>0.341701534170153</v>
      </c>
      <c r="O375" s="0" t="n">
        <f aca="false">IF(OR(B375="NW",COUNT(Risk_Rank_Keys!D375)=0),0.5,(SUMPRODUCT(--ISNUMBER(Risk_Rank_Keys!$D$2:$D$800),--(Risk_Rank_Keys!$D$2:$D$800&lt;Risk_Rank_Keys!D375))+(SUMPRODUCT(--ISNUMBER(Risk_Rank_Keys!$D$2:$D$800),--(Risk_Rank_Keys!$D$2:$D$800=Risk_Rank_Keys!D375))+1)/2)/COUNT(Risk_Rank_Keys!$D$2:$D$800))</f>
        <v>0.463040446304045</v>
      </c>
      <c r="P375" s="0" t="n">
        <f aca="false">AVERAGE(M375:O375)</f>
        <v>0.387726638772664</v>
      </c>
      <c r="Q375" s="0" t="n">
        <f aca="false">0.4*H375+0.4*I375+0.2*P375</f>
        <v>0.335367605601842</v>
      </c>
      <c r="R375" s="0" t="n">
        <f aca="false">PERCENTILE($Q$2:$Q$800,0.75)</f>
        <v>0.667715717403612</v>
      </c>
      <c r="S375" s="1" t="b">
        <f aca="false">OR(Q375&gt;=R375,AND(B375="CW",COUNT(J375:L375)&lt;3))</f>
        <v>0</v>
      </c>
      <c r="T375" s="0" t="n">
        <v>0.258101632713389</v>
      </c>
      <c r="U375" s="0" t="n">
        <v>6.40224081669</v>
      </c>
      <c r="V375" s="0" t="n">
        <v>0.335367605601842</v>
      </c>
      <c r="W375" s="0" t="n">
        <f aca="false">Q375-V375</f>
        <v>0</v>
      </c>
    </row>
    <row r="376" customFormat="false" ht="15" hidden="false" customHeight="false" outlineLevel="0" collapsed="false">
      <c r="A376" s="0" t="s">
        <v>410</v>
      </c>
      <c r="B376" s="0" t="s">
        <v>3013</v>
      </c>
      <c r="C376" s="0" t="n">
        <v>26.7965855744431</v>
      </c>
      <c r="D376" s="0" t="n">
        <f aca="false">SUMPRODUCT(Risk_Inputs!B376:AJ376,Risk_Coefs!$B$2:$AJ$2)</f>
        <v>-0.739127093826135</v>
      </c>
      <c r="E376" s="0" t="n">
        <f aca="false">1/(1+EXP(-MAX(-25,MIN(25,D376))))</f>
        <v>0.323195053791492</v>
      </c>
      <c r="F376" s="0" t="n">
        <f aca="false">SUMPRODUCT(Risk_Inputs!B376:AJ376,Risk_Coefs!$B$3:$AJ$3)</f>
        <v>9.83040867546227</v>
      </c>
      <c r="G376" s="0" t="n">
        <f aca="false">MAX(0,F376)</f>
        <v>9.83040867546227</v>
      </c>
      <c r="H376" s="0" t="n">
        <f aca="false">(SUMPRODUCT(--ISNUMBER($E$2:$E$800),--($E$2:$E$800&lt;E376))+(SUMPRODUCT(--ISNUMBER($E$2:$E$800),--($E$2:$E$800=E376))+1)/2)/COUNT($E$2:$E$800)</f>
        <v>0.694618272841051</v>
      </c>
      <c r="I376" s="0" t="n">
        <f aca="false">(SUMPRODUCT(--ISNUMBER($G$2:$G$800),--($G$2:$G$800&lt;G376))+(SUMPRODUCT(--ISNUMBER($G$2:$G$800),--($G$2:$G$800=G376))+1)/2)/COUNT($G$2:$G$800)</f>
        <v>0.769712140175219</v>
      </c>
      <c r="J376" s="0" t="n">
        <v>7.91232802653546</v>
      </c>
      <c r="K376" s="0" t="n">
        <v>1.82389937106917</v>
      </c>
      <c r="L376" s="0" t="n">
        <v>0.157232704402507</v>
      </c>
      <c r="M376" s="0" t="n">
        <f aca="false">IF(OR(B376="NW",COUNT(Risk_Rank_Keys!B376)=0),0.5,(SUMPRODUCT(--ISNUMBER(Risk_Rank_Keys!$B$2:$B$800),--(Risk_Rank_Keys!$B$2:$B$800&lt;Risk_Rank_Keys!B376))+(SUMPRODUCT(--ISNUMBER(Risk_Rank_Keys!$B$2:$B$800),--(Risk_Rank_Keys!$B$2:$B$800=Risk_Rank_Keys!B376))+1)/2)/COUNT(Risk_Rank_Keys!$B$2:$B$800))</f>
        <v>0.377963737796374</v>
      </c>
      <c r="N376" s="0" t="n">
        <f aca="false">IF(OR(B376="NW",COUNT(Risk_Rank_Keys!C376)=0),0.5,(SUMPRODUCT(--ISNUMBER(Risk_Rank_Keys!$C$2:$C$800),--(Risk_Rank_Keys!$C$2:$C$800&lt;Risk_Rank_Keys!C376))+(SUMPRODUCT(--ISNUMBER(Risk_Rank_Keys!$C$2:$C$800),--(Risk_Rank_Keys!$C$2:$C$800=Risk_Rank_Keys!C376))+1)/2)/COUNT(Risk_Rank_Keys!$C$2:$C$800))</f>
        <v>0.224546722454672</v>
      </c>
      <c r="O376" s="0" t="n">
        <f aca="false">IF(OR(B376="NW",COUNT(Risk_Rank_Keys!D376)=0),0.5,(SUMPRODUCT(--ISNUMBER(Risk_Rank_Keys!$D$2:$D$800),--(Risk_Rank_Keys!$D$2:$D$800&lt;Risk_Rank_Keys!D376))+(SUMPRODUCT(--ISNUMBER(Risk_Rank_Keys!$D$2:$D$800),--(Risk_Rank_Keys!$D$2:$D$800=Risk_Rank_Keys!D376))+1)/2)/COUNT(Risk_Rank_Keys!$D$2:$D$800))</f>
        <v>0.124128312412831</v>
      </c>
      <c r="P376" s="0" t="n">
        <f aca="false">AVERAGE(M376:O376)</f>
        <v>0.242212924221292</v>
      </c>
      <c r="Q376" s="0" t="n">
        <f aca="false">0.4*H376+0.4*I376+0.2*P376</f>
        <v>0.634174750050767</v>
      </c>
      <c r="R376" s="0" t="n">
        <f aca="false">PERCENTILE($Q$2:$Q$800,0.75)</f>
        <v>0.667715717403612</v>
      </c>
      <c r="S376" s="1" t="b">
        <f aca="false">OR(Q376&gt;=R376,AND(B376="CW",COUNT(J376:L376)&lt;3))</f>
        <v>0</v>
      </c>
      <c r="T376" s="0" t="n">
        <v>0.323195053791491</v>
      </c>
      <c r="U376" s="0" t="n">
        <v>9.83040867546227</v>
      </c>
      <c r="V376" s="0" t="n">
        <v>0.634174750050767</v>
      </c>
      <c r="W376" s="0" t="n">
        <f aca="false">Q376-V376</f>
        <v>0</v>
      </c>
    </row>
    <row r="377" customFormat="false" ht="15" hidden="false" customHeight="false" outlineLevel="0" collapsed="false">
      <c r="A377" s="0" t="s">
        <v>411</v>
      </c>
      <c r="B377" s="0" t="s">
        <v>3013</v>
      </c>
      <c r="C377" s="0" t="n">
        <v>58.6240373691658</v>
      </c>
      <c r="D377" s="0" t="n">
        <f aca="false">SUMPRODUCT(Risk_Inputs!B377:AJ377,Risk_Coefs!$B$2:$AJ$2)</f>
        <v>-1.50974343209708</v>
      </c>
      <c r="E377" s="0" t="n">
        <f aca="false">1/(1+EXP(-MAX(-25,MIN(25,D377))))</f>
        <v>0.180976819614244</v>
      </c>
      <c r="F377" s="0" t="n">
        <f aca="false">SUMPRODUCT(Risk_Inputs!B377:AJ377,Risk_Coefs!$B$3:$AJ$3)</f>
        <v>5.79260704108647</v>
      </c>
      <c r="G377" s="0" t="n">
        <f aca="false">MAX(0,F377)</f>
        <v>5.79260704108647</v>
      </c>
      <c r="H377" s="0" t="n">
        <f aca="false">(SUMPRODUCT(--ISNUMBER($E$2:$E$800),--($E$2:$E$800&lt;E377))+(SUMPRODUCT(--ISNUMBER($E$2:$E$800),--($E$2:$E$800=E377))+1)/2)/COUNT($E$2:$E$800)</f>
        <v>0.0675844806007509</v>
      </c>
      <c r="I377" s="0" t="n">
        <f aca="false">(SUMPRODUCT(--ISNUMBER($G$2:$G$800),--($G$2:$G$800&lt;G377))+(SUMPRODUCT(--ISNUMBER($G$2:$G$800),--($G$2:$G$800=G377))+1)/2)/COUNT($G$2:$G$800)</f>
        <v>0.239048811013767</v>
      </c>
      <c r="J377" s="0" t="n">
        <v>20.9927408279384</v>
      </c>
      <c r="K377" s="0" t="n">
        <v>14.8675171736997</v>
      </c>
      <c r="L377" s="0" t="n">
        <v>0.539744847890093</v>
      </c>
      <c r="M377" s="0" t="n">
        <f aca="false">IF(OR(B377="NW",COUNT(Risk_Rank_Keys!B377)=0),0.5,(SUMPRODUCT(--ISNUMBER(Risk_Rank_Keys!$B$2:$B$800),--(Risk_Rank_Keys!$B$2:$B$800&lt;Risk_Rank_Keys!B377))+(SUMPRODUCT(--ISNUMBER(Risk_Rank_Keys!$B$2:$B$800),--(Risk_Rank_Keys!$B$2:$B$800=Risk_Rank_Keys!B377))+1)/2)/COUNT(Risk_Rank_Keys!$B$2:$B$800))</f>
        <v>0.810320781032078</v>
      </c>
      <c r="N377" s="0" t="n">
        <f aca="false">IF(OR(B377="NW",COUNT(Risk_Rank_Keys!C377)=0),0.5,(SUMPRODUCT(--ISNUMBER(Risk_Rank_Keys!$C$2:$C$800),--(Risk_Rank_Keys!$C$2:$C$800&lt;Risk_Rank_Keys!C377))+(SUMPRODUCT(--ISNUMBER(Risk_Rank_Keys!$C$2:$C$800),--(Risk_Rank_Keys!$C$2:$C$800=Risk_Rank_Keys!C377))+1)/2)/COUNT(Risk_Rank_Keys!$C$2:$C$800))</f>
        <v>0.926080892608089</v>
      </c>
      <c r="O377" s="0" t="n">
        <f aca="false">IF(OR(B377="NW",COUNT(Risk_Rank_Keys!D377)=0),0.5,(SUMPRODUCT(--ISNUMBER(Risk_Rank_Keys!$D$2:$D$800),--(Risk_Rank_Keys!$D$2:$D$800&lt;Risk_Rank_Keys!D377))+(SUMPRODUCT(--ISNUMBER(Risk_Rank_Keys!$D$2:$D$800),--(Risk_Rank_Keys!$D$2:$D$800=Risk_Rank_Keys!D377))+1)/2)/COUNT(Risk_Rank_Keys!$D$2:$D$800))</f>
        <v>0.96513249651325</v>
      </c>
      <c r="P377" s="0" t="n">
        <f aca="false">AVERAGE(M377:O377)</f>
        <v>0.900511390051139</v>
      </c>
      <c r="Q377" s="0" t="n">
        <f aca="false">0.4*H377+0.4*I377+0.2*P377</f>
        <v>0.302755594656035</v>
      </c>
      <c r="R377" s="0" t="n">
        <f aca="false">PERCENTILE($Q$2:$Q$800,0.75)</f>
        <v>0.667715717403612</v>
      </c>
      <c r="S377" s="1" t="b">
        <f aca="false">OR(Q377&gt;=R377,AND(B377="CW",COUNT(J377:L377)&lt;3))</f>
        <v>0</v>
      </c>
      <c r="T377" s="0" t="n">
        <v>0.180976819614244</v>
      </c>
      <c r="U377" s="0" t="n">
        <v>5.79260704108647</v>
      </c>
      <c r="V377" s="0" t="n">
        <v>0.302755594656035</v>
      </c>
      <c r="W377" s="0" t="n">
        <f aca="false">Q377-V377</f>
        <v>0</v>
      </c>
    </row>
    <row r="378" customFormat="false" ht="15" hidden="false" customHeight="false" outlineLevel="0" collapsed="false">
      <c r="A378" s="0" t="s">
        <v>412</v>
      </c>
      <c r="B378" s="0" t="s">
        <v>3013</v>
      </c>
      <c r="C378" s="0" t="n">
        <v>18.3893079341666</v>
      </c>
      <c r="D378" s="0" t="n">
        <f aca="false">SUMPRODUCT(Risk_Inputs!B378:AJ378,Risk_Coefs!$B$2:$AJ$2)</f>
        <v>-1.1759096342245</v>
      </c>
      <c r="E378" s="0" t="n">
        <f aca="false">1/(1+EXP(-MAX(-25,MIN(25,D378))))</f>
        <v>0.235788451766482</v>
      </c>
      <c r="F378" s="0" t="n">
        <f aca="false">SUMPRODUCT(Risk_Inputs!B378:AJ378,Risk_Coefs!$B$3:$AJ$3)</f>
        <v>3.82407681134423</v>
      </c>
      <c r="G378" s="0" t="n">
        <f aca="false">MAX(0,F378)</f>
        <v>3.82407681134423</v>
      </c>
      <c r="H378" s="0" t="n">
        <f aca="false">(SUMPRODUCT(--ISNUMBER($E$2:$E$800),--($E$2:$E$800&lt;E378))+(SUMPRODUCT(--ISNUMBER($E$2:$E$800),--($E$2:$E$800=E378))+1)/2)/COUNT($E$2:$E$800)</f>
        <v>0.204005006257822</v>
      </c>
      <c r="I378" s="0" t="n">
        <f aca="false">(SUMPRODUCT(--ISNUMBER($G$2:$G$800),--($G$2:$G$800&lt;G378))+(SUMPRODUCT(--ISNUMBER($G$2:$G$800),--($G$2:$G$800=G378))+1)/2)/COUNT($G$2:$G$800)</f>
        <v>0.0438047559449312</v>
      </c>
      <c r="J378" s="0" t="n">
        <v>8.59457673809339</v>
      </c>
      <c r="K378" s="0" t="n">
        <v>1.93213949104618</v>
      </c>
      <c r="L378" s="0" t="n">
        <v>0.21206409048068</v>
      </c>
      <c r="M378" s="0" t="n">
        <f aca="false">IF(OR(B378="NW",COUNT(Risk_Rank_Keys!B378)=0),0.5,(SUMPRODUCT(--ISNUMBER(Risk_Rank_Keys!$B$2:$B$800),--(Risk_Rank_Keys!$B$2:$B$800&lt;Risk_Rank_Keys!B378))+(SUMPRODUCT(--ISNUMBER(Risk_Rank_Keys!$B$2:$B$800),--(Risk_Rank_Keys!$B$2:$B$800=Risk_Rank_Keys!B378))+1)/2)/COUNT(Risk_Rank_Keys!$B$2:$B$800))</f>
        <v>0.425383542538354</v>
      </c>
      <c r="N378" s="0" t="n">
        <f aca="false">IF(OR(B378="NW",COUNT(Risk_Rank_Keys!C378)=0),0.5,(SUMPRODUCT(--ISNUMBER(Risk_Rank_Keys!$C$2:$C$800),--(Risk_Rank_Keys!$C$2:$C$800&lt;Risk_Rank_Keys!C378))+(SUMPRODUCT(--ISNUMBER(Risk_Rank_Keys!$C$2:$C$800),--(Risk_Rank_Keys!$C$2:$C$800=Risk_Rank_Keys!C378))+1)/2)/COUNT(Risk_Rank_Keys!$C$2:$C$800))</f>
        <v>0.256624825662483</v>
      </c>
      <c r="O378" s="0" t="n">
        <f aca="false">IF(OR(B378="NW",COUNT(Risk_Rank_Keys!D378)=0),0.5,(SUMPRODUCT(--ISNUMBER(Risk_Rank_Keys!$D$2:$D$800),--(Risk_Rank_Keys!$D$2:$D$800&lt;Risk_Rank_Keys!D378))+(SUMPRODUCT(--ISNUMBER(Risk_Rank_Keys!$D$2:$D$800),--(Risk_Rank_Keys!$D$2:$D$800=Risk_Rank_Keys!D378))+1)/2)/COUNT(Risk_Rank_Keys!$D$2:$D$800))</f>
        <v>0.393305439330544</v>
      </c>
      <c r="P378" s="0" t="n">
        <f aca="false">AVERAGE(M378:O378)</f>
        <v>0.358437935843794</v>
      </c>
      <c r="Q378" s="0" t="n">
        <f aca="false">0.4*H378+0.4*I378+0.2*P378</f>
        <v>0.17081149204986</v>
      </c>
      <c r="R378" s="0" t="n">
        <f aca="false">PERCENTILE($Q$2:$Q$800,0.75)</f>
        <v>0.667715717403612</v>
      </c>
      <c r="S378" s="1" t="b">
        <f aca="false">OR(Q378&gt;=R378,AND(B378="CW",COUNT(J378:L378)&lt;3))</f>
        <v>0</v>
      </c>
      <c r="T378" s="0" t="n">
        <v>0.235788451766482</v>
      </c>
      <c r="U378" s="0" t="n">
        <v>3.82407681134424</v>
      </c>
      <c r="V378" s="0" t="n">
        <v>0.17081149204986</v>
      </c>
      <c r="W378" s="0" t="n">
        <f aca="false">Q378-V378</f>
        <v>0</v>
      </c>
    </row>
    <row r="379" customFormat="false" ht="15" hidden="false" customHeight="false" outlineLevel="0" collapsed="false">
      <c r="A379" s="0" t="s">
        <v>413</v>
      </c>
      <c r="B379" s="0" t="s">
        <v>3013</v>
      </c>
      <c r="C379" s="0" t="n">
        <v>-5.15801041227865</v>
      </c>
      <c r="D379" s="0" t="n">
        <f aca="false">SUMPRODUCT(Risk_Inputs!B379:AJ379,Risk_Coefs!$B$2:$AJ$2)</f>
        <v>-0.971434759725096</v>
      </c>
      <c r="E379" s="0" t="n">
        <f aca="false">1/(1+EXP(-MAX(-25,MIN(25,D379))))</f>
        <v>0.274594616551185</v>
      </c>
      <c r="F379" s="0" t="n">
        <f aca="false">SUMPRODUCT(Risk_Inputs!B379:AJ379,Risk_Coefs!$B$3:$AJ$3)</f>
        <v>5.72909443921879</v>
      </c>
      <c r="G379" s="0" t="n">
        <f aca="false">MAX(0,F379)</f>
        <v>5.72909443921879</v>
      </c>
      <c r="H379" s="0" t="n">
        <f aca="false">(SUMPRODUCT(--ISNUMBER($E$2:$E$800),--($E$2:$E$800&lt;E379))+(SUMPRODUCT(--ISNUMBER($E$2:$E$800),--($E$2:$E$800=E379))+1)/2)/COUNT($E$2:$E$800)</f>
        <v>0.420525657071339</v>
      </c>
      <c r="I379" s="0" t="n">
        <f aca="false">(SUMPRODUCT(--ISNUMBER($G$2:$G$800),--($G$2:$G$800&lt;G379))+(SUMPRODUCT(--ISNUMBER($G$2:$G$800),--($G$2:$G$800=G379))+1)/2)/COUNT($G$2:$G$800)</f>
        <v>0.230287859824781</v>
      </c>
      <c r="J379" s="0" t="n">
        <v>9.50975661755671</v>
      </c>
      <c r="K379" s="0" t="n">
        <v>1.85414091470952</v>
      </c>
      <c r="L379" s="0" t="n">
        <v>0.21631644004944</v>
      </c>
      <c r="M379" s="0" t="n">
        <f aca="false">IF(OR(B379="NW",COUNT(Risk_Rank_Keys!B379)=0),0.5,(SUMPRODUCT(--ISNUMBER(Risk_Rank_Keys!$B$2:$B$800),--(Risk_Rank_Keys!$B$2:$B$800&lt;Risk_Rank_Keys!B379))+(SUMPRODUCT(--ISNUMBER(Risk_Rank_Keys!$B$2:$B$800),--(Risk_Rank_Keys!$B$2:$B$800=Risk_Rank_Keys!B379))+1)/2)/COUNT(Risk_Rank_Keys!$B$2:$B$800))</f>
        <v>0.476987447698745</v>
      </c>
      <c r="N379" s="0" t="n">
        <f aca="false">IF(OR(B379="NW",COUNT(Risk_Rank_Keys!C379)=0),0.5,(SUMPRODUCT(--ISNUMBER(Risk_Rank_Keys!$C$2:$C$800),--(Risk_Rank_Keys!$C$2:$C$800&lt;Risk_Rank_Keys!C379))+(SUMPRODUCT(--ISNUMBER(Risk_Rank_Keys!$C$2:$C$800),--(Risk_Rank_Keys!$C$2:$C$800=Risk_Rank_Keys!C379))+1)/2)/COUNT(Risk_Rank_Keys!$C$2:$C$800))</f>
        <v>0.237099023709902</v>
      </c>
      <c r="O379" s="0" t="n">
        <f aca="false">IF(OR(B379="NW",COUNT(Risk_Rank_Keys!D379)=0),0.5,(SUMPRODUCT(--ISNUMBER(Risk_Rank_Keys!$D$2:$D$800),--(Risk_Rank_Keys!$D$2:$D$800&lt;Risk_Rank_Keys!D379))+(SUMPRODUCT(--ISNUMBER(Risk_Rank_Keys!$D$2:$D$800),--(Risk_Rank_Keys!$D$2:$D$800=Risk_Rank_Keys!D379))+1)/2)/COUNT(Risk_Rank_Keys!$D$2:$D$800))</f>
        <v>0.421199442119944</v>
      </c>
      <c r="P379" s="0" t="n">
        <f aca="false">AVERAGE(M379:O379)</f>
        <v>0.378428637842864</v>
      </c>
      <c r="Q379" s="0" t="n">
        <f aca="false">0.4*H379+0.4*I379+0.2*P379</f>
        <v>0.336011134327021</v>
      </c>
      <c r="R379" s="0" t="n">
        <f aca="false">PERCENTILE($Q$2:$Q$800,0.75)</f>
        <v>0.667715717403612</v>
      </c>
      <c r="S379" s="1" t="b">
        <f aca="false">OR(Q379&gt;=R379,AND(B379="CW",COUNT(J379:L379)&lt;3))</f>
        <v>0</v>
      </c>
      <c r="T379" s="0" t="n">
        <v>0.274594616551185</v>
      </c>
      <c r="U379" s="0" t="n">
        <v>5.72909443921879</v>
      </c>
      <c r="V379" s="0" t="n">
        <v>0.336011134327021</v>
      </c>
      <c r="W379" s="0" t="n">
        <f aca="false">Q379-V379</f>
        <v>0</v>
      </c>
    </row>
    <row r="380" customFormat="false" ht="15" hidden="false" customHeight="false" outlineLevel="0" collapsed="false">
      <c r="A380" s="0" t="s">
        <v>414</v>
      </c>
      <c r="B380" s="0" t="s">
        <v>3013</v>
      </c>
      <c r="C380" s="0" t="n">
        <v>15.6242832446221</v>
      </c>
      <c r="D380" s="0" t="n">
        <f aca="false">SUMPRODUCT(Risk_Inputs!B380:AJ380,Risk_Coefs!$B$2:$AJ$2)</f>
        <v>-0.915393980192678</v>
      </c>
      <c r="E380" s="0" t="n">
        <f aca="false">1/(1+EXP(-MAX(-25,MIN(25,D380))))</f>
        <v>0.28589733142352</v>
      </c>
      <c r="F380" s="0" t="n">
        <f aca="false">SUMPRODUCT(Risk_Inputs!B380:AJ380,Risk_Coefs!$B$3:$AJ$3)</f>
        <v>7.42788765466796</v>
      </c>
      <c r="G380" s="0" t="n">
        <f aca="false">MAX(0,F380)</f>
        <v>7.42788765466796</v>
      </c>
      <c r="H380" s="0" t="n">
        <f aca="false">(SUMPRODUCT(--ISNUMBER($E$2:$E$800),--($E$2:$E$800&lt;E380))+(SUMPRODUCT(--ISNUMBER($E$2:$E$800),--($E$2:$E$800=E380))+1)/2)/COUNT($E$2:$E$800)</f>
        <v>0.496871088861076</v>
      </c>
      <c r="I380" s="0" t="n">
        <f aca="false">(SUMPRODUCT(--ISNUMBER($G$2:$G$800),--($G$2:$G$800&lt;G380))+(SUMPRODUCT(--ISNUMBER($G$2:$G$800),--($G$2:$G$800=G380))+1)/2)/COUNT($G$2:$G$800)</f>
        <v>0.469336670838548</v>
      </c>
      <c r="J380" s="0" t="n">
        <v>6.59418649812536</v>
      </c>
      <c r="K380" s="0" t="n">
        <v>3.14537782892215</v>
      </c>
      <c r="L380" s="0" t="n">
        <v>0.191791331031848</v>
      </c>
      <c r="M380" s="0" t="n">
        <f aca="false">IF(OR(B380="NW",COUNT(Risk_Rank_Keys!B380)=0),0.5,(SUMPRODUCT(--ISNUMBER(Risk_Rank_Keys!$B$2:$B$800),--(Risk_Rank_Keys!$B$2:$B$800&lt;Risk_Rank_Keys!B380))+(SUMPRODUCT(--ISNUMBER(Risk_Rank_Keys!$B$2:$B$800),--(Risk_Rank_Keys!$B$2:$B$800=Risk_Rank_Keys!B380))+1)/2)/COUNT(Risk_Rank_Keys!$B$2:$B$800))</f>
        <v>0.281729428172943</v>
      </c>
      <c r="N380" s="0" t="n">
        <f aca="false">IF(OR(B380="NW",COUNT(Risk_Rank_Keys!C380)=0),0.5,(SUMPRODUCT(--ISNUMBER(Risk_Rank_Keys!$C$2:$C$800),--(Risk_Rank_Keys!$C$2:$C$800&lt;Risk_Rank_Keys!C380))+(SUMPRODUCT(--ISNUMBER(Risk_Rank_Keys!$C$2:$C$800),--(Risk_Rank_Keys!$C$2:$C$800=Risk_Rank_Keys!C380))+1)/2)/COUNT(Risk_Rank_Keys!$C$2:$C$800))</f>
        <v>0.486750348675035</v>
      </c>
      <c r="O380" s="0" t="n">
        <f aca="false">IF(OR(B380="NW",COUNT(Risk_Rank_Keys!D380)=0),0.5,(SUMPRODUCT(--ISNUMBER(Risk_Rank_Keys!$D$2:$D$800),--(Risk_Rank_Keys!$D$2:$D$800&lt;Risk_Rank_Keys!D380))+(SUMPRODUCT(--ISNUMBER(Risk_Rank_Keys!$D$2:$D$800),--(Risk_Rank_Keys!$D$2:$D$800=Risk_Rank_Keys!D380))+1)/2)/COUNT(Risk_Rank_Keys!$D$2:$D$800))</f>
        <v>0.266387726638773</v>
      </c>
      <c r="P380" s="0" t="n">
        <f aca="false">AVERAGE(M380:O380)</f>
        <v>0.344955834495583</v>
      </c>
      <c r="Q380" s="0" t="n">
        <f aca="false">0.4*H380+0.4*I380+0.2*P380</f>
        <v>0.455474270778967</v>
      </c>
      <c r="R380" s="0" t="n">
        <f aca="false">PERCENTILE($Q$2:$Q$800,0.75)</f>
        <v>0.667715717403612</v>
      </c>
      <c r="S380" s="1" t="b">
        <f aca="false">OR(Q380&gt;=R380,AND(B380="CW",COUNT(J380:L380)&lt;3))</f>
        <v>0</v>
      </c>
      <c r="T380" s="0" t="n">
        <v>0.28589733142352</v>
      </c>
      <c r="U380" s="0" t="n">
        <v>7.42788765466796</v>
      </c>
      <c r="V380" s="0" t="n">
        <v>0.455474270778967</v>
      </c>
      <c r="W380" s="0" t="n">
        <f aca="false">Q380-V380</f>
        <v>0</v>
      </c>
    </row>
    <row r="381" customFormat="false" ht="15" hidden="false" customHeight="false" outlineLevel="0" collapsed="false">
      <c r="A381" s="0" t="s">
        <v>415</v>
      </c>
      <c r="B381" s="0" t="s">
        <v>3013</v>
      </c>
      <c r="C381" s="0" t="n">
        <v>16.019011974578</v>
      </c>
      <c r="D381" s="0" t="n">
        <f aca="false">SUMPRODUCT(Risk_Inputs!B381:AJ381,Risk_Coefs!$B$2:$AJ$2)</f>
        <v>-1.02998653609973</v>
      </c>
      <c r="E381" s="0" t="n">
        <f aca="false">1/(1+EXP(-MAX(-25,MIN(25,D381))))</f>
        <v>0.263086714432808</v>
      </c>
      <c r="F381" s="0" t="n">
        <f aca="false">SUMPRODUCT(Risk_Inputs!B381:AJ381,Risk_Coefs!$B$3:$AJ$3)</f>
        <v>6.33851159004939</v>
      </c>
      <c r="G381" s="0" t="n">
        <f aca="false">MAX(0,F381)</f>
        <v>6.33851159004939</v>
      </c>
      <c r="H381" s="0" t="n">
        <f aca="false">(SUMPRODUCT(--ISNUMBER($E$2:$E$800),--($E$2:$E$800&lt;E381))+(SUMPRODUCT(--ISNUMBER($E$2:$E$800),--($E$2:$E$800=E381))+1)/2)/COUNT($E$2:$E$800)</f>
        <v>0.355444305381727</v>
      </c>
      <c r="I381" s="0" t="n">
        <f aca="false">(SUMPRODUCT(--ISNUMBER($G$2:$G$800),--($G$2:$G$800&lt;G381))+(SUMPRODUCT(--ISNUMBER($G$2:$G$800),--($G$2:$G$800=G381))+1)/2)/COUNT($G$2:$G$800)</f>
        <v>0.319148936170213</v>
      </c>
      <c r="J381" s="0" t="n">
        <v>4.58524501703927</v>
      </c>
      <c r="K381" s="0" t="n">
        <v>2.4176488365065</v>
      </c>
      <c r="L381" s="0" t="n">
        <v>0.241764883650653</v>
      </c>
      <c r="M381" s="0" t="n">
        <f aca="false">IF(OR(B381="NW",COUNT(Risk_Rank_Keys!B381)=0),0.5,(SUMPRODUCT(--ISNUMBER(Risk_Rank_Keys!$B$2:$B$800),--(Risk_Rank_Keys!$B$2:$B$800&lt;Risk_Rank_Keys!B381))+(SUMPRODUCT(--ISNUMBER(Risk_Rank_Keys!$B$2:$B$800),--(Risk_Rank_Keys!$B$2:$B$800=Risk_Rank_Keys!B381))+1)/2)/COUNT(Risk_Rank_Keys!$B$2:$B$800))</f>
        <v>0.107391910739191</v>
      </c>
      <c r="N381" s="0" t="n">
        <f aca="false">IF(OR(B381="NW",COUNT(Risk_Rank_Keys!C381)=0),0.5,(SUMPRODUCT(--ISNUMBER(Risk_Rank_Keys!$C$2:$C$800),--(Risk_Rank_Keys!$C$2:$C$800&lt;Risk_Rank_Keys!C381))+(SUMPRODUCT(--ISNUMBER(Risk_Rank_Keys!$C$2:$C$800),--(Risk_Rank_Keys!$C$2:$C$800=Risk_Rank_Keys!C381))+1)/2)/COUNT(Risk_Rank_Keys!$C$2:$C$800))</f>
        <v>0.370990237099024</v>
      </c>
      <c r="O381" s="0" t="n">
        <f aca="false">IF(OR(B381="NW",COUNT(Risk_Rank_Keys!D381)=0),0.5,(SUMPRODUCT(--ISNUMBER(Risk_Rank_Keys!$D$2:$D$800),--(Risk_Rank_Keys!$D$2:$D$800&lt;Risk_Rank_Keys!D381))+(SUMPRODUCT(--ISNUMBER(Risk_Rank_Keys!$D$2:$D$800),--(Risk_Rank_Keys!$D$2:$D$800=Risk_Rank_Keys!D381))+1)/2)/COUNT(Risk_Rank_Keys!$D$2:$D$800))</f>
        <v>0.550906555090656</v>
      </c>
      <c r="P381" s="0" t="n">
        <f aca="false">AVERAGE(M381:O381)</f>
        <v>0.343096234309624</v>
      </c>
      <c r="Q381" s="0" t="n">
        <f aca="false">0.4*H381+0.4*I381+0.2*P381</f>
        <v>0.338456543482701</v>
      </c>
      <c r="R381" s="0" t="n">
        <f aca="false">PERCENTILE($Q$2:$Q$800,0.75)</f>
        <v>0.667715717403612</v>
      </c>
      <c r="S381" s="1" t="b">
        <f aca="false">OR(Q381&gt;=R381,AND(B381="CW",COUNT(J381:L381)&lt;3))</f>
        <v>0</v>
      </c>
      <c r="T381" s="0" t="n">
        <v>0.263086714432808</v>
      </c>
      <c r="U381" s="0" t="n">
        <v>6.33851159004939</v>
      </c>
      <c r="V381" s="0" t="n">
        <v>0.338456543482701</v>
      </c>
      <c r="W381" s="0" t="n">
        <f aca="false">Q381-V381</f>
        <v>0</v>
      </c>
    </row>
    <row r="382" customFormat="false" ht="15" hidden="false" customHeight="false" outlineLevel="0" collapsed="false">
      <c r="A382" s="0" t="s">
        <v>416</v>
      </c>
      <c r="B382" s="0" t="s">
        <v>3013</v>
      </c>
      <c r="C382" s="0" t="n">
        <v>-40.024446297244</v>
      </c>
      <c r="D382" s="0" t="n">
        <f aca="false">SUMPRODUCT(Risk_Inputs!B382:AJ382,Risk_Coefs!$B$2:$AJ$2)</f>
        <v>-1.08884014371469</v>
      </c>
      <c r="E382" s="0" t="n">
        <f aca="false">1/(1+EXP(-MAX(-25,MIN(25,D382))))</f>
        <v>0.251836749808459</v>
      </c>
      <c r="F382" s="0" t="n">
        <f aca="false">SUMPRODUCT(Risk_Inputs!B382:AJ382,Risk_Coefs!$B$3:$AJ$3)</f>
        <v>5.71490006805319</v>
      </c>
      <c r="G382" s="0" t="n">
        <f aca="false">MAX(0,F382)</f>
        <v>5.71490006805319</v>
      </c>
      <c r="H382" s="0" t="n">
        <f aca="false">(SUMPRODUCT(--ISNUMBER($E$2:$E$800),--($E$2:$E$800&lt;E382))+(SUMPRODUCT(--ISNUMBER($E$2:$E$800),--($E$2:$E$800=E382))+1)/2)/COUNT($E$2:$E$800)</f>
        <v>0.277847309136421</v>
      </c>
      <c r="I382" s="0" t="n">
        <f aca="false">(SUMPRODUCT(--ISNUMBER($G$2:$G$800),--($G$2:$G$800&lt;G382))+(SUMPRODUCT(--ISNUMBER($G$2:$G$800),--($G$2:$G$800=G382))+1)/2)/COUNT($G$2:$G$800)</f>
        <v>0.227784730913642</v>
      </c>
      <c r="J382" s="0" t="n">
        <v>10.5809683274488</v>
      </c>
      <c r="K382" s="0" t="n">
        <v>3.62733867888507</v>
      </c>
      <c r="L382" s="0" t="n">
        <v>0.343642611683851</v>
      </c>
      <c r="M382" s="0" t="n">
        <f aca="false">IF(OR(B382="NW",COUNT(Risk_Rank_Keys!B382)=0),0.5,(SUMPRODUCT(--ISNUMBER(Risk_Rank_Keys!$B$2:$B$800),--(Risk_Rank_Keys!$B$2:$B$800&lt;Risk_Rank_Keys!B382))+(SUMPRODUCT(--ISNUMBER(Risk_Rank_Keys!$B$2:$B$800),--(Risk_Rank_Keys!$B$2:$B$800=Risk_Rank_Keys!B382))+1)/2)/COUNT(Risk_Rank_Keys!$B$2:$B$800))</f>
        <v>0.532775453277545</v>
      </c>
      <c r="N382" s="0" t="n">
        <f aca="false">IF(OR(B382="NW",COUNT(Risk_Rank_Keys!C382)=0),0.5,(SUMPRODUCT(--ISNUMBER(Risk_Rank_Keys!$C$2:$C$800),--(Risk_Rank_Keys!$C$2:$C$800&lt;Risk_Rank_Keys!C382))+(SUMPRODUCT(--ISNUMBER(Risk_Rank_Keys!$C$2:$C$800),--(Risk_Rank_Keys!$C$2:$C$800=Risk_Rank_Keys!C382))+1)/2)/COUNT(Risk_Rank_Keys!$C$2:$C$800))</f>
        <v>0.546722454672246</v>
      </c>
      <c r="O382" s="0" t="n">
        <f aca="false">IF(OR(B382="NW",COUNT(Risk_Rank_Keys!D382)=0),0.5,(SUMPRODUCT(--ISNUMBER(Risk_Rank_Keys!$D$2:$D$800),--(Risk_Rank_Keys!$D$2:$D$800&lt;Risk_Rank_Keys!D382))+(SUMPRODUCT(--ISNUMBER(Risk_Rank_Keys!$D$2:$D$800),--(Risk_Rank_Keys!$D$2:$D$800=Risk_Rank_Keys!D382))+1)/2)/COUNT(Risk_Rank_Keys!$D$2:$D$800))</f>
        <v>0.824267782426778</v>
      </c>
      <c r="P382" s="0" t="n">
        <f aca="false">AVERAGE(M382:O382)</f>
        <v>0.634588563458856</v>
      </c>
      <c r="Q382" s="0" t="n">
        <f aca="false">0.4*H382+0.4*I382+0.2*P382</f>
        <v>0.329170528711796</v>
      </c>
      <c r="R382" s="0" t="n">
        <f aca="false">PERCENTILE($Q$2:$Q$800,0.75)</f>
        <v>0.667715717403612</v>
      </c>
      <c r="S382" s="1" t="b">
        <f aca="false">OR(Q382&gt;=R382,AND(B382="CW",COUNT(J382:L382)&lt;3))</f>
        <v>0</v>
      </c>
      <c r="T382" s="0" t="n">
        <v>0.251836749808459</v>
      </c>
      <c r="U382" s="0" t="n">
        <v>5.71490006805319</v>
      </c>
      <c r="V382" s="0" t="n">
        <v>0.329170528711796</v>
      </c>
      <c r="W382" s="0" t="n">
        <f aca="false">Q382-V382</f>
        <v>0</v>
      </c>
    </row>
    <row r="383" customFormat="false" ht="15" hidden="false" customHeight="false" outlineLevel="0" collapsed="false">
      <c r="A383" s="0" t="s">
        <v>417</v>
      </c>
      <c r="B383" s="0" t="s">
        <v>3013</v>
      </c>
      <c r="C383" s="0" t="n">
        <v>1.27919966133881</v>
      </c>
      <c r="D383" s="0" t="n">
        <f aca="false">SUMPRODUCT(Risk_Inputs!B383:AJ383,Risk_Coefs!$B$2:$AJ$2)</f>
        <v>-1.09153492102429</v>
      </c>
      <c r="E383" s="0" t="n">
        <f aca="false">1/(1+EXP(-MAX(-25,MIN(25,D383))))</f>
        <v>0.25132935296429</v>
      </c>
      <c r="F383" s="0" t="n">
        <f aca="false">SUMPRODUCT(Risk_Inputs!B383:AJ383,Risk_Coefs!$B$3:$AJ$3)</f>
        <v>8.81094932722994</v>
      </c>
      <c r="G383" s="0" t="n">
        <f aca="false">MAX(0,F383)</f>
        <v>8.81094932722994</v>
      </c>
      <c r="H383" s="0" t="n">
        <f aca="false">(SUMPRODUCT(--ISNUMBER($E$2:$E$800),--($E$2:$E$800&lt;E383))+(SUMPRODUCT(--ISNUMBER($E$2:$E$800),--($E$2:$E$800=E383))+1)/2)/COUNT($E$2:$E$800)</f>
        <v>0.275344180225282</v>
      </c>
      <c r="I383" s="0" t="n">
        <f aca="false">(SUMPRODUCT(--ISNUMBER($G$2:$G$800),--($G$2:$G$800&lt;G383))+(SUMPRODUCT(--ISNUMBER($G$2:$G$800),--($G$2:$G$800=G383))+1)/2)/COUNT($G$2:$G$800)</f>
        <v>0.653316645807259</v>
      </c>
      <c r="J383" s="0" t="n">
        <v>11.1690139641179</v>
      </c>
      <c r="K383" s="0" t="n">
        <v>4.19828022255944</v>
      </c>
      <c r="L383" s="0" t="n">
        <v>0.404653515427421</v>
      </c>
      <c r="M383" s="0" t="n">
        <f aca="false">IF(OR(B383="NW",COUNT(Risk_Rank_Keys!B383)=0),0.5,(SUMPRODUCT(--ISNUMBER(Risk_Rank_Keys!$B$2:$B$800),--(Risk_Rank_Keys!$B$2:$B$800&lt;Risk_Rank_Keys!B383))+(SUMPRODUCT(--ISNUMBER(Risk_Rank_Keys!$B$2:$B$800),--(Risk_Rank_Keys!$B$2:$B$800=Risk_Rank_Keys!B383))+1)/2)/COUNT(Risk_Rank_Keys!$B$2:$B$800))</f>
        <v>0.550906555090656</v>
      </c>
      <c r="N383" s="0" t="n">
        <f aca="false">IF(OR(B383="NW",COUNT(Risk_Rank_Keys!C383)=0),0.5,(SUMPRODUCT(--ISNUMBER(Risk_Rank_Keys!$C$2:$C$800),--(Risk_Rank_Keys!$C$2:$C$800&lt;Risk_Rank_Keys!C383))+(SUMPRODUCT(--ISNUMBER(Risk_Rank_Keys!$C$2:$C$800),--(Risk_Rank_Keys!$C$2:$C$800=Risk_Rank_Keys!C383))+1)/2)/COUNT(Risk_Rank_Keys!$C$2:$C$800))</f>
        <v>0.612273361227336</v>
      </c>
      <c r="O383" s="0" t="n">
        <f aca="false">IF(OR(B383="NW",COUNT(Risk_Rank_Keys!D383)=0),0.5,(SUMPRODUCT(--ISNUMBER(Risk_Rank_Keys!$D$2:$D$800),--(Risk_Rank_Keys!$D$2:$D$800&lt;Risk_Rank_Keys!D383))+(SUMPRODUCT(--ISNUMBER(Risk_Rank_Keys!$D$2:$D$800),--(Risk_Rank_Keys!$D$2:$D$800=Risk_Rank_Keys!D383))+1)/2)/COUNT(Risk_Rank_Keys!$D$2:$D$800))</f>
        <v>0.885634588563459</v>
      </c>
      <c r="P383" s="0" t="n">
        <f aca="false">AVERAGE(M383:O383)</f>
        <v>0.682938168293817</v>
      </c>
      <c r="Q383" s="0" t="n">
        <f aca="false">0.4*H383+0.4*I383+0.2*P383</f>
        <v>0.50805196407178</v>
      </c>
      <c r="R383" s="0" t="n">
        <f aca="false">PERCENTILE($Q$2:$Q$800,0.75)</f>
        <v>0.667715717403612</v>
      </c>
      <c r="S383" s="1" t="b">
        <f aca="false">OR(Q383&gt;=R383,AND(B383="CW",COUNT(J383:L383)&lt;3))</f>
        <v>0</v>
      </c>
      <c r="T383" s="0" t="n">
        <v>0.25132935296429</v>
      </c>
      <c r="U383" s="0" t="n">
        <v>8.81094932722994</v>
      </c>
      <c r="V383" s="0" t="n">
        <v>0.50805196407178</v>
      </c>
      <c r="W383" s="0" t="n">
        <f aca="false">Q383-V383</f>
        <v>0</v>
      </c>
    </row>
    <row r="384" customFormat="false" ht="15" hidden="false" customHeight="false" outlineLevel="0" collapsed="false">
      <c r="A384" s="0" t="s">
        <v>418</v>
      </c>
      <c r="B384" s="0" t="s">
        <v>3013</v>
      </c>
      <c r="C384" s="0" t="n">
        <v>20.8489865891498</v>
      </c>
      <c r="D384" s="0" t="n">
        <f aca="false">SUMPRODUCT(Risk_Inputs!B384:AJ384,Risk_Coefs!$B$2:$AJ$2)</f>
        <v>-1.15093576288659</v>
      </c>
      <c r="E384" s="0" t="n">
        <f aca="false">1/(1+EXP(-MAX(-25,MIN(25,D384))))</f>
        <v>0.240318203646953</v>
      </c>
      <c r="F384" s="0" t="n">
        <f aca="false">SUMPRODUCT(Risk_Inputs!B384:AJ384,Risk_Coefs!$B$3:$AJ$3)</f>
        <v>4.893136630698</v>
      </c>
      <c r="G384" s="0" t="n">
        <f aca="false">MAX(0,F384)</f>
        <v>4.893136630698</v>
      </c>
      <c r="H384" s="0" t="n">
        <f aca="false">(SUMPRODUCT(--ISNUMBER($E$2:$E$800),--($E$2:$E$800&lt;E384))+(SUMPRODUCT(--ISNUMBER($E$2:$E$800),--($E$2:$E$800=E384))+1)/2)/COUNT($E$2:$E$800)</f>
        <v>0.225281602002503</v>
      </c>
      <c r="I384" s="0" t="n">
        <f aca="false">(SUMPRODUCT(--ISNUMBER($G$2:$G$800),--($G$2:$G$800&lt;G384))+(SUMPRODUCT(--ISNUMBER($G$2:$G$800),--($G$2:$G$800=G384))+1)/2)/COUNT($G$2:$G$800)</f>
        <v>0.121401752190238</v>
      </c>
      <c r="J384" s="0" t="n">
        <v>18.2062010205815</v>
      </c>
      <c r="K384" s="0" t="n">
        <v>3.56005788712012</v>
      </c>
      <c r="L384" s="0" t="n">
        <v>0.115774240231558</v>
      </c>
      <c r="M384" s="0" t="n">
        <f aca="false">IF(OR(B384="NW",COUNT(Risk_Rank_Keys!B384)=0),0.5,(SUMPRODUCT(--ISNUMBER(Risk_Rank_Keys!$B$2:$B$800),--(Risk_Rank_Keys!$B$2:$B$800&lt;Risk_Rank_Keys!B384))+(SUMPRODUCT(--ISNUMBER(Risk_Rank_Keys!$B$2:$B$800),--(Risk_Rank_Keys!$B$2:$B$800=Risk_Rank_Keys!B384))+1)/2)/COUNT(Risk_Rank_Keys!$B$2:$B$800))</f>
        <v>0.764295676429568</v>
      </c>
      <c r="N384" s="0" t="n">
        <f aca="false">IF(OR(B384="NW",COUNT(Risk_Rank_Keys!C384)=0),0.5,(SUMPRODUCT(--ISNUMBER(Risk_Rank_Keys!$C$2:$C$800),--(Risk_Rank_Keys!$C$2:$C$800&lt;Risk_Rank_Keys!C384))+(SUMPRODUCT(--ISNUMBER(Risk_Rank_Keys!$C$2:$C$800),--(Risk_Rank_Keys!$C$2:$C$800=Risk_Rank_Keys!C384))+1)/2)/COUNT(Risk_Rank_Keys!$C$2:$C$800))</f>
        <v>0.535564853556485</v>
      </c>
      <c r="O384" s="0" t="n">
        <f aca="false">IF(OR(B384="NW",COUNT(Risk_Rank_Keys!D384)=0),0.5,(SUMPRODUCT(--ISNUMBER(Risk_Rank_Keys!$D$2:$D$800),--(Risk_Rank_Keys!$D$2:$D$800&lt;Risk_Rank_Keys!D384))+(SUMPRODUCT(--ISNUMBER(Risk_Rank_Keys!$D$2:$D$800),--(Risk_Rank_Keys!$D$2:$D$800=Risk_Rank_Keys!D384))+1)/2)/COUNT(Risk_Rank_Keys!$D$2:$D$800))</f>
        <v>0.0390516039051604</v>
      </c>
      <c r="P384" s="0" t="n">
        <f aca="false">AVERAGE(M384:O384)</f>
        <v>0.446304044630404</v>
      </c>
      <c r="Q384" s="0" t="n">
        <f aca="false">0.4*H384+0.4*I384+0.2*P384</f>
        <v>0.227934150603177</v>
      </c>
      <c r="R384" s="0" t="n">
        <f aca="false">PERCENTILE($Q$2:$Q$800,0.75)</f>
        <v>0.667715717403612</v>
      </c>
      <c r="S384" s="1" t="b">
        <f aca="false">OR(Q384&gt;=R384,AND(B384="CW",COUNT(J384:L384)&lt;3))</f>
        <v>0</v>
      </c>
      <c r="T384" s="0" t="n">
        <v>0.240318203646953</v>
      </c>
      <c r="U384" s="0" t="n">
        <v>4.893136630698</v>
      </c>
      <c r="V384" s="0" t="n">
        <v>0.227934150603177</v>
      </c>
      <c r="W384" s="0" t="n">
        <f aca="false">Q384-V384</f>
        <v>0</v>
      </c>
    </row>
    <row r="385" customFormat="false" ht="15" hidden="false" customHeight="false" outlineLevel="0" collapsed="false">
      <c r="A385" s="0" t="s">
        <v>419</v>
      </c>
      <c r="B385" s="0" t="s">
        <v>3013</v>
      </c>
      <c r="C385" s="0" t="n">
        <v>41.5168737644412</v>
      </c>
      <c r="D385" s="0" t="n">
        <f aca="false">SUMPRODUCT(Risk_Inputs!B385:AJ385,Risk_Coefs!$B$2:$AJ$2)</f>
        <v>-0.937181067672433</v>
      </c>
      <c r="E385" s="0" t="n">
        <f aca="false">1/(1+EXP(-MAX(-25,MIN(25,D385))))</f>
        <v>0.281470105301502</v>
      </c>
      <c r="F385" s="0" t="n">
        <f aca="false">SUMPRODUCT(Risk_Inputs!B385:AJ385,Risk_Coefs!$B$3:$AJ$3)</f>
        <v>8.98454904884532</v>
      </c>
      <c r="G385" s="0" t="n">
        <f aca="false">MAX(0,F385)</f>
        <v>8.98454904884532</v>
      </c>
      <c r="H385" s="0" t="n">
        <f aca="false">(SUMPRODUCT(--ISNUMBER($E$2:$E$800),--($E$2:$E$800&lt;E385))+(SUMPRODUCT(--ISNUMBER($E$2:$E$800),--($E$2:$E$800=E385))+1)/2)/COUNT($E$2:$E$800)</f>
        <v>0.466833541927409</v>
      </c>
      <c r="I385" s="0" t="n">
        <f aca="false">(SUMPRODUCT(--ISNUMBER($G$2:$G$800),--($G$2:$G$800&lt;G385))+(SUMPRODUCT(--ISNUMBER($G$2:$G$800),--($G$2:$G$800=G385))+1)/2)/COUNT($G$2:$G$800)</f>
        <v>0.682102628285357</v>
      </c>
      <c r="J385" s="0" t="n">
        <v>9.34885915152422</v>
      </c>
      <c r="K385" s="0" t="n">
        <v>2.3774145616642</v>
      </c>
      <c r="L385" s="0" t="n">
        <v>0.260029717682027</v>
      </c>
      <c r="M385" s="0" t="n">
        <f aca="false">IF(OR(B385="NW",COUNT(Risk_Rank_Keys!B385)=0),0.5,(SUMPRODUCT(--ISNUMBER(Risk_Rank_Keys!$B$2:$B$800),--(Risk_Rank_Keys!$B$2:$B$800&lt;Risk_Rank_Keys!B385))+(SUMPRODUCT(--ISNUMBER(Risk_Rank_Keys!$B$2:$B$800),--(Risk_Rank_Keys!$B$2:$B$800=Risk_Rank_Keys!B385))+1)/2)/COUNT(Risk_Rank_Keys!$B$2:$B$800))</f>
        <v>0.464435146443515</v>
      </c>
      <c r="N385" s="0" t="n">
        <f aca="false">IF(OR(B385="NW",COUNT(Risk_Rank_Keys!C385)=0),0.5,(SUMPRODUCT(--ISNUMBER(Risk_Rank_Keys!$C$2:$C$800),--(Risk_Rank_Keys!$C$2:$C$800&lt;Risk_Rank_Keys!C385))+(SUMPRODUCT(--ISNUMBER(Risk_Rank_Keys!$C$2:$C$800),--(Risk_Rank_Keys!$C$2:$C$800=Risk_Rank_Keys!C385))+1)/2)/COUNT(Risk_Rank_Keys!$C$2:$C$800))</f>
        <v>0.361227336122734</v>
      </c>
      <c r="O385" s="0" t="n">
        <f aca="false">IF(OR(B385="NW",COUNT(Risk_Rank_Keys!D385)=0),0.5,(SUMPRODUCT(--ISNUMBER(Risk_Rank_Keys!$D$2:$D$800),--(Risk_Rank_Keys!$D$2:$D$800&lt;Risk_Rank_Keys!D385))+(SUMPRODUCT(--ISNUMBER(Risk_Rank_Keys!$D$2:$D$800),--(Risk_Rank_Keys!$D$2:$D$800=Risk_Rank_Keys!D385))+1)/2)/COUNT(Risk_Rank_Keys!$D$2:$D$800))</f>
        <v>0.631799163179916</v>
      </c>
      <c r="P385" s="0" t="n">
        <f aca="false">AVERAGE(M385:O385)</f>
        <v>0.485820548582055</v>
      </c>
      <c r="Q385" s="0" t="n">
        <f aca="false">0.4*H385+0.4*I385+0.2*P385</f>
        <v>0.556738577801518</v>
      </c>
      <c r="R385" s="0" t="n">
        <f aca="false">PERCENTILE($Q$2:$Q$800,0.75)</f>
        <v>0.667715717403612</v>
      </c>
      <c r="S385" s="1" t="b">
        <f aca="false">OR(Q385&gt;=R385,AND(B385="CW",COUNT(J385:L385)&lt;3))</f>
        <v>0</v>
      </c>
      <c r="T385" s="0" t="n">
        <v>0.281470105301502</v>
      </c>
      <c r="U385" s="0" t="n">
        <v>8.98454904884532</v>
      </c>
      <c r="V385" s="0" t="n">
        <v>0.556738577801517</v>
      </c>
      <c r="W385" s="0" t="n">
        <f aca="false">Q385-V385</f>
        <v>0</v>
      </c>
    </row>
    <row r="386" customFormat="false" ht="15" hidden="false" customHeight="false" outlineLevel="0" collapsed="false">
      <c r="A386" s="0" t="s">
        <v>420</v>
      </c>
      <c r="B386" s="0" t="s">
        <v>33</v>
      </c>
      <c r="C386" s="0" t="n">
        <v>10.9410332111952</v>
      </c>
      <c r="D386" s="0" t="n">
        <f aca="false">SUMPRODUCT(Risk_Inputs!B386:AJ386,Risk_Coefs!$B$2:$AJ$2)</f>
        <v>-0.695981816069751</v>
      </c>
      <c r="E386" s="0" t="n">
        <f aca="false">1/(1+EXP(-MAX(-25,MIN(25,D386))))</f>
        <v>0.332703712210478</v>
      </c>
      <c r="F386" s="0" t="n">
        <f aca="false">SUMPRODUCT(Risk_Inputs!B386:AJ386,Risk_Coefs!$B$3:$AJ$3)</f>
        <v>9.19826032494233</v>
      </c>
      <c r="G386" s="0" t="n">
        <f aca="false">MAX(0,F386)</f>
        <v>9.19826032494233</v>
      </c>
      <c r="H386" s="0" t="n">
        <f aca="false">(SUMPRODUCT(--ISNUMBER($E$2:$E$800),--($E$2:$E$800&lt;E386))+(SUMPRODUCT(--ISNUMBER($E$2:$E$800),--($E$2:$E$800=E386))+1)/2)/COUNT($E$2:$E$800)</f>
        <v>0.748435544430538</v>
      </c>
      <c r="I386" s="0" t="n">
        <f aca="false">(SUMPRODUCT(--ISNUMBER($G$2:$G$800),--($G$2:$G$800&lt;G386))+(SUMPRODUCT(--ISNUMBER($G$2:$G$800),--($G$2:$G$800=G386))+1)/2)/COUNT($G$2:$G$800)</f>
        <v>0.703379224030038</v>
      </c>
      <c r="M386" s="0" t="n">
        <f aca="false">IF(OR(B386="NW",COUNT(Risk_Rank_Keys!B386)=0),0.5,(SUMPRODUCT(--ISNUMBER(Risk_Rank_Keys!$B$2:$B$800),--(Risk_Rank_Keys!$B$2:$B$800&lt;Risk_Rank_Keys!B386))+(SUMPRODUCT(--ISNUMBER(Risk_Rank_Keys!$B$2:$B$800),--(Risk_Rank_Keys!$B$2:$B$800=Risk_Rank_Keys!B386))+1)/2)/COUNT(Risk_Rank_Keys!$B$2:$B$800))</f>
        <v>0.5</v>
      </c>
      <c r="N386" s="0" t="n">
        <f aca="false">IF(OR(B386="NW",COUNT(Risk_Rank_Keys!C386)=0),0.5,(SUMPRODUCT(--ISNUMBER(Risk_Rank_Keys!$C$2:$C$800),--(Risk_Rank_Keys!$C$2:$C$800&lt;Risk_Rank_Keys!C386))+(SUMPRODUCT(--ISNUMBER(Risk_Rank_Keys!$C$2:$C$800),--(Risk_Rank_Keys!$C$2:$C$800=Risk_Rank_Keys!C386))+1)/2)/COUNT(Risk_Rank_Keys!$C$2:$C$800))</f>
        <v>0.5</v>
      </c>
      <c r="O386" s="0" t="n">
        <f aca="false">IF(OR(B386="NW",COUNT(Risk_Rank_Keys!D386)=0),0.5,(SUMPRODUCT(--ISNUMBER(Risk_Rank_Keys!$D$2:$D$800),--(Risk_Rank_Keys!$D$2:$D$800&lt;Risk_Rank_Keys!D386))+(SUMPRODUCT(--ISNUMBER(Risk_Rank_Keys!$D$2:$D$800),--(Risk_Rank_Keys!$D$2:$D$800=Risk_Rank_Keys!D386))+1)/2)/COUNT(Risk_Rank_Keys!$D$2:$D$800))</f>
        <v>0.5</v>
      </c>
      <c r="P386" s="0" t="n">
        <f aca="false">AVERAGE(M386:O386)</f>
        <v>0.5</v>
      </c>
      <c r="Q386" s="0" t="n">
        <f aca="false">0.4*H386+0.4*I386+0.2*P386</f>
        <v>0.68072590738423</v>
      </c>
      <c r="R386" s="0" t="n">
        <f aca="false">PERCENTILE($Q$2:$Q$800,0.75)</f>
        <v>0.667715717403612</v>
      </c>
      <c r="S386" s="1" t="b">
        <f aca="false">OR(Q386&gt;=R386,AND(B386="CW",COUNT(J386:L386)&lt;3))</f>
        <v>1</v>
      </c>
      <c r="T386" s="0" t="n">
        <v>0.332703712210479</v>
      </c>
      <c r="U386" s="0" t="n">
        <v>9.19826032494233</v>
      </c>
      <c r="V386" s="0" t="n">
        <v>0.68072590738423</v>
      </c>
      <c r="W386" s="0" t="n">
        <f aca="false">Q386-V386</f>
        <v>0</v>
      </c>
    </row>
    <row r="387" customFormat="false" ht="15" hidden="false" customHeight="false" outlineLevel="0" collapsed="false">
      <c r="A387" s="0" t="s">
        <v>421</v>
      </c>
      <c r="B387" s="0" t="s">
        <v>3013</v>
      </c>
      <c r="C387" s="0" t="n">
        <v>3.74355301345918</v>
      </c>
      <c r="D387" s="0" t="n">
        <f aca="false">SUMPRODUCT(Risk_Inputs!B387:AJ387,Risk_Coefs!$B$2:$AJ$2)</f>
        <v>-0.675936891661505</v>
      </c>
      <c r="E387" s="0" t="n">
        <f aca="false">1/(1+EXP(-MAX(-25,MIN(25,D387))))</f>
        <v>0.337168748743508</v>
      </c>
      <c r="F387" s="0" t="n">
        <f aca="false">SUMPRODUCT(Risk_Inputs!B387:AJ387,Risk_Coefs!$B$3:$AJ$3)</f>
        <v>6.36482912755429</v>
      </c>
      <c r="G387" s="0" t="n">
        <f aca="false">MAX(0,F387)</f>
        <v>6.36482912755429</v>
      </c>
      <c r="H387" s="0" t="n">
        <f aca="false">(SUMPRODUCT(--ISNUMBER($E$2:$E$800),--($E$2:$E$800&lt;E387))+(SUMPRODUCT(--ISNUMBER($E$2:$E$800),--($E$2:$E$800=E387))+1)/2)/COUNT($E$2:$E$800)</f>
        <v>0.76846057571965</v>
      </c>
      <c r="I387" s="0" t="n">
        <f aca="false">(SUMPRODUCT(--ISNUMBER($G$2:$G$800),--($G$2:$G$800&lt;G387))+(SUMPRODUCT(--ISNUMBER($G$2:$G$800),--($G$2:$G$800=G387))+1)/2)/COUNT($G$2:$G$800)</f>
        <v>0.322903629536921</v>
      </c>
      <c r="J387" s="0" t="n">
        <v>5.98765011691484</v>
      </c>
      <c r="K387" s="0" t="n">
        <v>1.85185185185183</v>
      </c>
      <c r="L387" s="0" t="n">
        <v>0.19290123456789</v>
      </c>
      <c r="M387" s="0" t="n">
        <f aca="false">IF(OR(B387="NW",COUNT(Risk_Rank_Keys!B387)=0),0.5,(SUMPRODUCT(--ISNUMBER(Risk_Rank_Keys!$B$2:$B$800),--(Risk_Rank_Keys!$B$2:$B$800&lt;Risk_Rank_Keys!B387))+(SUMPRODUCT(--ISNUMBER(Risk_Rank_Keys!$B$2:$B$800),--(Risk_Rank_Keys!$B$2:$B$800=Risk_Rank_Keys!B387))+1)/2)/COUNT(Risk_Rank_Keys!$B$2:$B$800))</f>
        <v>0.225941422594142</v>
      </c>
      <c r="N387" s="0" t="n">
        <f aca="false">IF(OR(B387="NW",COUNT(Risk_Rank_Keys!C387)=0),0.5,(SUMPRODUCT(--ISNUMBER(Risk_Rank_Keys!$C$2:$C$800),--(Risk_Rank_Keys!$C$2:$C$800&lt;Risk_Rank_Keys!C387))+(SUMPRODUCT(--ISNUMBER(Risk_Rank_Keys!$C$2:$C$800),--(Risk_Rank_Keys!$C$2:$C$800=Risk_Rank_Keys!C387))+1)/2)/COUNT(Risk_Rank_Keys!$C$2:$C$800))</f>
        <v>0.234309623430962</v>
      </c>
      <c r="O387" s="0" t="n">
        <f aca="false">IF(OR(B387="NW",COUNT(Risk_Rank_Keys!D387)=0),0.5,(SUMPRODUCT(--ISNUMBER(Risk_Rank_Keys!$D$2:$D$800),--(Risk_Rank_Keys!$D$2:$D$800&lt;Risk_Rank_Keys!D387))+(SUMPRODUCT(--ISNUMBER(Risk_Rank_Keys!$D$2:$D$800),--(Risk_Rank_Keys!$D$2:$D$800=Risk_Rank_Keys!D387))+1)/2)/COUNT(Risk_Rank_Keys!$D$2:$D$800))</f>
        <v>0.273361227336123</v>
      </c>
      <c r="P387" s="0" t="n">
        <f aca="false">AVERAGE(M387:O387)</f>
        <v>0.244537424453742</v>
      </c>
      <c r="Q387" s="0" t="n">
        <f aca="false">0.4*H387+0.4*I387+0.2*P387</f>
        <v>0.485453166993377</v>
      </c>
      <c r="R387" s="0" t="n">
        <f aca="false">PERCENTILE($Q$2:$Q$800,0.75)</f>
        <v>0.667715717403612</v>
      </c>
      <c r="S387" s="1" t="b">
        <f aca="false">OR(Q387&gt;=R387,AND(B387="CW",COUNT(J387:L387)&lt;3))</f>
        <v>0</v>
      </c>
      <c r="T387" s="0" t="n">
        <v>0.337168748743508</v>
      </c>
      <c r="U387" s="0" t="n">
        <v>6.3648291275543</v>
      </c>
      <c r="V387" s="0" t="n">
        <v>0.485453166993377</v>
      </c>
      <c r="W387" s="0" t="n">
        <f aca="false">Q387-V387</f>
        <v>0</v>
      </c>
    </row>
    <row r="388" customFormat="false" ht="15" hidden="false" customHeight="false" outlineLevel="0" collapsed="false">
      <c r="A388" s="0" t="s">
        <v>422</v>
      </c>
      <c r="B388" s="0" t="s">
        <v>33</v>
      </c>
      <c r="C388" s="0" t="n">
        <v>-11.0526291128808</v>
      </c>
      <c r="D388" s="0" t="n">
        <f aca="false">SUMPRODUCT(Risk_Inputs!B388:AJ388,Risk_Coefs!$B$2:$AJ$2)</f>
        <v>-0.705893193452036</v>
      </c>
      <c r="E388" s="0" t="n">
        <f aca="false">1/(1+EXP(-MAX(-25,MIN(25,D388))))</f>
        <v>0.330506928520915</v>
      </c>
      <c r="F388" s="0" t="n">
        <f aca="false">SUMPRODUCT(Risk_Inputs!B388:AJ388,Risk_Coefs!$B$3:$AJ$3)</f>
        <v>8.98375616385552</v>
      </c>
      <c r="G388" s="0" t="n">
        <f aca="false">MAX(0,F388)</f>
        <v>8.98375616385552</v>
      </c>
      <c r="H388" s="0" t="n">
        <f aca="false">(SUMPRODUCT(--ISNUMBER($E$2:$E$800),--($E$2:$E$800&lt;E388))+(SUMPRODUCT(--ISNUMBER($E$2:$E$800),--($E$2:$E$800=E388))+1)/2)/COUNT($E$2:$E$800)</f>
        <v>0.737171464330413</v>
      </c>
      <c r="I388" s="0" t="n">
        <f aca="false">(SUMPRODUCT(--ISNUMBER($G$2:$G$800),--($G$2:$G$800&lt;G388))+(SUMPRODUCT(--ISNUMBER($G$2:$G$800),--($G$2:$G$800=G388))+1)/2)/COUNT($G$2:$G$800)</f>
        <v>0.680851063829787</v>
      </c>
      <c r="M388" s="0" t="n">
        <f aca="false">IF(OR(B388="NW",COUNT(Risk_Rank_Keys!B388)=0),0.5,(SUMPRODUCT(--ISNUMBER(Risk_Rank_Keys!$B$2:$B$800),--(Risk_Rank_Keys!$B$2:$B$800&lt;Risk_Rank_Keys!B388))+(SUMPRODUCT(--ISNUMBER(Risk_Rank_Keys!$B$2:$B$800),--(Risk_Rank_Keys!$B$2:$B$800=Risk_Rank_Keys!B388))+1)/2)/COUNT(Risk_Rank_Keys!$B$2:$B$800))</f>
        <v>0.5</v>
      </c>
      <c r="N388" s="0" t="n">
        <f aca="false">IF(OR(B388="NW",COUNT(Risk_Rank_Keys!C388)=0),0.5,(SUMPRODUCT(--ISNUMBER(Risk_Rank_Keys!$C$2:$C$800),--(Risk_Rank_Keys!$C$2:$C$800&lt;Risk_Rank_Keys!C388))+(SUMPRODUCT(--ISNUMBER(Risk_Rank_Keys!$C$2:$C$800),--(Risk_Rank_Keys!$C$2:$C$800=Risk_Rank_Keys!C388))+1)/2)/COUNT(Risk_Rank_Keys!$C$2:$C$800))</f>
        <v>0.5</v>
      </c>
      <c r="O388" s="0" t="n">
        <f aca="false">IF(OR(B388="NW",COUNT(Risk_Rank_Keys!D388)=0),0.5,(SUMPRODUCT(--ISNUMBER(Risk_Rank_Keys!$D$2:$D$800),--(Risk_Rank_Keys!$D$2:$D$800&lt;Risk_Rank_Keys!D388))+(SUMPRODUCT(--ISNUMBER(Risk_Rank_Keys!$D$2:$D$800),--(Risk_Rank_Keys!$D$2:$D$800=Risk_Rank_Keys!D388))+1)/2)/COUNT(Risk_Rank_Keys!$D$2:$D$800))</f>
        <v>0.5</v>
      </c>
      <c r="P388" s="0" t="n">
        <f aca="false">AVERAGE(M388:O388)</f>
        <v>0.5</v>
      </c>
      <c r="Q388" s="0" t="n">
        <f aca="false">0.4*H388+0.4*I388+0.2*P388</f>
        <v>0.66720901126408</v>
      </c>
      <c r="R388" s="0" t="n">
        <f aca="false">PERCENTILE($Q$2:$Q$800,0.75)</f>
        <v>0.667715717403612</v>
      </c>
      <c r="S388" s="1" t="b">
        <f aca="false">OR(Q388&gt;=R388,AND(B388="CW",COUNT(J388:L388)&lt;3))</f>
        <v>0</v>
      </c>
      <c r="T388" s="0" t="n">
        <v>0.330506928520915</v>
      </c>
      <c r="U388" s="0" t="n">
        <v>8.98375616385552</v>
      </c>
      <c r="V388" s="0" t="n">
        <v>0.66720901126408</v>
      </c>
      <c r="W388" s="0" t="n">
        <f aca="false">Q388-V388</f>
        <v>0</v>
      </c>
    </row>
    <row r="389" customFormat="false" ht="15" hidden="false" customHeight="false" outlineLevel="0" collapsed="false">
      <c r="A389" s="0" t="s">
        <v>423</v>
      </c>
      <c r="B389" s="0" t="s">
        <v>3013</v>
      </c>
      <c r="C389" s="0" t="n">
        <v>27.2057834370371</v>
      </c>
      <c r="D389" s="0" t="n">
        <f aca="false">SUMPRODUCT(Risk_Inputs!B389:AJ389,Risk_Coefs!$B$2:$AJ$2)</f>
        <v>-1.72180018683252</v>
      </c>
      <c r="E389" s="0" t="n">
        <f aca="false">1/(1+EXP(-MAX(-25,MIN(25,D389))))</f>
        <v>0.151639433514653</v>
      </c>
      <c r="F389" s="0" t="n">
        <f aca="false">SUMPRODUCT(Risk_Inputs!B389:AJ389,Risk_Coefs!$B$3:$AJ$3)</f>
        <v>2.07191872037991</v>
      </c>
      <c r="G389" s="0" t="n">
        <f aca="false">MAX(0,F389)</f>
        <v>2.07191872037991</v>
      </c>
      <c r="H389" s="0" t="n">
        <f aca="false">(SUMPRODUCT(--ISNUMBER($E$2:$E$800),--($E$2:$E$800&lt;E389))+(SUMPRODUCT(--ISNUMBER($E$2:$E$800),--($E$2:$E$800=E389))+1)/2)/COUNT($E$2:$E$800)</f>
        <v>0.0250312891113892</v>
      </c>
      <c r="I389" s="0" t="n">
        <f aca="false">(SUMPRODUCT(--ISNUMBER($G$2:$G$800),--($G$2:$G$800&lt;G389))+(SUMPRODUCT(--ISNUMBER($G$2:$G$800),--($G$2:$G$800=G389))+1)/2)/COUNT($G$2:$G$800)</f>
        <v>0.0100125156445557</v>
      </c>
      <c r="J389" s="0" t="n">
        <v>60.0571289132601</v>
      </c>
      <c r="K389" s="0" t="n">
        <v>6.6087693285321</v>
      </c>
      <c r="L389" s="0" t="n">
        <v>0.317729294640966</v>
      </c>
      <c r="M389" s="0" t="n">
        <f aca="false">IF(OR(B389="NW",COUNT(Risk_Rank_Keys!B389)=0),0.5,(SUMPRODUCT(--ISNUMBER(Risk_Rank_Keys!$B$2:$B$800),--(Risk_Rank_Keys!$B$2:$B$800&lt;Risk_Rank_Keys!B389))+(SUMPRODUCT(--ISNUMBER(Risk_Rank_Keys!$B$2:$B$800),--(Risk_Rank_Keys!$B$2:$B$800=Risk_Rank_Keys!B389))+1)/2)/COUNT(Risk_Rank_Keys!$B$2:$B$800))</f>
        <v>0.99163179916318</v>
      </c>
      <c r="N389" s="0" t="n">
        <f aca="false">IF(OR(B389="NW",COUNT(Risk_Rank_Keys!C389)=0),0.5,(SUMPRODUCT(--ISNUMBER(Risk_Rank_Keys!$C$2:$C$800),--(Risk_Rank_Keys!$C$2:$C$800&lt;Risk_Rank_Keys!C389))+(SUMPRODUCT(--ISNUMBER(Risk_Rank_Keys!$C$2:$C$800),--(Risk_Rank_Keys!$C$2:$C$800=Risk_Rank_Keys!C389))+1)/2)/COUNT(Risk_Rank_Keys!$C$2:$C$800))</f>
        <v>0.768479776847978</v>
      </c>
      <c r="O389" s="0" t="n">
        <f aca="false">IF(OR(B389="NW",COUNT(Risk_Rank_Keys!D389)=0),0.5,(SUMPRODUCT(--ISNUMBER(Risk_Rank_Keys!$D$2:$D$800),--(Risk_Rank_Keys!$D$2:$D$800&lt;Risk_Rank_Keys!D389))+(SUMPRODUCT(--ISNUMBER(Risk_Rank_Keys!$D$2:$D$800),--(Risk_Rank_Keys!$D$2:$D$800=Risk_Rank_Keys!D389))+1)/2)/COUNT(Risk_Rank_Keys!$D$2:$D$800))</f>
        <v>0.771269177126918</v>
      </c>
      <c r="P389" s="0" t="n">
        <f aca="false">AVERAGE(M389:O389)</f>
        <v>0.843793584379358</v>
      </c>
      <c r="Q389" s="0" t="n">
        <f aca="false">0.4*H389+0.4*I389+0.2*P389</f>
        <v>0.18277623877825</v>
      </c>
      <c r="R389" s="0" t="n">
        <f aca="false">PERCENTILE($Q$2:$Q$800,0.75)</f>
        <v>0.667715717403612</v>
      </c>
      <c r="S389" s="1" t="b">
        <f aca="false">OR(Q389&gt;=R389,AND(B389="CW",COUNT(J389:L389)&lt;3))</f>
        <v>0</v>
      </c>
      <c r="T389" s="0" t="n">
        <v>0.151639433514653</v>
      </c>
      <c r="U389" s="0" t="n">
        <v>2.07191872037991</v>
      </c>
      <c r="V389" s="0" t="n">
        <v>0.18277623877825</v>
      </c>
      <c r="W389" s="0" t="n">
        <f aca="false">Q389-V389</f>
        <v>0</v>
      </c>
    </row>
    <row r="390" customFormat="false" ht="15" hidden="false" customHeight="false" outlineLevel="0" collapsed="false">
      <c r="A390" s="0" t="s">
        <v>424</v>
      </c>
      <c r="B390" s="0" t="s">
        <v>3013</v>
      </c>
      <c r="C390" s="0" t="n">
        <v>-44.8309001624394</v>
      </c>
      <c r="D390" s="0" t="n">
        <f aca="false">SUMPRODUCT(Risk_Inputs!B390:AJ390,Risk_Coefs!$B$2:$AJ$2)</f>
        <v>-0.818422681979163</v>
      </c>
      <c r="E390" s="0" t="n">
        <f aca="false">1/(1+EXP(-MAX(-25,MIN(25,D390))))</f>
        <v>0.306098583269907</v>
      </c>
      <c r="F390" s="0" t="n">
        <f aca="false">SUMPRODUCT(Risk_Inputs!B390:AJ390,Risk_Coefs!$B$3:$AJ$3)</f>
        <v>9.57512270431089</v>
      </c>
      <c r="G390" s="0" t="n">
        <f aca="false">MAX(0,F390)</f>
        <v>9.57512270431089</v>
      </c>
      <c r="H390" s="0" t="n">
        <f aca="false">(SUMPRODUCT(--ISNUMBER($E$2:$E$800),--($E$2:$E$800&lt;E390))+(SUMPRODUCT(--ISNUMBER($E$2:$E$800),--($E$2:$E$800=E390))+1)/2)/COUNT($E$2:$E$800)</f>
        <v>0.600750938673342</v>
      </c>
      <c r="I390" s="0" t="n">
        <f aca="false">(SUMPRODUCT(--ISNUMBER($G$2:$G$800),--($G$2:$G$800&lt;G390))+(SUMPRODUCT(--ISNUMBER($G$2:$G$800),--($G$2:$G$800=G390))+1)/2)/COUNT($G$2:$G$800)</f>
        <v>0.735919899874844</v>
      </c>
      <c r="J390" s="0" t="n">
        <v>9.94731171686972</v>
      </c>
      <c r="K390" s="0" t="n">
        <v>5.73078631719236</v>
      </c>
      <c r="L390" s="0" t="n">
        <v>0.133274100399821</v>
      </c>
      <c r="M390" s="0" t="n">
        <f aca="false">IF(OR(B390="NW",COUNT(Risk_Rank_Keys!B390)=0),0.5,(SUMPRODUCT(--ISNUMBER(Risk_Rank_Keys!$B$2:$B$800),--(Risk_Rank_Keys!$B$2:$B$800&lt;Risk_Rank_Keys!B390))+(SUMPRODUCT(--ISNUMBER(Risk_Rank_Keys!$B$2:$B$800),--(Risk_Rank_Keys!$B$2:$B$800=Risk_Rank_Keys!B390))+1)/2)/COUNT(Risk_Rank_Keys!$B$2:$B$800))</f>
        <v>0.504881450488145</v>
      </c>
      <c r="N390" s="0" t="n">
        <f aca="false">IF(OR(B390="NW",COUNT(Risk_Rank_Keys!C390)=0),0.5,(SUMPRODUCT(--ISNUMBER(Risk_Rank_Keys!$C$2:$C$800),--(Risk_Rank_Keys!$C$2:$C$800&lt;Risk_Rank_Keys!C390))+(SUMPRODUCT(--ISNUMBER(Risk_Rank_Keys!$C$2:$C$800),--(Risk_Rank_Keys!$C$2:$C$800=Risk_Rank_Keys!C390))+1)/2)/COUNT(Risk_Rank_Keys!$C$2:$C$800))</f>
        <v>0.730822873082287</v>
      </c>
      <c r="O390" s="0" t="n">
        <f aca="false">IF(OR(B390="NW",COUNT(Risk_Rank_Keys!D390)=0),0.5,(SUMPRODUCT(--ISNUMBER(Risk_Rank_Keys!$D$2:$D$800),--(Risk_Rank_Keys!$D$2:$D$800&lt;Risk_Rank_Keys!D390))+(SUMPRODUCT(--ISNUMBER(Risk_Rank_Keys!$D$2:$D$800),--(Risk_Rank_Keys!$D$2:$D$800=Risk_Rank_Keys!D390))+1)/2)/COUNT(Risk_Rank_Keys!$D$2:$D$800))</f>
        <v>0.0711297071129707</v>
      </c>
      <c r="P390" s="0" t="n">
        <f aca="false">AVERAGE(M390:O390)</f>
        <v>0.435611343561134</v>
      </c>
      <c r="Q390" s="0" t="n">
        <f aca="false">0.4*H390+0.4*I390+0.2*P390</f>
        <v>0.621790604131501</v>
      </c>
      <c r="R390" s="0" t="n">
        <f aca="false">PERCENTILE($Q$2:$Q$800,0.75)</f>
        <v>0.667715717403612</v>
      </c>
      <c r="S390" s="1" t="b">
        <f aca="false">OR(Q390&gt;=R390,AND(B390="CW",COUNT(J390:L390)&lt;3))</f>
        <v>0</v>
      </c>
      <c r="T390" s="0" t="n">
        <v>0.306098583269907</v>
      </c>
      <c r="U390" s="0" t="n">
        <v>9.57512270431089</v>
      </c>
      <c r="V390" s="0" t="n">
        <v>0.621790604131501</v>
      </c>
      <c r="W390" s="0" t="n">
        <f aca="false">Q390-V390</f>
        <v>0</v>
      </c>
    </row>
    <row r="391" customFormat="false" ht="15" hidden="false" customHeight="false" outlineLevel="0" collapsed="false">
      <c r="A391" s="0" t="s">
        <v>425</v>
      </c>
      <c r="B391" s="0" t="s">
        <v>3013</v>
      </c>
      <c r="C391" s="0" t="n">
        <v>1.81279303616219</v>
      </c>
      <c r="D391" s="0" t="n">
        <f aca="false">SUMPRODUCT(Risk_Inputs!B391:AJ391,Risk_Coefs!$B$2:$AJ$2)</f>
        <v>-0.553216622810433</v>
      </c>
      <c r="E391" s="0" t="n">
        <f aca="false">1/(1+EXP(-MAX(-25,MIN(25,D391))))</f>
        <v>0.365118450408967</v>
      </c>
      <c r="F391" s="0" t="n">
        <f aca="false">SUMPRODUCT(Risk_Inputs!B391:AJ391,Risk_Coefs!$B$3:$AJ$3)</f>
        <v>11.8232502353881</v>
      </c>
      <c r="G391" s="0" t="n">
        <f aca="false">MAX(0,F391)</f>
        <v>11.8232502353881</v>
      </c>
      <c r="H391" s="0" t="n">
        <f aca="false">(SUMPRODUCT(--ISNUMBER($E$2:$E$800),--($E$2:$E$800&lt;E391))+(SUMPRODUCT(--ISNUMBER($E$2:$E$800),--($E$2:$E$800=E391))+1)/2)/COUNT($E$2:$E$800)</f>
        <v>0.86107634543179</v>
      </c>
      <c r="I391" s="0" t="n">
        <f aca="false">(SUMPRODUCT(--ISNUMBER($G$2:$G$800),--($G$2:$G$800&lt;G391))+(SUMPRODUCT(--ISNUMBER($G$2:$G$800),--($G$2:$G$800=G391))+1)/2)/COUNT($G$2:$G$800)</f>
        <v>0.913642052565707</v>
      </c>
      <c r="J391" s="0" t="n">
        <v>7.00502902708903</v>
      </c>
      <c r="K391" s="0" t="n">
        <v>1.82113821138212</v>
      </c>
      <c r="L391" s="0" t="n">
        <v>0.195121951219501</v>
      </c>
      <c r="M391" s="0" t="n">
        <f aca="false">IF(OR(B391="NW",COUNT(Risk_Rank_Keys!B391)=0),0.5,(SUMPRODUCT(--ISNUMBER(Risk_Rank_Keys!$B$2:$B$800),--(Risk_Rank_Keys!$B$2:$B$800&lt;Risk_Rank_Keys!B391))+(SUMPRODUCT(--ISNUMBER(Risk_Rank_Keys!$B$2:$B$800),--(Risk_Rank_Keys!$B$2:$B$800=Risk_Rank_Keys!B391))+1)/2)/COUNT(Risk_Rank_Keys!$B$2:$B$800))</f>
        <v>0.313807531380753</v>
      </c>
      <c r="N391" s="0" t="n">
        <f aca="false">IF(OR(B391="NW",COUNT(Risk_Rank_Keys!C391)=0),0.5,(SUMPRODUCT(--ISNUMBER(Risk_Rank_Keys!$C$2:$C$800),--(Risk_Rank_Keys!$C$2:$C$800&lt;Risk_Rank_Keys!C391))+(SUMPRODUCT(--ISNUMBER(Risk_Rank_Keys!$C$2:$C$800),--(Risk_Rank_Keys!$C$2:$C$800=Risk_Rank_Keys!C391))+1)/2)/COUNT(Risk_Rank_Keys!$C$2:$C$800))</f>
        <v>0.221757322175732</v>
      </c>
      <c r="O391" s="0" t="n">
        <f aca="false">IF(OR(B391="NW",COUNT(Risk_Rank_Keys!D391)=0),0.5,(SUMPRODUCT(--ISNUMBER(Risk_Rank_Keys!$D$2:$D$800),--(Risk_Rank_Keys!$D$2:$D$800&lt;Risk_Rank_Keys!D391))+(SUMPRODUCT(--ISNUMBER(Risk_Rank_Keys!$D$2:$D$800),--(Risk_Rank_Keys!$D$2:$D$800=Risk_Rank_Keys!D391))+1)/2)/COUNT(Risk_Rank_Keys!$D$2:$D$800))</f>
        <v>0.285913528591353</v>
      </c>
      <c r="P391" s="0" t="n">
        <f aca="false">AVERAGE(M391:O391)</f>
        <v>0.273826127382613</v>
      </c>
      <c r="Q391" s="0" t="n">
        <f aca="false">0.4*H391+0.4*I391+0.2*P391</f>
        <v>0.764652584675521</v>
      </c>
      <c r="R391" s="0" t="n">
        <f aca="false">PERCENTILE($Q$2:$Q$800,0.75)</f>
        <v>0.667715717403612</v>
      </c>
      <c r="S391" s="1" t="b">
        <f aca="false">OR(Q391&gt;=R391,AND(B391="CW",COUNT(J391:L391)&lt;3))</f>
        <v>1</v>
      </c>
      <c r="T391" s="0" t="n">
        <v>0.365118450408967</v>
      </c>
      <c r="U391" s="0" t="n">
        <v>11.8232502353881</v>
      </c>
      <c r="V391" s="0" t="n">
        <v>0.764652584675521</v>
      </c>
      <c r="W391" s="0" t="n">
        <f aca="false">Q391-V391</f>
        <v>0</v>
      </c>
    </row>
    <row r="392" customFormat="false" ht="15" hidden="false" customHeight="false" outlineLevel="0" collapsed="false">
      <c r="A392" s="0" t="s">
        <v>426</v>
      </c>
      <c r="B392" s="0" t="s">
        <v>3013</v>
      </c>
      <c r="C392" s="0" t="n">
        <v>50.182600799803</v>
      </c>
      <c r="D392" s="0" t="n">
        <f aca="false">SUMPRODUCT(Risk_Inputs!B392:AJ392,Risk_Coefs!$B$2:$AJ$2)</f>
        <v>-0.913461961092306</v>
      </c>
      <c r="E392" s="0" t="n">
        <f aca="false">1/(1+EXP(-MAX(-25,MIN(25,D392))))</f>
        <v>0.286291935639917</v>
      </c>
      <c r="F392" s="0" t="n">
        <f aca="false">SUMPRODUCT(Risk_Inputs!B392:AJ392,Risk_Coefs!$B$3:$AJ$3)</f>
        <v>8.80017415926349</v>
      </c>
      <c r="G392" s="0" t="n">
        <f aca="false">MAX(0,F392)</f>
        <v>8.80017415926349</v>
      </c>
      <c r="H392" s="0" t="n">
        <f aca="false">(SUMPRODUCT(--ISNUMBER($E$2:$E$800),--($E$2:$E$800&lt;E392))+(SUMPRODUCT(--ISNUMBER($E$2:$E$800),--($E$2:$E$800=E392))+1)/2)/COUNT($E$2:$E$800)</f>
        <v>0.501877346683354</v>
      </c>
      <c r="I392" s="0" t="n">
        <f aca="false">(SUMPRODUCT(--ISNUMBER($G$2:$G$800),--($G$2:$G$800&lt;G392))+(SUMPRODUCT(--ISNUMBER($G$2:$G$800),--($G$2:$G$800=G392))+1)/2)/COUNT($G$2:$G$800)</f>
        <v>0.649561952440551</v>
      </c>
      <c r="J392" s="0" t="n">
        <v>5.32766610169902</v>
      </c>
      <c r="K392" s="0" t="n">
        <v>3.99999999999999</v>
      </c>
      <c r="L392" s="0" t="n">
        <v>0.275862068965528</v>
      </c>
      <c r="M392" s="0" t="n">
        <f aca="false">IF(OR(B392="NW",COUNT(Risk_Rank_Keys!B392)=0),0.5,(SUMPRODUCT(--ISNUMBER(Risk_Rank_Keys!$B$2:$B$800),--(Risk_Rank_Keys!$B$2:$B$800&lt;Risk_Rank_Keys!B392))+(SUMPRODUCT(--ISNUMBER(Risk_Rank_Keys!$B$2:$B$800),--(Risk_Rank_Keys!$B$2:$B$800=Risk_Rank_Keys!B392))+1)/2)/COUNT(Risk_Rank_Keys!$B$2:$B$800))</f>
        <v>0.153417015341702</v>
      </c>
      <c r="N392" s="0" t="n">
        <f aca="false">IF(OR(B392="NW",COUNT(Risk_Rank_Keys!C392)=0),0.5,(SUMPRODUCT(--ISNUMBER(Risk_Rank_Keys!$C$2:$C$800),--(Risk_Rank_Keys!$C$2:$C$800&lt;Risk_Rank_Keys!C392))+(SUMPRODUCT(--ISNUMBER(Risk_Rank_Keys!$C$2:$C$800),--(Risk_Rank_Keys!$C$2:$C$800=Risk_Rank_Keys!C392))+1)/2)/COUNT(Risk_Rank_Keys!$C$2:$C$800))</f>
        <v>0.599721059972106</v>
      </c>
      <c r="O392" s="0" t="n">
        <f aca="false">IF(OR(B392="NW",COUNT(Risk_Rank_Keys!D392)=0),0.5,(SUMPRODUCT(--ISNUMBER(Risk_Rank_Keys!$D$2:$D$800),--(Risk_Rank_Keys!$D$2:$D$800&lt;Risk_Rank_Keys!D392))+(SUMPRODUCT(--ISNUMBER(Risk_Rank_Keys!$D$2:$D$800),--(Risk_Rank_Keys!$D$2:$D$800=Risk_Rank_Keys!D392))+1)/2)/COUNT(Risk_Rank_Keys!$D$2:$D$800))</f>
        <v>0.682008368200837</v>
      </c>
      <c r="P392" s="0" t="n">
        <f aca="false">AVERAGE(M392:O392)</f>
        <v>0.478382147838215</v>
      </c>
      <c r="Q392" s="0" t="n">
        <f aca="false">0.4*H392+0.4*I392+0.2*P392</f>
        <v>0.556252149217205</v>
      </c>
      <c r="R392" s="0" t="n">
        <f aca="false">PERCENTILE($Q$2:$Q$800,0.75)</f>
        <v>0.667715717403612</v>
      </c>
      <c r="S392" s="1" t="b">
        <f aca="false">OR(Q392&gt;=R392,AND(B392="CW",COUNT(J392:L392)&lt;3))</f>
        <v>0</v>
      </c>
      <c r="T392" s="0" t="n">
        <v>0.286291935639917</v>
      </c>
      <c r="U392" s="0" t="n">
        <v>8.80017415926349</v>
      </c>
      <c r="V392" s="0" t="n">
        <v>0.556252149217205</v>
      </c>
      <c r="W392" s="0" t="n">
        <f aca="false">Q392-V392</f>
        <v>0</v>
      </c>
    </row>
    <row r="393" customFormat="false" ht="15" hidden="false" customHeight="false" outlineLevel="0" collapsed="false">
      <c r="A393" s="0" t="s">
        <v>427</v>
      </c>
      <c r="B393" s="0" t="s">
        <v>3013</v>
      </c>
      <c r="C393" s="0" t="n">
        <v>12.818881368564</v>
      </c>
      <c r="D393" s="0" t="n">
        <f aca="false">SUMPRODUCT(Risk_Inputs!B393:AJ393,Risk_Coefs!$B$2:$AJ$2)</f>
        <v>-0.843366889681841</v>
      </c>
      <c r="E393" s="0" t="n">
        <f aca="false">1/(1+EXP(-MAX(-25,MIN(25,D393))))</f>
        <v>0.300826152300379</v>
      </c>
      <c r="F393" s="0" t="n">
        <f aca="false">SUMPRODUCT(Risk_Inputs!B393:AJ393,Risk_Coefs!$B$3:$AJ$3)</f>
        <v>8.93267210831208</v>
      </c>
      <c r="G393" s="0" t="n">
        <f aca="false">MAX(0,F393)</f>
        <v>8.93267210831208</v>
      </c>
      <c r="H393" s="0" t="n">
        <f aca="false">(SUMPRODUCT(--ISNUMBER($E$2:$E$800),--($E$2:$E$800&lt;E393))+(SUMPRODUCT(--ISNUMBER($E$2:$E$800),--($E$2:$E$800=E393))+1)/2)/COUNT($E$2:$E$800)</f>
        <v>0.571964956195244</v>
      </c>
      <c r="I393" s="0" t="n">
        <f aca="false">(SUMPRODUCT(--ISNUMBER($G$2:$G$800),--($G$2:$G$800&lt;G393))+(SUMPRODUCT(--ISNUMBER($G$2:$G$800),--($G$2:$G$800=G393))+1)/2)/COUNT($G$2:$G$800)</f>
        <v>0.669586983729662</v>
      </c>
      <c r="J393" s="0" t="n">
        <v>6.88370943686005</v>
      </c>
      <c r="K393" s="0" t="n">
        <v>2.46487552378605</v>
      </c>
      <c r="L393" s="0" t="n">
        <v>0.123243776189302</v>
      </c>
      <c r="M393" s="0" t="n">
        <f aca="false">IF(OR(B393="NW",COUNT(Risk_Rank_Keys!B393)=0),0.5,(SUMPRODUCT(--ISNUMBER(Risk_Rank_Keys!$B$2:$B$800),--(Risk_Rank_Keys!$B$2:$B$800&lt;Risk_Rank_Keys!B393))+(SUMPRODUCT(--ISNUMBER(Risk_Rank_Keys!$B$2:$B$800),--(Risk_Rank_Keys!$B$2:$B$800=Risk_Rank_Keys!B393))+1)/2)/COUNT(Risk_Rank_Keys!$B$2:$B$800))</f>
        <v>0.301255230125523</v>
      </c>
      <c r="N393" s="0" t="n">
        <f aca="false">IF(OR(B393="NW",COUNT(Risk_Rank_Keys!C393)=0),0.5,(SUMPRODUCT(--ISNUMBER(Risk_Rank_Keys!$C$2:$C$800),--(Risk_Rank_Keys!$C$2:$C$800&lt;Risk_Rank_Keys!C393))+(SUMPRODUCT(--ISNUMBER(Risk_Rank_Keys!$C$2:$C$800),--(Risk_Rank_Keys!$C$2:$C$800=Risk_Rank_Keys!C393))+1)/2)/COUNT(Risk_Rank_Keys!$C$2:$C$800))</f>
        <v>0.382147838214784</v>
      </c>
      <c r="O393" s="0" t="n">
        <f aca="false">IF(OR(B393="NW",COUNT(Risk_Rank_Keys!D393)=0),0.5,(SUMPRODUCT(--ISNUMBER(Risk_Rank_Keys!$D$2:$D$800),--(Risk_Rank_Keys!$D$2:$D$800&lt;Risk_Rank_Keys!D393))+(SUMPRODUCT(--ISNUMBER(Risk_Rank_Keys!$D$2:$D$800),--(Risk_Rank_Keys!$D$2:$D$800=Risk_Rank_Keys!D393))+1)/2)/COUNT(Risk_Rank_Keys!$D$2:$D$800))</f>
        <v>0.0446304044630404</v>
      </c>
      <c r="P393" s="0" t="n">
        <f aca="false">AVERAGE(M393:O393)</f>
        <v>0.242677824267782</v>
      </c>
      <c r="Q393" s="0" t="n">
        <f aca="false">0.4*H393+0.4*I393+0.2*P393</f>
        <v>0.545156340823519</v>
      </c>
      <c r="R393" s="0" t="n">
        <f aca="false">PERCENTILE($Q$2:$Q$800,0.75)</f>
        <v>0.667715717403612</v>
      </c>
      <c r="S393" s="1" t="b">
        <f aca="false">OR(Q393&gt;=R393,AND(B393="CW",COUNT(J393:L393)&lt;3))</f>
        <v>0</v>
      </c>
      <c r="T393" s="0" t="n">
        <v>0.300826152300379</v>
      </c>
      <c r="U393" s="0" t="n">
        <v>8.93267210831208</v>
      </c>
      <c r="V393" s="0" t="n">
        <v>0.545156340823519</v>
      </c>
      <c r="W393" s="0" t="n">
        <f aca="false">Q393-V393</f>
        <v>0</v>
      </c>
    </row>
    <row r="394" customFormat="false" ht="15" hidden="false" customHeight="false" outlineLevel="0" collapsed="false">
      <c r="A394" s="0" t="s">
        <v>428</v>
      </c>
      <c r="B394" s="0" t="s">
        <v>33</v>
      </c>
      <c r="C394" s="0" t="n">
        <v>4.56072866429879</v>
      </c>
      <c r="D394" s="0" t="n">
        <f aca="false">SUMPRODUCT(Risk_Inputs!B394:AJ394,Risk_Coefs!$B$2:$AJ$2)</f>
        <v>-0.593543998460211</v>
      </c>
      <c r="E394" s="0" t="n">
        <f aca="false">1/(1+EXP(-MAX(-25,MIN(25,D394))))</f>
        <v>0.355822110287664</v>
      </c>
      <c r="F394" s="0" t="n">
        <f aca="false">SUMPRODUCT(Risk_Inputs!B394:AJ394,Risk_Coefs!$B$3:$AJ$3)</f>
        <v>10.2234069007644</v>
      </c>
      <c r="G394" s="0" t="n">
        <f aca="false">MAX(0,F394)</f>
        <v>10.2234069007644</v>
      </c>
      <c r="H394" s="0" t="n">
        <f aca="false">(SUMPRODUCT(--ISNUMBER($E$2:$E$800),--($E$2:$E$800&lt;E394))+(SUMPRODUCT(--ISNUMBER($E$2:$E$800),--($E$2:$E$800=E394))+1)/2)/COUNT($E$2:$E$800)</f>
        <v>0.831038798498123</v>
      </c>
      <c r="I394" s="0" t="n">
        <f aca="false">(SUMPRODUCT(--ISNUMBER($G$2:$G$800),--($G$2:$G$800&lt;G394))+(SUMPRODUCT(--ISNUMBER($G$2:$G$800),--($G$2:$G$800=G394))+1)/2)/COUNT($G$2:$G$800)</f>
        <v>0.816020025031289</v>
      </c>
      <c r="M394" s="0" t="n">
        <f aca="false">IF(OR(B394="NW",COUNT(Risk_Rank_Keys!B394)=0),0.5,(SUMPRODUCT(--ISNUMBER(Risk_Rank_Keys!$B$2:$B$800),--(Risk_Rank_Keys!$B$2:$B$800&lt;Risk_Rank_Keys!B394))+(SUMPRODUCT(--ISNUMBER(Risk_Rank_Keys!$B$2:$B$800),--(Risk_Rank_Keys!$B$2:$B$800=Risk_Rank_Keys!B394))+1)/2)/COUNT(Risk_Rank_Keys!$B$2:$B$800))</f>
        <v>0.5</v>
      </c>
      <c r="N394" s="0" t="n">
        <f aca="false">IF(OR(B394="NW",COUNT(Risk_Rank_Keys!C394)=0),0.5,(SUMPRODUCT(--ISNUMBER(Risk_Rank_Keys!$C$2:$C$800),--(Risk_Rank_Keys!$C$2:$C$800&lt;Risk_Rank_Keys!C394))+(SUMPRODUCT(--ISNUMBER(Risk_Rank_Keys!$C$2:$C$800),--(Risk_Rank_Keys!$C$2:$C$800=Risk_Rank_Keys!C394))+1)/2)/COUNT(Risk_Rank_Keys!$C$2:$C$800))</f>
        <v>0.5</v>
      </c>
      <c r="O394" s="0" t="n">
        <f aca="false">IF(OR(B394="NW",COUNT(Risk_Rank_Keys!D394)=0),0.5,(SUMPRODUCT(--ISNUMBER(Risk_Rank_Keys!$D$2:$D$800),--(Risk_Rank_Keys!$D$2:$D$800&lt;Risk_Rank_Keys!D394))+(SUMPRODUCT(--ISNUMBER(Risk_Rank_Keys!$D$2:$D$800),--(Risk_Rank_Keys!$D$2:$D$800=Risk_Rank_Keys!D394))+1)/2)/COUNT(Risk_Rank_Keys!$D$2:$D$800))</f>
        <v>0.5</v>
      </c>
      <c r="P394" s="0" t="n">
        <f aca="false">AVERAGE(M394:O394)</f>
        <v>0.5</v>
      </c>
      <c r="Q394" s="0" t="n">
        <f aca="false">0.4*H394+0.4*I394+0.2*P394</f>
        <v>0.758823529411765</v>
      </c>
      <c r="R394" s="0" t="n">
        <f aca="false">PERCENTILE($Q$2:$Q$800,0.75)</f>
        <v>0.667715717403612</v>
      </c>
      <c r="S394" s="1" t="b">
        <f aca="false">OR(Q394&gt;=R394,AND(B394="CW",COUNT(J394:L394)&lt;3))</f>
        <v>1</v>
      </c>
      <c r="T394" s="0" t="n">
        <v>0.355822110287664</v>
      </c>
      <c r="U394" s="0" t="n">
        <v>10.2234069007644</v>
      </c>
      <c r="V394" s="0" t="n">
        <v>0.758823529411765</v>
      </c>
      <c r="W394" s="0" t="n">
        <f aca="false">Q394-V394</f>
        <v>0</v>
      </c>
    </row>
    <row r="395" customFormat="false" ht="15" hidden="false" customHeight="false" outlineLevel="0" collapsed="false">
      <c r="A395" s="0" t="s">
        <v>429</v>
      </c>
      <c r="B395" s="0" t="s">
        <v>3013</v>
      </c>
      <c r="C395" s="0" t="n">
        <v>19.2219610713568</v>
      </c>
      <c r="D395" s="0" t="n">
        <f aca="false">SUMPRODUCT(Risk_Inputs!B395:AJ395,Risk_Coefs!$B$2:$AJ$2)</f>
        <v>-1.59578767239302</v>
      </c>
      <c r="E395" s="0" t="n">
        <f aca="false">1/(1+EXP(-MAX(-25,MIN(25,D395))))</f>
        <v>0.168571169406969</v>
      </c>
      <c r="F395" s="0" t="n">
        <f aca="false">SUMPRODUCT(Risk_Inputs!B395:AJ395,Risk_Coefs!$B$3:$AJ$3)</f>
        <v>4.16696966351569</v>
      </c>
      <c r="G395" s="0" t="n">
        <f aca="false">MAX(0,F395)</f>
        <v>4.16696966351569</v>
      </c>
      <c r="H395" s="0" t="n">
        <f aca="false">(SUMPRODUCT(--ISNUMBER($E$2:$E$800),--($E$2:$E$800&lt;E395))+(SUMPRODUCT(--ISNUMBER($E$2:$E$800),--($E$2:$E$800=E395))+1)/2)/COUNT($E$2:$E$800)</f>
        <v>0.0387984981226533</v>
      </c>
      <c r="I395" s="0" t="n">
        <f aca="false">(SUMPRODUCT(--ISNUMBER($G$2:$G$800),--($G$2:$G$800&lt;G395))+(SUMPRODUCT(--ISNUMBER($G$2:$G$800),--($G$2:$G$800=G395))+1)/2)/COUNT($G$2:$G$800)</f>
        <v>0.0638297872340426</v>
      </c>
      <c r="J395" s="0" t="n">
        <v>12.9984325419573</v>
      </c>
      <c r="K395" s="0" t="n">
        <v>18.9721159103335</v>
      </c>
      <c r="L395" s="0" t="n">
        <v>0.328048113723351</v>
      </c>
      <c r="M395" s="0" t="n">
        <f aca="false">IF(OR(B395="NW",COUNT(Risk_Rank_Keys!B395)=0),0.5,(SUMPRODUCT(--ISNUMBER(Risk_Rank_Keys!$B$2:$B$800),--(Risk_Rank_Keys!$B$2:$B$800&lt;Risk_Rank_Keys!B395))+(SUMPRODUCT(--ISNUMBER(Risk_Rank_Keys!$B$2:$B$800),--(Risk_Rank_Keys!$B$2:$B$800=Risk_Rank_Keys!B395))+1)/2)/COUNT(Risk_Rank_Keys!$B$2:$B$800))</f>
        <v>0.642956764295676</v>
      </c>
      <c r="N395" s="0" t="n">
        <f aca="false">IF(OR(B395="NW",COUNT(Risk_Rank_Keys!C395)=0),0.5,(SUMPRODUCT(--ISNUMBER(Risk_Rank_Keys!$C$2:$C$800),--(Risk_Rank_Keys!$C$2:$C$800&lt;Risk_Rank_Keys!C395))+(SUMPRODUCT(--ISNUMBER(Risk_Rank_Keys!$C$2:$C$800),--(Risk_Rank_Keys!$C$2:$C$800=Risk_Rank_Keys!C395))+1)/2)/COUNT(Risk_Rank_Keys!$C$2:$C$800))</f>
        <v>0.95536959553696</v>
      </c>
      <c r="O395" s="0" t="n">
        <f aca="false">IF(OR(B395="NW",COUNT(Risk_Rank_Keys!D395)=0),0.5,(SUMPRODUCT(--ISNUMBER(Risk_Rank_Keys!$D$2:$D$800),--(Risk_Rank_Keys!$D$2:$D$800&lt;Risk_Rank_Keys!D395))+(SUMPRODUCT(--ISNUMBER(Risk_Rank_Keys!$D$2:$D$800),--(Risk_Rank_Keys!$D$2:$D$800=Risk_Rank_Keys!D395))+1)/2)/COUNT(Risk_Rank_Keys!$D$2:$D$800))</f>
        <v>0.793584379358438</v>
      </c>
      <c r="P395" s="0" t="n">
        <f aca="false">AVERAGE(M395:O395)</f>
        <v>0.797303579730358</v>
      </c>
      <c r="Q395" s="0" t="n">
        <f aca="false">0.4*H395+0.4*I395+0.2*P395</f>
        <v>0.20051203008875</v>
      </c>
      <c r="R395" s="0" t="n">
        <f aca="false">PERCENTILE($Q$2:$Q$800,0.75)</f>
        <v>0.667715717403612</v>
      </c>
      <c r="S395" s="1" t="b">
        <f aca="false">OR(Q395&gt;=R395,AND(B395="CW",COUNT(J395:L395)&lt;3))</f>
        <v>0</v>
      </c>
      <c r="T395" s="0" t="n">
        <v>0.168571169406969</v>
      </c>
      <c r="U395" s="0" t="n">
        <v>4.16696966351569</v>
      </c>
      <c r="V395" s="0" t="n">
        <v>0.20051203008875</v>
      </c>
      <c r="W395" s="0" t="n">
        <f aca="false">Q395-V395</f>
        <v>0</v>
      </c>
    </row>
    <row r="396" customFormat="false" ht="15" hidden="false" customHeight="false" outlineLevel="0" collapsed="false">
      <c r="A396" s="0" t="s">
        <v>430</v>
      </c>
      <c r="B396" s="0" t="s">
        <v>3013</v>
      </c>
      <c r="C396" s="0" t="n">
        <v>17.4662001136856</v>
      </c>
      <c r="D396" s="0" t="n">
        <f aca="false">SUMPRODUCT(Risk_Inputs!B396:AJ396,Risk_Coefs!$B$2:$AJ$2)</f>
        <v>-1.05107101359381</v>
      </c>
      <c r="E396" s="0" t="n">
        <f aca="false">1/(1+EXP(-MAX(-25,MIN(25,D396))))</f>
        <v>0.259019489851946</v>
      </c>
      <c r="F396" s="0" t="n">
        <f aca="false">SUMPRODUCT(Risk_Inputs!B396:AJ396,Risk_Coefs!$B$3:$AJ$3)</f>
        <v>7.04923288145034</v>
      </c>
      <c r="G396" s="0" t="n">
        <f aca="false">MAX(0,F396)</f>
        <v>7.04923288145034</v>
      </c>
      <c r="H396" s="0" t="n">
        <f aca="false">(SUMPRODUCT(--ISNUMBER($E$2:$E$800),--($E$2:$E$800&lt;E396))+(SUMPRODUCT(--ISNUMBER($E$2:$E$800),--($E$2:$E$800=E396))+1)/2)/COUNT($E$2:$E$800)</f>
        <v>0.324155193992491</v>
      </c>
      <c r="I396" s="0" t="n">
        <f aca="false">(SUMPRODUCT(--ISNUMBER($G$2:$G$800),--($G$2:$G$800&lt;G396))+(SUMPRODUCT(--ISNUMBER($G$2:$G$800),--($G$2:$G$800=G396))+1)/2)/COUNT($G$2:$G$800)</f>
        <v>0.420525657071339</v>
      </c>
      <c r="J396" s="0" t="n">
        <v>11.5850266398265</v>
      </c>
      <c r="K396" s="0" t="n">
        <v>1.62376237623762</v>
      </c>
      <c r="L396" s="0" t="n">
        <v>0.277227722772273</v>
      </c>
      <c r="M396" s="0" t="n">
        <f aca="false">IF(OR(B396="NW",COUNT(Risk_Rank_Keys!B396)=0),0.5,(SUMPRODUCT(--ISNUMBER(Risk_Rank_Keys!$B$2:$B$800),--(Risk_Rank_Keys!$B$2:$B$800&lt;Risk_Rank_Keys!B396))+(SUMPRODUCT(--ISNUMBER(Risk_Rank_Keys!$B$2:$B$800),--(Risk_Rank_Keys!$B$2:$B$800=Risk_Rank_Keys!B396))+1)/2)/COUNT(Risk_Rank_Keys!$B$2:$B$800))</f>
        <v>0.577405857740586</v>
      </c>
      <c r="N396" s="0" t="n">
        <f aca="false">IF(OR(B396="NW",COUNT(Risk_Rank_Keys!C396)=0),0.5,(SUMPRODUCT(--ISNUMBER(Risk_Rank_Keys!$C$2:$C$800),--(Risk_Rank_Keys!$C$2:$C$800&lt;Risk_Rank_Keys!C396))+(SUMPRODUCT(--ISNUMBER(Risk_Rank_Keys!$C$2:$C$800),--(Risk_Rank_Keys!$C$2:$C$800=Risk_Rank_Keys!C396))+1)/2)/COUNT(Risk_Rank_Keys!$C$2:$C$800))</f>
        <v>0.168758716875872</v>
      </c>
      <c r="O396" s="0" t="n">
        <f aca="false">IF(OR(B396="NW",COUNT(Risk_Rank_Keys!D396)=0),0.5,(SUMPRODUCT(--ISNUMBER(Risk_Rank_Keys!$D$2:$D$800),--(Risk_Rank_Keys!$D$2:$D$800&lt;Risk_Rank_Keys!D396))+(SUMPRODUCT(--ISNUMBER(Risk_Rank_Keys!$D$2:$D$800),--(Risk_Rank_Keys!$D$2:$D$800=Risk_Rank_Keys!D396))+1)/2)/COUNT(Risk_Rank_Keys!$D$2:$D$800))</f>
        <v>0.687587168758717</v>
      </c>
      <c r="P396" s="0" t="n">
        <f aca="false">AVERAGE(M396:O396)</f>
        <v>0.477917247791725</v>
      </c>
      <c r="Q396" s="0" t="n">
        <f aca="false">0.4*H396+0.4*I396+0.2*P396</f>
        <v>0.393455789983877</v>
      </c>
      <c r="R396" s="0" t="n">
        <f aca="false">PERCENTILE($Q$2:$Q$800,0.75)</f>
        <v>0.667715717403612</v>
      </c>
      <c r="S396" s="1" t="b">
        <f aca="false">OR(Q396&gt;=R396,AND(B396="CW",COUNT(J396:L396)&lt;3))</f>
        <v>0</v>
      </c>
      <c r="T396" s="0" t="n">
        <v>0.259019489851946</v>
      </c>
      <c r="U396" s="0" t="n">
        <v>7.04923288145034</v>
      </c>
      <c r="V396" s="0" t="n">
        <v>0.393455789983877</v>
      </c>
      <c r="W396" s="0" t="n">
        <f aca="false">Q396-V396</f>
        <v>0</v>
      </c>
    </row>
    <row r="397" customFormat="false" ht="15" hidden="false" customHeight="false" outlineLevel="0" collapsed="false">
      <c r="A397" s="0" t="s">
        <v>431</v>
      </c>
      <c r="B397" s="0" t="s">
        <v>3013</v>
      </c>
      <c r="C397" s="0" t="n">
        <v>31.9412824021004</v>
      </c>
      <c r="D397" s="0" t="n">
        <f aca="false">SUMPRODUCT(Risk_Inputs!B397:AJ397,Risk_Coefs!$B$2:$AJ$2)</f>
        <v>-1.21052772604245</v>
      </c>
      <c r="E397" s="0" t="n">
        <f aca="false">1/(1+EXP(-MAX(-25,MIN(25,D397))))</f>
        <v>0.229607689230207</v>
      </c>
      <c r="F397" s="0" t="n">
        <f aca="false">SUMPRODUCT(Risk_Inputs!B397:AJ397,Risk_Coefs!$B$3:$AJ$3)</f>
        <v>3.78691517361396</v>
      </c>
      <c r="G397" s="0" t="n">
        <f aca="false">MAX(0,F397)</f>
        <v>3.78691517361396</v>
      </c>
      <c r="H397" s="0" t="n">
        <f aca="false">(SUMPRODUCT(--ISNUMBER($E$2:$E$800),--($E$2:$E$800&lt;E397))+(SUMPRODUCT(--ISNUMBER($E$2:$E$800),--($E$2:$E$800=E397))+1)/2)/COUNT($E$2:$E$800)</f>
        <v>0.171464330413016</v>
      </c>
      <c r="I397" s="0" t="n">
        <f aca="false">(SUMPRODUCT(--ISNUMBER($G$2:$G$800),--($G$2:$G$800&lt;G397))+(SUMPRODUCT(--ISNUMBER($G$2:$G$800),--($G$2:$G$800=G397))+1)/2)/COUNT($G$2:$G$800)</f>
        <v>0.0425531914893617</v>
      </c>
      <c r="J397" s="0" t="n">
        <v>18.700393187753</v>
      </c>
      <c r="K397" s="0" t="n">
        <v>6.02377093462993</v>
      </c>
      <c r="L397" s="0" t="n">
        <v>0.243111831442465</v>
      </c>
      <c r="M397" s="0" t="n">
        <f aca="false">IF(OR(B397="NW",COUNT(Risk_Rank_Keys!B397)=0),0.5,(SUMPRODUCT(--ISNUMBER(Risk_Rank_Keys!$B$2:$B$800),--(Risk_Rank_Keys!$B$2:$B$800&lt;Risk_Rank_Keys!B397))+(SUMPRODUCT(--ISNUMBER(Risk_Rank_Keys!$B$2:$B$800),--(Risk_Rank_Keys!$B$2:$B$800=Risk_Rank_Keys!B397))+1)/2)/COUNT(Risk_Rank_Keys!$B$2:$B$800))</f>
        <v>0.772663877266388</v>
      </c>
      <c r="N397" s="0" t="n">
        <f aca="false">IF(OR(B397="NW",COUNT(Risk_Rank_Keys!C397)=0),0.5,(SUMPRODUCT(--ISNUMBER(Risk_Rank_Keys!$C$2:$C$800),--(Risk_Rank_Keys!$C$2:$C$800&lt;Risk_Rank_Keys!C397))+(SUMPRODUCT(--ISNUMBER(Risk_Rank_Keys!$C$2:$C$800),--(Risk_Rank_Keys!$C$2:$C$800=Risk_Rank_Keys!C397))+1)/2)/COUNT(Risk_Rank_Keys!$C$2:$C$800))</f>
        <v>0.746164574616458</v>
      </c>
      <c r="O397" s="0" t="n">
        <f aca="false">IF(OR(B397="NW",COUNT(Risk_Rank_Keys!D397)=0),0.5,(SUMPRODUCT(--ISNUMBER(Risk_Rank_Keys!$D$2:$D$800),--(Risk_Rank_Keys!$D$2:$D$800&lt;Risk_Rank_Keys!D397))+(SUMPRODUCT(--ISNUMBER(Risk_Rank_Keys!$D$2:$D$800),--(Risk_Rank_Keys!$D$2:$D$800=Risk_Rank_Keys!D397))+1)/2)/COUNT(Risk_Rank_Keys!$D$2:$D$800))</f>
        <v>0.560669456066946</v>
      </c>
      <c r="P397" s="0" t="n">
        <f aca="false">AVERAGE(M397:O397)</f>
        <v>0.693165969316597</v>
      </c>
      <c r="Q397" s="0" t="n">
        <f aca="false">0.4*H397+0.4*I397+0.2*P397</f>
        <v>0.224240202624271</v>
      </c>
      <c r="R397" s="0" t="n">
        <f aca="false">PERCENTILE($Q$2:$Q$800,0.75)</f>
        <v>0.667715717403612</v>
      </c>
      <c r="S397" s="1" t="b">
        <f aca="false">OR(Q397&gt;=R397,AND(B397="CW",COUNT(J397:L397)&lt;3))</f>
        <v>0</v>
      </c>
      <c r="T397" s="0" t="n">
        <v>0.229607689230207</v>
      </c>
      <c r="U397" s="0" t="n">
        <v>3.78691517361397</v>
      </c>
      <c r="V397" s="0" t="n">
        <v>0.224240202624271</v>
      </c>
      <c r="W397" s="0" t="n">
        <f aca="false">Q397-V397</f>
        <v>0</v>
      </c>
    </row>
    <row r="398" customFormat="false" ht="15" hidden="false" customHeight="false" outlineLevel="0" collapsed="false">
      <c r="A398" s="0" t="s">
        <v>432</v>
      </c>
      <c r="B398" s="0" t="s">
        <v>3013</v>
      </c>
      <c r="C398" s="0" t="n">
        <v>4.30272506456188</v>
      </c>
      <c r="D398" s="0" t="n">
        <f aca="false">SUMPRODUCT(Risk_Inputs!B398:AJ398,Risk_Coefs!$B$2:$AJ$2)</f>
        <v>-0.259835292667479</v>
      </c>
      <c r="E398" s="0" t="n">
        <f aca="false">1/(1+EXP(-MAX(-25,MIN(25,D398))))</f>
        <v>0.435404197338495</v>
      </c>
      <c r="F398" s="0" t="n">
        <f aca="false">SUMPRODUCT(Risk_Inputs!B398:AJ398,Risk_Coefs!$B$3:$AJ$3)</f>
        <v>13.8532439080169</v>
      </c>
      <c r="G398" s="0" t="n">
        <f aca="false">MAX(0,F398)</f>
        <v>13.8532439080169</v>
      </c>
      <c r="H398" s="0" t="n">
        <f aca="false">(SUMPRODUCT(--ISNUMBER($E$2:$E$800),--($E$2:$E$800&lt;E398))+(SUMPRODUCT(--ISNUMBER($E$2:$E$800),--($E$2:$E$800=E398))+1)/2)/COUNT($E$2:$E$800)</f>
        <v>0.974968710888611</v>
      </c>
      <c r="I398" s="0" t="n">
        <f aca="false">(SUMPRODUCT(--ISNUMBER($G$2:$G$800),--($G$2:$G$800&lt;G398))+(SUMPRODUCT(--ISNUMBER($G$2:$G$800),--($G$2:$G$800=G398))+1)/2)/COUNT($G$2:$G$800)</f>
        <v>0.968710888610764</v>
      </c>
      <c r="J398" s="0" t="n">
        <v>3.09372056858632</v>
      </c>
      <c r="K398" s="0" t="n">
        <v>2.65567765567766</v>
      </c>
      <c r="L398" s="0" t="n">
        <v>0.137362637362643</v>
      </c>
      <c r="M398" s="0" t="n">
        <f aca="false">IF(OR(B398="NW",COUNT(Risk_Rank_Keys!B398)=0),0.5,(SUMPRODUCT(--ISNUMBER(Risk_Rank_Keys!$B$2:$B$800),--(Risk_Rank_Keys!$B$2:$B$800&lt;Risk_Rank_Keys!B398))+(SUMPRODUCT(--ISNUMBER(Risk_Rank_Keys!$B$2:$B$800),--(Risk_Rank_Keys!$B$2:$B$800=Risk_Rank_Keys!B398))+1)/2)/COUNT(Risk_Rank_Keys!$B$2:$B$800))</f>
        <v>0.0306834030683403</v>
      </c>
      <c r="N398" s="0" t="n">
        <f aca="false">IF(OR(B398="NW",COUNT(Risk_Rank_Keys!C398)=0),0.5,(SUMPRODUCT(--ISNUMBER(Risk_Rank_Keys!$C$2:$C$800),--(Risk_Rank_Keys!$C$2:$C$800&lt;Risk_Rank_Keys!C398))+(SUMPRODUCT(--ISNUMBER(Risk_Rank_Keys!$C$2:$C$800),--(Risk_Rank_Keys!$C$2:$C$800=Risk_Rank_Keys!C398))+1)/2)/COUNT(Risk_Rank_Keys!$C$2:$C$800))</f>
        <v>0.418410041841004</v>
      </c>
      <c r="O398" s="0" t="n">
        <f aca="false">IF(OR(B398="NW",COUNT(Risk_Rank_Keys!D398)=0),0.5,(SUMPRODUCT(--ISNUMBER(Risk_Rank_Keys!$D$2:$D$800),--(Risk_Rank_Keys!$D$2:$D$800&lt;Risk_Rank_Keys!D398))+(SUMPRODUCT(--ISNUMBER(Risk_Rank_Keys!$D$2:$D$800),--(Risk_Rank_Keys!$D$2:$D$800=Risk_Rank_Keys!D398))+1)/2)/COUNT(Risk_Rank_Keys!$D$2:$D$800))</f>
        <v>0.0822873082287308</v>
      </c>
      <c r="P398" s="0" t="n">
        <f aca="false">AVERAGE(M398:O398)</f>
        <v>0.177126917712692</v>
      </c>
      <c r="Q398" s="0" t="n">
        <f aca="false">0.4*H398+0.4*I398+0.2*P398</f>
        <v>0.812897223342288</v>
      </c>
      <c r="R398" s="0" t="n">
        <f aca="false">PERCENTILE($Q$2:$Q$800,0.75)</f>
        <v>0.667715717403612</v>
      </c>
      <c r="S398" s="1" t="b">
        <f aca="false">OR(Q398&gt;=R398,AND(B398="CW",COUNT(J398:L398)&lt;3))</f>
        <v>1</v>
      </c>
      <c r="T398" s="0" t="n">
        <v>0.435404197338495</v>
      </c>
      <c r="U398" s="0" t="n">
        <v>13.8532439080169</v>
      </c>
      <c r="V398" s="0" t="n">
        <v>0.812897223342288</v>
      </c>
      <c r="W398" s="0" t="n">
        <f aca="false">Q398-V398</f>
        <v>0</v>
      </c>
    </row>
    <row r="399" customFormat="false" ht="15" hidden="false" customHeight="false" outlineLevel="0" collapsed="false">
      <c r="A399" s="0" t="s">
        <v>433</v>
      </c>
      <c r="B399" s="0" t="s">
        <v>3013</v>
      </c>
      <c r="C399" s="0" t="n">
        <v>4.32879880888394</v>
      </c>
      <c r="D399" s="0" t="n">
        <f aca="false">SUMPRODUCT(Risk_Inputs!B399:AJ399,Risk_Coefs!$B$2:$AJ$2)</f>
        <v>-0.75795291835987</v>
      </c>
      <c r="E399" s="0" t="n">
        <f aca="false">1/(1+EXP(-MAX(-25,MIN(25,D399))))</f>
        <v>0.319090874694918</v>
      </c>
      <c r="F399" s="0" t="n">
        <f aca="false">SUMPRODUCT(Risk_Inputs!B399:AJ399,Risk_Coefs!$B$3:$AJ$3)</f>
        <v>4.2160610658292</v>
      </c>
      <c r="G399" s="0" t="n">
        <f aca="false">MAX(0,F399)</f>
        <v>4.2160610658292</v>
      </c>
      <c r="H399" s="0" t="n">
        <f aca="false">(SUMPRODUCT(--ISNUMBER($E$2:$E$800),--($E$2:$E$800&lt;E399))+(SUMPRODUCT(--ISNUMBER($E$2:$E$800),--($E$2:$E$800=E399))+1)/2)/COUNT($E$2:$E$800)</f>
        <v>0.662077596996245</v>
      </c>
      <c r="I399" s="0" t="n">
        <f aca="false">(SUMPRODUCT(--ISNUMBER($G$2:$G$800),--($G$2:$G$800&lt;G399))+(SUMPRODUCT(--ISNUMBER($G$2:$G$800),--($G$2:$G$800=G399))+1)/2)/COUNT($G$2:$G$800)</f>
        <v>0.0675844806007509</v>
      </c>
      <c r="J399" s="0" t="n">
        <v>6.37767269456711</v>
      </c>
      <c r="K399" s="0" t="n">
        <v>2.17583063804763</v>
      </c>
      <c r="L399" s="0" t="n">
        <v>0.205821817112611</v>
      </c>
      <c r="M399" s="0" t="n">
        <f aca="false">IF(OR(B399="NW",COUNT(Risk_Rank_Keys!B399)=0),0.5,(SUMPRODUCT(--ISNUMBER(Risk_Rank_Keys!$B$2:$B$800),--(Risk_Rank_Keys!$B$2:$B$800&lt;Risk_Rank_Keys!B399))+(SUMPRODUCT(--ISNUMBER(Risk_Rank_Keys!$B$2:$B$800),--(Risk_Rank_Keys!$B$2:$B$800=Risk_Rank_Keys!B399))+1)/2)/COUNT(Risk_Rank_Keys!$B$2:$B$800))</f>
        <v>0.262203626220363</v>
      </c>
      <c r="N399" s="0" t="n">
        <f aca="false">IF(OR(B399="NW",COUNT(Risk_Rank_Keys!C399)=0),0.5,(SUMPRODUCT(--ISNUMBER(Risk_Rank_Keys!$C$2:$C$800),--(Risk_Rank_Keys!$C$2:$C$800&lt;Risk_Rank_Keys!C399))+(SUMPRODUCT(--ISNUMBER(Risk_Rank_Keys!$C$2:$C$800),--(Risk_Rank_Keys!$C$2:$C$800=Risk_Rank_Keys!C399))+1)/2)/COUNT(Risk_Rank_Keys!$C$2:$C$800))</f>
        <v>0.308228730822873</v>
      </c>
      <c r="O399" s="0" t="n">
        <f aca="false">IF(OR(B399="NW",COUNT(Risk_Rank_Keys!D399)=0),0.5,(SUMPRODUCT(--ISNUMBER(Risk_Rank_Keys!$D$2:$D$800),--(Risk_Rank_Keys!$D$2:$D$800&lt;Risk_Rank_Keys!D399))+(SUMPRODUCT(--ISNUMBER(Risk_Rank_Keys!$D$2:$D$800),--(Risk_Rank_Keys!$D$2:$D$800=Risk_Rank_Keys!D399))+1)/2)/COUNT(Risk_Rank_Keys!$D$2:$D$800))</f>
        <v>0.344490934449093</v>
      </c>
      <c r="P399" s="0" t="n">
        <f aca="false">AVERAGE(M399:O399)</f>
        <v>0.304974430497443</v>
      </c>
      <c r="Q399" s="0" t="n">
        <f aca="false">0.4*H399+0.4*I399+0.2*P399</f>
        <v>0.352859717138287</v>
      </c>
      <c r="R399" s="0" t="n">
        <f aca="false">PERCENTILE($Q$2:$Q$800,0.75)</f>
        <v>0.667715717403612</v>
      </c>
      <c r="S399" s="1" t="b">
        <f aca="false">OR(Q399&gt;=R399,AND(B399="CW",COUNT(J399:L399)&lt;3))</f>
        <v>0</v>
      </c>
      <c r="T399" s="0" t="n">
        <v>0.319090874694918</v>
      </c>
      <c r="U399" s="0" t="n">
        <v>4.2160610658292</v>
      </c>
      <c r="V399" s="0" t="n">
        <v>0.352859717138287</v>
      </c>
      <c r="W399" s="0" t="n">
        <f aca="false">Q399-V399</f>
        <v>0</v>
      </c>
    </row>
    <row r="400" customFormat="false" ht="15" hidden="false" customHeight="false" outlineLevel="0" collapsed="false">
      <c r="A400" s="0" t="s">
        <v>434</v>
      </c>
      <c r="B400" s="0" t="s">
        <v>3013</v>
      </c>
      <c r="C400" s="0" t="n">
        <v>-2.32565140561631</v>
      </c>
      <c r="D400" s="0" t="n">
        <f aca="false">SUMPRODUCT(Risk_Inputs!B400:AJ400,Risk_Coefs!$B$2:$AJ$2)</f>
        <v>-1.3467577462596</v>
      </c>
      <c r="E400" s="0" t="n">
        <f aca="false">1/(1+EXP(-MAX(-25,MIN(25,D400))))</f>
        <v>0.206400946121839</v>
      </c>
      <c r="F400" s="0" t="n">
        <f aca="false">SUMPRODUCT(Risk_Inputs!B400:AJ400,Risk_Coefs!$B$3:$AJ$3)</f>
        <v>4.27358536479961</v>
      </c>
      <c r="G400" s="0" t="n">
        <f aca="false">MAX(0,F400)</f>
        <v>4.27358536479961</v>
      </c>
      <c r="H400" s="0" t="n">
        <f aca="false">(SUMPRODUCT(--ISNUMBER($E$2:$E$800),--($E$2:$E$800&lt;E400))+(SUMPRODUCT(--ISNUMBER($E$2:$E$800),--($E$2:$E$800=E400))+1)/2)/COUNT($E$2:$E$800)</f>
        <v>0.11514392991239</v>
      </c>
      <c r="I400" s="0" t="n">
        <f aca="false">(SUMPRODUCT(--ISNUMBER($G$2:$G$800),--($G$2:$G$800&lt;G400))+(SUMPRODUCT(--ISNUMBER($G$2:$G$800),--($G$2:$G$800=G400))+1)/2)/COUNT($G$2:$G$800)</f>
        <v>0.0725907384230288</v>
      </c>
      <c r="J400" s="0" t="n">
        <v>8.52616773198547</v>
      </c>
      <c r="K400" s="0" t="n">
        <v>2.94744318181819</v>
      </c>
      <c r="L400" s="0" t="n">
        <v>0.31960227272727</v>
      </c>
      <c r="M400" s="0" t="n">
        <f aca="false">IF(OR(B400="NW",COUNT(Risk_Rank_Keys!B400)=0),0.5,(SUMPRODUCT(--ISNUMBER(Risk_Rank_Keys!$B$2:$B$800),--(Risk_Rank_Keys!$B$2:$B$800&lt;Risk_Rank_Keys!B400))+(SUMPRODUCT(--ISNUMBER(Risk_Rank_Keys!$B$2:$B$800),--(Risk_Rank_Keys!$B$2:$B$800=Risk_Rank_Keys!B400))+1)/2)/COUNT(Risk_Rank_Keys!$B$2:$B$800))</f>
        <v>0.419804741980474</v>
      </c>
      <c r="N400" s="0" t="n">
        <f aca="false">IF(OR(B400="NW",COUNT(Risk_Rank_Keys!C400)=0),0.5,(SUMPRODUCT(--ISNUMBER(Risk_Rank_Keys!$C$2:$C$800),--(Risk_Rank_Keys!$C$2:$C$800&lt;Risk_Rank_Keys!C400))+(SUMPRODUCT(--ISNUMBER(Risk_Rank_Keys!$C$2:$C$800),--(Risk_Rank_Keys!$C$2:$C$800=Risk_Rank_Keys!C400))+1)/2)/COUNT(Risk_Rank_Keys!$C$2:$C$800))</f>
        <v>0.464435146443515</v>
      </c>
      <c r="O400" s="0" t="n">
        <f aca="false">IF(OR(B400="NW",COUNT(Risk_Rank_Keys!D400)=0),0.5,(SUMPRODUCT(--ISNUMBER(Risk_Rank_Keys!$D$2:$D$800),--(Risk_Rank_Keys!$D$2:$D$800&lt;Risk_Rank_Keys!D400))+(SUMPRODUCT(--ISNUMBER(Risk_Rank_Keys!$D$2:$D$800),--(Risk_Rank_Keys!$D$2:$D$800=Risk_Rank_Keys!D400))+1)/2)/COUNT(Risk_Rank_Keys!$D$2:$D$800))</f>
        <v>0.774058577405858</v>
      </c>
      <c r="P400" s="0" t="n">
        <f aca="false">AVERAGE(M400:O400)</f>
        <v>0.552766155276616</v>
      </c>
      <c r="Q400" s="0" t="n">
        <f aca="false">0.4*H400+0.4*I400+0.2*P400</f>
        <v>0.185647098389491</v>
      </c>
      <c r="R400" s="0" t="n">
        <f aca="false">PERCENTILE($Q$2:$Q$800,0.75)</f>
        <v>0.667715717403612</v>
      </c>
      <c r="S400" s="1" t="b">
        <f aca="false">OR(Q400&gt;=R400,AND(B400="CW",COUNT(J400:L400)&lt;3))</f>
        <v>0</v>
      </c>
      <c r="T400" s="0" t="n">
        <v>0.206400946121839</v>
      </c>
      <c r="U400" s="0" t="n">
        <v>4.27358536479962</v>
      </c>
      <c r="V400" s="0" t="n">
        <v>0.185647098389491</v>
      </c>
      <c r="W400" s="0" t="n">
        <f aca="false">Q400-V400</f>
        <v>0</v>
      </c>
    </row>
    <row r="401" customFormat="false" ht="15" hidden="false" customHeight="false" outlineLevel="0" collapsed="false">
      <c r="A401" s="0" t="s">
        <v>435</v>
      </c>
      <c r="B401" s="0" t="s">
        <v>3013</v>
      </c>
      <c r="C401" s="0" t="n">
        <v>12.6173069380692</v>
      </c>
      <c r="D401" s="0" t="n">
        <f aca="false">SUMPRODUCT(Risk_Inputs!B401:AJ401,Risk_Coefs!$B$2:$AJ$2)</f>
        <v>-1.08157952357267</v>
      </c>
      <c r="E401" s="0" t="n">
        <f aca="false">1/(1+EXP(-MAX(-25,MIN(25,D401))))</f>
        <v>0.25320722288563</v>
      </c>
      <c r="F401" s="0" t="n">
        <f aca="false">SUMPRODUCT(Risk_Inputs!B401:AJ401,Risk_Coefs!$B$3:$AJ$3)</f>
        <v>4.91441746789045</v>
      </c>
      <c r="G401" s="0" t="n">
        <f aca="false">MAX(0,F401)</f>
        <v>4.91441746789045</v>
      </c>
      <c r="H401" s="0" t="n">
        <f aca="false">(SUMPRODUCT(--ISNUMBER($E$2:$E$800),--($E$2:$E$800&lt;E401))+(SUMPRODUCT(--ISNUMBER($E$2:$E$800),--($E$2:$E$800=E401))+1)/2)/COUNT($E$2:$E$800)</f>
        <v>0.287859824780976</v>
      </c>
      <c r="I401" s="0" t="n">
        <f aca="false">(SUMPRODUCT(--ISNUMBER($G$2:$G$800),--($G$2:$G$800&lt;G401))+(SUMPRODUCT(--ISNUMBER($G$2:$G$800),--($G$2:$G$800=G401))+1)/2)/COUNT($G$2:$G$800)</f>
        <v>0.128911138923655</v>
      </c>
      <c r="J401" s="0" t="n">
        <v>4.62592586545631</v>
      </c>
      <c r="K401" s="0" t="n">
        <v>2.02135774218155</v>
      </c>
      <c r="L401" s="0" t="n">
        <v>0.343249427917622</v>
      </c>
      <c r="M401" s="0" t="n">
        <f aca="false">IF(OR(B401="NW",COUNT(Risk_Rank_Keys!B401)=0),0.5,(SUMPRODUCT(--ISNUMBER(Risk_Rank_Keys!$B$2:$B$800),--(Risk_Rank_Keys!$B$2:$B$800&lt;Risk_Rank_Keys!B401))+(SUMPRODUCT(--ISNUMBER(Risk_Rank_Keys!$B$2:$B$800),--(Risk_Rank_Keys!$B$2:$B$800=Risk_Rank_Keys!B401))+1)/2)/COUNT(Risk_Rank_Keys!$B$2:$B$800))</f>
        <v>0.110181311018131</v>
      </c>
      <c r="N401" s="0" t="n">
        <f aca="false">IF(OR(B401="NW",COUNT(Risk_Rank_Keys!C401)=0),0.5,(SUMPRODUCT(--ISNUMBER(Risk_Rank_Keys!$C$2:$C$800),--(Risk_Rank_Keys!$C$2:$C$800&lt;Risk_Rank_Keys!C401))+(SUMPRODUCT(--ISNUMBER(Risk_Rank_Keys!$C$2:$C$800),--(Risk_Rank_Keys!$C$2:$C$800=Risk_Rank_Keys!C401))+1)/2)/COUNT(Risk_Rank_Keys!$C$2:$C$800))</f>
        <v>0.276150627615063</v>
      </c>
      <c r="O401" s="0" t="n">
        <f aca="false">IF(OR(B401="NW",COUNT(Risk_Rank_Keys!D401)=0),0.5,(SUMPRODUCT(--ISNUMBER(Risk_Rank_Keys!$D$2:$D$800),--(Risk_Rank_Keys!$D$2:$D$800&lt;Risk_Rank_Keys!D401))+(SUMPRODUCT(--ISNUMBER(Risk_Rank_Keys!$D$2:$D$800),--(Risk_Rank_Keys!$D$2:$D$800=Risk_Rank_Keys!D401))+1)/2)/COUNT(Risk_Rank_Keys!$D$2:$D$800))</f>
        <v>0.821478382147838</v>
      </c>
      <c r="P401" s="0" t="n">
        <f aca="false">AVERAGE(M401:O401)</f>
        <v>0.402603440260344</v>
      </c>
      <c r="Q401" s="0" t="n">
        <f aca="false">0.4*H401+0.4*I401+0.2*P401</f>
        <v>0.247229073533921</v>
      </c>
      <c r="R401" s="0" t="n">
        <f aca="false">PERCENTILE($Q$2:$Q$800,0.75)</f>
        <v>0.667715717403612</v>
      </c>
      <c r="S401" s="1" t="b">
        <f aca="false">OR(Q401&gt;=R401,AND(B401="CW",COUNT(J401:L401)&lt;3))</f>
        <v>0</v>
      </c>
      <c r="T401" s="0" t="n">
        <v>0.25320722288563</v>
      </c>
      <c r="U401" s="0" t="n">
        <v>4.91441746789044</v>
      </c>
      <c r="V401" s="0" t="n">
        <v>0.247229073533921</v>
      </c>
      <c r="W401" s="0" t="n">
        <f aca="false">Q401-V401</f>
        <v>0</v>
      </c>
    </row>
    <row r="402" customFormat="false" ht="15" hidden="false" customHeight="false" outlineLevel="0" collapsed="false">
      <c r="A402" s="0" t="s">
        <v>436</v>
      </c>
      <c r="B402" s="0" t="s">
        <v>3013</v>
      </c>
      <c r="C402" s="0" t="n">
        <v>18.5982633094172</v>
      </c>
      <c r="D402" s="0" t="n">
        <f aca="false">SUMPRODUCT(Risk_Inputs!B402:AJ402,Risk_Coefs!$B$2:$AJ$2)</f>
        <v>-0.741981452020259</v>
      </c>
      <c r="E402" s="0" t="n">
        <f aca="false">1/(1+EXP(-MAX(-25,MIN(25,D402))))</f>
        <v>0.322571006806868</v>
      </c>
      <c r="F402" s="0" t="n">
        <f aca="false">SUMPRODUCT(Risk_Inputs!B402:AJ402,Risk_Coefs!$B$3:$AJ$3)</f>
        <v>8.74463578687877</v>
      </c>
      <c r="G402" s="0" t="n">
        <f aca="false">MAX(0,F402)</f>
        <v>8.74463578687877</v>
      </c>
      <c r="H402" s="0" t="n">
        <f aca="false">(SUMPRODUCT(--ISNUMBER($E$2:$E$800),--($E$2:$E$800&lt;E402))+(SUMPRODUCT(--ISNUMBER($E$2:$E$800),--($E$2:$E$800=E402))+1)/2)/COUNT($E$2:$E$800)</f>
        <v>0.684605757196496</v>
      </c>
      <c r="I402" s="0" t="n">
        <f aca="false">(SUMPRODUCT(--ISNUMBER($G$2:$G$800),--($G$2:$G$800&lt;G402))+(SUMPRODUCT(--ISNUMBER($G$2:$G$800),--($G$2:$G$800=G402))+1)/2)/COUNT($G$2:$G$800)</f>
        <v>0.643304130162703</v>
      </c>
      <c r="J402" s="0" t="n">
        <v>5.74570682933679</v>
      </c>
      <c r="K402" s="0" t="n">
        <v>1.85241421196478</v>
      </c>
      <c r="L402" s="0" t="n">
        <v>0.24293956878226</v>
      </c>
      <c r="M402" s="0" t="n">
        <f aca="false">IF(OR(B402="NW",COUNT(Risk_Rank_Keys!B402)=0),0.5,(SUMPRODUCT(--ISNUMBER(Risk_Rank_Keys!$B$2:$B$800),--(Risk_Rank_Keys!$B$2:$B$800&lt;Risk_Rank_Keys!B402))+(SUMPRODUCT(--ISNUMBER(Risk_Rank_Keys!$B$2:$B$800),--(Risk_Rank_Keys!$B$2:$B$800=Risk_Rank_Keys!B402))+1)/2)/COUNT(Risk_Rank_Keys!$B$2:$B$800))</f>
        <v>0.196652719665272</v>
      </c>
      <c r="N402" s="0" t="n">
        <f aca="false">IF(OR(B402="NW",COUNT(Risk_Rank_Keys!C402)=0),0.5,(SUMPRODUCT(--ISNUMBER(Risk_Rank_Keys!$C$2:$C$800),--(Risk_Rank_Keys!$C$2:$C$800&lt;Risk_Rank_Keys!C402))+(SUMPRODUCT(--ISNUMBER(Risk_Rank_Keys!$C$2:$C$800),--(Risk_Rank_Keys!$C$2:$C$800=Risk_Rank_Keys!C402))+1)/2)/COUNT(Risk_Rank_Keys!$C$2:$C$800))</f>
        <v>0.235704323570432</v>
      </c>
      <c r="O402" s="0" t="n">
        <f aca="false">IF(OR(B402="NW",COUNT(Risk_Rank_Keys!D402)=0),0.5,(SUMPRODUCT(--ISNUMBER(Risk_Rank_Keys!$D$2:$D$800),--(Risk_Rank_Keys!$D$2:$D$800&lt;Risk_Rank_Keys!D402))+(SUMPRODUCT(--ISNUMBER(Risk_Rank_Keys!$D$2:$D$800),--(Risk_Rank_Keys!$D$2:$D$800=Risk_Rank_Keys!D402))+1)/2)/COUNT(Risk_Rank_Keys!$D$2:$D$800))</f>
        <v>0.559274755927476</v>
      </c>
      <c r="P402" s="0" t="n">
        <f aca="false">AVERAGE(M402:O402)</f>
        <v>0.330543933054393</v>
      </c>
      <c r="Q402" s="0" t="n">
        <f aca="false">0.4*H402+0.4*I402+0.2*P402</f>
        <v>0.597272741554558</v>
      </c>
      <c r="R402" s="0" t="n">
        <f aca="false">PERCENTILE($Q$2:$Q$800,0.75)</f>
        <v>0.667715717403612</v>
      </c>
      <c r="S402" s="1" t="b">
        <f aca="false">OR(Q402&gt;=R402,AND(B402="CW",COUNT(J402:L402)&lt;3))</f>
        <v>0</v>
      </c>
      <c r="T402" s="0" t="n">
        <v>0.322571006806868</v>
      </c>
      <c r="U402" s="0" t="n">
        <v>8.74463578687877</v>
      </c>
      <c r="V402" s="0" t="n">
        <v>0.597272741554558</v>
      </c>
      <c r="W402" s="0" t="n">
        <f aca="false">Q402-V402</f>
        <v>0</v>
      </c>
    </row>
    <row r="403" customFormat="false" ht="15" hidden="false" customHeight="false" outlineLevel="0" collapsed="false">
      <c r="A403" s="0" t="s">
        <v>437</v>
      </c>
      <c r="B403" s="0" t="s">
        <v>3013</v>
      </c>
      <c r="C403" s="0" t="n">
        <v>26.4328149484431</v>
      </c>
      <c r="D403" s="0" t="n">
        <f aca="false">SUMPRODUCT(Risk_Inputs!B403:AJ403,Risk_Coefs!$B$2:$AJ$2)</f>
        <v>-0.472809976349925</v>
      </c>
      <c r="E403" s="0" t="n">
        <f aca="false">1/(1+EXP(-MAX(-25,MIN(25,D403))))</f>
        <v>0.383951375896686</v>
      </c>
      <c r="F403" s="0" t="n">
        <f aca="false">SUMPRODUCT(Risk_Inputs!B403:AJ403,Risk_Coefs!$B$3:$AJ$3)</f>
        <v>10.9205899100622</v>
      </c>
      <c r="G403" s="0" t="n">
        <f aca="false">MAX(0,F403)</f>
        <v>10.9205899100622</v>
      </c>
      <c r="H403" s="0" t="n">
        <f aca="false">(SUMPRODUCT(--ISNUMBER($E$2:$E$800),--($E$2:$E$800&lt;E403))+(SUMPRODUCT(--ISNUMBER($E$2:$E$800),--($E$2:$E$800=E403))+1)/2)/COUNT($E$2:$E$800)</f>
        <v>0.911138923654568</v>
      </c>
      <c r="I403" s="0" t="n">
        <f aca="false">(SUMPRODUCT(--ISNUMBER($G$2:$G$800),--($G$2:$G$800&lt;G403))+(SUMPRODUCT(--ISNUMBER($G$2:$G$800),--($G$2:$G$800=G403))+1)/2)/COUNT($G$2:$G$800)</f>
        <v>0.872340425531915</v>
      </c>
      <c r="J403" s="0" t="n">
        <v>3.67501020085709</v>
      </c>
      <c r="K403" s="0" t="n">
        <v>4.60887949260041</v>
      </c>
      <c r="L403" s="0" t="n">
        <v>0.211416490486264</v>
      </c>
      <c r="M403" s="0" t="n">
        <f aca="false">IF(OR(B403="NW",COUNT(Risk_Rank_Keys!B403)=0),0.5,(SUMPRODUCT(--ISNUMBER(Risk_Rank_Keys!$B$2:$B$800),--(Risk_Rank_Keys!$B$2:$B$800&lt;Risk_Rank_Keys!B403))+(SUMPRODUCT(--ISNUMBER(Risk_Rank_Keys!$B$2:$B$800),--(Risk_Rank_Keys!$B$2:$B$800=Risk_Rank_Keys!B403))+1)/2)/COUNT(Risk_Rank_Keys!$B$2:$B$800))</f>
        <v>0.0516039051603905</v>
      </c>
      <c r="N403" s="0" t="n">
        <f aca="false">IF(OR(B403="NW",COUNT(Risk_Rank_Keys!C403)=0),0.5,(SUMPRODUCT(--ISNUMBER(Risk_Rank_Keys!$C$2:$C$800),--(Risk_Rank_Keys!$C$2:$C$800&lt;Risk_Rank_Keys!C403))+(SUMPRODUCT(--ISNUMBER(Risk_Rank_Keys!$C$2:$C$800),--(Risk_Rank_Keys!$C$2:$C$800=Risk_Rank_Keys!C403))+1)/2)/COUNT(Risk_Rank_Keys!$C$2:$C$800))</f>
        <v>0.652719665271967</v>
      </c>
      <c r="O403" s="0" t="n">
        <f aca="false">IF(OR(B403="NW",COUNT(Risk_Rank_Keys!D403)=0),0.5,(SUMPRODUCT(--ISNUMBER(Risk_Rank_Keys!$D$2:$D$800),--(Risk_Rank_Keys!$D$2:$D$800&lt;Risk_Rank_Keys!D403))+(SUMPRODUCT(--ISNUMBER(Risk_Rank_Keys!$D$2:$D$800),--(Risk_Rank_Keys!$D$2:$D$800=Risk_Rank_Keys!D403))+1)/2)/COUNT(Risk_Rank_Keys!$D$2:$D$800))</f>
        <v>0.387726638772664</v>
      </c>
      <c r="P403" s="0" t="n">
        <f aca="false">AVERAGE(M403:O403)</f>
        <v>0.364016736401674</v>
      </c>
      <c r="Q403" s="0" t="n">
        <f aca="false">0.4*H403+0.4*I403+0.2*P403</f>
        <v>0.786195086954928</v>
      </c>
      <c r="R403" s="0" t="n">
        <f aca="false">PERCENTILE($Q$2:$Q$800,0.75)</f>
        <v>0.667715717403612</v>
      </c>
      <c r="S403" s="1" t="b">
        <f aca="false">OR(Q403&gt;=R403,AND(B403="CW",COUNT(J403:L403)&lt;3))</f>
        <v>1</v>
      </c>
      <c r="T403" s="0" t="n">
        <v>0.383951375896686</v>
      </c>
      <c r="U403" s="0" t="n">
        <v>10.9205899100622</v>
      </c>
      <c r="V403" s="0" t="n">
        <v>0.786195086954928</v>
      </c>
      <c r="W403" s="0" t="n">
        <f aca="false">Q403-V403</f>
        <v>0</v>
      </c>
    </row>
    <row r="404" customFormat="false" ht="15" hidden="false" customHeight="false" outlineLevel="0" collapsed="false">
      <c r="A404" s="0" t="s">
        <v>438</v>
      </c>
      <c r="B404" s="0" t="s">
        <v>3013</v>
      </c>
      <c r="C404" s="0" t="n">
        <v>23.5785897682484</v>
      </c>
      <c r="D404" s="0" t="n">
        <f aca="false">SUMPRODUCT(Risk_Inputs!B404:AJ404,Risk_Coefs!$B$2:$AJ$2)</f>
        <v>-0.917538480318795</v>
      </c>
      <c r="E404" s="0" t="n">
        <f aca="false">1/(1+EXP(-MAX(-25,MIN(25,D404))))</f>
        <v>0.285459711274348</v>
      </c>
      <c r="F404" s="0" t="n">
        <f aca="false">SUMPRODUCT(Risk_Inputs!B404:AJ404,Risk_Coefs!$B$3:$AJ$3)</f>
        <v>4.76384768335338</v>
      </c>
      <c r="G404" s="0" t="n">
        <f aca="false">MAX(0,F404)</f>
        <v>4.76384768335338</v>
      </c>
      <c r="H404" s="0" t="n">
        <f aca="false">(SUMPRODUCT(--ISNUMBER($E$2:$E$800),--($E$2:$E$800&lt;E404))+(SUMPRODUCT(--ISNUMBER($E$2:$E$800),--($E$2:$E$800=E404))+1)/2)/COUNT($E$2:$E$800)</f>
        <v>0.495619524405507</v>
      </c>
      <c r="I404" s="0" t="n">
        <f aca="false">(SUMPRODUCT(--ISNUMBER($G$2:$G$800),--($G$2:$G$800&lt;G404))+(SUMPRODUCT(--ISNUMBER($G$2:$G$800),--($G$2:$G$800=G404))+1)/2)/COUNT($G$2:$G$800)</f>
        <v>0.106382978723404</v>
      </c>
      <c r="J404" s="0" t="n">
        <v>3.60119215584943</v>
      </c>
      <c r="K404" s="0" t="n">
        <v>1.12708900116597</v>
      </c>
      <c r="L404" s="0" t="n">
        <v>0.194325689856205</v>
      </c>
      <c r="M404" s="0" t="n">
        <f aca="false">IF(OR(B404="NW",COUNT(Risk_Rank_Keys!B404)=0),0.5,(SUMPRODUCT(--ISNUMBER(Risk_Rank_Keys!$B$2:$B$800),--(Risk_Rank_Keys!$B$2:$B$800&lt;Risk_Rank_Keys!B404))+(SUMPRODUCT(--ISNUMBER(Risk_Rank_Keys!$B$2:$B$800),--(Risk_Rank_Keys!$B$2:$B$800=Risk_Rank_Keys!B404))+1)/2)/COUNT(Risk_Rank_Keys!$B$2:$B$800))</f>
        <v>0.0474198047419805</v>
      </c>
      <c r="N404" s="0" t="n">
        <f aca="false">IF(OR(B404="NW",COUNT(Risk_Rank_Keys!C404)=0),0.5,(SUMPRODUCT(--ISNUMBER(Risk_Rank_Keys!$C$2:$C$800),--(Risk_Rank_Keys!$C$2:$C$800&lt;Risk_Rank_Keys!C404))+(SUMPRODUCT(--ISNUMBER(Risk_Rank_Keys!$C$2:$C$800),--(Risk_Rank_Keys!$C$2:$C$800=Risk_Rank_Keys!C404))+1)/2)/COUNT(Risk_Rank_Keys!$C$2:$C$800))</f>
        <v>0.0488145048814505</v>
      </c>
      <c r="O404" s="0" t="n">
        <f aca="false">IF(OR(B404="NW",COUNT(Risk_Rank_Keys!D404)=0),0.5,(SUMPRODUCT(--ISNUMBER(Risk_Rank_Keys!$D$2:$D$800),--(Risk_Rank_Keys!$D$2:$D$800&lt;Risk_Rank_Keys!D404))+(SUMPRODUCT(--ISNUMBER(Risk_Rank_Keys!$D$2:$D$800),--(Risk_Rank_Keys!$D$2:$D$800=Risk_Rank_Keys!D404))+1)/2)/COUNT(Risk_Rank_Keys!$D$2:$D$800))</f>
        <v>0.278940027894003</v>
      </c>
      <c r="P404" s="0" t="n">
        <f aca="false">AVERAGE(M404:O404)</f>
        <v>0.125058112505811</v>
      </c>
      <c r="Q404" s="0" t="n">
        <f aca="false">0.4*H404+0.4*I404+0.2*P404</f>
        <v>0.265812623752727</v>
      </c>
      <c r="R404" s="0" t="n">
        <f aca="false">PERCENTILE($Q$2:$Q$800,0.75)</f>
        <v>0.667715717403612</v>
      </c>
      <c r="S404" s="1" t="b">
        <f aca="false">OR(Q404&gt;=R404,AND(B404="CW",COUNT(J404:L404)&lt;3))</f>
        <v>0</v>
      </c>
      <c r="T404" s="0" t="n">
        <v>0.285459711274348</v>
      </c>
      <c r="U404" s="0" t="n">
        <v>4.76384768335338</v>
      </c>
      <c r="V404" s="0" t="n">
        <v>0.265812623752727</v>
      </c>
      <c r="W404" s="0" t="n">
        <f aca="false">Q404-V404</f>
        <v>0</v>
      </c>
    </row>
    <row r="405" customFormat="false" ht="15" hidden="false" customHeight="false" outlineLevel="0" collapsed="false">
      <c r="A405" s="0" t="s">
        <v>439</v>
      </c>
      <c r="B405" s="0" t="s">
        <v>3013</v>
      </c>
      <c r="C405" s="0" t="n">
        <v>5.93914980978652</v>
      </c>
      <c r="D405" s="0" t="n">
        <f aca="false">SUMPRODUCT(Risk_Inputs!B405:AJ405,Risk_Coefs!$B$2:$AJ$2)</f>
        <v>-0.679198333055199</v>
      </c>
      <c r="E405" s="0" t="n">
        <f aca="false">1/(1+EXP(-MAX(-25,MIN(25,D405))))</f>
        <v>0.336440249831362</v>
      </c>
      <c r="F405" s="0" t="n">
        <f aca="false">SUMPRODUCT(Risk_Inputs!B405:AJ405,Risk_Coefs!$B$3:$AJ$3)</f>
        <v>7.50192305713345</v>
      </c>
      <c r="G405" s="0" t="n">
        <f aca="false">MAX(0,F405)</f>
        <v>7.50192305713345</v>
      </c>
      <c r="H405" s="0" t="n">
        <f aca="false">(SUMPRODUCT(--ISNUMBER($E$2:$E$800),--($E$2:$E$800&lt;E405))+(SUMPRODUCT(--ISNUMBER($E$2:$E$800),--($E$2:$E$800=E405))+1)/2)/COUNT($E$2:$E$800)</f>
        <v>0.764705882352941</v>
      </c>
      <c r="I405" s="0" t="n">
        <f aca="false">(SUMPRODUCT(--ISNUMBER($G$2:$G$800),--($G$2:$G$800&lt;G405))+(SUMPRODUCT(--ISNUMBER($G$2:$G$800),--($G$2:$G$800=G405))+1)/2)/COUNT($G$2:$G$800)</f>
        <v>0.481852315394243</v>
      </c>
      <c r="J405" s="0" t="n">
        <v>3.86869020657037</v>
      </c>
      <c r="K405" s="0" t="n">
        <v>1.32869345143941</v>
      </c>
      <c r="L405" s="0" t="n">
        <v>0.221448908573242</v>
      </c>
      <c r="M405" s="0" t="n">
        <f aca="false">IF(OR(B405="NW",COUNT(Risk_Rank_Keys!B405)=0),0.5,(SUMPRODUCT(--ISNUMBER(Risk_Rank_Keys!$B$2:$B$800),--(Risk_Rank_Keys!$B$2:$B$800&lt;Risk_Rank_Keys!B405))+(SUMPRODUCT(--ISNUMBER(Risk_Rank_Keys!$B$2:$B$800),--(Risk_Rank_Keys!$B$2:$B$800=Risk_Rank_Keys!B405))+1)/2)/COUNT(Risk_Rank_Keys!$B$2:$B$800))</f>
        <v>0.0669456066945607</v>
      </c>
      <c r="N405" s="0" t="n">
        <f aca="false">IF(OR(B405="NW",COUNT(Risk_Rank_Keys!C405)=0),0.5,(SUMPRODUCT(--ISNUMBER(Risk_Rank_Keys!$C$2:$C$800),--(Risk_Rank_Keys!$C$2:$C$800&lt;Risk_Rank_Keys!C405))+(SUMPRODUCT(--ISNUMBER(Risk_Rank_Keys!$C$2:$C$800),--(Risk_Rank_Keys!$C$2:$C$800=Risk_Rank_Keys!C405))+1)/2)/COUNT(Risk_Rank_Keys!$C$2:$C$800))</f>
        <v>0.0906555090655509</v>
      </c>
      <c r="O405" s="0" t="n">
        <f aca="false">IF(OR(B405="NW",COUNT(Risk_Rank_Keys!D405)=0),0.5,(SUMPRODUCT(--ISNUMBER(Risk_Rank_Keys!$D$2:$D$800),--(Risk_Rank_Keys!$D$2:$D$800&lt;Risk_Rank_Keys!D405))+(SUMPRODUCT(--ISNUMBER(Risk_Rank_Keys!$D$2:$D$800),--(Risk_Rank_Keys!$D$2:$D$800=Risk_Rank_Keys!D405))+1)/2)/COUNT(Risk_Rank_Keys!$D$2:$D$800))</f>
        <v>0.449093444909345</v>
      </c>
      <c r="P405" s="0" t="n">
        <f aca="false">AVERAGE(M405:O405)</f>
        <v>0.202231520223152</v>
      </c>
      <c r="Q405" s="0" t="n">
        <f aca="false">0.4*H405+0.4*I405+0.2*P405</f>
        <v>0.539069583143504</v>
      </c>
      <c r="R405" s="0" t="n">
        <f aca="false">PERCENTILE($Q$2:$Q$800,0.75)</f>
        <v>0.667715717403612</v>
      </c>
      <c r="S405" s="1" t="b">
        <f aca="false">OR(Q405&gt;=R405,AND(B405="CW",COUNT(J405:L405)&lt;3))</f>
        <v>0</v>
      </c>
      <c r="T405" s="0" t="n">
        <v>0.336440249831362</v>
      </c>
      <c r="U405" s="0" t="n">
        <v>7.50192305713344</v>
      </c>
      <c r="V405" s="0" t="n">
        <v>0.539069583143504</v>
      </c>
      <c r="W405" s="0" t="n">
        <f aca="false">Q405-V405</f>
        <v>0</v>
      </c>
    </row>
    <row r="406" customFormat="false" ht="15" hidden="false" customHeight="false" outlineLevel="0" collapsed="false">
      <c r="A406" s="0" t="s">
        <v>440</v>
      </c>
      <c r="B406" s="0" t="s">
        <v>3013</v>
      </c>
      <c r="C406" s="0" t="n">
        <v>13.3337027915627</v>
      </c>
      <c r="D406" s="0" t="n">
        <f aca="false">SUMPRODUCT(Risk_Inputs!B406:AJ406,Risk_Coefs!$B$2:$AJ$2)</f>
        <v>-0.887791733438152</v>
      </c>
      <c r="E406" s="0" t="n">
        <f aca="false">1/(1+EXP(-MAX(-25,MIN(25,D406))))</f>
        <v>0.291565746256152</v>
      </c>
      <c r="F406" s="0" t="n">
        <f aca="false">SUMPRODUCT(Risk_Inputs!B406:AJ406,Risk_Coefs!$B$3:$AJ$3)</f>
        <v>5.9902675009629</v>
      </c>
      <c r="G406" s="0" t="n">
        <f aca="false">MAX(0,F406)</f>
        <v>5.9902675009629</v>
      </c>
      <c r="H406" s="0" t="n">
        <f aca="false">(SUMPRODUCT(--ISNUMBER($E$2:$E$800),--($E$2:$E$800&lt;E406))+(SUMPRODUCT(--ISNUMBER($E$2:$E$800),--($E$2:$E$800=E406))+1)/2)/COUNT($E$2:$E$800)</f>
        <v>0.531914893617021</v>
      </c>
      <c r="I406" s="0" t="n">
        <f aca="false">(SUMPRODUCT(--ISNUMBER($G$2:$G$800),--($G$2:$G$800&lt;G406))+(SUMPRODUCT(--ISNUMBER($G$2:$G$800),--($G$2:$G$800=G406))+1)/2)/COUNT($G$2:$G$800)</f>
        <v>0.265331664580726</v>
      </c>
      <c r="J406" s="0" t="n">
        <v>3.07652796430352</v>
      </c>
      <c r="K406" s="0" t="n">
        <v>1.19617224880383</v>
      </c>
      <c r="L406" s="0" t="n">
        <v>0.199362041467305</v>
      </c>
      <c r="M406" s="0" t="n">
        <f aca="false">IF(OR(B406="NW",COUNT(Risk_Rank_Keys!B406)=0),0.5,(SUMPRODUCT(--ISNUMBER(Risk_Rank_Keys!$B$2:$B$800),--(Risk_Rank_Keys!$B$2:$B$800&lt;Risk_Rank_Keys!B406))+(SUMPRODUCT(--ISNUMBER(Risk_Rank_Keys!$B$2:$B$800),--(Risk_Rank_Keys!$B$2:$B$800=Risk_Rank_Keys!B406))+1)/2)/COUNT(Risk_Rank_Keys!$B$2:$B$800))</f>
        <v>0.0292887029288703</v>
      </c>
      <c r="N406" s="0" t="n">
        <f aca="false">IF(OR(B406="NW",COUNT(Risk_Rank_Keys!C406)=0),0.5,(SUMPRODUCT(--ISNUMBER(Risk_Rank_Keys!$C$2:$C$800),--(Risk_Rank_Keys!$C$2:$C$800&lt;Risk_Rank_Keys!C406))+(SUMPRODUCT(--ISNUMBER(Risk_Rank_Keys!$C$2:$C$800),--(Risk_Rank_Keys!$C$2:$C$800=Risk_Rank_Keys!C406))+1)/2)/COUNT(Risk_Rank_Keys!$C$2:$C$800))</f>
        <v>0.0683403068340307</v>
      </c>
      <c r="O406" s="0" t="n">
        <f aca="false">IF(OR(B406="NW",COUNT(Risk_Rank_Keys!D406)=0),0.5,(SUMPRODUCT(--ISNUMBER(Risk_Rank_Keys!$D$2:$D$800),--(Risk_Rank_Keys!$D$2:$D$800&lt;Risk_Rank_Keys!D406))+(SUMPRODUCT(--ISNUMBER(Risk_Rank_Keys!$D$2:$D$800),--(Risk_Rank_Keys!$D$2:$D$800=Risk_Rank_Keys!D406))+1)/2)/COUNT(Risk_Rank_Keys!$D$2:$D$800))</f>
        <v>0.311018131101813</v>
      </c>
      <c r="P406" s="0" t="n">
        <f aca="false">AVERAGE(M406:O406)</f>
        <v>0.136215713621571</v>
      </c>
      <c r="Q406" s="0" t="n">
        <f aca="false">0.4*H406+0.4*I406+0.2*P406</f>
        <v>0.346141766003413</v>
      </c>
      <c r="R406" s="0" t="n">
        <f aca="false">PERCENTILE($Q$2:$Q$800,0.75)</f>
        <v>0.667715717403612</v>
      </c>
      <c r="S406" s="1" t="b">
        <f aca="false">OR(Q406&gt;=R406,AND(B406="CW",COUNT(J406:L406)&lt;3))</f>
        <v>0</v>
      </c>
      <c r="T406" s="0" t="n">
        <v>0.291565746256152</v>
      </c>
      <c r="U406" s="0" t="n">
        <v>5.9902675009629</v>
      </c>
      <c r="V406" s="0" t="n">
        <v>0.346141766003413</v>
      </c>
      <c r="W406" s="0" t="n">
        <f aca="false">Q406-V406</f>
        <v>0</v>
      </c>
    </row>
    <row r="407" customFormat="false" ht="15" hidden="false" customHeight="false" outlineLevel="0" collapsed="false">
      <c r="A407" s="0" t="s">
        <v>441</v>
      </c>
      <c r="B407" s="0" t="s">
        <v>3013</v>
      </c>
      <c r="C407" s="0" t="n">
        <v>-9.89714446987392</v>
      </c>
      <c r="D407" s="0" t="n">
        <f aca="false">SUMPRODUCT(Risk_Inputs!B407:AJ407,Risk_Coefs!$B$2:$AJ$2)</f>
        <v>-0.882293829605914</v>
      </c>
      <c r="E407" s="0" t="n">
        <f aca="false">1/(1+EXP(-MAX(-25,MIN(25,D407))))</f>
        <v>0.29270266666397</v>
      </c>
      <c r="F407" s="0" t="n">
        <f aca="false">SUMPRODUCT(Risk_Inputs!B407:AJ407,Risk_Coefs!$B$3:$AJ$3)</f>
        <v>4.30687961760362</v>
      </c>
      <c r="G407" s="0" t="n">
        <f aca="false">MAX(0,F407)</f>
        <v>4.30687961760362</v>
      </c>
      <c r="H407" s="0" t="n">
        <f aca="false">(SUMPRODUCT(--ISNUMBER($E$2:$E$800),--($E$2:$E$800&lt;E407))+(SUMPRODUCT(--ISNUMBER($E$2:$E$800),--($E$2:$E$800=E407))+1)/2)/COUNT($E$2:$E$800)</f>
        <v>0.540675844806008</v>
      </c>
      <c r="I407" s="0" t="n">
        <f aca="false">(SUMPRODUCT(--ISNUMBER($G$2:$G$800),--($G$2:$G$800&lt;G407))+(SUMPRODUCT(--ISNUMBER($G$2:$G$800),--($G$2:$G$800=G407))+1)/2)/COUNT($G$2:$G$800)</f>
        <v>0.0738423028785983</v>
      </c>
      <c r="J407" s="0" t="n">
        <v>5.70942241455054</v>
      </c>
      <c r="K407" s="0" t="n">
        <v>1.60847391133777</v>
      </c>
      <c r="L407" s="0" t="n">
        <v>0.117693213024709</v>
      </c>
      <c r="M407" s="0" t="n">
        <f aca="false">IF(OR(B407="NW",COUNT(Risk_Rank_Keys!B407)=0),0.5,(SUMPRODUCT(--ISNUMBER(Risk_Rank_Keys!$B$2:$B$800),--(Risk_Rank_Keys!$B$2:$B$800&lt;Risk_Rank_Keys!B407))+(SUMPRODUCT(--ISNUMBER(Risk_Rank_Keys!$B$2:$B$800),--(Risk_Rank_Keys!$B$2:$B$800=Risk_Rank_Keys!B407))+1)/2)/COUNT(Risk_Rank_Keys!$B$2:$B$800))</f>
        <v>0.191073919107392</v>
      </c>
      <c r="N407" s="0" t="n">
        <f aca="false">IF(OR(B407="NW",COUNT(Risk_Rank_Keys!C407)=0),0.5,(SUMPRODUCT(--ISNUMBER(Risk_Rank_Keys!$C$2:$C$800),--(Risk_Rank_Keys!$C$2:$C$800&lt;Risk_Rank_Keys!C407))+(SUMPRODUCT(--ISNUMBER(Risk_Rank_Keys!$C$2:$C$800),--(Risk_Rank_Keys!$C$2:$C$800=Risk_Rank_Keys!C407))+1)/2)/COUNT(Risk_Rank_Keys!$C$2:$C$800))</f>
        <v>0.160390516039052</v>
      </c>
      <c r="O407" s="0" t="n">
        <f aca="false">IF(OR(B407="NW",COUNT(Risk_Rank_Keys!D407)=0),0.5,(SUMPRODUCT(--ISNUMBER(Risk_Rank_Keys!$D$2:$D$800),--(Risk_Rank_Keys!$D$2:$D$800&lt;Risk_Rank_Keys!D407))+(SUMPRODUCT(--ISNUMBER(Risk_Rank_Keys!$D$2:$D$800),--(Risk_Rank_Keys!$D$2:$D$800=Risk_Rank_Keys!D407))+1)/2)/COUNT(Risk_Rank_Keys!$D$2:$D$800))</f>
        <v>0.0404463040446304</v>
      </c>
      <c r="P407" s="0" t="n">
        <f aca="false">AVERAGE(M407:O407)</f>
        <v>0.130636913063691</v>
      </c>
      <c r="Q407" s="0" t="n">
        <f aca="false">0.4*H407+0.4*I407+0.2*P407</f>
        <v>0.271934641686581</v>
      </c>
      <c r="R407" s="0" t="n">
        <f aca="false">PERCENTILE($Q$2:$Q$800,0.75)</f>
        <v>0.667715717403612</v>
      </c>
      <c r="S407" s="1" t="b">
        <f aca="false">OR(Q407&gt;=R407,AND(B407="CW",COUNT(J407:L407)&lt;3))</f>
        <v>0</v>
      </c>
      <c r="T407" s="0" t="n">
        <v>0.29270266666397</v>
      </c>
      <c r="U407" s="0" t="n">
        <v>4.30687961760362</v>
      </c>
      <c r="V407" s="0" t="n">
        <v>0.271934641686581</v>
      </c>
      <c r="W407" s="0" t="n">
        <f aca="false">Q407-V407</f>
        <v>0</v>
      </c>
    </row>
    <row r="408" customFormat="false" ht="15" hidden="false" customHeight="false" outlineLevel="0" collapsed="false">
      <c r="A408" s="0" t="s">
        <v>442</v>
      </c>
      <c r="B408" s="0" t="s">
        <v>3013</v>
      </c>
      <c r="C408" s="0" t="n">
        <v>34.4289280001691</v>
      </c>
      <c r="D408" s="0" t="n">
        <f aca="false">SUMPRODUCT(Risk_Inputs!B408:AJ408,Risk_Coefs!$B$2:$AJ$2)</f>
        <v>-1.03799354009804</v>
      </c>
      <c r="E408" s="0" t="n">
        <f aca="false">1/(1+EXP(-MAX(-25,MIN(25,D408))))</f>
        <v>0.261537327204185</v>
      </c>
      <c r="F408" s="0" t="n">
        <f aca="false">SUMPRODUCT(Risk_Inputs!B408:AJ408,Risk_Coefs!$B$3:$AJ$3)</f>
        <v>4.88063587413891</v>
      </c>
      <c r="G408" s="0" t="n">
        <f aca="false">MAX(0,F408)</f>
        <v>4.88063587413891</v>
      </c>
      <c r="H408" s="0" t="n">
        <f aca="false">(SUMPRODUCT(--ISNUMBER($E$2:$E$800),--($E$2:$E$800&lt;E408))+(SUMPRODUCT(--ISNUMBER($E$2:$E$800),--($E$2:$E$800=E408))+1)/2)/COUNT($E$2:$E$800)</f>
        <v>0.340425531914894</v>
      </c>
      <c r="I408" s="0" t="n">
        <f aca="false">(SUMPRODUCT(--ISNUMBER($G$2:$G$800),--($G$2:$G$800&lt;G408))+(SUMPRODUCT(--ISNUMBER($G$2:$G$800),--($G$2:$G$800=G408))+1)/2)/COUNT($G$2:$G$800)</f>
        <v>0.120150187734668</v>
      </c>
      <c r="J408" s="0" t="n">
        <v>2.55907190992028</v>
      </c>
      <c r="K408" s="0" t="n">
        <v>1.59482758620689</v>
      </c>
      <c r="L408" s="0" t="n">
        <v>0.21551724137931</v>
      </c>
      <c r="M408" s="0" t="n">
        <f aca="false">IF(OR(B408="NW",COUNT(Risk_Rank_Keys!B408)=0),0.5,(SUMPRODUCT(--ISNUMBER(Risk_Rank_Keys!$B$2:$B$800),--(Risk_Rank_Keys!$B$2:$B$800&lt;Risk_Rank_Keys!B408))+(SUMPRODUCT(--ISNUMBER(Risk_Rank_Keys!$B$2:$B$800),--(Risk_Rank_Keys!$B$2:$B$800=Risk_Rank_Keys!B408))+1)/2)/COUNT(Risk_Rank_Keys!$B$2:$B$800))</f>
        <v>0.0153417015341702</v>
      </c>
      <c r="N408" s="0" t="n">
        <f aca="false">IF(OR(B408="NW",COUNT(Risk_Rank_Keys!C408)=0),0.5,(SUMPRODUCT(--ISNUMBER(Risk_Rank_Keys!$C$2:$C$800),--(Risk_Rank_Keys!$C$2:$C$800&lt;Risk_Rank_Keys!C408))+(SUMPRODUCT(--ISNUMBER(Risk_Rank_Keys!$C$2:$C$800),--(Risk_Rank_Keys!$C$2:$C$800=Risk_Rank_Keys!C408))+1)/2)/COUNT(Risk_Rank_Keys!$C$2:$C$800))</f>
        <v>0.156206415620642</v>
      </c>
      <c r="O408" s="0" t="n">
        <f aca="false">IF(OR(B408="NW",COUNT(Risk_Rank_Keys!D408)=0),0.5,(SUMPRODUCT(--ISNUMBER(Risk_Rank_Keys!$D$2:$D$800),--(Risk_Rank_Keys!$D$2:$D$800&lt;Risk_Rank_Keys!D408))+(SUMPRODUCT(--ISNUMBER(Risk_Rank_Keys!$D$2:$D$800),--(Risk_Rank_Keys!$D$2:$D$800=Risk_Rank_Keys!D408))+1)/2)/COUNT(Risk_Rank_Keys!$D$2:$D$800))</f>
        <v>0.414225941422594</v>
      </c>
      <c r="P408" s="0" t="n">
        <f aca="false">AVERAGE(M408:O408)</f>
        <v>0.195258019525802</v>
      </c>
      <c r="Q408" s="0" t="n">
        <f aca="false">0.4*H408+0.4*I408+0.2*P408</f>
        <v>0.223281891764985</v>
      </c>
      <c r="R408" s="0" t="n">
        <f aca="false">PERCENTILE($Q$2:$Q$800,0.75)</f>
        <v>0.667715717403612</v>
      </c>
      <c r="S408" s="1" t="b">
        <f aca="false">OR(Q408&gt;=R408,AND(B408="CW",COUNT(J408:L408)&lt;3))</f>
        <v>0</v>
      </c>
      <c r="T408" s="0" t="n">
        <v>0.261537327204185</v>
      </c>
      <c r="U408" s="0" t="n">
        <v>4.88063587413891</v>
      </c>
      <c r="V408" s="0" t="n">
        <v>0.223281891764985</v>
      </c>
      <c r="W408" s="0" t="n">
        <f aca="false">Q408-V408</f>
        <v>0</v>
      </c>
    </row>
    <row r="409" customFormat="false" ht="15" hidden="false" customHeight="false" outlineLevel="0" collapsed="false">
      <c r="A409" s="0" t="s">
        <v>443</v>
      </c>
      <c r="B409" s="0" t="s">
        <v>3013</v>
      </c>
      <c r="C409" s="0" t="n">
        <v>3.77840732146833</v>
      </c>
      <c r="D409" s="0" t="n">
        <f aca="false">SUMPRODUCT(Risk_Inputs!B409:AJ409,Risk_Coefs!$B$2:$AJ$2)</f>
        <v>-1.05976451739463</v>
      </c>
      <c r="E409" s="0" t="n">
        <f aca="false">1/(1+EXP(-MAX(-25,MIN(25,D409))))</f>
        <v>0.257354458300865</v>
      </c>
      <c r="F409" s="0" t="n">
        <f aca="false">SUMPRODUCT(Risk_Inputs!B409:AJ409,Risk_Coefs!$B$3:$AJ$3)</f>
        <v>9.35660660673863</v>
      </c>
      <c r="G409" s="0" t="n">
        <f aca="false">MAX(0,F409)</f>
        <v>9.35660660673863</v>
      </c>
      <c r="H409" s="0" t="n">
        <f aca="false">(SUMPRODUCT(--ISNUMBER($E$2:$E$800),--($E$2:$E$800&lt;E409))+(SUMPRODUCT(--ISNUMBER($E$2:$E$800),--($E$2:$E$800=E409))+1)/2)/COUNT($E$2:$E$800)</f>
        <v>0.315394242803504</v>
      </c>
      <c r="I409" s="0" t="n">
        <f aca="false">(SUMPRODUCT(--ISNUMBER($G$2:$G$800),--($G$2:$G$800&lt;G409))+(SUMPRODUCT(--ISNUMBER($G$2:$G$800),--($G$2:$G$800=G409))+1)/2)/COUNT($G$2:$G$800)</f>
        <v>0.718397997496871</v>
      </c>
      <c r="J409" s="0" t="n">
        <v>11.686161069886</v>
      </c>
      <c r="K409" s="0" t="n">
        <v>1.60170848905499</v>
      </c>
      <c r="L409" s="0" t="n">
        <v>0.106780565937001</v>
      </c>
      <c r="M409" s="0" t="n">
        <f aca="false">IF(OR(B409="NW",COUNT(Risk_Rank_Keys!B409)=0),0.5,(SUMPRODUCT(--ISNUMBER(Risk_Rank_Keys!$B$2:$B$800),--(Risk_Rank_Keys!$B$2:$B$800&lt;Risk_Rank_Keys!B409))+(SUMPRODUCT(--ISNUMBER(Risk_Rank_Keys!$B$2:$B$800),--(Risk_Rank_Keys!$B$2:$B$800=Risk_Rank_Keys!B409))+1)/2)/COUNT(Risk_Rank_Keys!$B$2:$B$800))</f>
        <v>0.587168758716876</v>
      </c>
      <c r="N409" s="0" t="n">
        <f aca="false">IF(OR(B409="NW",COUNT(Risk_Rank_Keys!C409)=0),0.5,(SUMPRODUCT(--ISNUMBER(Risk_Rank_Keys!$C$2:$C$800),--(Risk_Rank_Keys!$C$2:$C$800&lt;Risk_Rank_Keys!C409))+(SUMPRODUCT(--ISNUMBER(Risk_Rank_Keys!$C$2:$C$800),--(Risk_Rank_Keys!$C$2:$C$800=Risk_Rank_Keys!C409))+1)/2)/COUNT(Risk_Rank_Keys!$C$2:$C$800))</f>
        <v>0.158995815899582</v>
      </c>
      <c r="O409" s="0" t="n">
        <f aca="false">IF(OR(B409="NW",COUNT(Risk_Rank_Keys!D409)=0),0.5,(SUMPRODUCT(--ISNUMBER(Risk_Rank_Keys!$D$2:$D$800),--(Risk_Rank_Keys!$D$2:$D$800&lt;Risk_Rank_Keys!D409))+(SUMPRODUCT(--ISNUMBER(Risk_Rank_Keys!$D$2:$D$800),--(Risk_Rank_Keys!$D$2:$D$800=Risk_Rank_Keys!D409))+1)/2)/COUNT(Risk_Rank_Keys!$D$2:$D$800))</f>
        <v>0.0237099023709902</v>
      </c>
      <c r="P409" s="0" t="n">
        <f aca="false">AVERAGE(M409:O409)</f>
        <v>0.256624825662483</v>
      </c>
      <c r="Q409" s="0" t="n">
        <f aca="false">0.4*H409+0.4*I409+0.2*P409</f>
        <v>0.464841861252647</v>
      </c>
      <c r="R409" s="0" t="n">
        <f aca="false">PERCENTILE($Q$2:$Q$800,0.75)</f>
        <v>0.667715717403612</v>
      </c>
      <c r="S409" s="1" t="b">
        <f aca="false">OR(Q409&gt;=R409,AND(B409="CW",COUNT(J409:L409)&lt;3))</f>
        <v>0</v>
      </c>
      <c r="T409" s="0" t="n">
        <v>0.257354458300865</v>
      </c>
      <c r="U409" s="0" t="n">
        <v>9.35660660673863</v>
      </c>
      <c r="V409" s="0" t="n">
        <v>0.464841861252647</v>
      </c>
      <c r="W409" s="0" t="n">
        <f aca="false">Q409-V409</f>
        <v>0</v>
      </c>
    </row>
    <row r="410" customFormat="false" ht="15" hidden="false" customHeight="false" outlineLevel="0" collapsed="false">
      <c r="A410" s="0" t="s">
        <v>444</v>
      </c>
      <c r="B410" s="0" t="s">
        <v>3013</v>
      </c>
      <c r="C410" s="0" t="n">
        <v>12.7504831038865</v>
      </c>
      <c r="D410" s="0" t="n">
        <f aca="false">SUMPRODUCT(Risk_Inputs!B410:AJ410,Risk_Coefs!$B$2:$AJ$2)</f>
        <v>-1.33653620230378</v>
      </c>
      <c r="E410" s="0" t="n">
        <f aca="false">1/(1+EXP(-MAX(-25,MIN(25,D410))))</f>
        <v>0.208080255935251</v>
      </c>
      <c r="F410" s="0" t="n">
        <f aca="false">SUMPRODUCT(Risk_Inputs!B410:AJ410,Risk_Coefs!$B$3:$AJ$3)</f>
        <v>5.55110595313541</v>
      </c>
      <c r="G410" s="0" t="n">
        <f aca="false">MAX(0,F410)</f>
        <v>5.55110595313541</v>
      </c>
      <c r="H410" s="0" t="n">
        <f aca="false">(SUMPRODUCT(--ISNUMBER($E$2:$E$800),--($E$2:$E$800&lt;E410))+(SUMPRODUCT(--ISNUMBER($E$2:$E$800),--($E$2:$E$800=E410))+1)/2)/COUNT($E$2:$E$800)</f>
        <v>0.11639549436796</v>
      </c>
      <c r="I410" s="0" t="n">
        <f aca="false">(SUMPRODUCT(--ISNUMBER($G$2:$G$800),--($G$2:$G$800&lt;G410))+(SUMPRODUCT(--ISNUMBER($G$2:$G$800),--($G$2:$G$800=G410))+1)/2)/COUNT($G$2:$G$800)</f>
        <v>0.207759699624531</v>
      </c>
      <c r="J410" s="0" t="n">
        <v>10.1309548360475</v>
      </c>
      <c r="K410" s="0" t="n">
        <v>4.84996510816468</v>
      </c>
      <c r="L410" s="0" t="n">
        <v>0.209351011863232</v>
      </c>
      <c r="M410" s="0" t="n">
        <f aca="false">IF(OR(B410="NW",COUNT(Risk_Rank_Keys!B410)=0),0.5,(SUMPRODUCT(--ISNUMBER(Risk_Rank_Keys!$B$2:$B$800),--(Risk_Rank_Keys!$B$2:$B$800&lt;Risk_Rank_Keys!B410))+(SUMPRODUCT(--ISNUMBER(Risk_Rank_Keys!$B$2:$B$800),--(Risk_Rank_Keys!$B$2:$B$800=Risk_Rank_Keys!B410))+1)/2)/COUNT(Risk_Rank_Keys!$B$2:$B$800))</f>
        <v>0.514644351464435</v>
      </c>
      <c r="N410" s="0" t="n">
        <f aca="false">IF(OR(B410="NW",COUNT(Risk_Rank_Keys!C410)=0),0.5,(SUMPRODUCT(--ISNUMBER(Risk_Rank_Keys!$C$2:$C$800),--(Risk_Rank_Keys!$C$2:$C$800&lt;Risk_Rank_Keys!C410))+(SUMPRODUCT(--ISNUMBER(Risk_Rank_Keys!$C$2:$C$800),--(Risk_Rank_Keys!$C$2:$C$800=Risk_Rank_Keys!C410))+1)/2)/COUNT(Risk_Rank_Keys!$C$2:$C$800))</f>
        <v>0.682008368200837</v>
      </c>
      <c r="O410" s="0" t="n">
        <f aca="false">IF(OR(B410="NW",COUNT(Risk_Rank_Keys!D410)=0),0.5,(SUMPRODUCT(--ISNUMBER(Risk_Rank_Keys!$D$2:$D$800),--(Risk_Rank_Keys!$D$2:$D$800&lt;Risk_Rank_Keys!D410))+(SUMPRODUCT(--ISNUMBER(Risk_Rank_Keys!$D$2:$D$800),--(Risk_Rank_Keys!$D$2:$D$800=Risk_Rank_Keys!D410))+1)/2)/COUNT(Risk_Rank_Keys!$D$2:$D$800))</f>
        <v>0.369595536959554</v>
      </c>
      <c r="P410" s="0" t="n">
        <f aca="false">AVERAGE(M410:O410)</f>
        <v>0.522082752208275</v>
      </c>
      <c r="Q410" s="0" t="n">
        <f aca="false">0.4*H410+0.4*I410+0.2*P410</f>
        <v>0.234078628038651</v>
      </c>
      <c r="R410" s="0" t="n">
        <f aca="false">PERCENTILE($Q$2:$Q$800,0.75)</f>
        <v>0.667715717403612</v>
      </c>
      <c r="S410" s="1" t="b">
        <f aca="false">OR(Q410&gt;=R410,AND(B410="CW",COUNT(J410:L410)&lt;3))</f>
        <v>0</v>
      </c>
      <c r="T410" s="0" t="n">
        <v>0.208080255935251</v>
      </c>
      <c r="U410" s="0" t="n">
        <v>5.55110595313541</v>
      </c>
      <c r="V410" s="0" t="n">
        <v>0.234078628038651</v>
      </c>
      <c r="W410" s="0" t="n">
        <f aca="false">Q410-V410</f>
        <v>0</v>
      </c>
    </row>
    <row r="411" customFormat="false" ht="15" hidden="false" customHeight="false" outlineLevel="0" collapsed="false">
      <c r="A411" s="0" t="s">
        <v>445</v>
      </c>
      <c r="B411" s="0" t="s">
        <v>3013</v>
      </c>
      <c r="C411" s="0" t="n">
        <v>24.3008873112913</v>
      </c>
      <c r="D411" s="0" t="n">
        <f aca="false">SUMPRODUCT(Risk_Inputs!B411:AJ411,Risk_Coefs!$B$2:$AJ$2)</f>
        <v>-1.16391110976832</v>
      </c>
      <c r="E411" s="0" t="n">
        <f aca="false">1/(1+EXP(-MAX(-25,MIN(25,D411))))</f>
        <v>0.237957342664754</v>
      </c>
      <c r="F411" s="0" t="n">
        <f aca="false">SUMPRODUCT(Risk_Inputs!B411:AJ411,Risk_Coefs!$B$3:$AJ$3)</f>
        <v>6.56138105867423</v>
      </c>
      <c r="G411" s="0" t="n">
        <f aca="false">MAX(0,F411)</f>
        <v>6.56138105867423</v>
      </c>
      <c r="H411" s="0" t="n">
        <f aca="false">(SUMPRODUCT(--ISNUMBER($E$2:$E$800),--($E$2:$E$800&lt;E411))+(SUMPRODUCT(--ISNUMBER($E$2:$E$800),--($E$2:$E$800=E411))+1)/2)/COUNT($E$2:$E$800)</f>
        <v>0.212765957446809</v>
      </c>
      <c r="I411" s="0" t="n">
        <f aca="false">(SUMPRODUCT(--ISNUMBER($G$2:$G$800),--($G$2:$G$800&lt;G411))+(SUMPRODUCT(--ISNUMBER($G$2:$G$800),--($G$2:$G$800=G411))+1)/2)/COUNT($G$2:$G$800)</f>
        <v>0.355444305381727</v>
      </c>
      <c r="J411" s="0" t="n">
        <v>5.7327804499303</v>
      </c>
      <c r="K411" s="0" t="n">
        <v>2.50887573964496</v>
      </c>
      <c r="L411" s="0" t="n">
        <v>0.165680473372778</v>
      </c>
      <c r="M411" s="0" t="n">
        <f aca="false">IF(OR(B411="NW",COUNT(Risk_Rank_Keys!B411)=0),0.5,(SUMPRODUCT(--ISNUMBER(Risk_Rank_Keys!$B$2:$B$800),--(Risk_Rank_Keys!$B$2:$B$800&lt;Risk_Rank_Keys!B411))+(SUMPRODUCT(--ISNUMBER(Risk_Rank_Keys!$B$2:$B$800),--(Risk_Rank_Keys!$B$2:$B$800=Risk_Rank_Keys!B411))+1)/2)/COUNT(Risk_Rank_Keys!$B$2:$B$800))</f>
        <v>0.195258019525802</v>
      </c>
      <c r="N411" s="0" t="n">
        <f aca="false">IF(OR(B411="NW",COUNT(Risk_Rank_Keys!C411)=0),0.5,(SUMPRODUCT(--ISNUMBER(Risk_Rank_Keys!$C$2:$C$800),--(Risk_Rank_Keys!$C$2:$C$800&lt;Risk_Rank_Keys!C411))+(SUMPRODUCT(--ISNUMBER(Risk_Rank_Keys!$C$2:$C$800),--(Risk_Rank_Keys!$C$2:$C$800=Risk_Rank_Keys!C411))+1)/2)/COUNT(Risk_Rank_Keys!$C$2:$C$800))</f>
        <v>0.390516039051604</v>
      </c>
      <c r="O411" s="0" t="n">
        <f aca="false">IF(OR(B411="NW",COUNT(Risk_Rank_Keys!D411)=0),0.5,(SUMPRODUCT(--ISNUMBER(Risk_Rank_Keys!$D$2:$D$800),--(Risk_Rank_Keys!$D$2:$D$800&lt;Risk_Rank_Keys!D411))+(SUMPRODUCT(--ISNUMBER(Risk_Rank_Keys!$D$2:$D$800),--(Risk_Rank_Keys!$D$2:$D$800=Risk_Rank_Keys!D411))+1)/2)/COUNT(Risk_Rank_Keys!$D$2:$D$800))</f>
        <v>0.153417015341702</v>
      </c>
      <c r="P411" s="0" t="n">
        <f aca="false">AVERAGE(M411:O411)</f>
        <v>0.246397024639702</v>
      </c>
      <c r="Q411" s="0" t="n">
        <f aca="false">0.4*H411+0.4*I411+0.2*P411</f>
        <v>0.276563510059355</v>
      </c>
      <c r="R411" s="0" t="n">
        <f aca="false">PERCENTILE($Q$2:$Q$800,0.75)</f>
        <v>0.667715717403612</v>
      </c>
      <c r="S411" s="1" t="b">
        <f aca="false">OR(Q411&gt;=R411,AND(B411="CW",COUNT(J411:L411)&lt;3))</f>
        <v>0</v>
      </c>
      <c r="T411" s="0" t="n">
        <v>0.237957342664754</v>
      </c>
      <c r="U411" s="0" t="n">
        <v>6.56138105867423</v>
      </c>
      <c r="V411" s="0" t="n">
        <v>0.276563510059355</v>
      </c>
      <c r="W411" s="0" t="n">
        <f aca="false">Q411-V411</f>
        <v>0</v>
      </c>
    </row>
    <row r="412" customFormat="false" ht="15" hidden="false" customHeight="false" outlineLevel="0" collapsed="false">
      <c r="A412" s="0" t="s">
        <v>446</v>
      </c>
      <c r="B412" s="0" t="s">
        <v>3013</v>
      </c>
      <c r="C412" s="0" t="n">
        <v>26.6897137206334</v>
      </c>
      <c r="D412" s="0" t="n">
        <f aca="false">SUMPRODUCT(Risk_Inputs!B412:AJ412,Risk_Coefs!$B$2:$AJ$2)</f>
        <v>-0.922426463469332</v>
      </c>
      <c r="E412" s="0" t="n">
        <f aca="false">1/(1+EXP(-MAX(-25,MIN(25,D412))))</f>
        <v>0.28446374372824</v>
      </c>
      <c r="F412" s="0" t="n">
        <f aca="false">SUMPRODUCT(Risk_Inputs!B412:AJ412,Risk_Coefs!$B$3:$AJ$3)</f>
        <v>8.73456028010419</v>
      </c>
      <c r="G412" s="0" t="n">
        <f aca="false">MAX(0,F412)</f>
        <v>8.73456028010419</v>
      </c>
      <c r="H412" s="0" t="n">
        <f aca="false">(SUMPRODUCT(--ISNUMBER($E$2:$E$800),--($E$2:$E$800&lt;E412))+(SUMPRODUCT(--ISNUMBER($E$2:$E$800),--($E$2:$E$800=E412))+1)/2)/COUNT($E$2:$E$800)</f>
        <v>0.484355444305382</v>
      </c>
      <c r="I412" s="0" t="n">
        <f aca="false">(SUMPRODUCT(--ISNUMBER($G$2:$G$800),--($G$2:$G$800&lt;G412))+(SUMPRODUCT(--ISNUMBER($G$2:$G$800),--($G$2:$G$800=G412))+1)/2)/COUNT($G$2:$G$800)</f>
        <v>0.638297872340426</v>
      </c>
      <c r="J412" s="0" t="n">
        <v>5.30998960759177</v>
      </c>
      <c r="K412" s="0" t="n">
        <v>4.26368309646206</v>
      </c>
      <c r="L412" s="0" t="n">
        <v>0.151194436044762</v>
      </c>
      <c r="M412" s="0" t="n">
        <f aca="false">IF(OR(B412="NW",COUNT(Risk_Rank_Keys!B412)=0),0.5,(SUMPRODUCT(--ISNUMBER(Risk_Rank_Keys!$B$2:$B$800),--(Risk_Rank_Keys!$B$2:$B$800&lt;Risk_Rank_Keys!B412))+(SUMPRODUCT(--ISNUMBER(Risk_Rank_Keys!$B$2:$B$800),--(Risk_Rank_Keys!$B$2:$B$800=Risk_Rank_Keys!B412))+1)/2)/COUNT(Risk_Rank_Keys!$B$2:$B$800))</f>
        <v>0.149232914923292</v>
      </c>
      <c r="N412" s="0" t="n">
        <f aca="false">IF(OR(B412="NW",COUNT(Risk_Rank_Keys!C412)=0),0.5,(SUMPRODUCT(--ISNUMBER(Risk_Rank_Keys!$C$2:$C$800),--(Risk_Rank_Keys!$C$2:$C$800&lt;Risk_Rank_Keys!C412))+(SUMPRODUCT(--ISNUMBER(Risk_Rank_Keys!$C$2:$C$800),--(Risk_Rank_Keys!$C$2:$C$800=Risk_Rank_Keys!C412))+1)/2)/COUNT(Risk_Rank_Keys!$C$2:$C$800))</f>
        <v>0.622036262203626</v>
      </c>
      <c r="O412" s="0" t="n">
        <f aca="false">IF(OR(B412="NW",COUNT(Risk_Rank_Keys!D412)=0),0.5,(SUMPRODUCT(--ISNUMBER(Risk_Rank_Keys!$D$2:$D$800),--(Risk_Rank_Keys!$D$2:$D$800&lt;Risk_Rank_Keys!D412))+(SUMPRODUCT(--ISNUMBER(Risk_Rank_Keys!$D$2:$D$800),--(Risk_Rank_Keys!$D$2:$D$800=Risk_Rank_Keys!D412))+1)/2)/COUNT(Risk_Rank_Keys!$D$2:$D$800))</f>
        <v>0.111576011157601</v>
      </c>
      <c r="P412" s="0" t="n">
        <f aca="false">AVERAGE(M412:O412)</f>
        <v>0.294281729428173</v>
      </c>
      <c r="Q412" s="0" t="n">
        <f aca="false">0.4*H412+0.4*I412+0.2*P412</f>
        <v>0.507917672543958</v>
      </c>
      <c r="R412" s="0" t="n">
        <f aca="false">PERCENTILE($Q$2:$Q$800,0.75)</f>
        <v>0.667715717403612</v>
      </c>
      <c r="S412" s="1" t="b">
        <f aca="false">OR(Q412&gt;=R412,AND(B412="CW",COUNT(J412:L412)&lt;3))</f>
        <v>0</v>
      </c>
      <c r="T412" s="0" t="n">
        <v>0.28446374372824</v>
      </c>
      <c r="U412" s="0" t="n">
        <v>8.73456028010419</v>
      </c>
      <c r="V412" s="0" t="n">
        <v>0.507917672543958</v>
      </c>
      <c r="W412" s="0" t="n">
        <f aca="false">Q412-V412</f>
        <v>0</v>
      </c>
    </row>
    <row r="413" customFormat="false" ht="15" hidden="false" customHeight="false" outlineLevel="0" collapsed="false">
      <c r="A413" s="0" t="s">
        <v>447</v>
      </c>
      <c r="B413" s="0" t="s">
        <v>3013</v>
      </c>
      <c r="C413" s="0" t="n">
        <v>16.6839981861722</v>
      </c>
      <c r="D413" s="0" t="n">
        <f aca="false">SUMPRODUCT(Risk_Inputs!B413:AJ413,Risk_Coefs!$B$2:$AJ$2)</f>
        <v>-0.891077699784904</v>
      </c>
      <c r="E413" s="0" t="n">
        <f aca="false">1/(1+EXP(-MAX(-25,MIN(25,D413))))</f>
        <v>0.290887478107059</v>
      </c>
      <c r="F413" s="0" t="n">
        <f aca="false">SUMPRODUCT(Risk_Inputs!B413:AJ413,Risk_Coefs!$B$3:$AJ$3)</f>
        <v>5.75844352554129</v>
      </c>
      <c r="G413" s="0" t="n">
        <f aca="false">MAX(0,F413)</f>
        <v>5.75844352554129</v>
      </c>
      <c r="H413" s="0" t="n">
        <f aca="false">(SUMPRODUCT(--ISNUMBER($E$2:$E$800),--($E$2:$E$800&lt;E413))+(SUMPRODUCT(--ISNUMBER($E$2:$E$800),--($E$2:$E$800=E413))+1)/2)/COUNT($E$2:$E$800)</f>
        <v>0.528160200250313</v>
      </c>
      <c r="I413" s="0" t="n">
        <f aca="false">(SUMPRODUCT(--ISNUMBER($G$2:$G$800),--($G$2:$G$800&lt;G413))+(SUMPRODUCT(--ISNUMBER($G$2:$G$800),--($G$2:$G$800=G413))+1)/2)/COUNT($G$2:$G$800)</f>
        <v>0.234042553191489</v>
      </c>
      <c r="J413" s="0" t="n">
        <v>3.47570180000687</v>
      </c>
      <c r="K413" s="0" t="n">
        <v>2.03288490284006</v>
      </c>
      <c r="L413" s="0" t="n">
        <v>0.239162929745884</v>
      </c>
      <c r="M413" s="0" t="n">
        <f aca="false">IF(OR(B413="NW",COUNT(Risk_Rank_Keys!B413)=0),0.5,(SUMPRODUCT(--ISNUMBER(Risk_Rank_Keys!$B$2:$B$800),--(Risk_Rank_Keys!$B$2:$B$800&lt;Risk_Rank_Keys!B413))+(SUMPRODUCT(--ISNUMBER(Risk_Rank_Keys!$B$2:$B$800),--(Risk_Rank_Keys!$B$2:$B$800=Risk_Rank_Keys!B413))+1)/2)/COUNT(Risk_Rank_Keys!$B$2:$B$800))</f>
        <v>0.0418410041841004</v>
      </c>
      <c r="N413" s="0" t="n">
        <f aca="false">IF(OR(B413="NW",COUNT(Risk_Rank_Keys!C413)=0),0.5,(SUMPRODUCT(--ISNUMBER(Risk_Rank_Keys!$C$2:$C$800),--(Risk_Rank_Keys!$C$2:$C$800&lt;Risk_Rank_Keys!C413))+(SUMPRODUCT(--ISNUMBER(Risk_Rank_Keys!$C$2:$C$800),--(Risk_Rank_Keys!$C$2:$C$800=Risk_Rank_Keys!C413))+1)/2)/COUNT(Risk_Rank_Keys!$C$2:$C$800))</f>
        <v>0.278940027894003</v>
      </c>
      <c r="O413" s="0" t="n">
        <f aca="false">IF(OR(B413="NW",COUNT(Risk_Rank_Keys!D413)=0),0.5,(SUMPRODUCT(--ISNUMBER(Risk_Rank_Keys!$D$2:$D$800),--(Risk_Rank_Keys!$D$2:$D$800&lt;Risk_Rank_Keys!D413))+(SUMPRODUCT(--ISNUMBER(Risk_Rank_Keys!$D$2:$D$800),--(Risk_Rank_Keys!$D$2:$D$800=Risk_Rank_Keys!D413))+1)/2)/COUNT(Risk_Rank_Keys!$D$2:$D$800))</f>
        <v>0.536959553695955</v>
      </c>
      <c r="P413" s="0" t="n">
        <f aca="false">AVERAGE(M413:O413)</f>
        <v>0.285913528591353</v>
      </c>
      <c r="Q413" s="0" t="n">
        <f aca="false">0.4*H413+0.4*I413+0.2*P413</f>
        <v>0.362063807094992</v>
      </c>
      <c r="R413" s="0" t="n">
        <f aca="false">PERCENTILE($Q$2:$Q$800,0.75)</f>
        <v>0.667715717403612</v>
      </c>
      <c r="S413" s="1" t="b">
        <f aca="false">OR(Q413&gt;=R413,AND(B413="CW",COUNT(J413:L413)&lt;3))</f>
        <v>0</v>
      </c>
      <c r="T413" s="0" t="n">
        <v>0.290887478107059</v>
      </c>
      <c r="U413" s="0" t="n">
        <v>5.75844352554129</v>
      </c>
      <c r="V413" s="0" t="n">
        <v>0.362063807094992</v>
      </c>
      <c r="W413" s="0" t="n">
        <f aca="false">Q413-V413</f>
        <v>0</v>
      </c>
    </row>
    <row r="414" customFormat="false" ht="15" hidden="false" customHeight="false" outlineLevel="0" collapsed="false">
      <c r="A414" s="0" t="s">
        <v>448</v>
      </c>
      <c r="B414" s="0" t="s">
        <v>3013</v>
      </c>
      <c r="C414" s="0" t="n">
        <v>26.0186340939317</v>
      </c>
      <c r="D414" s="0" t="n">
        <f aca="false">SUMPRODUCT(Risk_Inputs!B414:AJ414,Risk_Coefs!$B$2:$AJ$2)</f>
        <v>-1.14880392214854</v>
      </c>
      <c r="E414" s="0" t="n">
        <f aca="false">1/(1+EXP(-MAX(-25,MIN(25,D414))))</f>
        <v>0.240707619361803</v>
      </c>
      <c r="F414" s="0" t="n">
        <f aca="false">SUMPRODUCT(Risk_Inputs!B414:AJ414,Risk_Coefs!$B$3:$AJ$3)</f>
        <v>4.65124179915812</v>
      </c>
      <c r="G414" s="0" t="n">
        <f aca="false">MAX(0,F414)</f>
        <v>4.65124179915812</v>
      </c>
      <c r="H414" s="0" t="n">
        <f aca="false">(SUMPRODUCT(--ISNUMBER($E$2:$E$800),--($E$2:$E$800&lt;E414))+(SUMPRODUCT(--ISNUMBER($E$2:$E$800),--($E$2:$E$800=E414))+1)/2)/COUNT($E$2:$E$800)</f>
        <v>0.230287859824781</v>
      </c>
      <c r="I414" s="0" t="n">
        <f aca="false">(SUMPRODUCT(--ISNUMBER($G$2:$G$800),--($G$2:$G$800&lt;G414))+(SUMPRODUCT(--ISNUMBER($G$2:$G$800),--($G$2:$G$800=G414))+1)/2)/COUNT($G$2:$G$800)</f>
        <v>0.097622027534418</v>
      </c>
      <c r="J414" s="0" t="n">
        <v>5.51766925513934</v>
      </c>
      <c r="K414" s="0" t="n">
        <v>1.29427792915532</v>
      </c>
      <c r="L414" s="0" t="n">
        <v>0.249772933696638</v>
      </c>
      <c r="M414" s="0" t="n">
        <f aca="false">IF(OR(B414="NW",COUNT(Risk_Rank_Keys!B414)=0),0.5,(SUMPRODUCT(--ISNUMBER(Risk_Rank_Keys!$B$2:$B$800),--(Risk_Rank_Keys!$B$2:$B$800&lt;Risk_Rank_Keys!B414))+(SUMPRODUCT(--ISNUMBER(Risk_Rank_Keys!$B$2:$B$800),--(Risk_Rank_Keys!$B$2:$B$800=Risk_Rank_Keys!B414))+1)/2)/COUNT(Risk_Rank_Keys!$B$2:$B$800))</f>
        <v>0.170153417015342</v>
      </c>
      <c r="N414" s="0" t="n">
        <f aca="false">IF(OR(B414="NW",COUNT(Risk_Rank_Keys!C414)=0),0.5,(SUMPRODUCT(--ISNUMBER(Risk_Rank_Keys!$C$2:$C$800),--(Risk_Rank_Keys!$C$2:$C$800&lt;Risk_Rank_Keys!C414))+(SUMPRODUCT(--ISNUMBER(Risk_Rank_Keys!$C$2:$C$800),--(Risk_Rank_Keys!$C$2:$C$800=Risk_Rank_Keys!C414))+1)/2)/COUNT(Risk_Rank_Keys!$C$2:$C$800))</f>
        <v>0.0864714086471409</v>
      </c>
      <c r="O414" s="0" t="n">
        <f aca="false">IF(OR(B414="NW",COUNT(Risk_Rank_Keys!D414)=0),0.5,(SUMPRODUCT(--ISNUMBER(Risk_Rank_Keys!$D$2:$D$800),--(Risk_Rank_Keys!$D$2:$D$800&lt;Risk_Rank_Keys!D414))+(SUMPRODUCT(--ISNUMBER(Risk_Rank_Keys!$D$2:$D$800),--(Risk_Rank_Keys!$D$2:$D$800=Risk_Rank_Keys!D414))+1)/2)/COUNT(Risk_Rank_Keys!$D$2:$D$800))</f>
        <v>0.585774058577406</v>
      </c>
      <c r="P414" s="0" t="n">
        <f aca="false">AVERAGE(M414:O414)</f>
        <v>0.280799628079963</v>
      </c>
      <c r="Q414" s="0" t="n">
        <f aca="false">0.4*H414+0.4*I414+0.2*P414</f>
        <v>0.187323880559672</v>
      </c>
      <c r="R414" s="0" t="n">
        <f aca="false">PERCENTILE($Q$2:$Q$800,0.75)</f>
        <v>0.667715717403612</v>
      </c>
      <c r="S414" s="1" t="b">
        <f aca="false">OR(Q414&gt;=R414,AND(B414="CW",COUNT(J414:L414)&lt;3))</f>
        <v>0</v>
      </c>
      <c r="T414" s="0" t="n">
        <v>0.240707619361803</v>
      </c>
      <c r="U414" s="0" t="n">
        <v>4.65124179915812</v>
      </c>
      <c r="V414" s="0" t="n">
        <v>0.187323880559672</v>
      </c>
      <c r="W414" s="0" t="n">
        <f aca="false">Q414-V414</f>
        <v>0</v>
      </c>
    </row>
    <row r="415" customFormat="false" ht="15" hidden="false" customHeight="false" outlineLevel="0" collapsed="false">
      <c r="A415" s="0" t="s">
        <v>449</v>
      </c>
      <c r="B415" s="0" t="s">
        <v>3013</v>
      </c>
      <c r="C415" s="0" t="n">
        <v>20.3055056868342</v>
      </c>
      <c r="D415" s="0" t="n">
        <f aca="false">SUMPRODUCT(Risk_Inputs!B415:AJ415,Risk_Coefs!$B$2:$AJ$2)</f>
        <v>-0.980464336284681</v>
      </c>
      <c r="E415" s="0" t="n">
        <f aca="false">1/(1+EXP(-MAX(-25,MIN(25,D415))))</f>
        <v>0.272799658907127</v>
      </c>
      <c r="F415" s="0" t="n">
        <f aca="false">SUMPRODUCT(Risk_Inputs!B415:AJ415,Risk_Coefs!$B$3:$AJ$3)</f>
        <v>6.26590655633532</v>
      </c>
      <c r="G415" s="0" t="n">
        <f aca="false">MAX(0,F415)</f>
        <v>6.26590655633532</v>
      </c>
      <c r="H415" s="0" t="n">
        <f aca="false">(SUMPRODUCT(--ISNUMBER($E$2:$E$800),--($E$2:$E$800&lt;E415))+(SUMPRODUCT(--ISNUMBER($E$2:$E$800),--($E$2:$E$800=E415))+1)/2)/COUNT($E$2:$E$800)</f>
        <v>0.408010012515645</v>
      </c>
      <c r="I415" s="0" t="n">
        <f aca="false">(SUMPRODUCT(--ISNUMBER($G$2:$G$800),--($G$2:$G$800&lt;G415))+(SUMPRODUCT(--ISNUMBER($G$2:$G$800),--($G$2:$G$800=G415))+1)/2)/COUNT($G$2:$G$800)</f>
        <v>0.306633291614518</v>
      </c>
      <c r="J415" s="0" t="n">
        <v>4.57831447202822</v>
      </c>
      <c r="K415" s="0" t="n">
        <v>1.0387811634349</v>
      </c>
      <c r="L415" s="0" t="n">
        <v>0.207756232686984</v>
      </c>
      <c r="M415" s="0" t="n">
        <f aca="false">IF(OR(B415="NW",COUNT(Risk_Rank_Keys!B415)=0),0.5,(SUMPRODUCT(--ISNUMBER(Risk_Rank_Keys!$B$2:$B$800),--(Risk_Rank_Keys!$B$2:$B$800&lt;Risk_Rank_Keys!B415))+(SUMPRODUCT(--ISNUMBER(Risk_Rank_Keys!$B$2:$B$800),--(Risk_Rank_Keys!$B$2:$B$800=Risk_Rank_Keys!B415))+1)/2)/COUNT(Risk_Rank_Keys!$B$2:$B$800))</f>
        <v>0.104602510460251</v>
      </c>
      <c r="N415" s="0" t="n">
        <f aca="false">IF(OR(B415="NW",COUNT(Risk_Rank_Keys!C415)=0),0.5,(SUMPRODUCT(--ISNUMBER(Risk_Rank_Keys!$C$2:$C$800),--(Risk_Rank_Keys!$C$2:$C$800&lt;Risk_Rank_Keys!C415))+(SUMPRODUCT(--ISNUMBER(Risk_Rank_Keys!$C$2:$C$800),--(Risk_Rank_Keys!$C$2:$C$800=Risk_Rank_Keys!C415))+1)/2)/COUNT(Risk_Rank_Keys!$C$2:$C$800))</f>
        <v>0.0306834030683403</v>
      </c>
      <c r="O415" s="0" t="n">
        <f aca="false">IF(OR(B415="NW",COUNT(Risk_Rank_Keys!D415)=0),0.5,(SUMPRODUCT(--ISNUMBER(Risk_Rank_Keys!$D$2:$D$800),--(Risk_Rank_Keys!$D$2:$D$800&lt;Risk_Rank_Keys!D415))+(SUMPRODUCT(--ISNUMBER(Risk_Rank_Keys!$D$2:$D$800),--(Risk_Rank_Keys!$D$2:$D$800=Risk_Rank_Keys!D415))+1)/2)/COUNT(Risk_Rank_Keys!$D$2:$D$800))</f>
        <v>0.361227336122734</v>
      </c>
      <c r="P415" s="0" t="n">
        <f aca="false">AVERAGE(M415:O415)</f>
        <v>0.165504416550442</v>
      </c>
      <c r="Q415" s="0" t="n">
        <f aca="false">0.4*H415+0.4*I415+0.2*P415</f>
        <v>0.318958204962153</v>
      </c>
      <c r="R415" s="0" t="n">
        <f aca="false">PERCENTILE($Q$2:$Q$800,0.75)</f>
        <v>0.667715717403612</v>
      </c>
      <c r="S415" s="1" t="b">
        <f aca="false">OR(Q415&gt;=R415,AND(B415="CW",COUNT(J415:L415)&lt;3))</f>
        <v>0</v>
      </c>
      <c r="T415" s="0" t="n">
        <v>0.272799658907127</v>
      </c>
      <c r="U415" s="0" t="n">
        <v>6.26590655633532</v>
      </c>
      <c r="V415" s="0" t="n">
        <v>0.318958204962153</v>
      </c>
      <c r="W415" s="0" t="n">
        <f aca="false">Q415-V415</f>
        <v>0</v>
      </c>
    </row>
    <row r="416" customFormat="false" ht="15" hidden="false" customHeight="false" outlineLevel="0" collapsed="false">
      <c r="A416" s="0" t="s">
        <v>450</v>
      </c>
      <c r="B416" s="0" t="s">
        <v>3013</v>
      </c>
      <c r="C416" s="0" t="n">
        <v>4.4025439655117</v>
      </c>
      <c r="D416" s="0" t="n">
        <f aca="false">SUMPRODUCT(Risk_Inputs!B416:AJ416,Risk_Coefs!$B$2:$AJ$2)</f>
        <v>-0.486773625215125</v>
      </c>
      <c r="E416" s="0" t="n">
        <f aca="false">1/(1+EXP(-MAX(-25,MIN(25,D416))))</f>
        <v>0.380653913086575</v>
      </c>
      <c r="F416" s="0" t="n">
        <f aca="false">SUMPRODUCT(Risk_Inputs!B416:AJ416,Risk_Coefs!$B$3:$AJ$3)</f>
        <v>11.0240913135415</v>
      </c>
      <c r="G416" s="0" t="n">
        <f aca="false">MAX(0,F416)</f>
        <v>11.0240913135415</v>
      </c>
      <c r="H416" s="0" t="n">
        <f aca="false">(SUMPRODUCT(--ISNUMBER($E$2:$E$800),--($E$2:$E$800&lt;E416))+(SUMPRODUCT(--ISNUMBER($E$2:$E$800),--($E$2:$E$800=E416))+1)/2)/COUNT($E$2:$E$800)</f>
        <v>0.899874843554443</v>
      </c>
      <c r="I416" s="0" t="n">
        <f aca="false">(SUMPRODUCT(--ISNUMBER($G$2:$G$800),--($G$2:$G$800&lt;G416))+(SUMPRODUCT(--ISNUMBER($G$2:$G$800),--($G$2:$G$800=G416))+1)/2)/COUNT($G$2:$G$800)</f>
        <v>0.881101376720901</v>
      </c>
      <c r="J416" s="0" t="n">
        <v>5.31985636387892</v>
      </c>
      <c r="K416" s="0" t="n">
        <v>3.7022900763359</v>
      </c>
      <c r="L416" s="0" t="n">
        <v>0.229007633587795</v>
      </c>
      <c r="M416" s="0" t="n">
        <f aca="false">IF(OR(B416="NW",COUNT(Risk_Rank_Keys!B416)=0),0.5,(SUMPRODUCT(--ISNUMBER(Risk_Rank_Keys!$B$2:$B$800),--(Risk_Rank_Keys!$B$2:$B$800&lt;Risk_Rank_Keys!B416))+(SUMPRODUCT(--ISNUMBER(Risk_Rank_Keys!$B$2:$B$800),--(Risk_Rank_Keys!$B$2:$B$800=Risk_Rank_Keys!B416))+1)/2)/COUNT(Risk_Rank_Keys!$B$2:$B$800))</f>
        <v>0.152022315202232</v>
      </c>
      <c r="N416" s="0" t="n">
        <f aca="false">IF(OR(B416="NW",COUNT(Risk_Rank_Keys!C416)=0),0.5,(SUMPRODUCT(--ISNUMBER(Risk_Rank_Keys!$C$2:$C$800),--(Risk_Rank_Keys!$C$2:$C$800&lt;Risk_Rank_Keys!C416))+(SUMPRODUCT(--ISNUMBER(Risk_Rank_Keys!$C$2:$C$800),--(Risk_Rank_Keys!$C$2:$C$800=Risk_Rank_Keys!C416))+1)/2)/COUNT(Risk_Rank_Keys!$C$2:$C$800))</f>
        <v>0.557880055788006</v>
      </c>
      <c r="O416" s="0" t="n">
        <f aca="false">IF(OR(B416="NW",COUNT(Risk_Rank_Keys!D416)=0),0.5,(SUMPRODUCT(--ISNUMBER(Risk_Rank_Keys!$D$2:$D$800),--(Risk_Rank_Keys!$D$2:$D$800&lt;Risk_Rank_Keys!D416))+(SUMPRODUCT(--ISNUMBER(Risk_Rank_Keys!$D$2:$D$800),--(Risk_Rank_Keys!$D$2:$D$800=Risk_Rank_Keys!D416))+1)/2)/COUNT(Risk_Rank_Keys!$D$2:$D$800))</f>
        <v>0.495118549511855</v>
      </c>
      <c r="P416" s="0" t="n">
        <f aca="false">AVERAGE(M416:O416)</f>
        <v>0.401673640167364</v>
      </c>
      <c r="Q416" s="0" t="n">
        <f aca="false">0.4*H416+0.4*I416+0.2*P416</f>
        <v>0.792725216143611</v>
      </c>
      <c r="R416" s="0" t="n">
        <f aca="false">PERCENTILE($Q$2:$Q$800,0.75)</f>
        <v>0.667715717403612</v>
      </c>
      <c r="S416" s="1" t="b">
        <f aca="false">OR(Q416&gt;=R416,AND(B416="CW",COUNT(J416:L416)&lt;3))</f>
        <v>1</v>
      </c>
      <c r="T416" s="0" t="n">
        <v>0.380653913086575</v>
      </c>
      <c r="U416" s="0" t="n">
        <v>11.0240913135415</v>
      </c>
      <c r="V416" s="0" t="n">
        <v>0.792725216143611</v>
      </c>
      <c r="W416" s="0" t="n">
        <f aca="false">Q416-V416</f>
        <v>0</v>
      </c>
    </row>
    <row r="417" customFormat="false" ht="15" hidden="false" customHeight="false" outlineLevel="0" collapsed="false">
      <c r="A417" s="0" t="s">
        <v>451</v>
      </c>
      <c r="B417" s="0" t="s">
        <v>33</v>
      </c>
      <c r="C417" s="0" t="n">
        <v>9.96427612811733</v>
      </c>
      <c r="D417" s="0" t="n">
        <f aca="false">SUMPRODUCT(Risk_Inputs!B417:AJ417,Risk_Coefs!$B$2:$AJ$2)</f>
        <v>-0.651042384310086</v>
      </c>
      <c r="E417" s="0" t="n">
        <f aca="false">1/(1+EXP(-MAX(-25,MIN(25,D417))))</f>
        <v>0.342754676864237</v>
      </c>
      <c r="F417" s="0" t="n">
        <f aca="false">SUMPRODUCT(Risk_Inputs!B417:AJ417,Risk_Coefs!$B$3:$AJ$3)</f>
        <v>9.75827320290238</v>
      </c>
      <c r="G417" s="0" t="n">
        <f aca="false">MAX(0,F417)</f>
        <v>9.75827320290238</v>
      </c>
      <c r="H417" s="0" t="n">
        <f aca="false">(SUMPRODUCT(--ISNUMBER($E$2:$E$800),--($E$2:$E$800&lt;E417))+(SUMPRODUCT(--ISNUMBER($E$2:$E$800),--($E$2:$E$800=E417))+1)/2)/COUNT($E$2:$E$800)</f>
        <v>0.793491864831039</v>
      </c>
      <c r="I417" s="0" t="n">
        <f aca="false">(SUMPRODUCT(--ISNUMBER($G$2:$G$800),--($G$2:$G$800&lt;G417))+(SUMPRODUCT(--ISNUMBER($G$2:$G$800),--($G$2:$G$800=G417))+1)/2)/COUNT($G$2:$G$800)</f>
        <v>0.760951188986233</v>
      </c>
      <c r="M417" s="0" t="n">
        <f aca="false">IF(OR(B417="NW",COUNT(Risk_Rank_Keys!B417)=0),0.5,(SUMPRODUCT(--ISNUMBER(Risk_Rank_Keys!$B$2:$B$800),--(Risk_Rank_Keys!$B$2:$B$800&lt;Risk_Rank_Keys!B417))+(SUMPRODUCT(--ISNUMBER(Risk_Rank_Keys!$B$2:$B$800),--(Risk_Rank_Keys!$B$2:$B$800=Risk_Rank_Keys!B417))+1)/2)/COUNT(Risk_Rank_Keys!$B$2:$B$800))</f>
        <v>0.5</v>
      </c>
      <c r="N417" s="0" t="n">
        <f aca="false">IF(OR(B417="NW",COUNT(Risk_Rank_Keys!C417)=0),0.5,(SUMPRODUCT(--ISNUMBER(Risk_Rank_Keys!$C$2:$C$800),--(Risk_Rank_Keys!$C$2:$C$800&lt;Risk_Rank_Keys!C417))+(SUMPRODUCT(--ISNUMBER(Risk_Rank_Keys!$C$2:$C$800),--(Risk_Rank_Keys!$C$2:$C$800=Risk_Rank_Keys!C417))+1)/2)/COUNT(Risk_Rank_Keys!$C$2:$C$800))</f>
        <v>0.5</v>
      </c>
      <c r="O417" s="0" t="n">
        <f aca="false">IF(OR(B417="NW",COUNT(Risk_Rank_Keys!D417)=0),0.5,(SUMPRODUCT(--ISNUMBER(Risk_Rank_Keys!$D$2:$D$800),--(Risk_Rank_Keys!$D$2:$D$800&lt;Risk_Rank_Keys!D417))+(SUMPRODUCT(--ISNUMBER(Risk_Rank_Keys!$D$2:$D$800),--(Risk_Rank_Keys!$D$2:$D$800=Risk_Rank_Keys!D417))+1)/2)/COUNT(Risk_Rank_Keys!$D$2:$D$800))</f>
        <v>0.5</v>
      </c>
      <c r="P417" s="0" t="n">
        <f aca="false">AVERAGE(M417:O417)</f>
        <v>0.5</v>
      </c>
      <c r="Q417" s="0" t="n">
        <f aca="false">0.4*H417+0.4*I417+0.2*P417</f>
        <v>0.721777221526909</v>
      </c>
      <c r="R417" s="0" t="n">
        <f aca="false">PERCENTILE($Q$2:$Q$800,0.75)</f>
        <v>0.667715717403612</v>
      </c>
      <c r="S417" s="1" t="b">
        <f aca="false">OR(Q417&gt;=R417,AND(B417="CW",COUNT(J417:L417)&lt;3))</f>
        <v>1</v>
      </c>
      <c r="T417" s="0" t="n">
        <v>0.342754676864237</v>
      </c>
      <c r="U417" s="0" t="n">
        <v>9.75827320290238</v>
      </c>
      <c r="V417" s="0" t="n">
        <v>0.721777221526909</v>
      </c>
      <c r="W417" s="0" t="n">
        <f aca="false">Q417-V417</f>
        <v>0</v>
      </c>
    </row>
    <row r="418" customFormat="false" ht="15" hidden="false" customHeight="false" outlineLevel="0" collapsed="false">
      <c r="A418" s="0" t="s">
        <v>452</v>
      </c>
      <c r="B418" s="0" t="s">
        <v>3013</v>
      </c>
      <c r="C418" s="0" t="n">
        <v>13.5442955812356</v>
      </c>
      <c r="D418" s="0" t="n">
        <f aca="false">SUMPRODUCT(Risk_Inputs!B418:AJ418,Risk_Coefs!$B$2:$AJ$2)</f>
        <v>-1.01193043050936</v>
      </c>
      <c r="E418" s="0" t="n">
        <f aca="false">1/(1+EXP(-MAX(-25,MIN(25,D418))))</f>
        <v>0.266602232383416</v>
      </c>
      <c r="F418" s="0" t="n">
        <f aca="false">SUMPRODUCT(Risk_Inputs!B418:AJ418,Risk_Coefs!$B$3:$AJ$3)</f>
        <v>5.5022498343502</v>
      </c>
      <c r="G418" s="0" t="n">
        <f aca="false">MAX(0,F418)</f>
        <v>5.5022498343502</v>
      </c>
      <c r="H418" s="0" t="n">
        <f aca="false">(SUMPRODUCT(--ISNUMBER($E$2:$E$800),--($E$2:$E$800&lt;E418))+(SUMPRODUCT(--ISNUMBER($E$2:$E$800),--($E$2:$E$800=E418))+1)/2)/COUNT($E$2:$E$800)</f>
        <v>0.375469336670839</v>
      </c>
      <c r="I418" s="0" t="n">
        <f aca="false">(SUMPRODUCT(--ISNUMBER($G$2:$G$800),--($G$2:$G$800&lt;G418))+(SUMPRODUCT(--ISNUMBER($G$2:$G$800),--($G$2:$G$800=G418))+1)/2)/COUNT($G$2:$G$800)</f>
        <v>0.200250312891114</v>
      </c>
      <c r="J418" s="0" t="n">
        <v>2.9061763896097</v>
      </c>
      <c r="K418" s="0" t="n">
        <v>1.11888111888112</v>
      </c>
      <c r="L418" s="0" t="n">
        <v>0.174825174825175</v>
      </c>
      <c r="M418" s="0" t="n">
        <f aca="false">IF(OR(B418="NW",COUNT(Risk_Rank_Keys!B418)=0),0.5,(SUMPRODUCT(--ISNUMBER(Risk_Rank_Keys!$B$2:$B$800),--(Risk_Rank_Keys!$B$2:$B$800&lt;Risk_Rank_Keys!B418))+(SUMPRODUCT(--ISNUMBER(Risk_Rank_Keys!$B$2:$B$800),--(Risk_Rank_Keys!$B$2:$B$800=Risk_Rank_Keys!B418))+1)/2)/COUNT(Risk_Rank_Keys!$B$2:$B$800))</f>
        <v>0.0223152022315202</v>
      </c>
      <c r="N418" s="0" t="n">
        <f aca="false">IF(OR(B418="NW",COUNT(Risk_Rank_Keys!C418)=0),0.5,(SUMPRODUCT(--ISNUMBER(Risk_Rank_Keys!$C$2:$C$800),--(Risk_Rank_Keys!$C$2:$C$800&lt;Risk_Rank_Keys!C418))+(SUMPRODUCT(--ISNUMBER(Risk_Rank_Keys!$C$2:$C$800),--(Risk_Rank_Keys!$C$2:$C$800=Risk_Rank_Keys!C418))+1)/2)/COUNT(Risk_Rank_Keys!$C$2:$C$800))</f>
        <v>0.0474198047419805</v>
      </c>
      <c r="O418" s="0" t="n">
        <f aca="false">IF(OR(B418="NW",COUNT(Risk_Rank_Keys!D418)=0),0.5,(SUMPRODUCT(--ISNUMBER(Risk_Rank_Keys!$D$2:$D$800),--(Risk_Rank_Keys!$D$2:$D$800&lt;Risk_Rank_Keys!D418))+(SUMPRODUCT(--ISNUMBER(Risk_Rank_Keys!$D$2:$D$800),--(Risk_Rank_Keys!$D$2:$D$800=Risk_Rank_Keys!D418))+1)/2)/COUNT(Risk_Rank_Keys!$D$2:$D$800))</f>
        <v>0.188284518828452</v>
      </c>
      <c r="P418" s="0" t="n">
        <f aca="false">AVERAGE(M418:O418)</f>
        <v>0.0860065086006509</v>
      </c>
      <c r="Q418" s="0" t="n">
        <f aca="false">0.4*H418+0.4*I418+0.2*P418</f>
        <v>0.247489161544911</v>
      </c>
      <c r="R418" s="0" t="n">
        <f aca="false">PERCENTILE($Q$2:$Q$800,0.75)</f>
        <v>0.667715717403612</v>
      </c>
      <c r="S418" s="1" t="b">
        <f aca="false">OR(Q418&gt;=R418,AND(B418="CW",COUNT(J418:L418)&lt;3))</f>
        <v>0</v>
      </c>
      <c r="T418" s="0" t="n">
        <v>0.266602232383416</v>
      </c>
      <c r="U418" s="0" t="n">
        <v>5.5022498343502</v>
      </c>
      <c r="V418" s="0" t="n">
        <v>0.247489161544911</v>
      </c>
      <c r="W418" s="0" t="n">
        <f aca="false">Q418-V418</f>
        <v>0</v>
      </c>
    </row>
    <row r="419" customFormat="false" ht="15" hidden="false" customHeight="false" outlineLevel="0" collapsed="false">
      <c r="A419" s="0" t="s">
        <v>453</v>
      </c>
      <c r="B419" s="0" t="s">
        <v>3013</v>
      </c>
      <c r="C419" s="0" t="n">
        <v>10.6118178603059</v>
      </c>
      <c r="D419" s="0" t="n">
        <f aca="false">SUMPRODUCT(Risk_Inputs!B419:AJ419,Risk_Coefs!$B$2:$AJ$2)</f>
        <v>-1.15599804624285</v>
      </c>
      <c r="E419" s="0" t="n">
        <f aca="false">1/(1+EXP(-MAX(-25,MIN(25,D419))))</f>
        <v>0.239395221347863</v>
      </c>
      <c r="F419" s="0" t="n">
        <f aca="false">SUMPRODUCT(Risk_Inputs!B419:AJ419,Risk_Coefs!$B$3:$AJ$3)</f>
        <v>7.59699669089542</v>
      </c>
      <c r="G419" s="0" t="n">
        <f aca="false">MAX(0,F419)</f>
        <v>7.59699669089542</v>
      </c>
      <c r="H419" s="0" t="n">
        <f aca="false">(SUMPRODUCT(--ISNUMBER($E$2:$E$800),--($E$2:$E$800&lt;E419))+(SUMPRODUCT(--ISNUMBER($E$2:$E$800),--($E$2:$E$800=E419))+1)/2)/COUNT($E$2:$E$800)</f>
        <v>0.221526908635795</v>
      </c>
      <c r="I419" s="0" t="n">
        <f aca="false">(SUMPRODUCT(--ISNUMBER($G$2:$G$800),--($G$2:$G$800&lt;G419))+(SUMPRODUCT(--ISNUMBER($G$2:$G$800),--($G$2:$G$800=G419))+1)/2)/COUNT($G$2:$G$800)</f>
        <v>0.498122653316646</v>
      </c>
      <c r="J419" s="0" t="n">
        <v>22.6861527704415</v>
      </c>
      <c r="K419" s="0" t="n">
        <v>15.1682571572074</v>
      </c>
      <c r="L419" s="0" t="n">
        <v>0.301356102461072</v>
      </c>
      <c r="M419" s="0" t="n">
        <f aca="false">IF(OR(B419="NW",COUNT(Risk_Rank_Keys!B419)=0),0.5,(SUMPRODUCT(--ISNUMBER(Risk_Rank_Keys!$B$2:$B$800),--(Risk_Rank_Keys!$B$2:$B$800&lt;Risk_Rank_Keys!B419))+(SUMPRODUCT(--ISNUMBER(Risk_Rank_Keys!$B$2:$B$800),--(Risk_Rank_Keys!$B$2:$B$800=Risk_Rank_Keys!B419))+1)/2)/COUNT(Risk_Rank_Keys!$B$2:$B$800))</f>
        <v>0.829846582984658</v>
      </c>
      <c r="N419" s="0" t="n">
        <f aca="false">IF(OR(B419="NW",COUNT(Risk_Rank_Keys!C419)=0),0.5,(SUMPRODUCT(--ISNUMBER(Risk_Rank_Keys!$C$2:$C$800),--(Risk_Rank_Keys!$C$2:$C$800&lt;Risk_Rank_Keys!C419))+(SUMPRODUCT(--ISNUMBER(Risk_Rank_Keys!$C$2:$C$800),--(Risk_Rank_Keys!$C$2:$C$800=Risk_Rank_Keys!C419))+1)/2)/COUNT(Risk_Rank_Keys!$C$2:$C$800))</f>
        <v>0.930264993026499</v>
      </c>
      <c r="O419" s="0" t="n">
        <f aca="false">IF(OR(B419="NW",COUNT(Risk_Rank_Keys!D419)=0),0.5,(SUMPRODUCT(--ISNUMBER(Risk_Rank_Keys!$D$2:$D$800),--(Risk_Rank_Keys!$D$2:$D$800&lt;Risk_Rank_Keys!D419))+(SUMPRODUCT(--ISNUMBER(Risk_Rank_Keys!$D$2:$D$800),--(Risk_Rank_Keys!$D$2:$D$800=Risk_Rank_Keys!D419))+1)/2)/COUNT(Risk_Rank_Keys!$D$2:$D$800))</f>
        <v>0.747559274755927</v>
      </c>
      <c r="P419" s="0" t="n">
        <f aca="false">AVERAGE(M419:O419)</f>
        <v>0.835890283589028</v>
      </c>
      <c r="Q419" s="0" t="n">
        <f aca="false">0.4*H419+0.4*I419+0.2*P419</f>
        <v>0.455037881498782</v>
      </c>
      <c r="R419" s="0" t="n">
        <f aca="false">PERCENTILE($Q$2:$Q$800,0.75)</f>
        <v>0.667715717403612</v>
      </c>
      <c r="S419" s="1" t="b">
        <f aca="false">OR(Q419&gt;=R419,AND(B419="CW",COUNT(J419:L419)&lt;3))</f>
        <v>0</v>
      </c>
      <c r="T419" s="0" t="n">
        <v>0.239395221347863</v>
      </c>
      <c r="U419" s="0" t="n">
        <v>7.59699669089542</v>
      </c>
      <c r="V419" s="0" t="n">
        <v>0.455037881498782</v>
      </c>
      <c r="W419" s="0" t="n">
        <f aca="false">Q419-V419</f>
        <v>0</v>
      </c>
    </row>
    <row r="420" customFormat="false" ht="15" hidden="false" customHeight="false" outlineLevel="0" collapsed="false">
      <c r="A420" s="0" t="s">
        <v>454</v>
      </c>
      <c r="B420" s="0" t="s">
        <v>3013</v>
      </c>
      <c r="C420" s="0" t="n">
        <v>-8.18465714103412</v>
      </c>
      <c r="D420" s="0" t="n">
        <f aca="false">SUMPRODUCT(Risk_Inputs!B420:AJ420,Risk_Coefs!$B$2:$AJ$2)</f>
        <v>-0.500445336126335</v>
      </c>
      <c r="E420" s="0" t="n">
        <f aca="false">1/(1+EXP(-MAX(-25,MIN(25,D420))))</f>
        <v>0.377436018864152</v>
      </c>
      <c r="F420" s="0" t="n">
        <f aca="false">SUMPRODUCT(Risk_Inputs!B420:AJ420,Risk_Coefs!$B$3:$AJ$3)</f>
        <v>10.5361491938571</v>
      </c>
      <c r="G420" s="0" t="n">
        <f aca="false">MAX(0,F420)</f>
        <v>10.5361491938571</v>
      </c>
      <c r="H420" s="0" t="n">
        <f aca="false">(SUMPRODUCT(--ISNUMBER($E$2:$E$800),--($E$2:$E$800&lt;E420))+(SUMPRODUCT(--ISNUMBER($E$2:$E$800),--($E$2:$E$800=E420))+1)/2)/COUNT($E$2:$E$800)</f>
        <v>0.893617021276596</v>
      </c>
      <c r="I420" s="0" t="n">
        <f aca="false">(SUMPRODUCT(--ISNUMBER($G$2:$G$800),--($G$2:$G$800&lt;G420))+(SUMPRODUCT(--ISNUMBER($G$2:$G$800),--($G$2:$G$800=G420))+1)/2)/COUNT($G$2:$G$800)</f>
        <v>0.844806007509387</v>
      </c>
      <c r="J420" s="0" t="n">
        <v>3.62032814252245</v>
      </c>
      <c r="K420" s="0" t="n">
        <v>1.08958837772398</v>
      </c>
      <c r="L420" s="0" t="n">
        <v>0.24213075060533</v>
      </c>
      <c r="M420" s="0" t="n">
        <f aca="false">IF(OR(B420="NW",COUNT(Risk_Rank_Keys!B420)=0),0.5,(SUMPRODUCT(--ISNUMBER(Risk_Rank_Keys!$B$2:$B$800),--(Risk_Rank_Keys!$B$2:$B$800&lt;Risk_Rank_Keys!B420))+(SUMPRODUCT(--ISNUMBER(Risk_Rank_Keys!$B$2:$B$800),--(Risk_Rank_Keys!$B$2:$B$800=Risk_Rank_Keys!B420))+1)/2)/COUNT(Risk_Rank_Keys!$B$2:$B$800))</f>
        <v>0.0488145048814505</v>
      </c>
      <c r="N420" s="0" t="n">
        <f aca="false">IF(OR(B420="NW",COUNT(Risk_Rank_Keys!C420)=0),0.5,(SUMPRODUCT(--ISNUMBER(Risk_Rank_Keys!$C$2:$C$800),--(Risk_Rank_Keys!$C$2:$C$800&lt;Risk_Rank_Keys!C420))+(SUMPRODUCT(--ISNUMBER(Risk_Rank_Keys!$C$2:$C$800),--(Risk_Rank_Keys!$C$2:$C$800=Risk_Rank_Keys!C420))+1)/2)/COUNT(Risk_Rank_Keys!$C$2:$C$800))</f>
        <v>0.0418410041841004</v>
      </c>
      <c r="O420" s="0" t="n">
        <f aca="false">IF(OR(B420="NW",COUNT(Risk_Rank_Keys!D420)=0),0.5,(SUMPRODUCT(--ISNUMBER(Risk_Rank_Keys!$D$2:$D$800),--(Risk_Rank_Keys!$D$2:$D$800&lt;Risk_Rank_Keys!D420))+(SUMPRODUCT(--ISNUMBER(Risk_Rank_Keys!$D$2:$D$800),--(Risk_Rank_Keys!$D$2:$D$800=Risk_Rank_Keys!D420))+1)/2)/COUNT(Risk_Rank_Keys!$D$2:$D$800))</f>
        <v>0.556485355648536</v>
      </c>
      <c r="P420" s="0" t="n">
        <f aca="false">AVERAGE(M420:O420)</f>
        <v>0.215713621571362</v>
      </c>
      <c r="Q420" s="0" t="n">
        <f aca="false">0.4*H420+0.4*I420+0.2*P420</f>
        <v>0.738511935828666</v>
      </c>
      <c r="R420" s="0" t="n">
        <f aca="false">PERCENTILE($Q$2:$Q$800,0.75)</f>
        <v>0.667715717403612</v>
      </c>
      <c r="S420" s="1" t="b">
        <f aca="false">OR(Q420&gt;=R420,AND(B420="CW",COUNT(J420:L420)&lt;3))</f>
        <v>1</v>
      </c>
      <c r="T420" s="0" t="n">
        <v>0.377436018864152</v>
      </c>
      <c r="U420" s="0" t="n">
        <v>10.5361491938571</v>
      </c>
      <c r="V420" s="0" t="n">
        <v>0.738511935828666</v>
      </c>
      <c r="W420" s="0" t="n">
        <f aca="false">Q420-V420</f>
        <v>0</v>
      </c>
    </row>
    <row r="421" customFormat="false" ht="15" hidden="false" customHeight="false" outlineLevel="0" collapsed="false">
      <c r="A421" s="0" t="s">
        <v>455</v>
      </c>
      <c r="B421" s="0" t="s">
        <v>3013</v>
      </c>
      <c r="C421" s="0" t="n">
        <v>-36.6532798797749</v>
      </c>
      <c r="D421" s="0" t="n">
        <f aca="false">SUMPRODUCT(Risk_Inputs!B421:AJ421,Risk_Coefs!$B$2:$AJ$2)</f>
        <v>-0.767217875054412</v>
      </c>
      <c r="E421" s="0" t="n">
        <f aca="false">1/(1+EXP(-MAX(-25,MIN(25,D421))))</f>
        <v>0.317081242808148</v>
      </c>
      <c r="F421" s="0" t="n">
        <f aca="false">SUMPRODUCT(Risk_Inputs!B421:AJ421,Risk_Coefs!$B$3:$AJ$3)</f>
        <v>10.4601249719337</v>
      </c>
      <c r="G421" s="0" t="n">
        <f aca="false">MAX(0,F421)</f>
        <v>10.4601249719337</v>
      </c>
      <c r="H421" s="0" t="n">
        <f aca="false">(SUMPRODUCT(--ISNUMBER($E$2:$E$800),--($E$2:$E$800&lt;E421))+(SUMPRODUCT(--ISNUMBER($E$2:$E$800),--($E$2:$E$800=E421))+1)/2)/COUNT($E$2:$E$800)</f>
        <v>0.653316645807259</v>
      </c>
      <c r="I421" s="0" t="n">
        <f aca="false">(SUMPRODUCT(--ISNUMBER($G$2:$G$800),--($G$2:$G$800&lt;G421))+(SUMPRODUCT(--ISNUMBER($G$2:$G$800),--($G$2:$G$800=G421))+1)/2)/COUNT($G$2:$G$800)</f>
        <v>0.834793491864831</v>
      </c>
      <c r="J421" s="0" t="n">
        <v>4.45872565137104</v>
      </c>
      <c r="K421" s="0" t="n">
        <v>3.40479192938208</v>
      </c>
      <c r="L421" s="0" t="n">
        <v>0.126103404791922</v>
      </c>
      <c r="M421" s="0" t="n">
        <f aca="false">IF(OR(B421="NW",COUNT(Risk_Rank_Keys!B421)=0),0.5,(SUMPRODUCT(--ISNUMBER(Risk_Rank_Keys!$B$2:$B$800),--(Risk_Rank_Keys!$B$2:$B$800&lt;Risk_Rank_Keys!B421))+(SUMPRODUCT(--ISNUMBER(Risk_Rank_Keys!$B$2:$B$800),--(Risk_Rank_Keys!$B$2:$B$800=Risk_Rank_Keys!B421))+1)/2)/COUNT(Risk_Rank_Keys!$B$2:$B$800))</f>
        <v>0.094839609483961</v>
      </c>
      <c r="N421" s="0" t="n">
        <f aca="false">IF(OR(B421="NW",COUNT(Risk_Rank_Keys!C421)=0),0.5,(SUMPRODUCT(--ISNUMBER(Risk_Rank_Keys!$C$2:$C$800),--(Risk_Rank_Keys!$C$2:$C$800&lt;Risk_Rank_Keys!C421))+(SUMPRODUCT(--ISNUMBER(Risk_Rank_Keys!$C$2:$C$800),--(Risk_Rank_Keys!$C$2:$C$800=Risk_Rank_Keys!C421))+1)/2)/COUNT(Risk_Rank_Keys!$C$2:$C$800))</f>
        <v>0.517433751743375</v>
      </c>
      <c r="O421" s="0" t="n">
        <f aca="false">IF(OR(B421="NW",COUNT(Risk_Rank_Keys!D421)=0),0.5,(SUMPRODUCT(--ISNUMBER(Risk_Rank_Keys!$D$2:$D$800),--(Risk_Rank_Keys!$D$2:$D$800&lt;Risk_Rank_Keys!D421))+(SUMPRODUCT(--ISNUMBER(Risk_Rank_Keys!$D$2:$D$800),--(Risk_Rank_Keys!$D$2:$D$800=Risk_Rank_Keys!D421))+1)/2)/COUNT(Risk_Rank_Keys!$D$2:$D$800))</f>
        <v>0.0543933054393306</v>
      </c>
      <c r="P421" s="0" t="n">
        <f aca="false">AVERAGE(M421:O421)</f>
        <v>0.222222222222222</v>
      </c>
      <c r="Q421" s="0" t="n">
        <f aca="false">0.4*H421+0.4*I421+0.2*P421</f>
        <v>0.63968849951328</v>
      </c>
      <c r="R421" s="0" t="n">
        <f aca="false">PERCENTILE($Q$2:$Q$800,0.75)</f>
        <v>0.667715717403612</v>
      </c>
      <c r="S421" s="1" t="b">
        <f aca="false">OR(Q421&gt;=R421,AND(B421="CW",COUNT(J421:L421)&lt;3))</f>
        <v>0</v>
      </c>
      <c r="T421" s="0" t="n">
        <v>0.317081242808148</v>
      </c>
      <c r="U421" s="0" t="n">
        <v>10.4601249719337</v>
      </c>
      <c r="V421" s="0" t="n">
        <v>0.63968849951328</v>
      </c>
      <c r="W421" s="0" t="n">
        <f aca="false">Q421-V421</f>
        <v>0</v>
      </c>
    </row>
    <row r="422" customFormat="false" ht="15" hidden="false" customHeight="false" outlineLevel="0" collapsed="false">
      <c r="A422" s="0" t="s">
        <v>456</v>
      </c>
      <c r="B422" s="0" t="s">
        <v>3013</v>
      </c>
      <c r="C422" s="0" t="n">
        <v>19.0153868444513</v>
      </c>
      <c r="D422" s="0" t="n">
        <f aca="false">SUMPRODUCT(Risk_Inputs!B422:AJ422,Risk_Coefs!$B$2:$AJ$2)</f>
        <v>-0.582338130586188</v>
      </c>
      <c r="E422" s="0" t="n">
        <f aca="false">1/(1+EXP(-MAX(-25,MIN(25,D422))))</f>
        <v>0.358394767486388</v>
      </c>
      <c r="F422" s="0" t="n">
        <f aca="false">SUMPRODUCT(Risk_Inputs!B422:AJ422,Risk_Coefs!$B$3:$AJ$3)</f>
        <v>7.96864919411493</v>
      </c>
      <c r="G422" s="0" t="n">
        <f aca="false">MAX(0,F422)</f>
        <v>7.96864919411493</v>
      </c>
      <c r="H422" s="0" t="n">
        <f aca="false">(SUMPRODUCT(--ISNUMBER($E$2:$E$800),--($E$2:$E$800&lt;E422))+(SUMPRODUCT(--ISNUMBER($E$2:$E$800),--($E$2:$E$800=E422))+1)/2)/COUNT($E$2:$E$800)</f>
        <v>0.843554443053817</v>
      </c>
      <c r="I422" s="0" t="n">
        <f aca="false">(SUMPRODUCT(--ISNUMBER($G$2:$G$800),--($G$2:$G$800&lt;G422))+(SUMPRODUCT(--ISNUMBER($G$2:$G$800),--($G$2:$G$800=G422))+1)/2)/COUNT($G$2:$G$800)</f>
        <v>0.539424280350438</v>
      </c>
      <c r="J422" s="0" t="n">
        <v>4.0921908597799</v>
      </c>
      <c r="K422" s="0" t="n">
        <v>0.863398088189951</v>
      </c>
      <c r="L422" s="0" t="n">
        <v>0.277520814061056</v>
      </c>
      <c r="M422" s="0" t="n">
        <f aca="false">IF(OR(B422="NW",COUNT(Risk_Rank_Keys!B422)=0),0.5,(SUMPRODUCT(--ISNUMBER(Risk_Rank_Keys!$B$2:$B$800),--(Risk_Rank_Keys!$B$2:$B$800&lt;Risk_Rank_Keys!B422))+(SUMPRODUCT(--ISNUMBER(Risk_Rank_Keys!$B$2:$B$800),--(Risk_Rank_Keys!$B$2:$B$800=Risk_Rank_Keys!B422))+1)/2)/COUNT(Risk_Rank_Keys!$B$2:$B$800))</f>
        <v>0.0781032078103208</v>
      </c>
      <c r="N422" s="0" t="n">
        <f aca="false">IF(OR(B422="NW",COUNT(Risk_Rank_Keys!C422)=0),0.5,(SUMPRODUCT(--ISNUMBER(Risk_Rank_Keys!$C$2:$C$800),--(Risk_Rank_Keys!$C$2:$C$800&lt;Risk_Rank_Keys!C422))+(SUMPRODUCT(--ISNUMBER(Risk_Rank_Keys!$C$2:$C$800),--(Risk_Rank_Keys!$C$2:$C$800=Risk_Rank_Keys!C422))+1)/2)/COUNT(Risk_Rank_Keys!$C$2:$C$800))</f>
        <v>0.0139470013947001</v>
      </c>
      <c r="O422" s="0" t="n">
        <f aca="false">IF(OR(B422="NW",COUNT(Risk_Rank_Keys!D422)=0),0.5,(SUMPRODUCT(--ISNUMBER(Risk_Rank_Keys!$D$2:$D$800),--(Risk_Rank_Keys!$D$2:$D$800&lt;Risk_Rank_Keys!D422))+(SUMPRODUCT(--ISNUMBER(Risk_Rank_Keys!$D$2:$D$800),--(Risk_Rank_Keys!$D$2:$D$800=Risk_Rank_Keys!D422))+1)/2)/COUNT(Risk_Rank_Keys!$D$2:$D$800))</f>
        <v>0.688981868898187</v>
      </c>
      <c r="P422" s="0" t="n">
        <f aca="false">AVERAGE(M422:O422)</f>
        <v>0.260344026034403</v>
      </c>
      <c r="Q422" s="0" t="n">
        <f aca="false">0.4*H422+0.4*I422+0.2*P422</f>
        <v>0.605260294568583</v>
      </c>
      <c r="R422" s="0" t="n">
        <f aca="false">PERCENTILE($Q$2:$Q$800,0.75)</f>
        <v>0.667715717403612</v>
      </c>
      <c r="S422" s="1" t="b">
        <f aca="false">OR(Q422&gt;=R422,AND(B422="CW",COUNT(J422:L422)&lt;3))</f>
        <v>0</v>
      </c>
      <c r="T422" s="0" t="n">
        <v>0.358394767486388</v>
      </c>
      <c r="U422" s="0" t="n">
        <v>7.96864919411493</v>
      </c>
      <c r="V422" s="0" t="n">
        <v>0.605260294568583</v>
      </c>
      <c r="W422" s="0" t="n">
        <f aca="false">Q422-V422</f>
        <v>0</v>
      </c>
    </row>
    <row r="423" customFormat="false" ht="15" hidden="false" customHeight="false" outlineLevel="0" collapsed="false">
      <c r="A423" s="0" t="s">
        <v>457</v>
      </c>
      <c r="B423" s="0" t="s">
        <v>3013</v>
      </c>
      <c r="C423" s="0" t="n">
        <v>1.23187161193052</v>
      </c>
      <c r="D423" s="0" t="n">
        <f aca="false">SUMPRODUCT(Risk_Inputs!B423:AJ423,Risk_Coefs!$B$2:$AJ$2)</f>
        <v>-0.905039245375784</v>
      </c>
      <c r="E423" s="0" t="n">
        <f aca="false">1/(1+EXP(-MAX(-25,MIN(25,D423))))</f>
        <v>0.288016032753702</v>
      </c>
      <c r="F423" s="0" t="n">
        <f aca="false">SUMPRODUCT(Risk_Inputs!B423:AJ423,Risk_Coefs!$B$3:$AJ$3)</f>
        <v>6.16972761723288</v>
      </c>
      <c r="G423" s="0" t="n">
        <f aca="false">MAX(0,F423)</f>
        <v>6.16972761723288</v>
      </c>
      <c r="H423" s="0" t="n">
        <f aca="false">(SUMPRODUCT(--ISNUMBER($E$2:$E$800),--($E$2:$E$800&lt;E423))+(SUMPRODUCT(--ISNUMBER($E$2:$E$800),--($E$2:$E$800=E423))+1)/2)/COUNT($E$2:$E$800)</f>
        <v>0.509386733416771</v>
      </c>
      <c r="I423" s="0" t="n">
        <f aca="false">(SUMPRODUCT(--ISNUMBER($G$2:$G$800),--($G$2:$G$800&lt;G423))+(SUMPRODUCT(--ISNUMBER($G$2:$G$800),--($G$2:$G$800=G423))+1)/2)/COUNT($G$2:$G$800)</f>
        <v>0.287859824780976</v>
      </c>
      <c r="J423" s="0" t="n">
        <v>8.436802756701</v>
      </c>
      <c r="K423" s="0" t="n">
        <v>1.85082872928177</v>
      </c>
      <c r="L423" s="0" t="n">
        <v>0.110497237569055</v>
      </c>
      <c r="M423" s="0" t="n">
        <f aca="false">IF(OR(B423="NW",COUNT(Risk_Rank_Keys!B423)=0),0.5,(SUMPRODUCT(--ISNUMBER(Risk_Rank_Keys!$B$2:$B$800),--(Risk_Rank_Keys!$B$2:$B$800&lt;Risk_Rank_Keys!B423))+(SUMPRODUCT(--ISNUMBER(Risk_Rank_Keys!$B$2:$B$800),--(Risk_Rank_Keys!$B$2:$B$800=Risk_Rank_Keys!B423))+1)/2)/COUNT(Risk_Rank_Keys!$B$2:$B$800))</f>
        <v>0.414225941422594</v>
      </c>
      <c r="N423" s="0" t="n">
        <f aca="false">IF(OR(B423="NW",COUNT(Risk_Rank_Keys!C423)=0),0.5,(SUMPRODUCT(--ISNUMBER(Risk_Rank_Keys!$C$2:$C$800),--(Risk_Rank_Keys!$C$2:$C$800&lt;Risk_Rank_Keys!C423))+(SUMPRODUCT(--ISNUMBER(Risk_Rank_Keys!$C$2:$C$800),--(Risk_Rank_Keys!$C$2:$C$800=Risk_Rank_Keys!C423))+1)/2)/COUNT(Risk_Rank_Keys!$C$2:$C$800))</f>
        <v>0.232914923291492</v>
      </c>
      <c r="O423" s="0" t="n">
        <f aca="false">IF(OR(B423="NW",COUNT(Risk_Rank_Keys!D423)=0),0.5,(SUMPRODUCT(--ISNUMBER(Risk_Rank_Keys!$D$2:$D$800),--(Risk_Rank_Keys!$D$2:$D$800&lt;Risk_Rank_Keys!D423))+(SUMPRODUCT(--ISNUMBER(Risk_Rank_Keys!$D$2:$D$800),--(Risk_Rank_Keys!$D$2:$D$800=Risk_Rank_Keys!D423))+1)/2)/COUNT(Risk_Rank_Keys!$D$2:$D$800))</f>
        <v>0.0320781032078103</v>
      </c>
      <c r="P423" s="0" t="n">
        <f aca="false">AVERAGE(M423:O423)</f>
        <v>0.226406322640632</v>
      </c>
      <c r="Q423" s="0" t="n">
        <f aca="false">0.4*H423+0.4*I423+0.2*P423</f>
        <v>0.364179887807225</v>
      </c>
      <c r="R423" s="0" t="n">
        <f aca="false">PERCENTILE($Q$2:$Q$800,0.75)</f>
        <v>0.667715717403612</v>
      </c>
      <c r="S423" s="1" t="b">
        <f aca="false">OR(Q423&gt;=R423,AND(B423="CW",COUNT(J423:L423)&lt;3))</f>
        <v>0</v>
      </c>
      <c r="T423" s="0" t="n">
        <v>0.288016032753702</v>
      </c>
      <c r="U423" s="0" t="n">
        <v>6.16972761723288</v>
      </c>
      <c r="V423" s="0" t="n">
        <v>0.364179887807225</v>
      </c>
      <c r="W423" s="0" t="n">
        <f aca="false">Q423-V423</f>
        <v>0</v>
      </c>
    </row>
    <row r="424" customFormat="false" ht="15" hidden="false" customHeight="false" outlineLevel="0" collapsed="false">
      <c r="A424" s="0" t="s">
        <v>458</v>
      </c>
      <c r="B424" s="0" t="s">
        <v>3013</v>
      </c>
      <c r="C424" s="0" t="n">
        <v>23.1404134749563</v>
      </c>
      <c r="D424" s="0" t="n">
        <f aca="false">SUMPRODUCT(Risk_Inputs!B424:AJ424,Risk_Coefs!$B$2:$AJ$2)</f>
        <v>-1.224735157431</v>
      </c>
      <c r="E424" s="0" t="n">
        <f aca="false">1/(1+EXP(-MAX(-25,MIN(25,D424))))</f>
        <v>0.227104224502225</v>
      </c>
      <c r="F424" s="0" t="n">
        <f aca="false">SUMPRODUCT(Risk_Inputs!B424:AJ424,Risk_Coefs!$B$3:$AJ$3)</f>
        <v>3.96460050116928</v>
      </c>
      <c r="G424" s="0" t="n">
        <f aca="false">MAX(0,F424)</f>
        <v>3.96460050116928</v>
      </c>
      <c r="H424" s="0" t="n">
        <f aca="false">(SUMPRODUCT(--ISNUMBER($E$2:$E$800),--($E$2:$E$800&lt;E424))+(SUMPRODUCT(--ISNUMBER($E$2:$E$800),--($E$2:$E$800=E424))+1)/2)/COUNT($E$2:$E$800)</f>
        <v>0.1639549436796</v>
      </c>
      <c r="I424" s="0" t="n">
        <f aca="false">(SUMPRODUCT(--ISNUMBER($G$2:$G$800),--($G$2:$G$800&lt;G424))+(SUMPRODUCT(--ISNUMBER($G$2:$G$800),--($G$2:$G$800=G424))+1)/2)/COUNT($G$2:$G$800)</f>
        <v>0.0500625782227785</v>
      </c>
      <c r="J424" s="0" t="n">
        <v>6.90927010673917</v>
      </c>
      <c r="K424" s="0" t="n">
        <v>1.73233695652173</v>
      </c>
      <c r="L424" s="0" t="n">
        <v>0.169836956521739</v>
      </c>
      <c r="M424" s="0" t="n">
        <f aca="false">IF(OR(B424="NW",COUNT(Risk_Rank_Keys!B424)=0),0.5,(SUMPRODUCT(--ISNUMBER(Risk_Rank_Keys!$B$2:$B$800),--(Risk_Rank_Keys!$B$2:$B$800&lt;Risk_Rank_Keys!B424))+(SUMPRODUCT(--ISNUMBER(Risk_Rank_Keys!$B$2:$B$800),--(Risk_Rank_Keys!$B$2:$B$800=Risk_Rank_Keys!B424))+1)/2)/COUNT(Risk_Rank_Keys!$B$2:$B$800))</f>
        <v>0.305439330543933</v>
      </c>
      <c r="N424" s="0" t="n">
        <f aca="false">IF(OR(B424="NW",COUNT(Risk_Rank_Keys!C424)=0),0.5,(SUMPRODUCT(--ISNUMBER(Risk_Rank_Keys!$C$2:$C$800),--(Risk_Rank_Keys!$C$2:$C$800&lt;Risk_Rank_Keys!C424))+(SUMPRODUCT(--ISNUMBER(Risk_Rank_Keys!$C$2:$C$800),--(Risk_Rank_Keys!$C$2:$C$800=Risk_Rank_Keys!C424))+1)/2)/COUNT(Risk_Rank_Keys!$C$2:$C$800))</f>
        <v>0.198047419804742</v>
      </c>
      <c r="O424" s="0" t="n">
        <f aca="false">IF(OR(B424="NW",COUNT(Risk_Rank_Keys!D424)=0),0.5,(SUMPRODUCT(--ISNUMBER(Risk_Rank_Keys!$D$2:$D$800),--(Risk_Rank_Keys!$D$2:$D$800&lt;Risk_Rank_Keys!D424))+(SUMPRODUCT(--ISNUMBER(Risk_Rank_Keys!$D$2:$D$800),--(Risk_Rank_Keys!$D$2:$D$800=Risk_Rank_Keys!D424))+1)/2)/COUNT(Risk_Rank_Keys!$D$2:$D$800))</f>
        <v>0.163179916317992</v>
      </c>
      <c r="P424" s="0" t="n">
        <f aca="false">AVERAGE(M424:O424)</f>
        <v>0.222222222222222</v>
      </c>
      <c r="Q424" s="0" t="n">
        <f aca="false">0.4*H424+0.4*I424+0.2*P424</f>
        <v>0.130051453205396</v>
      </c>
      <c r="R424" s="0" t="n">
        <f aca="false">PERCENTILE($Q$2:$Q$800,0.75)</f>
        <v>0.667715717403612</v>
      </c>
      <c r="S424" s="1" t="b">
        <f aca="false">OR(Q424&gt;=R424,AND(B424="CW",COUNT(J424:L424)&lt;3))</f>
        <v>0</v>
      </c>
      <c r="T424" s="0" t="n">
        <v>0.227104224502225</v>
      </c>
      <c r="U424" s="0" t="n">
        <v>3.96460050116928</v>
      </c>
      <c r="V424" s="0" t="n">
        <v>0.130051453205396</v>
      </c>
      <c r="W424" s="0" t="n">
        <f aca="false">Q424-V424</f>
        <v>0</v>
      </c>
    </row>
    <row r="425" customFormat="false" ht="15" hidden="false" customHeight="false" outlineLevel="0" collapsed="false">
      <c r="A425" s="0" t="s">
        <v>459</v>
      </c>
      <c r="B425" s="0" t="s">
        <v>3013</v>
      </c>
      <c r="C425" s="0" t="n">
        <v>-2.28774832672448</v>
      </c>
      <c r="D425" s="0" t="n">
        <f aca="false">SUMPRODUCT(Risk_Inputs!B425:AJ425,Risk_Coefs!$B$2:$AJ$2)</f>
        <v>-1.01724928762982</v>
      </c>
      <c r="E425" s="0" t="n">
        <f aca="false">1/(1+EXP(-MAX(-25,MIN(25,D425))))</f>
        <v>0.265563552156951</v>
      </c>
      <c r="F425" s="0" t="n">
        <f aca="false">SUMPRODUCT(Risk_Inputs!B425:AJ425,Risk_Coefs!$B$3:$AJ$3)</f>
        <v>5.25173090771793</v>
      </c>
      <c r="G425" s="0" t="n">
        <f aca="false">MAX(0,F425)</f>
        <v>5.25173090771793</v>
      </c>
      <c r="H425" s="0" t="n">
        <f aca="false">(SUMPRODUCT(--ISNUMBER($E$2:$E$800),--($E$2:$E$800&lt;E425))+(SUMPRODUCT(--ISNUMBER($E$2:$E$800),--($E$2:$E$800=E425))+1)/2)/COUNT($E$2:$E$800)</f>
        <v>0.3729662077597</v>
      </c>
      <c r="I425" s="0" t="n">
        <f aca="false">(SUMPRODUCT(--ISNUMBER($G$2:$G$800),--($G$2:$G$800&lt;G425))+(SUMPRODUCT(--ISNUMBER($G$2:$G$800),--($G$2:$G$800=G425))+1)/2)/COUNT($G$2:$G$800)</f>
        <v>0.166458072590738</v>
      </c>
      <c r="J425" s="0" t="n">
        <v>2.67365516406369</v>
      </c>
      <c r="K425" s="0" t="n">
        <v>0.831889081455818</v>
      </c>
      <c r="L425" s="0" t="n">
        <v>0.242634315424611</v>
      </c>
      <c r="M425" s="0" t="n">
        <f aca="false">IF(OR(B425="NW",COUNT(Risk_Rank_Keys!B425)=0),0.5,(SUMPRODUCT(--ISNUMBER(Risk_Rank_Keys!$B$2:$B$800),--(Risk_Rank_Keys!$B$2:$B$800&lt;Risk_Rank_Keys!B425))+(SUMPRODUCT(--ISNUMBER(Risk_Rank_Keys!$B$2:$B$800),--(Risk_Rank_Keys!$B$2:$B$800=Risk_Rank_Keys!B425))+1)/2)/COUNT(Risk_Rank_Keys!$B$2:$B$800))</f>
        <v>0.0181311018131102</v>
      </c>
      <c r="N425" s="0" t="n">
        <f aca="false">IF(OR(B425="NW",COUNT(Risk_Rank_Keys!C425)=0),0.5,(SUMPRODUCT(--ISNUMBER(Risk_Rank_Keys!$C$2:$C$800),--(Risk_Rank_Keys!$C$2:$C$800&lt;Risk_Rank_Keys!C425))+(SUMPRODUCT(--ISNUMBER(Risk_Rank_Keys!$C$2:$C$800),--(Risk_Rank_Keys!$C$2:$C$800=Risk_Rank_Keys!C425))+1)/2)/COUNT(Risk_Rank_Keys!$C$2:$C$800))</f>
        <v>0.0111576011157601</v>
      </c>
      <c r="O425" s="0" t="n">
        <f aca="false">IF(OR(B425="NW",COUNT(Risk_Rank_Keys!D425)=0),0.5,(SUMPRODUCT(--ISNUMBER(Risk_Rank_Keys!$D$2:$D$800),--(Risk_Rank_Keys!$D$2:$D$800&lt;Risk_Rank_Keys!D425))+(SUMPRODUCT(--ISNUMBER(Risk_Rank_Keys!$D$2:$D$800),--(Risk_Rank_Keys!$D$2:$D$800=Risk_Rank_Keys!D425))+1)/2)/COUNT(Risk_Rank_Keys!$D$2:$D$800))</f>
        <v>0.557880055788006</v>
      </c>
      <c r="P425" s="0" t="n">
        <f aca="false">AVERAGE(M425:O425)</f>
        <v>0.195722919572292</v>
      </c>
      <c r="Q425" s="0" t="n">
        <f aca="false">0.4*H425+0.4*I425+0.2*P425</f>
        <v>0.254914296054634</v>
      </c>
      <c r="R425" s="0" t="n">
        <f aca="false">PERCENTILE($Q$2:$Q$800,0.75)</f>
        <v>0.667715717403612</v>
      </c>
      <c r="S425" s="1" t="b">
        <f aca="false">OR(Q425&gt;=R425,AND(B425="CW",COUNT(J425:L425)&lt;3))</f>
        <v>0</v>
      </c>
      <c r="T425" s="0" t="n">
        <v>0.265563552156951</v>
      </c>
      <c r="U425" s="0" t="n">
        <v>5.25173090771793</v>
      </c>
      <c r="V425" s="0" t="n">
        <v>0.254914296054634</v>
      </c>
      <c r="W425" s="0" t="n">
        <f aca="false">Q425-V425</f>
        <v>0</v>
      </c>
    </row>
    <row r="426" customFormat="false" ht="15" hidden="false" customHeight="false" outlineLevel="0" collapsed="false">
      <c r="A426" s="0" t="s">
        <v>460</v>
      </c>
      <c r="B426" s="0" t="s">
        <v>3013</v>
      </c>
      <c r="C426" s="0" t="n">
        <v>24.6660338853639</v>
      </c>
      <c r="D426" s="0" t="n">
        <f aca="false">SUMPRODUCT(Risk_Inputs!B426:AJ426,Risk_Coefs!$B$2:$AJ$2)</f>
        <v>-0.557372112954035</v>
      </c>
      <c r="E426" s="0" t="n">
        <f aca="false">1/(1+EXP(-MAX(-25,MIN(25,D426))))</f>
        <v>0.364155719834823</v>
      </c>
      <c r="F426" s="0" t="n">
        <f aca="false">SUMPRODUCT(Risk_Inputs!B426:AJ426,Risk_Coefs!$B$3:$AJ$3)</f>
        <v>10.9425936539216</v>
      </c>
      <c r="G426" s="0" t="n">
        <f aca="false">MAX(0,F426)</f>
        <v>10.9425936539216</v>
      </c>
      <c r="H426" s="0" t="n">
        <f aca="false">(SUMPRODUCT(--ISNUMBER($E$2:$E$800),--($E$2:$E$800&lt;E426))+(SUMPRODUCT(--ISNUMBER($E$2:$E$800),--($E$2:$E$800=E426))+1)/2)/COUNT($E$2:$E$800)</f>
        <v>0.857321652065081</v>
      </c>
      <c r="I426" s="0" t="n">
        <f aca="false">(SUMPRODUCT(--ISNUMBER($G$2:$G$800),--($G$2:$G$800&lt;G426))+(SUMPRODUCT(--ISNUMBER($G$2:$G$800),--($G$2:$G$800=G426))+1)/2)/COUNT($G$2:$G$800)</f>
        <v>0.876095118898623</v>
      </c>
      <c r="J426" s="0" t="n">
        <v>4.91988699476094</v>
      </c>
      <c r="K426" s="0" t="n">
        <v>2.36378205128205</v>
      </c>
      <c r="L426" s="0" t="n">
        <v>0.240384615384619</v>
      </c>
      <c r="M426" s="0" t="n">
        <f aca="false">IF(OR(B426="NW",COUNT(Risk_Rank_Keys!B426)=0),0.5,(SUMPRODUCT(--ISNUMBER(Risk_Rank_Keys!$B$2:$B$800),--(Risk_Rank_Keys!$B$2:$B$800&lt;Risk_Rank_Keys!B426))+(SUMPRODUCT(--ISNUMBER(Risk_Rank_Keys!$B$2:$B$800),--(Risk_Rank_Keys!$B$2:$B$800=Risk_Rank_Keys!B426))+1)/2)/COUNT(Risk_Rank_Keys!$B$2:$B$800))</f>
        <v>0.126917712691771</v>
      </c>
      <c r="N426" s="0" t="n">
        <f aca="false">IF(OR(B426="NW",COUNT(Risk_Rank_Keys!C426)=0),0.5,(SUMPRODUCT(--ISNUMBER(Risk_Rank_Keys!$C$2:$C$800),--(Risk_Rank_Keys!$C$2:$C$800&lt;Risk_Rank_Keys!C426))+(SUMPRODUCT(--ISNUMBER(Risk_Rank_Keys!$C$2:$C$800),--(Risk_Rank_Keys!$C$2:$C$800=Risk_Rank_Keys!C426))+1)/2)/COUNT(Risk_Rank_Keys!$C$2:$C$800))</f>
        <v>0.357043235704324</v>
      </c>
      <c r="O426" s="0" t="n">
        <f aca="false">IF(OR(B426="NW",COUNT(Risk_Rank_Keys!D426)=0),0.5,(SUMPRODUCT(--ISNUMBER(Risk_Rank_Keys!$D$2:$D$800),--(Risk_Rank_Keys!$D$2:$D$800&lt;Risk_Rank_Keys!D426))+(SUMPRODUCT(--ISNUMBER(Risk_Rank_Keys!$D$2:$D$800),--(Risk_Rank_Keys!$D$2:$D$800=Risk_Rank_Keys!D426))+1)/2)/COUNT(Risk_Rank_Keys!$D$2:$D$800))</f>
        <v>0.545327754532776</v>
      </c>
      <c r="P426" s="0" t="n">
        <f aca="false">AVERAGE(M426:O426)</f>
        <v>0.343096234309624</v>
      </c>
      <c r="Q426" s="0" t="n">
        <f aca="false">0.4*H426+0.4*I426+0.2*P426</f>
        <v>0.761985955247407</v>
      </c>
      <c r="R426" s="0" t="n">
        <f aca="false">PERCENTILE($Q$2:$Q$800,0.75)</f>
        <v>0.667715717403612</v>
      </c>
      <c r="S426" s="1" t="b">
        <f aca="false">OR(Q426&gt;=R426,AND(B426="CW",COUNT(J426:L426)&lt;3))</f>
        <v>1</v>
      </c>
      <c r="T426" s="0" t="n">
        <v>0.364155719834823</v>
      </c>
      <c r="U426" s="0" t="n">
        <v>10.9425936539216</v>
      </c>
      <c r="V426" s="0" t="n">
        <v>0.761985955247407</v>
      </c>
      <c r="W426" s="0" t="n">
        <f aca="false">Q426-V426</f>
        <v>0</v>
      </c>
    </row>
    <row r="427" customFormat="false" ht="15" hidden="false" customHeight="false" outlineLevel="0" collapsed="false">
      <c r="A427" s="0" t="s">
        <v>461</v>
      </c>
      <c r="B427" s="0" t="s">
        <v>3013</v>
      </c>
      <c r="C427" s="0" t="n">
        <v>35.9180982257562</v>
      </c>
      <c r="D427" s="0" t="n">
        <f aca="false">SUMPRODUCT(Risk_Inputs!B427:AJ427,Risk_Coefs!$B$2:$AJ$2)</f>
        <v>-0.300859457882491</v>
      </c>
      <c r="E427" s="0" t="n">
        <f aca="false">1/(1+EXP(-MAX(-25,MIN(25,D427))))</f>
        <v>0.425347395019835</v>
      </c>
      <c r="F427" s="0" t="n">
        <f aca="false">SUMPRODUCT(Risk_Inputs!B427:AJ427,Risk_Coefs!$B$3:$AJ$3)</f>
        <v>16.5882176002708</v>
      </c>
      <c r="G427" s="0" t="n">
        <f aca="false">MAX(0,F427)</f>
        <v>16.5882176002708</v>
      </c>
      <c r="H427" s="0" t="n">
        <f aca="false">(SUMPRODUCT(--ISNUMBER($E$2:$E$800),--($E$2:$E$800&lt;E427))+(SUMPRODUCT(--ISNUMBER($E$2:$E$800),--($E$2:$E$800=E427))+1)/2)/COUNT($E$2:$E$800)</f>
        <v>0.968710888610764</v>
      </c>
      <c r="I427" s="0" t="n">
        <f aca="false">(SUMPRODUCT(--ISNUMBER($G$2:$G$800),--($G$2:$G$800&lt;G427))+(SUMPRODUCT(--ISNUMBER($G$2:$G$800),--($G$2:$G$800=G427))+1)/2)/COUNT($G$2:$G$800)</f>
        <v>0.991239048811014</v>
      </c>
      <c r="J427" s="0" t="n">
        <v>9.67262489875238</v>
      </c>
      <c r="K427" s="0" t="n">
        <v>2.64150943396228</v>
      </c>
      <c r="L427" s="0" t="n">
        <v>0.251572327044029</v>
      </c>
      <c r="M427" s="0" t="n">
        <f aca="false">IF(OR(B427="NW",COUNT(Risk_Rank_Keys!B427)=0),0.5,(SUMPRODUCT(--ISNUMBER(Risk_Rank_Keys!$B$2:$B$800),--(Risk_Rank_Keys!$B$2:$B$800&lt;Risk_Rank_Keys!B427))+(SUMPRODUCT(--ISNUMBER(Risk_Rank_Keys!$B$2:$B$800),--(Risk_Rank_Keys!$B$2:$B$800=Risk_Rank_Keys!B427))+1)/2)/COUNT(Risk_Rank_Keys!$B$2:$B$800))</f>
        <v>0.488145048814505</v>
      </c>
      <c r="N427" s="0" t="n">
        <f aca="false">IF(OR(B427="NW",COUNT(Risk_Rank_Keys!C427)=0),0.5,(SUMPRODUCT(--ISNUMBER(Risk_Rank_Keys!$C$2:$C$800),--(Risk_Rank_Keys!$C$2:$C$800&lt;Risk_Rank_Keys!C427))+(SUMPRODUCT(--ISNUMBER(Risk_Rank_Keys!$C$2:$C$800),--(Risk_Rank_Keys!$C$2:$C$800=Risk_Rank_Keys!C427))+1)/2)/COUNT(Risk_Rank_Keys!$C$2:$C$800))</f>
        <v>0.415620641562064</v>
      </c>
      <c r="O427" s="0" t="n">
        <f aca="false">IF(OR(B427="NW",COUNT(Risk_Rank_Keys!D427)=0),0.5,(SUMPRODUCT(--ISNUMBER(Risk_Rank_Keys!$D$2:$D$800),--(Risk_Rank_Keys!$D$2:$D$800&lt;Risk_Rank_Keys!D427))+(SUMPRODUCT(--ISNUMBER(Risk_Rank_Keys!$D$2:$D$800),--(Risk_Rank_Keys!$D$2:$D$800=Risk_Rank_Keys!D427))+1)/2)/COUNT(Risk_Rank_Keys!$D$2:$D$800))</f>
        <v>0.598326359832636</v>
      </c>
      <c r="P427" s="0" t="n">
        <f aca="false">AVERAGE(M427:O427)</f>
        <v>0.500697350069735</v>
      </c>
      <c r="Q427" s="0" t="n">
        <f aca="false">0.4*H427+0.4*I427+0.2*P427</f>
        <v>0.884119444982658</v>
      </c>
      <c r="R427" s="0" t="n">
        <f aca="false">PERCENTILE($Q$2:$Q$800,0.75)</f>
        <v>0.667715717403612</v>
      </c>
      <c r="S427" s="1" t="b">
        <f aca="false">OR(Q427&gt;=R427,AND(B427="CW",COUNT(J427:L427)&lt;3))</f>
        <v>1</v>
      </c>
      <c r="T427" s="0" t="n">
        <v>0.425347395019835</v>
      </c>
      <c r="U427" s="0" t="n">
        <v>16.5882176002708</v>
      </c>
      <c r="V427" s="0" t="n">
        <v>0.884119444982658</v>
      </c>
      <c r="W427" s="0" t="n">
        <f aca="false">Q427-V427</f>
        <v>0</v>
      </c>
    </row>
    <row r="428" customFormat="false" ht="15" hidden="false" customHeight="false" outlineLevel="0" collapsed="false">
      <c r="A428" s="0" t="s">
        <v>462</v>
      </c>
      <c r="B428" s="0" t="s">
        <v>3013</v>
      </c>
      <c r="C428" s="0" t="n">
        <v>-4.3516273205906</v>
      </c>
      <c r="D428" s="0" t="n">
        <f aca="false">SUMPRODUCT(Risk_Inputs!B428:AJ428,Risk_Coefs!$B$2:$AJ$2)</f>
        <v>-0.959630129958927</v>
      </c>
      <c r="E428" s="0" t="n">
        <f aca="false">1/(1+EXP(-MAX(-25,MIN(25,D428))))</f>
        <v>0.276952255130954</v>
      </c>
      <c r="F428" s="0" t="n">
        <f aca="false">SUMPRODUCT(Risk_Inputs!B428:AJ428,Risk_Coefs!$B$3:$AJ$3)</f>
        <v>7.66437154594598</v>
      </c>
      <c r="G428" s="0" t="n">
        <f aca="false">MAX(0,F428)</f>
        <v>7.66437154594598</v>
      </c>
      <c r="H428" s="0" t="n">
        <f aca="false">(SUMPRODUCT(--ISNUMBER($E$2:$E$800),--($E$2:$E$800&lt;E428))+(SUMPRODUCT(--ISNUMBER($E$2:$E$800),--($E$2:$E$800=E428))+1)/2)/COUNT($E$2:$E$800)</f>
        <v>0.444305381727159</v>
      </c>
      <c r="I428" s="0" t="n">
        <f aca="false">(SUMPRODUCT(--ISNUMBER($G$2:$G$800),--($G$2:$G$800&lt;G428))+(SUMPRODUCT(--ISNUMBER($G$2:$G$800),--($G$2:$G$800=G428))+1)/2)/COUNT($G$2:$G$800)</f>
        <v>0.508135168961202</v>
      </c>
      <c r="J428" s="0" t="n">
        <v>12.5225590217668</v>
      </c>
      <c r="K428" s="0" t="n">
        <v>6.29882812499999</v>
      </c>
      <c r="L428" s="0" t="n">
        <v>0.195312500000003</v>
      </c>
      <c r="M428" s="0" t="n">
        <f aca="false">IF(OR(B428="NW",COUNT(Risk_Rank_Keys!B428)=0),0.5,(SUMPRODUCT(--ISNUMBER(Risk_Rank_Keys!$B$2:$B$800),--(Risk_Rank_Keys!$B$2:$B$800&lt;Risk_Rank_Keys!B428))+(SUMPRODUCT(--ISNUMBER(Risk_Rank_Keys!$B$2:$B$800),--(Risk_Rank_Keys!$B$2:$B$800=Risk_Rank_Keys!B428))+1)/2)/COUNT(Risk_Rank_Keys!$B$2:$B$800))</f>
        <v>0.616457461645746</v>
      </c>
      <c r="N428" s="0" t="n">
        <f aca="false">IF(OR(B428="NW",COUNT(Risk_Rank_Keys!C428)=0),0.5,(SUMPRODUCT(--ISNUMBER(Risk_Rank_Keys!$C$2:$C$800),--(Risk_Rank_Keys!$C$2:$C$800&lt;Risk_Rank_Keys!C428))+(SUMPRODUCT(--ISNUMBER(Risk_Rank_Keys!$C$2:$C$800),--(Risk_Rank_Keys!$C$2:$C$800=Risk_Rank_Keys!C428))+1)/2)/COUNT(Risk_Rank_Keys!$C$2:$C$800))</f>
        <v>0.755927475592748</v>
      </c>
      <c r="O428" s="0" t="n">
        <f aca="false">IF(OR(B428="NW",COUNT(Risk_Rank_Keys!D428)=0),0.5,(SUMPRODUCT(--ISNUMBER(Risk_Rank_Keys!$D$2:$D$800),--(Risk_Rank_Keys!$D$2:$D$800&lt;Risk_Rank_Keys!D428))+(SUMPRODUCT(--ISNUMBER(Risk_Rank_Keys!$D$2:$D$800),--(Risk_Rank_Keys!$D$2:$D$800=Risk_Rank_Keys!D428))+1)/2)/COUNT(Risk_Rank_Keys!$D$2:$D$800))</f>
        <v>0.290097629009763</v>
      </c>
      <c r="P428" s="0" t="n">
        <f aca="false">AVERAGE(M428:O428)</f>
        <v>0.554160855416086</v>
      </c>
      <c r="Q428" s="0" t="n">
        <f aca="false">0.4*H428+0.4*I428+0.2*P428</f>
        <v>0.491808391358561</v>
      </c>
      <c r="R428" s="0" t="n">
        <f aca="false">PERCENTILE($Q$2:$Q$800,0.75)</f>
        <v>0.667715717403612</v>
      </c>
      <c r="S428" s="1" t="b">
        <f aca="false">OR(Q428&gt;=R428,AND(B428="CW",COUNT(J428:L428)&lt;3))</f>
        <v>0</v>
      </c>
      <c r="T428" s="0" t="n">
        <v>0.276952255130954</v>
      </c>
      <c r="U428" s="0" t="n">
        <v>7.66437154594598</v>
      </c>
      <c r="V428" s="0" t="n">
        <v>0.491808391358561</v>
      </c>
      <c r="W428" s="0" t="n">
        <f aca="false">Q428-V428</f>
        <v>0</v>
      </c>
    </row>
    <row r="429" customFormat="false" ht="15" hidden="false" customHeight="false" outlineLevel="0" collapsed="false">
      <c r="A429" s="0" t="s">
        <v>463</v>
      </c>
      <c r="B429" s="0" t="s">
        <v>3013</v>
      </c>
      <c r="C429" s="0" t="n">
        <v>9.13542639183399</v>
      </c>
      <c r="D429" s="0" t="n">
        <f aca="false">SUMPRODUCT(Risk_Inputs!B429:AJ429,Risk_Coefs!$B$2:$AJ$2)</f>
        <v>-1.02373000693298</v>
      </c>
      <c r="E429" s="0" t="n">
        <f aca="false">1/(1+EXP(-MAX(-25,MIN(25,D429))))</f>
        <v>0.264301477476436</v>
      </c>
      <c r="F429" s="0" t="n">
        <f aca="false">SUMPRODUCT(Risk_Inputs!B429:AJ429,Risk_Coefs!$B$3:$AJ$3)</f>
        <v>4.92735902325911</v>
      </c>
      <c r="G429" s="0" t="n">
        <f aca="false">MAX(0,F429)</f>
        <v>4.92735902325911</v>
      </c>
      <c r="H429" s="0" t="n">
        <f aca="false">(SUMPRODUCT(--ISNUMBER($E$2:$E$800),--($E$2:$E$800&lt;E429))+(SUMPRODUCT(--ISNUMBER($E$2:$E$800),--($E$2:$E$800=E429))+1)/2)/COUNT($E$2:$E$800)</f>
        <v>0.361702127659575</v>
      </c>
      <c r="I429" s="0" t="n">
        <f aca="false">(SUMPRODUCT(--ISNUMBER($G$2:$G$800),--($G$2:$G$800&lt;G429))+(SUMPRODUCT(--ISNUMBER($G$2:$G$800),--($G$2:$G$800=G429))+1)/2)/COUNT($G$2:$G$800)</f>
        <v>0.132665832290363</v>
      </c>
      <c r="J429" s="0" t="n">
        <v>1.92582245457627</v>
      </c>
      <c r="K429" s="0" t="n">
        <v>2.36051502145924</v>
      </c>
      <c r="L429" s="0" t="n">
        <v>0.250357653791131</v>
      </c>
      <c r="M429" s="0" t="n">
        <f aca="false">IF(OR(B429="NW",COUNT(Risk_Rank_Keys!B429)=0),0.5,(SUMPRODUCT(--ISNUMBER(Risk_Rank_Keys!$B$2:$B$800),--(Risk_Rank_Keys!$B$2:$B$800&lt;Risk_Rank_Keys!B429))+(SUMPRODUCT(--ISNUMBER(Risk_Rank_Keys!$B$2:$B$800),--(Risk_Rank_Keys!$B$2:$B$800=Risk_Rank_Keys!B429))+1)/2)/COUNT(Risk_Rank_Keys!$B$2:$B$800))</f>
        <v>0.00418410041841004</v>
      </c>
      <c r="N429" s="0" t="n">
        <f aca="false">IF(OR(B429="NW",COUNT(Risk_Rank_Keys!C429)=0),0.5,(SUMPRODUCT(--ISNUMBER(Risk_Rank_Keys!$C$2:$C$800),--(Risk_Rank_Keys!$C$2:$C$800&lt;Risk_Rank_Keys!C429))+(SUMPRODUCT(--ISNUMBER(Risk_Rank_Keys!$C$2:$C$800),--(Risk_Rank_Keys!$C$2:$C$800=Risk_Rank_Keys!C429))+1)/2)/COUNT(Risk_Rank_Keys!$C$2:$C$800))</f>
        <v>0.354253835425384</v>
      </c>
      <c r="O429" s="0" t="n">
        <f aca="false">IF(OR(B429="NW",COUNT(Risk_Rank_Keys!D429)=0),0.5,(SUMPRODUCT(--ISNUMBER(Risk_Rank_Keys!$D$2:$D$800),--(Risk_Rank_Keys!$D$2:$D$800&lt;Risk_Rank_Keys!D429))+(SUMPRODUCT(--ISNUMBER(Risk_Rank_Keys!$D$2:$D$800),--(Risk_Rank_Keys!$D$2:$D$800=Risk_Rank_Keys!D429))+1)/2)/COUNT(Risk_Rank_Keys!$D$2:$D$800))</f>
        <v>0.588563458856346</v>
      </c>
      <c r="P429" s="0" t="n">
        <f aca="false">AVERAGE(M429:O429)</f>
        <v>0.315667131566713</v>
      </c>
      <c r="Q429" s="0" t="n">
        <f aca="false">0.4*H429+0.4*I429+0.2*P429</f>
        <v>0.260880610293318</v>
      </c>
      <c r="R429" s="0" t="n">
        <f aca="false">PERCENTILE($Q$2:$Q$800,0.75)</f>
        <v>0.667715717403612</v>
      </c>
      <c r="S429" s="1" t="b">
        <f aca="false">OR(Q429&gt;=R429,AND(B429="CW",COUNT(J429:L429)&lt;3))</f>
        <v>0</v>
      </c>
      <c r="T429" s="0" t="n">
        <v>0.264301477476436</v>
      </c>
      <c r="U429" s="0" t="n">
        <v>4.92735902325911</v>
      </c>
      <c r="V429" s="0" t="n">
        <v>0.260880610293318</v>
      </c>
      <c r="W429" s="0" t="n">
        <f aca="false">Q429-V429</f>
        <v>0</v>
      </c>
    </row>
    <row r="430" customFormat="false" ht="15" hidden="false" customHeight="false" outlineLevel="0" collapsed="false">
      <c r="A430" s="0" t="s">
        <v>464</v>
      </c>
      <c r="B430" s="0" t="s">
        <v>3013</v>
      </c>
      <c r="C430" s="0" t="n">
        <v>11.4124668731268</v>
      </c>
      <c r="D430" s="0" t="n">
        <f aca="false">SUMPRODUCT(Risk_Inputs!B430:AJ430,Risk_Coefs!$B$2:$AJ$2)</f>
        <v>-0.72774065440158</v>
      </c>
      <c r="E430" s="0" t="n">
        <f aca="false">1/(1+EXP(-MAX(-25,MIN(25,D430))))</f>
        <v>0.325690720936886</v>
      </c>
      <c r="F430" s="0" t="n">
        <f aca="false">SUMPRODUCT(Risk_Inputs!B430:AJ430,Risk_Coefs!$B$3:$AJ$3)</f>
        <v>6.23598735415333</v>
      </c>
      <c r="G430" s="0" t="n">
        <f aca="false">MAX(0,F430)</f>
        <v>6.23598735415333</v>
      </c>
      <c r="H430" s="0" t="n">
        <f aca="false">(SUMPRODUCT(--ISNUMBER($E$2:$E$800),--($E$2:$E$800&lt;E430))+(SUMPRODUCT(--ISNUMBER($E$2:$E$800),--($E$2:$E$800=E430))+1)/2)/COUNT($E$2:$E$800)</f>
        <v>0.708385481852315</v>
      </c>
      <c r="I430" s="0" t="n">
        <f aca="false">(SUMPRODUCT(--ISNUMBER($G$2:$G$800),--($G$2:$G$800&lt;G430))+(SUMPRODUCT(--ISNUMBER($G$2:$G$800),--($G$2:$G$800=G430))+1)/2)/COUNT($G$2:$G$800)</f>
        <v>0.299123904881101</v>
      </c>
      <c r="J430" s="0" t="n">
        <v>4.32694497441752</v>
      </c>
      <c r="K430" s="0" t="n">
        <v>1.61830357142856</v>
      </c>
      <c r="L430" s="0" t="n">
        <v>0.195312500000005</v>
      </c>
      <c r="M430" s="0" t="n">
        <f aca="false">IF(OR(B430="NW",COUNT(Risk_Rank_Keys!B430)=0),0.5,(SUMPRODUCT(--ISNUMBER(Risk_Rank_Keys!$B$2:$B$800),--(Risk_Rank_Keys!$B$2:$B$800&lt;Risk_Rank_Keys!B430))+(SUMPRODUCT(--ISNUMBER(Risk_Rank_Keys!$B$2:$B$800),--(Risk_Rank_Keys!$B$2:$B$800=Risk_Rank_Keys!B430))+1)/2)/COUNT(Risk_Rank_Keys!$B$2:$B$800))</f>
        <v>0.0906555090655509</v>
      </c>
      <c r="N430" s="0" t="n">
        <f aca="false">IF(OR(B430="NW",COUNT(Risk_Rank_Keys!C430)=0),0.5,(SUMPRODUCT(--ISNUMBER(Risk_Rank_Keys!$C$2:$C$800),--(Risk_Rank_Keys!$C$2:$C$800&lt;Risk_Rank_Keys!C430))+(SUMPRODUCT(--ISNUMBER(Risk_Rank_Keys!$C$2:$C$800),--(Risk_Rank_Keys!$C$2:$C$800=Risk_Rank_Keys!C430))+1)/2)/COUNT(Risk_Rank_Keys!$C$2:$C$800))</f>
        <v>0.164574616457462</v>
      </c>
      <c r="O430" s="0" t="n">
        <f aca="false">IF(OR(B430="NW",COUNT(Risk_Rank_Keys!D430)=0),0.5,(SUMPRODUCT(--ISNUMBER(Risk_Rank_Keys!$D$2:$D$800),--(Risk_Rank_Keys!$D$2:$D$800&lt;Risk_Rank_Keys!D430))+(SUMPRODUCT(--ISNUMBER(Risk_Rank_Keys!$D$2:$D$800),--(Risk_Rank_Keys!$D$2:$D$800=Risk_Rank_Keys!D430))+1)/2)/COUNT(Risk_Rank_Keys!$D$2:$D$800))</f>
        <v>0.291492329149233</v>
      </c>
      <c r="P430" s="0" t="n">
        <f aca="false">AVERAGE(M430:O430)</f>
        <v>0.182240818224082</v>
      </c>
      <c r="Q430" s="0" t="n">
        <f aca="false">0.4*H430+0.4*I430+0.2*P430</f>
        <v>0.439451918338183</v>
      </c>
      <c r="R430" s="0" t="n">
        <f aca="false">PERCENTILE($Q$2:$Q$800,0.75)</f>
        <v>0.667715717403612</v>
      </c>
      <c r="S430" s="1" t="b">
        <f aca="false">OR(Q430&gt;=R430,AND(B430="CW",COUNT(J430:L430)&lt;3))</f>
        <v>0</v>
      </c>
      <c r="T430" s="0" t="n">
        <v>0.325690720936886</v>
      </c>
      <c r="U430" s="0" t="n">
        <v>6.23598735415333</v>
      </c>
      <c r="V430" s="0" t="n">
        <v>0.439451918338183</v>
      </c>
      <c r="W430" s="0" t="n">
        <f aca="false">Q430-V430</f>
        <v>0</v>
      </c>
    </row>
    <row r="431" customFormat="false" ht="15" hidden="false" customHeight="false" outlineLevel="0" collapsed="false">
      <c r="A431" s="0" t="s">
        <v>465</v>
      </c>
      <c r="B431" s="0" t="s">
        <v>3013</v>
      </c>
      <c r="C431" s="0" t="n">
        <v>7.47863008659663</v>
      </c>
      <c r="D431" s="0" t="n">
        <f aca="false">SUMPRODUCT(Risk_Inputs!B431:AJ431,Risk_Coefs!$B$2:$AJ$2)</f>
        <v>-1.08585080115698</v>
      </c>
      <c r="E431" s="0" t="n">
        <f aca="false">1/(1+EXP(-MAX(-25,MIN(25,D431))))</f>
        <v>0.252400404514882</v>
      </c>
      <c r="F431" s="0" t="n">
        <f aca="false">SUMPRODUCT(Risk_Inputs!B431:AJ431,Risk_Coefs!$B$3:$AJ$3)</f>
        <v>5.51168293378143</v>
      </c>
      <c r="G431" s="0" t="n">
        <f aca="false">MAX(0,F431)</f>
        <v>5.51168293378143</v>
      </c>
      <c r="H431" s="0" t="n">
        <f aca="false">(SUMPRODUCT(--ISNUMBER($E$2:$E$800),--($E$2:$E$800&lt;E431))+(SUMPRODUCT(--ISNUMBER($E$2:$E$800),--($E$2:$E$800=E431))+1)/2)/COUNT($E$2:$E$800)</f>
        <v>0.282853566958698</v>
      </c>
      <c r="I431" s="0" t="n">
        <f aca="false">(SUMPRODUCT(--ISNUMBER($G$2:$G$800),--($G$2:$G$800&lt;G431))+(SUMPRODUCT(--ISNUMBER($G$2:$G$800),--($G$2:$G$800=G431))+1)/2)/COUNT($G$2:$G$800)</f>
        <v>0.204005006257822</v>
      </c>
      <c r="J431" s="0" t="n">
        <v>5.40962762044674</v>
      </c>
      <c r="K431" s="0" t="n">
        <v>2.55536626916525</v>
      </c>
      <c r="L431" s="0" t="n">
        <v>0.170357751277683</v>
      </c>
      <c r="M431" s="0" t="n">
        <f aca="false">IF(OR(B431="NW",COUNT(Risk_Rank_Keys!B431)=0),0.5,(SUMPRODUCT(--ISNUMBER(Risk_Rank_Keys!$B$2:$B$800),--(Risk_Rank_Keys!$B$2:$B$800&lt;Risk_Rank_Keys!B431))+(SUMPRODUCT(--ISNUMBER(Risk_Rank_Keys!$B$2:$B$800),--(Risk_Rank_Keys!$B$2:$B$800=Risk_Rank_Keys!B431))+1)/2)/COUNT(Risk_Rank_Keys!$B$2:$B$800))</f>
        <v>0.160390516039052</v>
      </c>
      <c r="N431" s="0" t="n">
        <f aca="false">IF(OR(B431="NW",COUNT(Risk_Rank_Keys!C431)=0),0.5,(SUMPRODUCT(--ISNUMBER(Risk_Rank_Keys!$C$2:$C$800),--(Risk_Rank_Keys!$C$2:$C$800&lt;Risk_Rank_Keys!C431))+(SUMPRODUCT(--ISNUMBER(Risk_Rank_Keys!$C$2:$C$800),--(Risk_Rank_Keys!$C$2:$C$800=Risk_Rank_Keys!C431))+1)/2)/COUNT(Risk_Rank_Keys!$C$2:$C$800))</f>
        <v>0.396094839609484</v>
      </c>
      <c r="O431" s="0" t="n">
        <f aca="false">IF(OR(B431="NW",COUNT(Risk_Rank_Keys!D431)=0),0.5,(SUMPRODUCT(--ISNUMBER(Risk_Rank_Keys!$D$2:$D$800),--(Risk_Rank_Keys!$D$2:$D$800&lt;Risk_Rank_Keys!D431))+(SUMPRODUCT(--ISNUMBER(Risk_Rank_Keys!$D$2:$D$800),--(Risk_Rank_Keys!$D$2:$D$800=Risk_Rank_Keys!D431))+1)/2)/COUNT(Risk_Rank_Keys!$D$2:$D$800))</f>
        <v>0.165969316596932</v>
      </c>
      <c r="P431" s="0" t="n">
        <f aca="false">AVERAGE(M431:O431)</f>
        <v>0.240818224081822</v>
      </c>
      <c r="Q431" s="0" t="n">
        <f aca="false">0.4*H431+0.4*I431+0.2*P431</f>
        <v>0.242907074102973</v>
      </c>
      <c r="R431" s="0" t="n">
        <f aca="false">PERCENTILE($Q$2:$Q$800,0.75)</f>
        <v>0.667715717403612</v>
      </c>
      <c r="S431" s="1" t="b">
        <f aca="false">OR(Q431&gt;=R431,AND(B431="CW",COUNT(J431:L431)&lt;3))</f>
        <v>0</v>
      </c>
      <c r="T431" s="0" t="n">
        <v>0.252400404514882</v>
      </c>
      <c r="U431" s="0" t="n">
        <v>5.51168293378143</v>
      </c>
      <c r="V431" s="0" t="n">
        <v>0.242907074102973</v>
      </c>
      <c r="W431" s="0" t="n">
        <f aca="false">Q431-V431</f>
        <v>0</v>
      </c>
    </row>
    <row r="432" customFormat="false" ht="15" hidden="false" customHeight="false" outlineLevel="0" collapsed="false">
      <c r="A432" s="0" t="s">
        <v>466</v>
      </c>
      <c r="B432" s="0" t="s">
        <v>3013</v>
      </c>
      <c r="C432" s="0" t="n">
        <v>38.797589999866</v>
      </c>
      <c r="D432" s="0" t="n">
        <f aca="false">SUMPRODUCT(Risk_Inputs!B432:AJ432,Risk_Coefs!$B$2:$AJ$2)</f>
        <v>-0.688891454007507</v>
      </c>
      <c r="E432" s="0" t="n">
        <f aca="false">1/(1+EXP(-MAX(-25,MIN(25,D432))))</f>
        <v>0.334279720177239</v>
      </c>
      <c r="F432" s="0" t="n">
        <f aca="false">SUMPRODUCT(Risk_Inputs!B432:AJ432,Risk_Coefs!$B$3:$AJ$3)</f>
        <v>9.55211232967749</v>
      </c>
      <c r="G432" s="0" t="n">
        <f aca="false">MAX(0,F432)</f>
        <v>9.55211232967749</v>
      </c>
      <c r="H432" s="0" t="n">
        <f aca="false">(SUMPRODUCT(--ISNUMBER($E$2:$E$800),--($E$2:$E$800&lt;E432))+(SUMPRODUCT(--ISNUMBER($E$2:$E$800),--($E$2:$E$800=E432))+1)/2)/COUNT($E$2:$E$800)</f>
        <v>0.758448060075094</v>
      </c>
      <c r="I432" s="0" t="n">
        <f aca="false">(SUMPRODUCT(--ISNUMBER($G$2:$G$800),--($G$2:$G$800&lt;G432))+(SUMPRODUCT(--ISNUMBER($G$2:$G$800),--($G$2:$G$800=G432))+1)/2)/COUNT($G$2:$G$800)</f>
        <v>0.729662077596996</v>
      </c>
      <c r="J432" s="0" t="n">
        <v>4.53410293133388</v>
      </c>
      <c r="K432" s="0" t="n">
        <v>2.57123002084782</v>
      </c>
      <c r="L432" s="0" t="n">
        <v>0.185313875376421</v>
      </c>
      <c r="M432" s="0" t="n">
        <f aca="false">IF(OR(B432="NW",COUNT(Risk_Rank_Keys!B432)=0),0.5,(SUMPRODUCT(--ISNUMBER(Risk_Rank_Keys!$B$2:$B$800),--(Risk_Rank_Keys!$B$2:$B$800&lt;Risk_Rank_Keys!B432))+(SUMPRODUCT(--ISNUMBER(Risk_Rank_Keys!$B$2:$B$800),--(Risk_Rank_Keys!$B$2:$B$800=Risk_Rank_Keys!B432))+1)/2)/COUNT(Risk_Rank_Keys!$B$2:$B$800))</f>
        <v>0.100418410041841</v>
      </c>
      <c r="N432" s="0" t="n">
        <f aca="false">IF(OR(B432="NW",COUNT(Risk_Rank_Keys!C432)=0),0.5,(SUMPRODUCT(--ISNUMBER(Risk_Rank_Keys!$C$2:$C$800),--(Risk_Rank_Keys!$C$2:$C$800&lt;Risk_Rank_Keys!C432))+(SUMPRODUCT(--ISNUMBER(Risk_Rank_Keys!$C$2:$C$800),--(Risk_Rank_Keys!$C$2:$C$800=Risk_Rank_Keys!C432))+1)/2)/COUNT(Risk_Rank_Keys!$C$2:$C$800))</f>
        <v>0.401673640167364</v>
      </c>
      <c r="O432" s="0" t="n">
        <f aca="false">IF(OR(B432="NW",COUNT(Risk_Rank_Keys!D432)=0),0.5,(SUMPRODUCT(--ISNUMBER(Risk_Rank_Keys!$D$2:$D$800),--(Risk_Rank_Keys!$D$2:$D$800&lt;Risk_Rank_Keys!D432))+(SUMPRODUCT(--ISNUMBER(Risk_Rank_Keys!$D$2:$D$800),--(Risk_Rank_Keys!$D$2:$D$800=Risk_Rank_Keys!D432))+1)/2)/COUNT(Risk_Rank_Keys!$D$2:$D$800))</f>
        <v>0.234309623430962</v>
      </c>
      <c r="P432" s="0" t="n">
        <f aca="false">AVERAGE(M432:O432)</f>
        <v>0.245467224546722</v>
      </c>
      <c r="Q432" s="0" t="n">
        <f aca="false">0.4*H432+0.4*I432+0.2*P432</f>
        <v>0.644337499978181</v>
      </c>
      <c r="R432" s="0" t="n">
        <f aca="false">PERCENTILE($Q$2:$Q$800,0.75)</f>
        <v>0.667715717403612</v>
      </c>
      <c r="S432" s="1" t="b">
        <f aca="false">OR(Q432&gt;=R432,AND(B432="CW",COUNT(J432:L432)&lt;3))</f>
        <v>0</v>
      </c>
      <c r="T432" s="0" t="n">
        <v>0.334279720177239</v>
      </c>
      <c r="U432" s="0" t="n">
        <v>9.55211232967749</v>
      </c>
      <c r="V432" s="0" t="n">
        <v>0.644337499978181</v>
      </c>
      <c r="W432" s="0" t="n">
        <f aca="false">Q432-V432</f>
        <v>0</v>
      </c>
    </row>
    <row r="433" customFormat="false" ht="15" hidden="false" customHeight="false" outlineLevel="0" collapsed="false">
      <c r="A433" s="0" t="s">
        <v>467</v>
      </c>
      <c r="B433" s="0" t="s">
        <v>3013</v>
      </c>
      <c r="C433" s="0" t="n">
        <v>24.9343105002747</v>
      </c>
      <c r="D433" s="0" t="n">
        <f aca="false">SUMPRODUCT(Risk_Inputs!B433:AJ433,Risk_Coefs!$B$2:$AJ$2)</f>
        <v>-1.0154522812071</v>
      </c>
      <c r="E433" s="0" t="n">
        <f aca="false">1/(1+EXP(-MAX(-25,MIN(25,D433))))</f>
        <v>0.265914187106908</v>
      </c>
      <c r="F433" s="0" t="n">
        <f aca="false">SUMPRODUCT(Risk_Inputs!B433:AJ433,Risk_Coefs!$B$3:$AJ$3)</f>
        <v>8.84844897159389</v>
      </c>
      <c r="G433" s="0" t="n">
        <f aca="false">MAX(0,F433)</f>
        <v>8.84844897159389</v>
      </c>
      <c r="H433" s="0" t="n">
        <f aca="false">(SUMPRODUCT(--ISNUMBER($E$2:$E$800),--($E$2:$E$800&lt;E433))+(SUMPRODUCT(--ISNUMBER($E$2:$E$800),--($E$2:$E$800=E433))+1)/2)/COUNT($E$2:$E$800)</f>
        <v>0.374217772215269</v>
      </c>
      <c r="I433" s="0" t="n">
        <f aca="false">(SUMPRODUCT(--ISNUMBER($G$2:$G$800),--($G$2:$G$800&lt;G433))+(SUMPRODUCT(--ISNUMBER($G$2:$G$800),--($G$2:$G$800=G433))+1)/2)/COUNT($G$2:$G$800)</f>
        <v>0.659574468085106</v>
      </c>
      <c r="J433" s="0" t="n">
        <v>6.3718284045143</v>
      </c>
      <c r="K433" s="0" t="n">
        <v>6.65804783451843</v>
      </c>
      <c r="L433" s="0" t="n">
        <v>0.258564964447321</v>
      </c>
      <c r="M433" s="0" t="n">
        <f aca="false">IF(OR(B433="NW",COUNT(Risk_Rank_Keys!B433)=0),0.5,(SUMPRODUCT(--ISNUMBER(Risk_Rank_Keys!$B$2:$B$800),--(Risk_Rank_Keys!$B$2:$B$800&lt;Risk_Rank_Keys!B433))+(SUMPRODUCT(--ISNUMBER(Risk_Rank_Keys!$B$2:$B$800),--(Risk_Rank_Keys!$B$2:$B$800=Risk_Rank_Keys!B433))+1)/2)/COUNT(Risk_Rank_Keys!$B$2:$B$800))</f>
        <v>0.259414225941423</v>
      </c>
      <c r="N433" s="0" t="n">
        <f aca="false">IF(OR(B433="NW",COUNT(Risk_Rank_Keys!C433)=0),0.5,(SUMPRODUCT(--ISNUMBER(Risk_Rank_Keys!$C$2:$C$800),--(Risk_Rank_Keys!$C$2:$C$800&lt;Risk_Rank_Keys!C433))+(SUMPRODUCT(--ISNUMBER(Risk_Rank_Keys!$C$2:$C$800),--(Risk_Rank_Keys!$C$2:$C$800=Risk_Rank_Keys!C433))+1)/2)/COUNT(Risk_Rank_Keys!$C$2:$C$800))</f>
        <v>0.772663877266388</v>
      </c>
      <c r="O433" s="0" t="n">
        <f aca="false">IF(OR(B433="NW",COUNT(Risk_Rank_Keys!D433)=0),0.5,(SUMPRODUCT(--ISNUMBER(Risk_Rank_Keys!$D$2:$D$800),--(Risk_Rank_Keys!$D$2:$D$800&lt;Risk_Rank_Keys!D433))+(SUMPRODUCT(--ISNUMBER(Risk_Rank_Keys!$D$2:$D$800),--(Risk_Rank_Keys!$D$2:$D$800=Risk_Rank_Keys!D433))+1)/2)/COUNT(Risk_Rank_Keys!$D$2:$D$800))</f>
        <v>0.622036262203626</v>
      </c>
      <c r="P433" s="0" t="n">
        <f aca="false">AVERAGE(M433:O433)</f>
        <v>0.551371455137146</v>
      </c>
      <c r="Q433" s="0" t="n">
        <f aca="false">0.4*H433+0.4*I433+0.2*P433</f>
        <v>0.523791187147579</v>
      </c>
      <c r="R433" s="0" t="n">
        <f aca="false">PERCENTILE($Q$2:$Q$800,0.75)</f>
        <v>0.667715717403612</v>
      </c>
      <c r="S433" s="1" t="b">
        <f aca="false">OR(Q433&gt;=R433,AND(B433="CW",COUNT(J433:L433)&lt;3))</f>
        <v>0</v>
      </c>
      <c r="T433" s="0" t="n">
        <v>0.265914187106908</v>
      </c>
      <c r="U433" s="0" t="n">
        <v>8.84844897159389</v>
      </c>
      <c r="V433" s="0" t="n">
        <v>0.523791187147579</v>
      </c>
      <c r="W433" s="0" t="n">
        <f aca="false">Q433-V433</f>
        <v>0</v>
      </c>
    </row>
    <row r="434" customFormat="false" ht="15" hidden="false" customHeight="false" outlineLevel="0" collapsed="false">
      <c r="A434" s="0" t="s">
        <v>468</v>
      </c>
      <c r="B434" s="0" t="s">
        <v>33</v>
      </c>
      <c r="C434" s="0" t="n">
        <v>31.5017705578763</v>
      </c>
      <c r="D434" s="0" t="n">
        <f aca="false">SUMPRODUCT(Risk_Inputs!B434:AJ434,Risk_Coefs!$B$2:$AJ$2)</f>
        <v>-0.602361002514495</v>
      </c>
      <c r="E434" s="0" t="n">
        <f aca="false">1/(1+EXP(-MAX(-25,MIN(25,D434))))</f>
        <v>0.353803719552427</v>
      </c>
      <c r="F434" s="0" t="n">
        <f aca="false">SUMPRODUCT(Risk_Inputs!B434:AJ434,Risk_Coefs!$B$3:$AJ$3)</f>
        <v>10.1369181358093</v>
      </c>
      <c r="G434" s="0" t="n">
        <f aca="false">MAX(0,F434)</f>
        <v>10.1369181358093</v>
      </c>
      <c r="H434" s="0" t="n">
        <f aca="false">(SUMPRODUCT(--ISNUMBER($E$2:$E$800),--($E$2:$E$800&lt;E434))+(SUMPRODUCT(--ISNUMBER($E$2:$E$800),--($E$2:$E$800=E434))+1)/2)/COUNT($E$2:$E$800)</f>
        <v>0.828535669586984</v>
      </c>
      <c r="I434" s="0" t="n">
        <f aca="false">(SUMPRODUCT(--ISNUMBER($G$2:$G$800),--($G$2:$G$800&lt;G434))+(SUMPRODUCT(--ISNUMBER($G$2:$G$800),--($G$2:$G$800=G434))+1)/2)/COUNT($G$2:$G$800)</f>
        <v>0.803504380475595</v>
      </c>
      <c r="M434" s="0" t="n">
        <f aca="false">IF(OR(B434="NW",COUNT(Risk_Rank_Keys!B434)=0),0.5,(SUMPRODUCT(--ISNUMBER(Risk_Rank_Keys!$B$2:$B$800),--(Risk_Rank_Keys!$B$2:$B$800&lt;Risk_Rank_Keys!B434))+(SUMPRODUCT(--ISNUMBER(Risk_Rank_Keys!$B$2:$B$800),--(Risk_Rank_Keys!$B$2:$B$800=Risk_Rank_Keys!B434))+1)/2)/COUNT(Risk_Rank_Keys!$B$2:$B$800))</f>
        <v>0.5</v>
      </c>
      <c r="N434" s="0" t="n">
        <f aca="false">IF(OR(B434="NW",COUNT(Risk_Rank_Keys!C434)=0),0.5,(SUMPRODUCT(--ISNUMBER(Risk_Rank_Keys!$C$2:$C$800),--(Risk_Rank_Keys!$C$2:$C$800&lt;Risk_Rank_Keys!C434))+(SUMPRODUCT(--ISNUMBER(Risk_Rank_Keys!$C$2:$C$800),--(Risk_Rank_Keys!$C$2:$C$800=Risk_Rank_Keys!C434))+1)/2)/COUNT(Risk_Rank_Keys!$C$2:$C$800))</f>
        <v>0.5</v>
      </c>
      <c r="O434" s="0" t="n">
        <f aca="false">IF(OR(B434="NW",COUNT(Risk_Rank_Keys!D434)=0),0.5,(SUMPRODUCT(--ISNUMBER(Risk_Rank_Keys!$D$2:$D$800),--(Risk_Rank_Keys!$D$2:$D$800&lt;Risk_Rank_Keys!D434))+(SUMPRODUCT(--ISNUMBER(Risk_Rank_Keys!$D$2:$D$800),--(Risk_Rank_Keys!$D$2:$D$800=Risk_Rank_Keys!D434))+1)/2)/COUNT(Risk_Rank_Keys!$D$2:$D$800))</f>
        <v>0.5</v>
      </c>
      <c r="P434" s="0" t="n">
        <f aca="false">AVERAGE(M434:O434)</f>
        <v>0.5</v>
      </c>
      <c r="Q434" s="0" t="n">
        <f aca="false">0.4*H434+0.4*I434+0.2*P434</f>
        <v>0.752816020025031</v>
      </c>
      <c r="R434" s="0" t="n">
        <f aca="false">PERCENTILE($Q$2:$Q$800,0.75)</f>
        <v>0.667715717403612</v>
      </c>
      <c r="S434" s="1" t="b">
        <f aca="false">OR(Q434&gt;=R434,AND(B434="CW",COUNT(J434:L434)&lt;3))</f>
        <v>1</v>
      </c>
      <c r="T434" s="0" t="n">
        <v>0.353803719552427</v>
      </c>
      <c r="U434" s="0" t="n">
        <v>10.1369181358093</v>
      </c>
      <c r="V434" s="0" t="n">
        <v>0.752816020025031</v>
      </c>
      <c r="W434" s="0" t="n">
        <f aca="false">Q434-V434</f>
        <v>0</v>
      </c>
    </row>
    <row r="435" customFormat="false" ht="15" hidden="false" customHeight="false" outlineLevel="0" collapsed="false">
      <c r="A435" s="0" t="s">
        <v>469</v>
      </c>
      <c r="B435" s="0" t="s">
        <v>3013</v>
      </c>
      <c r="C435" s="0" t="n">
        <v>-6.36630085213222</v>
      </c>
      <c r="D435" s="0" t="n">
        <f aca="false">SUMPRODUCT(Risk_Inputs!B435:AJ435,Risk_Coefs!$B$2:$AJ$2)</f>
        <v>-1.10482676628903</v>
      </c>
      <c r="E435" s="0" t="n">
        <f aca="false">1/(1+EXP(-MAX(-25,MIN(25,D435))))</f>
        <v>0.248836596676249</v>
      </c>
      <c r="F435" s="0" t="n">
        <f aca="false">SUMPRODUCT(Risk_Inputs!B435:AJ435,Risk_Coefs!$B$3:$AJ$3)</f>
        <v>5.99737462798815</v>
      </c>
      <c r="G435" s="0" t="n">
        <f aca="false">MAX(0,F435)</f>
        <v>5.99737462798815</v>
      </c>
      <c r="H435" s="0" t="n">
        <f aca="false">(SUMPRODUCT(--ISNUMBER($E$2:$E$800),--($E$2:$E$800&lt;E435))+(SUMPRODUCT(--ISNUMBER($E$2:$E$800),--($E$2:$E$800=E435))+1)/2)/COUNT($E$2:$E$800)</f>
        <v>0.257822277847309</v>
      </c>
      <c r="I435" s="0" t="n">
        <f aca="false">(SUMPRODUCT(--ISNUMBER($G$2:$G$800),--($G$2:$G$800&lt;G435))+(SUMPRODUCT(--ISNUMBER($G$2:$G$800),--($G$2:$G$800=G435))+1)/2)/COUNT($G$2:$G$800)</f>
        <v>0.266583229036295</v>
      </c>
      <c r="J435" s="0" t="n">
        <v>5.08422228029607</v>
      </c>
      <c r="K435" s="0" t="n">
        <v>1.71699230313796</v>
      </c>
      <c r="L435" s="0" t="n">
        <v>0.148016577856728</v>
      </c>
      <c r="M435" s="0" t="n">
        <f aca="false">IF(OR(B435="NW",COUNT(Risk_Rank_Keys!B435)=0),0.5,(SUMPRODUCT(--ISNUMBER(Risk_Rank_Keys!$B$2:$B$800),--(Risk_Rank_Keys!$B$2:$B$800&lt;Risk_Rank_Keys!B435))+(SUMPRODUCT(--ISNUMBER(Risk_Rank_Keys!$B$2:$B$800),--(Risk_Rank_Keys!$B$2:$B$800=Risk_Rank_Keys!B435))+1)/2)/COUNT(Risk_Rank_Keys!$B$2:$B$800))</f>
        <v>0.138075313807531</v>
      </c>
      <c r="N435" s="0" t="n">
        <f aca="false">IF(OR(B435="NW",COUNT(Risk_Rank_Keys!C435)=0),0.5,(SUMPRODUCT(--ISNUMBER(Risk_Rank_Keys!$C$2:$C$800),--(Risk_Rank_Keys!$C$2:$C$800&lt;Risk_Rank_Keys!C435))+(SUMPRODUCT(--ISNUMBER(Risk_Rank_Keys!$C$2:$C$800),--(Risk_Rank_Keys!$C$2:$C$800=Risk_Rank_Keys!C435))+1)/2)/COUNT(Risk_Rank_Keys!$C$2:$C$800))</f>
        <v>0.196652719665272</v>
      </c>
      <c r="O435" s="0" t="n">
        <f aca="false">IF(OR(B435="NW",COUNT(Risk_Rank_Keys!D435)=0),0.5,(SUMPRODUCT(--ISNUMBER(Risk_Rank_Keys!$D$2:$D$800),--(Risk_Rank_Keys!$D$2:$D$800&lt;Risk_Rank_Keys!D435))+(SUMPRODUCT(--ISNUMBER(Risk_Rank_Keys!$D$2:$D$800),--(Risk_Rank_Keys!$D$2:$D$800=Risk_Rank_Keys!D435))+1)/2)/COUNT(Risk_Rank_Keys!$D$2:$D$800))</f>
        <v>0.105997210599721</v>
      </c>
      <c r="P435" s="0" t="n">
        <f aca="false">AVERAGE(M435:O435)</f>
        <v>0.146908414690841</v>
      </c>
      <c r="Q435" s="0" t="n">
        <f aca="false">0.4*H435+0.4*I435+0.2*P435</f>
        <v>0.23914388569161</v>
      </c>
      <c r="R435" s="0" t="n">
        <f aca="false">PERCENTILE($Q$2:$Q$800,0.75)</f>
        <v>0.667715717403612</v>
      </c>
      <c r="S435" s="1" t="b">
        <f aca="false">OR(Q435&gt;=R435,AND(B435="CW",COUNT(J435:L435)&lt;3))</f>
        <v>0</v>
      </c>
      <c r="T435" s="0" t="n">
        <v>0.248836596676249</v>
      </c>
      <c r="U435" s="0" t="n">
        <v>5.99737462798815</v>
      </c>
      <c r="V435" s="0" t="n">
        <v>0.23914388569161</v>
      </c>
      <c r="W435" s="0" t="n">
        <f aca="false">Q435-V435</f>
        <v>0</v>
      </c>
    </row>
    <row r="436" customFormat="false" ht="15" hidden="false" customHeight="false" outlineLevel="0" collapsed="false">
      <c r="A436" s="0" t="s">
        <v>470</v>
      </c>
      <c r="B436" s="0" t="s">
        <v>3013</v>
      </c>
      <c r="C436" s="0" t="n">
        <v>23.9763678976217</v>
      </c>
      <c r="D436" s="0" t="n">
        <f aca="false">SUMPRODUCT(Risk_Inputs!B436:AJ436,Risk_Coefs!$B$2:$AJ$2)</f>
        <v>-0.762287948831654</v>
      </c>
      <c r="E436" s="0" t="n">
        <f aca="false">1/(1+EXP(-MAX(-25,MIN(25,D436))))</f>
        <v>0.318149733998351</v>
      </c>
      <c r="F436" s="0" t="n">
        <f aca="false">SUMPRODUCT(Risk_Inputs!B436:AJ436,Risk_Coefs!$B$3:$AJ$3)</f>
        <v>6.2290223529227</v>
      </c>
      <c r="G436" s="0" t="n">
        <f aca="false">MAX(0,F436)</f>
        <v>6.2290223529227</v>
      </c>
      <c r="H436" s="0" t="n">
        <f aca="false">(SUMPRODUCT(--ISNUMBER($E$2:$E$800),--($E$2:$E$800&lt;E436))+(SUMPRODUCT(--ISNUMBER($E$2:$E$800),--($E$2:$E$800=E436))+1)/2)/COUNT($E$2:$E$800)</f>
        <v>0.659574468085106</v>
      </c>
      <c r="I436" s="0" t="n">
        <f aca="false">(SUMPRODUCT(--ISNUMBER($G$2:$G$800),--($G$2:$G$800&lt;G436))+(SUMPRODUCT(--ISNUMBER($G$2:$G$800),--($G$2:$G$800=G436))+1)/2)/COUNT($G$2:$G$800)</f>
        <v>0.297872340425532</v>
      </c>
      <c r="J436" s="0" t="n">
        <v>12.1031496173169</v>
      </c>
      <c r="K436" s="0" t="n">
        <v>1.38185168125289</v>
      </c>
      <c r="L436" s="0" t="n">
        <v>0.184246890833713</v>
      </c>
      <c r="M436" s="0" t="n">
        <f aca="false">IF(OR(B436="NW",COUNT(Risk_Rank_Keys!B436)=0),0.5,(SUMPRODUCT(--ISNUMBER(Risk_Rank_Keys!$B$2:$B$800),--(Risk_Rank_Keys!$B$2:$B$800&lt;Risk_Rank_Keys!B436))+(SUMPRODUCT(--ISNUMBER(Risk_Rank_Keys!$B$2:$B$800),--(Risk_Rank_Keys!$B$2:$B$800=Risk_Rank_Keys!B436))+1)/2)/COUNT(Risk_Rank_Keys!$B$2:$B$800))</f>
        <v>0.605299860529986</v>
      </c>
      <c r="N436" s="0" t="n">
        <f aca="false">IF(OR(B436="NW",COUNT(Risk_Rank_Keys!C436)=0),0.5,(SUMPRODUCT(--ISNUMBER(Risk_Rank_Keys!$C$2:$C$800),--(Risk_Rank_Keys!$C$2:$C$800&lt;Risk_Rank_Keys!C436))+(SUMPRODUCT(--ISNUMBER(Risk_Rank_Keys!$C$2:$C$800),--(Risk_Rank_Keys!$C$2:$C$800=Risk_Rank_Keys!C436))+1)/2)/COUNT(Risk_Rank_Keys!$C$2:$C$800))</f>
        <v>0.103207810320781</v>
      </c>
      <c r="O436" s="0" t="n">
        <f aca="false">IF(OR(B436="NW",COUNT(Risk_Rank_Keys!D436)=0),0.5,(SUMPRODUCT(--ISNUMBER(Risk_Rank_Keys!$D$2:$D$800),--(Risk_Rank_Keys!$D$2:$D$800&lt;Risk_Rank_Keys!D436))+(SUMPRODUCT(--ISNUMBER(Risk_Rank_Keys!$D$2:$D$800),--(Risk_Rank_Keys!$D$2:$D$800=Risk_Rank_Keys!D436))+1)/2)/COUNT(Risk_Rank_Keys!$D$2:$D$800))</f>
        <v>0.230125523012552</v>
      </c>
      <c r="P436" s="0" t="n">
        <f aca="false">AVERAGE(M436:O436)</f>
        <v>0.312877731287773</v>
      </c>
      <c r="Q436" s="0" t="n">
        <f aca="false">0.4*H436+0.4*I436+0.2*P436</f>
        <v>0.44555426966181</v>
      </c>
      <c r="R436" s="0" t="n">
        <f aca="false">PERCENTILE($Q$2:$Q$800,0.75)</f>
        <v>0.667715717403612</v>
      </c>
      <c r="S436" s="1" t="b">
        <f aca="false">OR(Q436&gt;=R436,AND(B436="CW",COUNT(J436:L436)&lt;3))</f>
        <v>0</v>
      </c>
      <c r="T436" s="0" t="n">
        <v>0.318149733998351</v>
      </c>
      <c r="U436" s="0" t="n">
        <v>6.2290223529227</v>
      </c>
      <c r="V436" s="0" t="n">
        <v>0.44555426966181</v>
      </c>
      <c r="W436" s="0" t="n">
        <f aca="false">Q436-V436</f>
        <v>0</v>
      </c>
    </row>
    <row r="437" customFormat="false" ht="15" hidden="false" customHeight="false" outlineLevel="0" collapsed="false">
      <c r="A437" s="0" t="s">
        <v>471</v>
      </c>
      <c r="B437" s="0" t="s">
        <v>3013</v>
      </c>
      <c r="C437" s="0" t="n">
        <v>27.9916113982347</v>
      </c>
      <c r="D437" s="0" t="n">
        <f aca="false">SUMPRODUCT(Risk_Inputs!B437:AJ437,Risk_Coefs!$B$2:$AJ$2)</f>
        <v>-0.921778097860058</v>
      </c>
      <c r="E437" s="0" t="n">
        <f aca="false">1/(1+EXP(-MAX(-25,MIN(25,D437))))</f>
        <v>0.284595733177478</v>
      </c>
      <c r="F437" s="0" t="n">
        <f aca="false">SUMPRODUCT(Risk_Inputs!B437:AJ437,Risk_Coefs!$B$3:$AJ$3)</f>
        <v>5.04111958026812</v>
      </c>
      <c r="G437" s="0" t="n">
        <f aca="false">MAX(0,F437)</f>
        <v>5.04111958026812</v>
      </c>
      <c r="H437" s="0" t="n">
        <f aca="false">(SUMPRODUCT(--ISNUMBER($E$2:$E$800),--($E$2:$E$800&lt;E437))+(SUMPRODUCT(--ISNUMBER($E$2:$E$800),--($E$2:$E$800=E437))+1)/2)/COUNT($E$2:$E$800)</f>
        <v>0.48811013767209</v>
      </c>
      <c r="I437" s="0" t="n">
        <f aca="false">(SUMPRODUCT(--ISNUMBER($G$2:$G$800),--($G$2:$G$800&lt;G437))+(SUMPRODUCT(--ISNUMBER($G$2:$G$800),--($G$2:$G$800=G437))+1)/2)/COUNT($G$2:$G$800)</f>
        <v>0.13892365456821</v>
      </c>
      <c r="J437" s="0" t="n">
        <v>5.46135623679915</v>
      </c>
      <c r="K437" s="0" t="n">
        <v>2.32744783306581</v>
      </c>
      <c r="L437" s="0" t="n">
        <v>0.214018191546284</v>
      </c>
      <c r="M437" s="0" t="n">
        <f aca="false">IF(OR(B437="NW",COUNT(Risk_Rank_Keys!B437)=0),0.5,(SUMPRODUCT(--ISNUMBER(Risk_Rank_Keys!$B$2:$B$800),--(Risk_Rank_Keys!$B$2:$B$800&lt;Risk_Rank_Keys!B437))+(SUMPRODUCT(--ISNUMBER(Risk_Rank_Keys!$B$2:$B$800),--(Risk_Rank_Keys!$B$2:$B$800=Risk_Rank_Keys!B437))+1)/2)/COUNT(Risk_Rank_Keys!$B$2:$B$800))</f>
        <v>0.164574616457462</v>
      </c>
      <c r="N437" s="0" t="n">
        <f aca="false">IF(OR(B437="NW",COUNT(Risk_Rank_Keys!C437)=0),0.5,(SUMPRODUCT(--ISNUMBER(Risk_Rank_Keys!$C$2:$C$800),--(Risk_Rank_Keys!$C$2:$C$800&lt;Risk_Rank_Keys!C437))+(SUMPRODUCT(--ISNUMBER(Risk_Rank_Keys!$C$2:$C$800),--(Risk_Rank_Keys!$C$2:$C$800=Risk_Rank_Keys!C437))+1)/2)/COUNT(Risk_Rank_Keys!$C$2:$C$800))</f>
        <v>0.347280334728034</v>
      </c>
      <c r="O437" s="0" t="n">
        <f aca="false">IF(OR(B437="NW",COUNT(Risk_Rank_Keys!D437)=0),0.5,(SUMPRODUCT(--ISNUMBER(Risk_Rank_Keys!$D$2:$D$800),--(Risk_Rank_Keys!$D$2:$D$800&lt;Risk_Rank_Keys!D437))+(SUMPRODUCT(--ISNUMBER(Risk_Rank_Keys!$D$2:$D$800),--(Risk_Rank_Keys!$D$2:$D$800=Risk_Rank_Keys!D437))+1)/2)/COUNT(Risk_Rank_Keys!$D$2:$D$800))</f>
        <v>0.404463040446304</v>
      </c>
      <c r="P437" s="0" t="n">
        <f aca="false">AVERAGE(M437:O437)</f>
        <v>0.305439330543933</v>
      </c>
      <c r="Q437" s="0" t="n">
        <f aca="false">0.4*H437+0.4*I437+0.2*P437</f>
        <v>0.311901383004907</v>
      </c>
      <c r="R437" s="0" t="n">
        <f aca="false">PERCENTILE($Q$2:$Q$800,0.75)</f>
        <v>0.667715717403612</v>
      </c>
      <c r="S437" s="1" t="b">
        <f aca="false">OR(Q437&gt;=R437,AND(B437="CW",COUNT(J437:L437)&lt;3))</f>
        <v>0</v>
      </c>
      <c r="T437" s="0" t="n">
        <v>0.284595733177478</v>
      </c>
      <c r="U437" s="0" t="n">
        <v>5.04111958026812</v>
      </c>
      <c r="V437" s="0" t="n">
        <v>0.311901383004907</v>
      </c>
      <c r="W437" s="0" t="n">
        <f aca="false">Q437-V437</f>
        <v>0</v>
      </c>
    </row>
    <row r="438" customFormat="false" ht="15" hidden="false" customHeight="false" outlineLevel="0" collapsed="false">
      <c r="A438" s="0" t="s">
        <v>472</v>
      </c>
      <c r="B438" s="0" t="s">
        <v>33</v>
      </c>
      <c r="C438" s="0" t="n">
        <v>-14.0132634613078</v>
      </c>
      <c r="D438" s="0" t="n">
        <f aca="false">SUMPRODUCT(Risk_Inputs!B438:AJ438,Risk_Coefs!$B$2:$AJ$2)</f>
        <v>-0.534512408388444</v>
      </c>
      <c r="E438" s="0" t="n">
        <f aca="false">1/(1+EXP(-MAX(-25,MIN(25,D438))))</f>
        <v>0.369465056765736</v>
      </c>
      <c r="F438" s="0" t="n">
        <f aca="false">SUMPRODUCT(Risk_Inputs!B438:AJ438,Risk_Coefs!$B$3:$AJ$3)</f>
        <v>10.4795660824024</v>
      </c>
      <c r="G438" s="0" t="n">
        <f aca="false">MAX(0,F438)</f>
        <v>10.4795660824024</v>
      </c>
      <c r="H438" s="0" t="n">
        <f aca="false">(SUMPRODUCT(--ISNUMBER($E$2:$E$800),--($E$2:$E$800&lt;E438))+(SUMPRODUCT(--ISNUMBER($E$2:$E$800),--($E$2:$E$800=E438))+1)/2)/COUNT($E$2:$E$800)</f>
        <v>0.872340425531915</v>
      </c>
      <c r="I438" s="0" t="n">
        <f aca="false">(SUMPRODUCT(--ISNUMBER($G$2:$G$800),--($G$2:$G$800&lt;G438))+(SUMPRODUCT(--ISNUMBER($G$2:$G$800),--($G$2:$G$800=G438))+1)/2)/COUNT($G$2:$G$800)</f>
        <v>0.838548185231539</v>
      </c>
      <c r="M438" s="0" t="n">
        <f aca="false">IF(OR(B438="NW",COUNT(Risk_Rank_Keys!B438)=0),0.5,(SUMPRODUCT(--ISNUMBER(Risk_Rank_Keys!$B$2:$B$800),--(Risk_Rank_Keys!$B$2:$B$800&lt;Risk_Rank_Keys!B438))+(SUMPRODUCT(--ISNUMBER(Risk_Rank_Keys!$B$2:$B$800),--(Risk_Rank_Keys!$B$2:$B$800=Risk_Rank_Keys!B438))+1)/2)/COUNT(Risk_Rank_Keys!$B$2:$B$800))</f>
        <v>0.5</v>
      </c>
      <c r="N438" s="0" t="n">
        <f aca="false">IF(OR(B438="NW",COUNT(Risk_Rank_Keys!C438)=0),0.5,(SUMPRODUCT(--ISNUMBER(Risk_Rank_Keys!$C$2:$C$800),--(Risk_Rank_Keys!$C$2:$C$800&lt;Risk_Rank_Keys!C438))+(SUMPRODUCT(--ISNUMBER(Risk_Rank_Keys!$C$2:$C$800),--(Risk_Rank_Keys!$C$2:$C$800=Risk_Rank_Keys!C438))+1)/2)/COUNT(Risk_Rank_Keys!$C$2:$C$800))</f>
        <v>0.5</v>
      </c>
      <c r="O438" s="0" t="n">
        <f aca="false">IF(OR(B438="NW",COUNT(Risk_Rank_Keys!D438)=0),0.5,(SUMPRODUCT(--ISNUMBER(Risk_Rank_Keys!$D$2:$D$800),--(Risk_Rank_Keys!$D$2:$D$800&lt;Risk_Rank_Keys!D438))+(SUMPRODUCT(--ISNUMBER(Risk_Rank_Keys!$D$2:$D$800),--(Risk_Rank_Keys!$D$2:$D$800=Risk_Rank_Keys!D438))+1)/2)/COUNT(Risk_Rank_Keys!$D$2:$D$800))</f>
        <v>0.5</v>
      </c>
      <c r="P438" s="0" t="n">
        <f aca="false">AVERAGE(M438:O438)</f>
        <v>0.5</v>
      </c>
      <c r="Q438" s="0" t="n">
        <f aca="false">0.4*H438+0.4*I438+0.2*P438</f>
        <v>0.784355444305382</v>
      </c>
      <c r="R438" s="0" t="n">
        <f aca="false">PERCENTILE($Q$2:$Q$800,0.75)</f>
        <v>0.667715717403612</v>
      </c>
      <c r="S438" s="1" t="b">
        <f aca="false">OR(Q438&gt;=R438,AND(B438="CW",COUNT(J438:L438)&lt;3))</f>
        <v>1</v>
      </c>
      <c r="T438" s="0" t="n">
        <v>0.369465056765736</v>
      </c>
      <c r="U438" s="0" t="n">
        <v>10.4795660824024</v>
      </c>
      <c r="V438" s="0" t="n">
        <v>0.784355444305382</v>
      </c>
      <c r="W438" s="0" t="n">
        <f aca="false">Q438-V438</f>
        <v>0</v>
      </c>
    </row>
    <row r="439" customFormat="false" ht="15" hidden="false" customHeight="false" outlineLevel="0" collapsed="false">
      <c r="A439" s="0" t="s">
        <v>473</v>
      </c>
      <c r="B439" s="0" t="s">
        <v>3013</v>
      </c>
      <c r="C439" s="0" t="n">
        <v>52.9589011973327</v>
      </c>
      <c r="D439" s="0" t="n">
        <f aca="false">SUMPRODUCT(Risk_Inputs!B439:AJ439,Risk_Coefs!$B$2:$AJ$2)</f>
        <v>-0.987556859988615</v>
      </c>
      <c r="E439" s="0" t="n">
        <f aca="false">1/(1+EXP(-MAX(-25,MIN(25,D439))))</f>
        <v>0.271394913548013</v>
      </c>
      <c r="F439" s="0" t="n">
        <f aca="false">SUMPRODUCT(Risk_Inputs!B439:AJ439,Risk_Coefs!$B$3:$AJ$3)</f>
        <v>9.01297491843054</v>
      </c>
      <c r="G439" s="0" t="n">
        <f aca="false">MAX(0,F439)</f>
        <v>9.01297491843054</v>
      </c>
      <c r="H439" s="0" t="n">
        <f aca="false">(SUMPRODUCT(--ISNUMBER($E$2:$E$800),--($E$2:$E$800&lt;E439))+(SUMPRODUCT(--ISNUMBER($E$2:$E$800),--($E$2:$E$800=E439))+1)/2)/COUNT($E$2:$E$800)</f>
        <v>0.397997496871089</v>
      </c>
      <c r="I439" s="0" t="n">
        <f aca="false">(SUMPRODUCT(--ISNUMBER($G$2:$G$800),--($G$2:$G$800&lt;G439))+(SUMPRODUCT(--ISNUMBER($G$2:$G$800),--($G$2:$G$800=G439))+1)/2)/COUNT($G$2:$G$800)</f>
        <v>0.685857321652065</v>
      </c>
      <c r="J439" s="0" t="n">
        <v>17.2139221047018</v>
      </c>
      <c r="K439" s="0" t="n">
        <v>13.1294964028777</v>
      </c>
      <c r="L439" s="0" t="n">
        <v>0.314748201438857</v>
      </c>
      <c r="M439" s="0" t="n">
        <f aca="false">IF(OR(B439="NW",COUNT(Risk_Rank_Keys!B439)=0),0.5,(SUMPRODUCT(--ISNUMBER(Risk_Rank_Keys!$B$2:$B$800),--(Risk_Rank_Keys!$B$2:$B$800&lt;Risk_Rank_Keys!B439))+(SUMPRODUCT(--ISNUMBER(Risk_Rank_Keys!$B$2:$B$800),--(Risk_Rank_Keys!$B$2:$B$800=Risk_Rank_Keys!B439))+1)/2)/COUNT(Risk_Rank_Keys!$B$2:$B$800))</f>
        <v>0.750348675034868</v>
      </c>
      <c r="N439" s="0" t="n">
        <f aca="false">IF(OR(B439="NW",COUNT(Risk_Rank_Keys!C439)=0),0.5,(SUMPRODUCT(--ISNUMBER(Risk_Rank_Keys!$C$2:$C$800),--(Risk_Rank_Keys!$C$2:$C$800&lt;Risk_Rank_Keys!C439))+(SUMPRODUCT(--ISNUMBER(Risk_Rank_Keys!$C$2:$C$800),--(Risk_Rank_Keys!$C$2:$C$800=Risk_Rank_Keys!C439))+1)/2)/COUNT(Risk_Rank_Keys!$C$2:$C$800))</f>
        <v>0.910739191073919</v>
      </c>
      <c r="O439" s="0" t="n">
        <f aca="false">IF(OR(B439="NW",COUNT(Risk_Rank_Keys!D439)=0),0.5,(SUMPRODUCT(--ISNUMBER(Risk_Rank_Keys!$D$2:$D$800),--(Risk_Rank_Keys!$D$2:$D$800&lt;Risk_Rank_Keys!D439))+(SUMPRODUCT(--ISNUMBER(Risk_Rank_Keys!$D$2:$D$800),--(Risk_Rank_Keys!$D$2:$D$800=Risk_Rank_Keys!D439))+1)/2)/COUNT(Risk_Rank_Keys!$D$2:$D$800))</f>
        <v>0.762900976290098</v>
      </c>
      <c r="P439" s="0" t="n">
        <f aca="false">AVERAGE(M439:O439)</f>
        <v>0.807996280799628</v>
      </c>
      <c r="Q439" s="0" t="n">
        <f aca="false">0.4*H439+0.4*I439+0.2*P439</f>
        <v>0.595141183569187</v>
      </c>
      <c r="R439" s="0" t="n">
        <f aca="false">PERCENTILE($Q$2:$Q$800,0.75)</f>
        <v>0.667715717403612</v>
      </c>
      <c r="S439" s="1" t="b">
        <f aca="false">OR(Q439&gt;=R439,AND(B439="CW",COUNT(J439:L439)&lt;3))</f>
        <v>0</v>
      </c>
      <c r="T439" s="0" t="n">
        <v>0.271394913548013</v>
      </c>
      <c r="U439" s="0" t="n">
        <v>9.01297491843054</v>
      </c>
      <c r="V439" s="0" t="n">
        <v>0.595141183569187</v>
      </c>
      <c r="W439" s="0" t="n">
        <f aca="false">Q439-V439</f>
        <v>0</v>
      </c>
    </row>
    <row r="440" customFormat="false" ht="15" hidden="false" customHeight="false" outlineLevel="0" collapsed="false">
      <c r="A440" s="0" t="s">
        <v>474</v>
      </c>
      <c r="B440" s="0" t="s">
        <v>3013</v>
      </c>
      <c r="C440" s="0" t="n">
        <v>30.0362226589083</v>
      </c>
      <c r="D440" s="0" t="n">
        <f aca="false">SUMPRODUCT(Risk_Inputs!B440:AJ440,Risk_Coefs!$B$2:$AJ$2)</f>
        <v>-1.30036336497345</v>
      </c>
      <c r="E440" s="0" t="n">
        <f aca="false">1/(1+EXP(-MAX(-25,MIN(25,D440))))</f>
        <v>0.214103869579019</v>
      </c>
      <c r="F440" s="0" t="n">
        <f aca="false">SUMPRODUCT(Risk_Inputs!B440:AJ440,Risk_Coefs!$B$3:$AJ$3)</f>
        <v>5.76212463235347</v>
      </c>
      <c r="G440" s="0" t="n">
        <f aca="false">MAX(0,F440)</f>
        <v>5.76212463235347</v>
      </c>
      <c r="H440" s="0" t="n">
        <f aca="false">(SUMPRODUCT(--ISNUMBER($E$2:$E$800),--($E$2:$E$800&lt;E440))+(SUMPRODUCT(--ISNUMBER($E$2:$E$800),--($E$2:$E$800=E440))+1)/2)/COUNT($E$2:$E$800)</f>
        <v>0.128911138923655</v>
      </c>
      <c r="I440" s="0" t="n">
        <f aca="false">(SUMPRODUCT(--ISNUMBER($G$2:$G$800),--($G$2:$G$800&lt;G440))+(SUMPRODUCT(--ISNUMBER($G$2:$G$800),--($G$2:$G$800=G440))+1)/2)/COUNT($G$2:$G$800)</f>
        <v>0.235294117647059</v>
      </c>
      <c r="J440" s="0" t="n">
        <v>7.90410301068236</v>
      </c>
      <c r="K440" s="0" t="n">
        <v>2.05161083506973</v>
      </c>
      <c r="L440" s="0" t="n">
        <v>0.20836672543677</v>
      </c>
      <c r="M440" s="0" t="n">
        <f aca="false">IF(OR(B440="NW",COUNT(Risk_Rank_Keys!B440)=0),0.5,(SUMPRODUCT(--ISNUMBER(Risk_Rank_Keys!$B$2:$B$800),--(Risk_Rank_Keys!$B$2:$B$800&lt;Risk_Rank_Keys!B440))+(SUMPRODUCT(--ISNUMBER(Risk_Rank_Keys!$B$2:$B$800),--(Risk_Rank_Keys!$B$2:$B$800=Risk_Rank_Keys!B440))+1)/2)/COUNT(Risk_Rank_Keys!$B$2:$B$800))</f>
        <v>0.376569037656904</v>
      </c>
      <c r="N440" s="0" t="n">
        <f aca="false">IF(OR(B440="NW",COUNT(Risk_Rank_Keys!C440)=0),0.5,(SUMPRODUCT(--ISNUMBER(Risk_Rank_Keys!$C$2:$C$800),--(Risk_Rank_Keys!$C$2:$C$800&lt;Risk_Rank_Keys!C440))+(SUMPRODUCT(--ISNUMBER(Risk_Rank_Keys!$C$2:$C$800),--(Risk_Rank_Keys!$C$2:$C$800=Risk_Rank_Keys!C440))+1)/2)/COUNT(Risk_Rank_Keys!$C$2:$C$800))</f>
        <v>0.288702928870293</v>
      </c>
      <c r="O440" s="0" t="n">
        <f aca="false">IF(OR(B440="NW",COUNT(Risk_Rank_Keys!D440)=0),0.5,(SUMPRODUCT(--ISNUMBER(Risk_Rank_Keys!$D$2:$D$800),--(Risk_Rank_Keys!$D$2:$D$800&lt;Risk_Rank_Keys!D440))+(SUMPRODUCT(--ISNUMBER(Risk_Rank_Keys!$D$2:$D$800),--(Risk_Rank_Keys!$D$2:$D$800=Risk_Rank_Keys!D440))+1)/2)/COUNT(Risk_Rank_Keys!$D$2:$D$800))</f>
        <v>0.366806136680614</v>
      </c>
      <c r="P440" s="0" t="n">
        <f aca="false">AVERAGE(M440:O440)</f>
        <v>0.344026034402603</v>
      </c>
      <c r="Q440" s="0" t="n">
        <f aca="false">0.4*H440+0.4*I440+0.2*P440</f>
        <v>0.214487309508806</v>
      </c>
      <c r="R440" s="0" t="n">
        <f aca="false">PERCENTILE($Q$2:$Q$800,0.75)</f>
        <v>0.667715717403612</v>
      </c>
      <c r="S440" s="1" t="b">
        <f aca="false">OR(Q440&gt;=R440,AND(B440="CW",COUNT(J440:L440)&lt;3))</f>
        <v>0</v>
      </c>
      <c r="T440" s="0" t="n">
        <v>0.214103869579019</v>
      </c>
      <c r="U440" s="0" t="n">
        <v>5.76212463235348</v>
      </c>
      <c r="V440" s="0" t="n">
        <v>0.214487309508806</v>
      </c>
      <c r="W440" s="0" t="n">
        <f aca="false">Q440-V440</f>
        <v>0</v>
      </c>
    </row>
    <row r="441" customFormat="false" ht="15" hidden="false" customHeight="false" outlineLevel="0" collapsed="false">
      <c r="A441" s="0" t="s">
        <v>475</v>
      </c>
      <c r="B441" s="0" t="s">
        <v>3013</v>
      </c>
      <c r="C441" s="0" t="n">
        <v>34.2927786208829</v>
      </c>
      <c r="D441" s="0" t="n">
        <f aca="false">SUMPRODUCT(Risk_Inputs!B441:AJ441,Risk_Coefs!$B$2:$AJ$2)</f>
        <v>-0.967516999050626</v>
      </c>
      <c r="E441" s="0" t="n">
        <f aca="false">1/(1+EXP(-MAX(-25,MIN(25,D441))))</f>
        <v>0.275375693511715</v>
      </c>
      <c r="F441" s="0" t="n">
        <f aca="false">SUMPRODUCT(Risk_Inputs!B441:AJ441,Risk_Coefs!$B$3:$AJ$3)</f>
        <v>6.40341802536688</v>
      </c>
      <c r="G441" s="0" t="n">
        <f aca="false">MAX(0,F441)</f>
        <v>6.40341802536688</v>
      </c>
      <c r="H441" s="0" t="n">
        <f aca="false">(SUMPRODUCT(--ISNUMBER($E$2:$E$800),--($E$2:$E$800&lt;E441))+(SUMPRODUCT(--ISNUMBER($E$2:$E$800),--($E$2:$E$800=E441))+1)/2)/COUNT($E$2:$E$800)</f>
        <v>0.428035043804756</v>
      </c>
      <c r="I441" s="0" t="n">
        <f aca="false">(SUMPRODUCT(--ISNUMBER($G$2:$G$800),--($G$2:$G$800&lt;G441))+(SUMPRODUCT(--ISNUMBER($G$2:$G$800),--($G$2:$G$800=G441))+1)/2)/COUNT($G$2:$G$800)</f>
        <v>0.32665832290363</v>
      </c>
      <c r="J441" s="0" t="n">
        <v>14.1609629454796</v>
      </c>
      <c r="K441" s="0" t="n">
        <v>4.74728389230043</v>
      </c>
      <c r="L441" s="0" t="n">
        <v>0.188946622579124</v>
      </c>
      <c r="M441" s="0" t="n">
        <f aca="false">IF(OR(B441="NW",COUNT(Risk_Rank_Keys!B441)=0),0.5,(SUMPRODUCT(--ISNUMBER(Risk_Rank_Keys!$B$2:$B$800),--(Risk_Rank_Keys!$B$2:$B$800&lt;Risk_Rank_Keys!B441))+(SUMPRODUCT(--ISNUMBER(Risk_Rank_Keys!$B$2:$B$800),--(Risk_Rank_Keys!$B$2:$B$800=Risk_Rank_Keys!B441))+1)/2)/COUNT(Risk_Rank_Keys!$B$2:$B$800))</f>
        <v>0.680613668061367</v>
      </c>
      <c r="N441" s="0" t="n">
        <f aca="false">IF(OR(B441="NW",COUNT(Risk_Rank_Keys!C441)=0),0.5,(SUMPRODUCT(--ISNUMBER(Risk_Rank_Keys!$C$2:$C$800),--(Risk_Rank_Keys!$C$2:$C$800&lt;Risk_Rank_Keys!C441))+(SUMPRODUCT(--ISNUMBER(Risk_Rank_Keys!$C$2:$C$800),--(Risk_Rank_Keys!$C$2:$C$800=Risk_Rank_Keys!C441))+1)/2)/COUNT(Risk_Rank_Keys!$C$2:$C$800))</f>
        <v>0.666666666666667</v>
      </c>
      <c r="O441" s="0" t="n">
        <f aca="false">IF(OR(B441="NW",COUNT(Risk_Rank_Keys!D441)=0),0.5,(SUMPRODUCT(--ISNUMBER(Risk_Rank_Keys!$D$2:$D$800),--(Risk_Rank_Keys!$D$2:$D$800&lt;Risk_Rank_Keys!D441))+(SUMPRODUCT(--ISNUMBER(Risk_Rank_Keys!$D$2:$D$800),--(Risk_Rank_Keys!$D$2:$D$800=Risk_Rank_Keys!D441))+1)/2)/COUNT(Risk_Rank_Keys!$D$2:$D$800))</f>
        <v>0.246164574616457</v>
      </c>
      <c r="P441" s="0" t="n">
        <f aca="false">AVERAGE(M441:O441)</f>
        <v>0.53114830311483</v>
      </c>
      <c r="Q441" s="0" t="n">
        <f aca="false">0.4*H441+0.4*I441+0.2*P441</f>
        <v>0.40810700730632</v>
      </c>
      <c r="R441" s="0" t="n">
        <f aca="false">PERCENTILE($Q$2:$Q$800,0.75)</f>
        <v>0.667715717403612</v>
      </c>
      <c r="S441" s="1" t="b">
        <f aca="false">OR(Q441&gt;=R441,AND(B441="CW",COUNT(J441:L441)&lt;3))</f>
        <v>0</v>
      </c>
      <c r="T441" s="0" t="n">
        <v>0.275375693511715</v>
      </c>
      <c r="U441" s="0" t="n">
        <v>6.40341802536688</v>
      </c>
      <c r="V441" s="0" t="n">
        <v>0.40810700730632</v>
      </c>
      <c r="W441" s="0" t="n">
        <f aca="false">Q441-V441</f>
        <v>0</v>
      </c>
    </row>
    <row r="442" customFormat="false" ht="15" hidden="false" customHeight="false" outlineLevel="0" collapsed="false">
      <c r="A442" s="0" t="s">
        <v>476</v>
      </c>
      <c r="B442" s="0" t="s">
        <v>3013</v>
      </c>
      <c r="C442" s="0" t="n">
        <v>23.5661830658093</v>
      </c>
      <c r="D442" s="0" t="n">
        <f aca="false">SUMPRODUCT(Risk_Inputs!B442:AJ442,Risk_Coefs!$B$2:$AJ$2)</f>
        <v>-0.842399085266204</v>
      </c>
      <c r="E442" s="0" t="n">
        <f aca="false">1/(1+EXP(-MAX(-25,MIN(25,D442))))</f>
        <v>0.301029749618446</v>
      </c>
      <c r="F442" s="0" t="n">
        <f aca="false">SUMPRODUCT(Risk_Inputs!B442:AJ442,Risk_Coefs!$B$3:$AJ$3)</f>
        <v>7.8284376805361</v>
      </c>
      <c r="G442" s="0" t="n">
        <f aca="false">MAX(0,F442)</f>
        <v>7.8284376805361</v>
      </c>
      <c r="H442" s="0" t="n">
        <f aca="false">(SUMPRODUCT(--ISNUMBER($E$2:$E$800),--($E$2:$E$800&lt;E442))+(SUMPRODUCT(--ISNUMBER($E$2:$E$800),--($E$2:$E$800=E442))+1)/2)/COUNT($E$2:$E$800)</f>
        <v>0.573216520650814</v>
      </c>
      <c r="I442" s="0" t="n">
        <f aca="false">(SUMPRODUCT(--ISNUMBER($G$2:$G$800),--($G$2:$G$800&lt;G442))+(SUMPRODUCT(--ISNUMBER($G$2:$G$800),--($G$2:$G$800=G442))+1)/2)/COUNT($G$2:$G$800)</f>
        <v>0.521902377972466</v>
      </c>
      <c r="J442" s="0" t="n">
        <v>2.10511705376111</v>
      </c>
      <c r="K442" s="0" t="n">
        <v>2.69277845777232</v>
      </c>
      <c r="L442" s="0" t="n">
        <v>0.183598531211749</v>
      </c>
      <c r="M442" s="0" t="n">
        <f aca="false">IF(OR(B442="NW",COUNT(Risk_Rank_Keys!B442)=0),0.5,(SUMPRODUCT(--ISNUMBER(Risk_Rank_Keys!$B$2:$B$800),--(Risk_Rank_Keys!$B$2:$B$800&lt;Risk_Rank_Keys!B442))+(SUMPRODUCT(--ISNUMBER(Risk_Rank_Keys!$B$2:$B$800),--(Risk_Rank_Keys!$B$2:$B$800=Risk_Rank_Keys!B442))+1)/2)/COUNT(Risk_Rank_Keys!$B$2:$B$800))</f>
        <v>0.00697350069735007</v>
      </c>
      <c r="N442" s="0" t="n">
        <f aca="false">IF(OR(B442="NW",COUNT(Risk_Rank_Keys!C442)=0),0.5,(SUMPRODUCT(--ISNUMBER(Risk_Rank_Keys!$C$2:$C$800),--(Risk_Rank_Keys!$C$2:$C$800&lt;Risk_Rank_Keys!C442))+(SUMPRODUCT(--ISNUMBER(Risk_Rank_Keys!$C$2:$C$800),--(Risk_Rank_Keys!$C$2:$C$800=Risk_Rank_Keys!C442))+1)/2)/COUNT(Risk_Rank_Keys!$C$2:$C$800))</f>
        <v>0.423988842398884</v>
      </c>
      <c r="O442" s="0" t="n">
        <f aca="false">IF(OR(B442="NW",COUNT(Risk_Rank_Keys!D442)=0),0.5,(SUMPRODUCT(--ISNUMBER(Risk_Rank_Keys!$D$2:$D$800),--(Risk_Rank_Keys!$D$2:$D$800&lt;Risk_Rank_Keys!D442))+(SUMPRODUCT(--ISNUMBER(Risk_Rank_Keys!$D$2:$D$800),--(Risk_Rank_Keys!$D$2:$D$800=Risk_Rank_Keys!D442))+1)/2)/COUNT(Risk_Rank_Keys!$D$2:$D$800))</f>
        <v>0.228730822873082</v>
      </c>
      <c r="P442" s="0" t="n">
        <f aca="false">AVERAGE(M442:O442)</f>
        <v>0.219897721989772</v>
      </c>
      <c r="Q442" s="0" t="n">
        <f aca="false">0.4*H442+0.4*I442+0.2*P442</f>
        <v>0.482027103847266</v>
      </c>
      <c r="R442" s="0" t="n">
        <f aca="false">PERCENTILE($Q$2:$Q$800,0.75)</f>
        <v>0.667715717403612</v>
      </c>
      <c r="S442" s="1" t="b">
        <f aca="false">OR(Q442&gt;=R442,AND(B442="CW",COUNT(J442:L442)&lt;3))</f>
        <v>0</v>
      </c>
      <c r="T442" s="0" t="n">
        <v>0.301029749618446</v>
      </c>
      <c r="U442" s="0" t="n">
        <v>7.8284376805361</v>
      </c>
      <c r="V442" s="0" t="n">
        <v>0.482027103847266</v>
      </c>
      <c r="W442" s="0" t="n">
        <f aca="false">Q442-V442</f>
        <v>0</v>
      </c>
    </row>
    <row r="443" customFormat="false" ht="15" hidden="false" customHeight="false" outlineLevel="0" collapsed="false">
      <c r="A443" s="0" t="s">
        <v>477</v>
      </c>
      <c r="B443" s="0" t="s">
        <v>33</v>
      </c>
      <c r="C443" s="0" t="n">
        <v>40.6030734995189</v>
      </c>
      <c r="D443" s="0" t="n">
        <f aca="false">SUMPRODUCT(Risk_Inputs!B443:AJ443,Risk_Coefs!$B$2:$AJ$2)</f>
        <v>-0.71620916915804</v>
      </c>
      <c r="E443" s="0" t="n">
        <f aca="false">1/(1+EXP(-MAX(-25,MIN(25,D443))))</f>
        <v>0.328228295292845</v>
      </c>
      <c r="F443" s="0" t="n">
        <f aca="false">SUMPRODUCT(Risk_Inputs!B443:AJ443,Risk_Coefs!$B$3:$AJ$3)</f>
        <v>9.44504006428393</v>
      </c>
      <c r="G443" s="0" t="n">
        <f aca="false">MAX(0,F443)</f>
        <v>9.44504006428393</v>
      </c>
      <c r="H443" s="0" t="n">
        <f aca="false">(SUMPRODUCT(--ISNUMBER($E$2:$E$800),--($E$2:$E$800&lt;E443))+(SUMPRODUCT(--ISNUMBER($E$2:$E$800),--($E$2:$E$800=E443))+1)/2)/COUNT($E$2:$E$800)</f>
        <v>0.725907384230288</v>
      </c>
      <c r="I443" s="0" t="n">
        <f aca="false">(SUMPRODUCT(--ISNUMBER($G$2:$G$800),--($G$2:$G$800&lt;G443))+(SUMPRODUCT(--ISNUMBER($G$2:$G$800),--($G$2:$G$800=G443))+1)/2)/COUNT($G$2:$G$800)</f>
        <v>0.72215269086358</v>
      </c>
      <c r="M443" s="0" t="n">
        <f aca="false">IF(OR(B443="NW",COUNT(Risk_Rank_Keys!B443)=0),0.5,(SUMPRODUCT(--ISNUMBER(Risk_Rank_Keys!$B$2:$B$800),--(Risk_Rank_Keys!$B$2:$B$800&lt;Risk_Rank_Keys!B443))+(SUMPRODUCT(--ISNUMBER(Risk_Rank_Keys!$B$2:$B$800),--(Risk_Rank_Keys!$B$2:$B$800=Risk_Rank_Keys!B443))+1)/2)/COUNT(Risk_Rank_Keys!$B$2:$B$800))</f>
        <v>0.5</v>
      </c>
      <c r="N443" s="0" t="n">
        <f aca="false">IF(OR(B443="NW",COUNT(Risk_Rank_Keys!C443)=0),0.5,(SUMPRODUCT(--ISNUMBER(Risk_Rank_Keys!$C$2:$C$800),--(Risk_Rank_Keys!$C$2:$C$800&lt;Risk_Rank_Keys!C443))+(SUMPRODUCT(--ISNUMBER(Risk_Rank_Keys!$C$2:$C$800),--(Risk_Rank_Keys!$C$2:$C$800=Risk_Rank_Keys!C443))+1)/2)/COUNT(Risk_Rank_Keys!$C$2:$C$800))</f>
        <v>0.5</v>
      </c>
      <c r="O443" s="0" t="n">
        <f aca="false">IF(OR(B443="NW",COUNT(Risk_Rank_Keys!D443)=0),0.5,(SUMPRODUCT(--ISNUMBER(Risk_Rank_Keys!$D$2:$D$800),--(Risk_Rank_Keys!$D$2:$D$800&lt;Risk_Rank_Keys!D443))+(SUMPRODUCT(--ISNUMBER(Risk_Rank_Keys!$D$2:$D$800),--(Risk_Rank_Keys!$D$2:$D$800=Risk_Rank_Keys!D443))+1)/2)/COUNT(Risk_Rank_Keys!$D$2:$D$800))</f>
        <v>0.5</v>
      </c>
      <c r="P443" s="0" t="n">
        <f aca="false">AVERAGE(M443:O443)</f>
        <v>0.5</v>
      </c>
      <c r="Q443" s="0" t="n">
        <f aca="false">0.4*H443+0.4*I443+0.2*P443</f>
        <v>0.679224030037547</v>
      </c>
      <c r="R443" s="0" t="n">
        <f aca="false">PERCENTILE($Q$2:$Q$800,0.75)</f>
        <v>0.667715717403612</v>
      </c>
      <c r="S443" s="1" t="b">
        <f aca="false">OR(Q443&gt;=R443,AND(B443="CW",COUNT(J443:L443)&lt;3))</f>
        <v>1</v>
      </c>
      <c r="T443" s="0" t="n">
        <v>0.328228295292845</v>
      </c>
      <c r="U443" s="0" t="n">
        <v>9.44504006428393</v>
      </c>
      <c r="V443" s="0" t="n">
        <v>0.679224030037547</v>
      </c>
      <c r="W443" s="0" t="n">
        <f aca="false">Q443-V443</f>
        <v>0</v>
      </c>
    </row>
    <row r="444" customFormat="false" ht="15" hidden="false" customHeight="false" outlineLevel="0" collapsed="false">
      <c r="A444" s="0" t="s">
        <v>478</v>
      </c>
      <c r="B444" s="0" t="s">
        <v>3013</v>
      </c>
      <c r="C444" s="0" t="n">
        <v>-37.2755429764786</v>
      </c>
      <c r="D444" s="0" t="n">
        <f aca="false">SUMPRODUCT(Risk_Inputs!B444:AJ444,Risk_Coefs!$B$2:$AJ$2)</f>
        <v>-0.733420169623564</v>
      </c>
      <c r="E444" s="0" t="n">
        <f aca="false">1/(1+EXP(-MAX(-25,MIN(25,D444))))</f>
        <v>0.324444643914791</v>
      </c>
      <c r="F444" s="0" t="n">
        <f aca="false">SUMPRODUCT(Risk_Inputs!B444:AJ444,Risk_Coefs!$B$3:$AJ$3)</f>
        <v>5.71667705704258</v>
      </c>
      <c r="G444" s="0" t="n">
        <f aca="false">MAX(0,F444)</f>
        <v>5.71667705704258</v>
      </c>
      <c r="H444" s="0" t="n">
        <f aca="false">(SUMPRODUCT(--ISNUMBER($E$2:$E$800),--($E$2:$E$800&lt;E444))+(SUMPRODUCT(--ISNUMBER($E$2:$E$800),--($E$2:$E$800=E444))+1)/2)/COUNT($E$2:$E$800)</f>
        <v>0.702127659574468</v>
      </c>
      <c r="I444" s="0" t="n">
        <f aca="false">(SUMPRODUCT(--ISNUMBER($G$2:$G$800),--($G$2:$G$800&lt;G444))+(SUMPRODUCT(--ISNUMBER($G$2:$G$800),--($G$2:$G$800=G444))+1)/2)/COUNT($G$2:$G$800)</f>
        <v>0.229036295369212</v>
      </c>
      <c r="J444" s="0" t="n">
        <v>3.3365855454512</v>
      </c>
      <c r="K444" s="0" t="n">
        <v>1.01384767556874</v>
      </c>
      <c r="L444" s="0" t="n">
        <v>0.222551928783384</v>
      </c>
      <c r="M444" s="0" t="n">
        <f aca="false">IF(OR(B444="NW",COUNT(Risk_Rank_Keys!B444)=0),0.5,(SUMPRODUCT(--ISNUMBER(Risk_Rank_Keys!$B$2:$B$800),--(Risk_Rank_Keys!$B$2:$B$800&lt;Risk_Rank_Keys!B444))+(SUMPRODUCT(--ISNUMBER(Risk_Rank_Keys!$B$2:$B$800),--(Risk_Rank_Keys!$B$2:$B$800=Risk_Rank_Keys!B444))+1)/2)/COUNT(Risk_Rank_Keys!$B$2:$B$800))</f>
        <v>0.0376569037656904</v>
      </c>
      <c r="N444" s="0" t="n">
        <f aca="false">IF(OR(B444="NW",COUNT(Risk_Rank_Keys!C444)=0),0.5,(SUMPRODUCT(--ISNUMBER(Risk_Rank_Keys!$C$2:$C$800),--(Risk_Rank_Keys!$C$2:$C$800&lt;Risk_Rank_Keys!C444))+(SUMPRODUCT(--ISNUMBER(Risk_Rank_Keys!$C$2:$C$800),--(Risk_Rank_Keys!$C$2:$C$800=Risk_Rank_Keys!C444))+1)/2)/COUNT(Risk_Rank_Keys!$C$2:$C$800))</f>
        <v>0.0292887029288703</v>
      </c>
      <c r="O444" s="0" t="n">
        <f aca="false">IF(OR(B444="NW",COUNT(Risk_Rank_Keys!D444)=0),0.5,(SUMPRODUCT(--ISNUMBER(Risk_Rank_Keys!$D$2:$D$800),--(Risk_Rank_Keys!$D$2:$D$800&lt;Risk_Rank_Keys!D444))+(SUMPRODUCT(--ISNUMBER(Risk_Rank_Keys!$D$2:$D$800),--(Risk_Rank_Keys!$D$2:$D$800=Risk_Rank_Keys!D444))+1)/2)/COUNT(Risk_Rank_Keys!$D$2:$D$800))</f>
        <v>0.458856345885635</v>
      </c>
      <c r="P444" s="0" t="n">
        <f aca="false">AVERAGE(M444:O444)</f>
        <v>0.175267317526732</v>
      </c>
      <c r="Q444" s="0" t="n">
        <f aca="false">0.4*H444+0.4*I444+0.2*P444</f>
        <v>0.407519045482818</v>
      </c>
      <c r="R444" s="0" t="n">
        <f aca="false">PERCENTILE($Q$2:$Q$800,0.75)</f>
        <v>0.667715717403612</v>
      </c>
      <c r="S444" s="1" t="b">
        <f aca="false">OR(Q444&gt;=R444,AND(B444="CW",COUNT(J444:L444)&lt;3))</f>
        <v>0</v>
      </c>
      <c r="T444" s="0" t="n">
        <v>0.324444643914791</v>
      </c>
      <c r="U444" s="0" t="n">
        <v>5.71667705704258</v>
      </c>
      <c r="V444" s="0" t="n">
        <v>0.407519045482818</v>
      </c>
      <c r="W444" s="0" t="n">
        <f aca="false">Q444-V444</f>
        <v>0</v>
      </c>
    </row>
    <row r="445" customFormat="false" ht="15" hidden="false" customHeight="false" outlineLevel="0" collapsed="false">
      <c r="A445" s="0" t="s">
        <v>479</v>
      </c>
      <c r="B445" s="0" t="s">
        <v>3013</v>
      </c>
      <c r="C445" s="0" t="n">
        <v>-0.623897304040283</v>
      </c>
      <c r="D445" s="0" t="n">
        <f aca="false">SUMPRODUCT(Risk_Inputs!B445:AJ445,Risk_Coefs!$B$2:$AJ$2)</f>
        <v>-0.779743179465078</v>
      </c>
      <c r="E445" s="0" t="n">
        <f aca="false">1/(1+EXP(-MAX(-25,MIN(25,D445))))</f>
        <v>0.314375239406303</v>
      </c>
      <c r="F445" s="0" t="n">
        <f aca="false">SUMPRODUCT(Risk_Inputs!B445:AJ445,Risk_Coefs!$B$3:$AJ$3)</f>
        <v>6.52039125605485</v>
      </c>
      <c r="G445" s="0" t="n">
        <f aca="false">MAX(0,F445)</f>
        <v>6.52039125605485</v>
      </c>
      <c r="H445" s="0" t="n">
        <f aca="false">(SUMPRODUCT(--ISNUMBER($E$2:$E$800),--($E$2:$E$800&lt;E445))+(SUMPRODUCT(--ISNUMBER($E$2:$E$800),--($E$2:$E$800=E445))+1)/2)/COUNT($E$2:$E$800)</f>
        <v>0.639549436795995</v>
      </c>
      <c r="I445" s="0" t="n">
        <f aca="false">(SUMPRODUCT(--ISNUMBER($G$2:$G$800),--($G$2:$G$800&lt;G445))+(SUMPRODUCT(--ISNUMBER($G$2:$G$800),--($G$2:$G$800=G445))+1)/2)/COUNT($G$2:$G$800)</f>
        <v>0.346683354192741</v>
      </c>
      <c r="J445" s="0" t="n">
        <v>2.85443760617183</v>
      </c>
      <c r="K445" s="0" t="n">
        <v>1.51515151515152</v>
      </c>
      <c r="L445" s="0" t="n">
        <v>0.189393939393938</v>
      </c>
      <c r="M445" s="0" t="n">
        <f aca="false">IF(OR(B445="NW",COUNT(Risk_Rank_Keys!B445)=0),0.5,(SUMPRODUCT(--ISNUMBER(Risk_Rank_Keys!$B$2:$B$800),--(Risk_Rank_Keys!$B$2:$B$800&lt;Risk_Rank_Keys!B445))+(SUMPRODUCT(--ISNUMBER(Risk_Rank_Keys!$B$2:$B$800),--(Risk_Rank_Keys!$B$2:$B$800=Risk_Rank_Keys!B445))+1)/2)/COUNT(Risk_Rank_Keys!$B$2:$B$800))</f>
        <v>0.0209205020920502</v>
      </c>
      <c r="N445" s="0" t="n">
        <f aca="false">IF(OR(B445="NW",COUNT(Risk_Rank_Keys!C445)=0),0.5,(SUMPRODUCT(--ISNUMBER(Risk_Rank_Keys!$C$2:$C$800),--(Risk_Rank_Keys!$C$2:$C$800&lt;Risk_Rank_Keys!C445))+(SUMPRODUCT(--ISNUMBER(Risk_Rank_Keys!$C$2:$C$800),--(Risk_Rank_Keys!$C$2:$C$800=Risk_Rank_Keys!C445))+1)/2)/COUNT(Risk_Rank_Keys!$C$2:$C$800))</f>
        <v>0.135285913528591</v>
      </c>
      <c r="O445" s="0" t="n">
        <f aca="false">IF(OR(B445="NW",COUNT(Risk_Rank_Keys!D445)=0),0.5,(SUMPRODUCT(--ISNUMBER(Risk_Rank_Keys!$D$2:$D$800),--(Risk_Rank_Keys!$D$2:$D$800&lt;Risk_Rank_Keys!D445))+(SUMPRODUCT(--ISNUMBER(Risk_Rank_Keys!$D$2:$D$800),--(Risk_Rank_Keys!$D$2:$D$800=Risk_Rank_Keys!D445))+1)/2)/COUNT(Risk_Rank_Keys!$D$2:$D$800))</f>
        <v>0.249651324965133</v>
      </c>
      <c r="P445" s="0" t="n">
        <f aca="false">AVERAGE(M445:O445)</f>
        <v>0.135285913528591</v>
      </c>
      <c r="Q445" s="0" t="n">
        <f aca="false">0.4*H445+0.4*I445+0.2*P445</f>
        <v>0.421550299101213</v>
      </c>
      <c r="R445" s="0" t="n">
        <f aca="false">PERCENTILE($Q$2:$Q$800,0.75)</f>
        <v>0.667715717403612</v>
      </c>
      <c r="S445" s="1" t="b">
        <f aca="false">OR(Q445&gt;=R445,AND(B445="CW",COUNT(J445:L445)&lt;3))</f>
        <v>0</v>
      </c>
      <c r="T445" s="0" t="n">
        <v>0.314375239406303</v>
      </c>
      <c r="U445" s="0" t="n">
        <v>6.52039125605484</v>
      </c>
      <c r="V445" s="0" t="n">
        <v>0.421550299101213</v>
      </c>
      <c r="W445" s="0" t="n">
        <f aca="false">Q445-V445</f>
        <v>0</v>
      </c>
    </row>
    <row r="446" customFormat="false" ht="15" hidden="false" customHeight="false" outlineLevel="0" collapsed="false">
      <c r="A446" s="0" t="s">
        <v>480</v>
      </c>
      <c r="B446" s="0" t="s">
        <v>33</v>
      </c>
      <c r="C446" s="0" t="n">
        <v>-3.57265984418983</v>
      </c>
      <c r="D446" s="0" t="n">
        <f aca="false">SUMPRODUCT(Risk_Inputs!B446:AJ446,Risk_Coefs!$B$2:$AJ$2)</f>
        <v>-0.728268619737384</v>
      </c>
      <c r="E446" s="0" t="n">
        <f aca="false">1/(1+EXP(-MAX(-25,MIN(25,D446))))</f>
        <v>0.325574781828868</v>
      </c>
      <c r="F446" s="0" t="n">
        <f aca="false">SUMPRODUCT(Risk_Inputs!B446:AJ446,Risk_Coefs!$B$3:$AJ$3)</f>
        <v>8.91284477101664</v>
      </c>
      <c r="G446" s="0" t="n">
        <f aca="false">MAX(0,F446)</f>
        <v>8.91284477101664</v>
      </c>
      <c r="H446" s="0" t="n">
        <f aca="false">(SUMPRODUCT(--ISNUMBER($E$2:$E$800),--($E$2:$E$800&lt;E446))+(SUMPRODUCT(--ISNUMBER($E$2:$E$800),--($E$2:$E$800=E446))+1)/2)/COUNT($E$2:$E$800)</f>
        <v>0.705882352941177</v>
      </c>
      <c r="I446" s="0" t="n">
        <f aca="false">(SUMPRODUCT(--ISNUMBER($G$2:$G$800),--($G$2:$G$800&lt;G446))+(SUMPRODUCT(--ISNUMBER($G$2:$G$800),--($G$2:$G$800=G446))+1)/2)/COUNT($G$2:$G$800)</f>
        <v>0.667083854818523</v>
      </c>
      <c r="M446" s="0" t="n">
        <f aca="false">IF(OR(B446="NW",COUNT(Risk_Rank_Keys!B446)=0),0.5,(SUMPRODUCT(--ISNUMBER(Risk_Rank_Keys!$B$2:$B$800),--(Risk_Rank_Keys!$B$2:$B$800&lt;Risk_Rank_Keys!B446))+(SUMPRODUCT(--ISNUMBER(Risk_Rank_Keys!$B$2:$B$800),--(Risk_Rank_Keys!$B$2:$B$800=Risk_Rank_Keys!B446))+1)/2)/COUNT(Risk_Rank_Keys!$B$2:$B$800))</f>
        <v>0.5</v>
      </c>
      <c r="N446" s="0" t="n">
        <f aca="false">IF(OR(B446="NW",COUNT(Risk_Rank_Keys!C446)=0),0.5,(SUMPRODUCT(--ISNUMBER(Risk_Rank_Keys!$C$2:$C$800),--(Risk_Rank_Keys!$C$2:$C$800&lt;Risk_Rank_Keys!C446))+(SUMPRODUCT(--ISNUMBER(Risk_Rank_Keys!$C$2:$C$800),--(Risk_Rank_Keys!$C$2:$C$800=Risk_Rank_Keys!C446))+1)/2)/COUNT(Risk_Rank_Keys!$C$2:$C$800))</f>
        <v>0.5</v>
      </c>
      <c r="O446" s="0" t="n">
        <f aca="false">IF(OR(B446="NW",COUNT(Risk_Rank_Keys!D446)=0),0.5,(SUMPRODUCT(--ISNUMBER(Risk_Rank_Keys!$D$2:$D$800),--(Risk_Rank_Keys!$D$2:$D$800&lt;Risk_Rank_Keys!D446))+(SUMPRODUCT(--ISNUMBER(Risk_Rank_Keys!$D$2:$D$800),--(Risk_Rank_Keys!$D$2:$D$800=Risk_Rank_Keys!D446))+1)/2)/COUNT(Risk_Rank_Keys!$D$2:$D$800))</f>
        <v>0.5</v>
      </c>
      <c r="P446" s="0" t="n">
        <f aca="false">AVERAGE(M446:O446)</f>
        <v>0.5</v>
      </c>
      <c r="Q446" s="0" t="n">
        <f aca="false">0.4*H446+0.4*I446+0.2*P446</f>
        <v>0.64918648310388</v>
      </c>
      <c r="R446" s="0" t="n">
        <f aca="false">PERCENTILE($Q$2:$Q$800,0.75)</f>
        <v>0.667715717403612</v>
      </c>
      <c r="S446" s="1" t="b">
        <f aca="false">OR(Q446&gt;=R446,AND(B446="CW",COUNT(J446:L446)&lt;3))</f>
        <v>0</v>
      </c>
      <c r="T446" s="0" t="n">
        <v>0.325574781828868</v>
      </c>
      <c r="U446" s="0" t="n">
        <v>8.91284477101664</v>
      </c>
      <c r="V446" s="0" t="n">
        <v>0.64918648310388</v>
      </c>
      <c r="W446" s="0" t="n">
        <f aca="false">Q446-V446</f>
        <v>0</v>
      </c>
    </row>
    <row r="447" customFormat="false" ht="15" hidden="false" customHeight="false" outlineLevel="0" collapsed="false">
      <c r="A447" s="0" t="s">
        <v>481</v>
      </c>
      <c r="B447" s="0" t="s">
        <v>3013</v>
      </c>
      <c r="C447" s="0" t="n">
        <v>13.3429247826733</v>
      </c>
      <c r="D447" s="0" t="n">
        <f aca="false">SUMPRODUCT(Risk_Inputs!B447:AJ447,Risk_Coefs!$B$2:$AJ$2)</f>
        <v>-0.826623601019265</v>
      </c>
      <c r="E447" s="0" t="n">
        <f aca="false">1/(1+EXP(-MAX(-25,MIN(25,D447))))</f>
        <v>0.304359464931421</v>
      </c>
      <c r="F447" s="0" t="n">
        <f aca="false">SUMPRODUCT(Risk_Inputs!B447:AJ447,Risk_Coefs!$B$3:$AJ$3)</f>
        <v>9.46351310497262</v>
      </c>
      <c r="G447" s="0" t="n">
        <f aca="false">MAX(0,F447)</f>
        <v>9.46351310497262</v>
      </c>
      <c r="H447" s="0" t="n">
        <f aca="false">(SUMPRODUCT(--ISNUMBER($E$2:$E$800),--($E$2:$E$800&lt;E447))+(SUMPRODUCT(--ISNUMBER($E$2:$E$800),--($E$2:$E$800=E447))+1)/2)/COUNT($E$2:$E$800)</f>
        <v>0.588235294117647</v>
      </c>
      <c r="I447" s="0" t="n">
        <f aca="false">(SUMPRODUCT(--ISNUMBER($G$2:$G$800),--($G$2:$G$800&lt;G447))+(SUMPRODUCT(--ISNUMBER($G$2:$G$800),--($G$2:$G$800=G447))+1)/2)/COUNT($G$2:$G$800)</f>
        <v>0.725907384230288</v>
      </c>
      <c r="J447" s="0" t="n">
        <v>4.42469843978326</v>
      </c>
      <c r="K447" s="0" t="n">
        <v>1.47965474722566</v>
      </c>
      <c r="L447" s="0" t="n">
        <v>0.20550760378134</v>
      </c>
      <c r="M447" s="0" t="n">
        <f aca="false">IF(OR(B447="NW",COUNT(Risk_Rank_Keys!B447)=0),0.5,(SUMPRODUCT(--ISNUMBER(Risk_Rank_Keys!$B$2:$B$800),--(Risk_Rank_Keys!$B$2:$B$800&lt;Risk_Rank_Keys!B447))+(SUMPRODUCT(--ISNUMBER(Risk_Rank_Keys!$B$2:$B$800),--(Risk_Rank_Keys!$B$2:$B$800=Risk_Rank_Keys!B447))+1)/2)/COUNT(Risk_Rank_Keys!$B$2:$B$800))</f>
        <v>0.0934449093444909</v>
      </c>
      <c r="N447" s="0" t="n">
        <f aca="false">IF(OR(B447="NW",COUNT(Risk_Rank_Keys!C447)=0),0.5,(SUMPRODUCT(--ISNUMBER(Risk_Rank_Keys!$C$2:$C$800),--(Risk_Rank_Keys!$C$2:$C$800&lt;Risk_Rank_Keys!C447))+(SUMPRODUCT(--ISNUMBER(Risk_Rank_Keys!$C$2:$C$800),--(Risk_Rank_Keys!$C$2:$C$800=Risk_Rank_Keys!C447))+1)/2)/COUNT(Risk_Rank_Keys!$C$2:$C$800))</f>
        <v>0.131101813110181</v>
      </c>
      <c r="O447" s="0" t="n">
        <f aca="false">IF(OR(B447="NW",COUNT(Risk_Rank_Keys!D447)=0),0.5,(SUMPRODUCT(--ISNUMBER(Risk_Rank_Keys!$D$2:$D$800),--(Risk_Rank_Keys!$D$2:$D$800&lt;Risk_Rank_Keys!D447))+(SUMPRODUCT(--ISNUMBER(Risk_Rank_Keys!$D$2:$D$800),--(Risk_Rank_Keys!$D$2:$D$800=Risk_Rank_Keys!D447))+1)/2)/COUNT(Risk_Rank_Keys!$D$2:$D$800))</f>
        <v>0.341701534170153</v>
      </c>
      <c r="P447" s="0" t="n">
        <f aca="false">AVERAGE(M447:O447)</f>
        <v>0.188749418874942</v>
      </c>
      <c r="Q447" s="0" t="n">
        <f aca="false">0.4*H447+0.4*I447+0.2*P447</f>
        <v>0.563406955114162</v>
      </c>
      <c r="R447" s="0" t="n">
        <f aca="false">PERCENTILE($Q$2:$Q$800,0.75)</f>
        <v>0.667715717403612</v>
      </c>
      <c r="S447" s="1" t="b">
        <f aca="false">OR(Q447&gt;=R447,AND(B447="CW",COUNT(J447:L447)&lt;3))</f>
        <v>0</v>
      </c>
      <c r="T447" s="0" t="n">
        <v>0.304359464931421</v>
      </c>
      <c r="U447" s="0" t="n">
        <v>9.46351310497262</v>
      </c>
      <c r="V447" s="0" t="n">
        <v>0.563406955114162</v>
      </c>
      <c r="W447" s="0" t="n">
        <f aca="false">Q447-V447</f>
        <v>0</v>
      </c>
    </row>
    <row r="448" customFormat="false" ht="15" hidden="false" customHeight="false" outlineLevel="0" collapsed="false">
      <c r="A448" s="0" t="s">
        <v>482</v>
      </c>
      <c r="B448" s="0" t="s">
        <v>3013</v>
      </c>
      <c r="C448" s="0" t="n">
        <v>10.7215400207084</v>
      </c>
      <c r="D448" s="0" t="n">
        <f aca="false">SUMPRODUCT(Risk_Inputs!B448:AJ448,Risk_Coefs!$B$2:$AJ$2)</f>
        <v>-1.19441269224835</v>
      </c>
      <c r="E448" s="0" t="n">
        <f aca="false">1/(1+EXP(-MAX(-25,MIN(25,D448))))</f>
        <v>0.232470658390474</v>
      </c>
      <c r="F448" s="0" t="n">
        <f aca="false">SUMPRODUCT(Risk_Inputs!B448:AJ448,Risk_Coefs!$B$3:$AJ$3)</f>
        <v>3.7428762153852</v>
      </c>
      <c r="G448" s="0" t="n">
        <f aca="false">MAX(0,F448)</f>
        <v>3.7428762153852</v>
      </c>
      <c r="H448" s="0" t="n">
        <f aca="false">(SUMPRODUCT(--ISNUMBER($E$2:$E$800),--($E$2:$E$800&lt;E448))+(SUMPRODUCT(--ISNUMBER($E$2:$E$800),--($E$2:$E$800=E448))+1)/2)/COUNT($E$2:$E$800)</f>
        <v>0.188986232790989</v>
      </c>
      <c r="I448" s="0" t="n">
        <f aca="false">(SUMPRODUCT(--ISNUMBER($G$2:$G$800),--($G$2:$G$800&lt;G448))+(SUMPRODUCT(--ISNUMBER($G$2:$G$800),--($G$2:$G$800=G448))+1)/2)/COUNT($G$2:$G$800)</f>
        <v>0.0400500625782228</v>
      </c>
      <c r="J448" s="0" t="n">
        <v>3.17353813232912</v>
      </c>
      <c r="K448" s="0" t="n">
        <v>1.94647201946472</v>
      </c>
      <c r="L448" s="0" t="n">
        <v>0.218978102189782</v>
      </c>
      <c r="M448" s="0" t="n">
        <f aca="false">IF(OR(B448="NW",COUNT(Risk_Rank_Keys!B448)=0),0.5,(SUMPRODUCT(--ISNUMBER(Risk_Rank_Keys!$B$2:$B$800),--(Risk_Rank_Keys!$B$2:$B$800&lt;Risk_Rank_Keys!B448))+(SUMPRODUCT(--ISNUMBER(Risk_Rank_Keys!$B$2:$B$800),--(Risk_Rank_Keys!$B$2:$B$800=Risk_Rank_Keys!B448))+1)/2)/COUNT(Risk_Rank_Keys!$B$2:$B$800))</f>
        <v>0.0334728033472803</v>
      </c>
      <c r="N448" s="0" t="n">
        <f aca="false">IF(OR(B448="NW",COUNT(Risk_Rank_Keys!C448)=0),0.5,(SUMPRODUCT(--ISNUMBER(Risk_Rank_Keys!$C$2:$C$800),--(Risk_Rank_Keys!$C$2:$C$800&lt;Risk_Rank_Keys!C448))+(SUMPRODUCT(--ISNUMBER(Risk_Rank_Keys!$C$2:$C$800),--(Risk_Rank_Keys!$C$2:$C$800=Risk_Rank_Keys!C448))+1)/2)/COUNT(Risk_Rank_Keys!$C$2:$C$800))</f>
        <v>0.259414225941423</v>
      </c>
      <c r="O448" s="0" t="n">
        <f aca="false">IF(OR(B448="NW",COUNT(Risk_Rank_Keys!D448)=0),0.5,(SUMPRODUCT(--ISNUMBER(Risk_Rank_Keys!$D$2:$D$800),--(Risk_Rank_Keys!$D$2:$D$800&lt;Risk_Rank_Keys!D448))+(SUMPRODUCT(--ISNUMBER(Risk_Rank_Keys!$D$2:$D$800),--(Risk_Rank_Keys!$D$2:$D$800=Risk_Rank_Keys!D448))+1)/2)/COUNT(Risk_Rank_Keys!$D$2:$D$800))</f>
        <v>0.432357043235704</v>
      </c>
      <c r="P448" s="0" t="n">
        <f aca="false">AVERAGE(M448:O448)</f>
        <v>0.241748024174802</v>
      </c>
      <c r="Q448" s="0" t="n">
        <f aca="false">0.4*H448+0.4*I448+0.2*P448</f>
        <v>0.139964122982645</v>
      </c>
      <c r="R448" s="0" t="n">
        <f aca="false">PERCENTILE($Q$2:$Q$800,0.75)</f>
        <v>0.667715717403612</v>
      </c>
      <c r="S448" s="1" t="b">
        <f aca="false">OR(Q448&gt;=R448,AND(B448="CW",COUNT(J448:L448)&lt;3))</f>
        <v>0</v>
      </c>
      <c r="T448" s="0" t="n">
        <v>0.232470658390474</v>
      </c>
      <c r="U448" s="0" t="n">
        <v>3.7428762153852</v>
      </c>
      <c r="V448" s="0" t="n">
        <v>0.139964122982645</v>
      </c>
      <c r="W448" s="0" t="n">
        <f aca="false">Q448-V448</f>
        <v>0</v>
      </c>
    </row>
    <row r="449" customFormat="false" ht="15" hidden="false" customHeight="false" outlineLevel="0" collapsed="false">
      <c r="A449" s="0" t="s">
        <v>483</v>
      </c>
      <c r="B449" s="0" t="s">
        <v>3013</v>
      </c>
      <c r="C449" s="0" t="n">
        <v>55.0252832730254</v>
      </c>
      <c r="D449" s="0" t="n">
        <f aca="false">SUMPRODUCT(Risk_Inputs!B449:AJ449,Risk_Coefs!$B$2:$AJ$2)</f>
        <v>-1.89953541321588</v>
      </c>
      <c r="E449" s="0" t="n">
        <f aca="false">1/(1+EXP(-MAX(-25,MIN(25,D449))))</f>
        <v>0.130161065452334</v>
      </c>
      <c r="F449" s="0" t="n">
        <f aca="false">SUMPRODUCT(Risk_Inputs!B449:AJ449,Risk_Coefs!$B$3:$AJ$3)</f>
        <v>1.88461143841967</v>
      </c>
      <c r="G449" s="0" t="n">
        <f aca="false">MAX(0,F449)</f>
        <v>1.88461143841967</v>
      </c>
      <c r="H449" s="0" t="n">
        <f aca="false">(SUMPRODUCT(--ISNUMBER($E$2:$E$800),--($E$2:$E$800&lt;E449))+(SUMPRODUCT(--ISNUMBER($E$2:$E$800),--($E$2:$E$800=E449))+1)/2)/COUNT($E$2:$E$800)</f>
        <v>0.00750938673341677</v>
      </c>
      <c r="I449" s="0" t="n">
        <f aca="false">(SUMPRODUCT(--ISNUMBER($G$2:$G$800),--($G$2:$G$800&lt;G449))+(SUMPRODUCT(--ISNUMBER($G$2:$G$800),--($G$2:$G$800=G449))+1)/2)/COUNT($G$2:$G$800)</f>
        <v>0.00750938673341677</v>
      </c>
      <c r="J449" s="0" t="n">
        <v>59.2916104543486</v>
      </c>
      <c r="K449" s="0" t="n">
        <v>21.8714253031343</v>
      </c>
      <c r="L449" s="0" t="n">
        <v>0.343170899107756</v>
      </c>
      <c r="M449" s="0" t="n">
        <f aca="false">IF(OR(B449="NW",COUNT(Risk_Rank_Keys!B449)=0),0.5,(SUMPRODUCT(--ISNUMBER(Risk_Rank_Keys!$B$2:$B$800),--(Risk_Rank_Keys!$B$2:$B$800&lt;Risk_Rank_Keys!B449))+(SUMPRODUCT(--ISNUMBER(Risk_Rank_Keys!$B$2:$B$800),--(Risk_Rank_Keys!$B$2:$B$800=Risk_Rank_Keys!B449))+1)/2)/COUNT(Risk_Rank_Keys!$B$2:$B$800))</f>
        <v>0.98884239888424</v>
      </c>
      <c r="N449" s="0" t="n">
        <f aca="false">IF(OR(B449="NW",COUNT(Risk_Rank_Keys!C449)=0),0.5,(SUMPRODUCT(--ISNUMBER(Risk_Rank_Keys!$C$2:$C$800),--(Risk_Rank_Keys!$C$2:$C$800&lt;Risk_Rank_Keys!C449))+(SUMPRODUCT(--ISNUMBER(Risk_Rank_Keys!$C$2:$C$800),--(Risk_Rank_Keys!$C$2:$C$800=Risk_Rank_Keys!C449))+1)/2)/COUNT(Risk_Rank_Keys!$C$2:$C$800))</f>
        <v>0.96792189679219</v>
      </c>
      <c r="O449" s="0" t="n">
        <f aca="false">IF(OR(B449="NW",COUNT(Risk_Rank_Keys!D449)=0),0.5,(SUMPRODUCT(--ISNUMBER(Risk_Rank_Keys!$D$2:$D$800),--(Risk_Rank_Keys!$D$2:$D$800&lt;Risk_Rank_Keys!D449))+(SUMPRODUCT(--ISNUMBER(Risk_Rank_Keys!$D$2:$D$800),--(Risk_Rank_Keys!$D$2:$D$800=Risk_Rank_Keys!D449))+1)/2)/COUNT(Risk_Rank_Keys!$D$2:$D$800))</f>
        <v>0.820083682008368</v>
      </c>
      <c r="P449" s="0" t="n">
        <f aca="false">AVERAGE(M449:O449)</f>
        <v>0.925615992561599</v>
      </c>
      <c r="Q449" s="0" t="n">
        <f aca="false">0.4*H449+0.4*I449+0.2*P449</f>
        <v>0.191130707899053</v>
      </c>
      <c r="R449" s="0" t="n">
        <f aca="false">PERCENTILE($Q$2:$Q$800,0.75)</f>
        <v>0.667715717403612</v>
      </c>
      <c r="S449" s="1" t="b">
        <f aca="false">OR(Q449&gt;=R449,AND(B449="CW",COUNT(J449:L449)&lt;3))</f>
        <v>0</v>
      </c>
      <c r="T449" s="0" t="n">
        <v>0.130161065452334</v>
      </c>
      <c r="U449" s="0" t="n">
        <v>1.88461143841967</v>
      </c>
      <c r="V449" s="0" t="n">
        <v>0.191130707899053</v>
      </c>
      <c r="W449" s="0" t="n">
        <f aca="false">Q449-V449</f>
        <v>0</v>
      </c>
    </row>
    <row r="450" customFormat="false" ht="15" hidden="false" customHeight="false" outlineLevel="0" collapsed="false">
      <c r="A450" s="0" t="s">
        <v>484</v>
      </c>
      <c r="B450" s="0" t="s">
        <v>33</v>
      </c>
      <c r="C450" s="0" t="n">
        <v>49.0146117134064</v>
      </c>
      <c r="D450" s="0" t="n">
        <f aca="false">SUMPRODUCT(Risk_Inputs!B450:AJ450,Risk_Coefs!$B$2:$AJ$2)</f>
        <v>-0.402524349881794</v>
      </c>
      <c r="E450" s="0" t="n">
        <f aca="false">1/(1+EXP(-MAX(-25,MIN(25,D450))))</f>
        <v>0.400705989079862</v>
      </c>
      <c r="F450" s="0" t="n">
        <f aca="false">SUMPRODUCT(Risk_Inputs!B450:AJ450,Risk_Coefs!$B$3:$AJ$3)</f>
        <v>12.601360796961</v>
      </c>
      <c r="G450" s="0" t="n">
        <f aca="false">MAX(0,F450)</f>
        <v>12.601360796961</v>
      </c>
      <c r="H450" s="0" t="n">
        <f aca="false">(SUMPRODUCT(--ISNUMBER($E$2:$E$800),--($E$2:$E$800&lt;E450))+(SUMPRODUCT(--ISNUMBER($E$2:$E$800),--($E$2:$E$800=E450))+1)/2)/COUNT($E$2:$E$800)</f>
        <v>0.946182728410513</v>
      </c>
      <c r="I450" s="0" t="n">
        <f aca="false">(SUMPRODUCT(--ISNUMBER($G$2:$G$800),--($G$2:$G$800&lt;G450))+(SUMPRODUCT(--ISNUMBER($G$2:$G$800),--($G$2:$G$800=G450))+1)/2)/COUNT($G$2:$G$800)</f>
        <v>0.943679599499374</v>
      </c>
      <c r="M450" s="0" t="n">
        <f aca="false">IF(OR(B450="NW",COUNT(Risk_Rank_Keys!B450)=0),0.5,(SUMPRODUCT(--ISNUMBER(Risk_Rank_Keys!$B$2:$B$800),--(Risk_Rank_Keys!$B$2:$B$800&lt;Risk_Rank_Keys!B450))+(SUMPRODUCT(--ISNUMBER(Risk_Rank_Keys!$B$2:$B$800),--(Risk_Rank_Keys!$B$2:$B$800=Risk_Rank_Keys!B450))+1)/2)/COUNT(Risk_Rank_Keys!$B$2:$B$800))</f>
        <v>0.5</v>
      </c>
      <c r="N450" s="0" t="n">
        <f aca="false">IF(OR(B450="NW",COUNT(Risk_Rank_Keys!C450)=0),0.5,(SUMPRODUCT(--ISNUMBER(Risk_Rank_Keys!$C$2:$C$800),--(Risk_Rank_Keys!$C$2:$C$800&lt;Risk_Rank_Keys!C450))+(SUMPRODUCT(--ISNUMBER(Risk_Rank_Keys!$C$2:$C$800),--(Risk_Rank_Keys!$C$2:$C$800=Risk_Rank_Keys!C450))+1)/2)/COUNT(Risk_Rank_Keys!$C$2:$C$800))</f>
        <v>0.5</v>
      </c>
      <c r="O450" s="0" t="n">
        <f aca="false">IF(OR(B450="NW",COUNT(Risk_Rank_Keys!D450)=0),0.5,(SUMPRODUCT(--ISNUMBER(Risk_Rank_Keys!$D$2:$D$800),--(Risk_Rank_Keys!$D$2:$D$800&lt;Risk_Rank_Keys!D450))+(SUMPRODUCT(--ISNUMBER(Risk_Rank_Keys!$D$2:$D$800),--(Risk_Rank_Keys!$D$2:$D$800=Risk_Rank_Keys!D450))+1)/2)/COUNT(Risk_Rank_Keys!$D$2:$D$800))</f>
        <v>0.5</v>
      </c>
      <c r="P450" s="0" t="n">
        <f aca="false">AVERAGE(M450:O450)</f>
        <v>0.5</v>
      </c>
      <c r="Q450" s="0" t="n">
        <f aca="false">0.4*H450+0.4*I450+0.2*P450</f>
        <v>0.855944931163955</v>
      </c>
      <c r="R450" s="0" t="n">
        <f aca="false">PERCENTILE($Q$2:$Q$800,0.75)</f>
        <v>0.667715717403612</v>
      </c>
      <c r="S450" s="1" t="b">
        <f aca="false">OR(Q450&gt;=R450,AND(B450="CW",COUNT(J450:L450)&lt;3))</f>
        <v>1</v>
      </c>
      <c r="T450" s="0" t="n">
        <v>0.400705989079862</v>
      </c>
      <c r="U450" s="0" t="n">
        <v>12.601360796961</v>
      </c>
      <c r="V450" s="0" t="n">
        <v>0.855944931163955</v>
      </c>
      <c r="W450" s="0" t="n">
        <f aca="false">Q450-V450</f>
        <v>0</v>
      </c>
    </row>
    <row r="451" customFormat="false" ht="15" hidden="false" customHeight="false" outlineLevel="0" collapsed="false">
      <c r="A451" s="0" t="s">
        <v>485</v>
      </c>
      <c r="B451" s="0" t="s">
        <v>3013</v>
      </c>
      <c r="C451" s="0" t="n">
        <v>17.2564358711784</v>
      </c>
      <c r="D451" s="0" t="n">
        <f aca="false">SUMPRODUCT(Risk_Inputs!B451:AJ451,Risk_Coefs!$B$2:$AJ$2)</f>
        <v>-0.540424119880427</v>
      </c>
      <c r="E451" s="0" t="n">
        <f aca="false">1/(1+EXP(-MAX(-25,MIN(25,D451))))</f>
        <v>0.368088926687113</v>
      </c>
      <c r="F451" s="0" t="n">
        <f aca="false">SUMPRODUCT(Risk_Inputs!B451:AJ451,Risk_Coefs!$B$3:$AJ$3)</f>
        <v>12.9985983186528</v>
      </c>
      <c r="G451" s="0" t="n">
        <f aca="false">MAX(0,F451)</f>
        <v>12.9985983186528</v>
      </c>
      <c r="H451" s="0" t="n">
        <f aca="false">(SUMPRODUCT(--ISNUMBER($E$2:$E$800),--($E$2:$E$800&lt;E451))+(SUMPRODUCT(--ISNUMBER($E$2:$E$800),--($E$2:$E$800=E451))+1)/2)/COUNT($E$2:$E$800)</f>
        <v>0.864831038798498</v>
      </c>
      <c r="I451" s="0" t="n">
        <f aca="false">(SUMPRODUCT(--ISNUMBER($G$2:$G$800),--($G$2:$G$800&lt;G451))+(SUMPRODUCT(--ISNUMBER($G$2:$G$800),--($G$2:$G$800=G451))+1)/2)/COUNT($G$2:$G$800)</f>
        <v>0.951188986232791</v>
      </c>
      <c r="J451" s="0" t="n">
        <v>12.7869465613159</v>
      </c>
      <c r="K451" s="0" t="n">
        <v>3.78246142265714</v>
      </c>
      <c r="L451" s="0" t="n">
        <v>0.169363944298076</v>
      </c>
      <c r="M451" s="0" t="n">
        <f aca="false">IF(OR(B451="NW",COUNT(Risk_Rank_Keys!B451)=0),0.5,(SUMPRODUCT(--ISNUMBER(Risk_Rank_Keys!$B$2:$B$800),--(Risk_Rank_Keys!$B$2:$B$800&lt;Risk_Rank_Keys!B451))+(SUMPRODUCT(--ISNUMBER(Risk_Rank_Keys!$B$2:$B$800),--(Risk_Rank_Keys!$B$2:$B$800=Risk_Rank_Keys!B451))+1)/2)/COUNT(Risk_Rank_Keys!$B$2:$B$800))</f>
        <v>0.627615062761506</v>
      </c>
      <c r="N451" s="0" t="n">
        <f aca="false">IF(OR(B451="NW",COUNT(Risk_Rank_Keys!C451)=0),0.5,(SUMPRODUCT(--ISNUMBER(Risk_Rank_Keys!$C$2:$C$800),--(Risk_Rank_Keys!$C$2:$C$800&lt;Risk_Rank_Keys!C451))+(SUMPRODUCT(--ISNUMBER(Risk_Rank_Keys!$C$2:$C$800),--(Risk_Rank_Keys!$C$2:$C$800=Risk_Rank_Keys!C451))+1)/2)/COUNT(Risk_Rank_Keys!$C$2:$C$800))</f>
        <v>0.567642956764296</v>
      </c>
      <c r="O451" s="0" t="n">
        <f aca="false">IF(OR(B451="NW",COUNT(Risk_Rank_Keys!D451)=0),0.5,(SUMPRODUCT(--ISNUMBER(Risk_Rank_Keys!$D$2:$D$800),--(Risk_Rank_Keys!$D$2:$D$800&lt;Risk_Rank_Keys!D451))+(SUMPRODUCT(--ISNUMBER(Risk_Rank_Keys!$D$2:$D$800),--(Risk_Rank_Keys!$D$2:$D$800=Risk_Rank_Keys!D451))+1)/2)/COUNT(Risk_Rank_Keys!$D$2:$D$800))</f>
        <v>0.161785216178522</v>
      </c>
      <c r="P451" s="0" t="n">
        <f aca="false">AVERAGE(M451:O451)</f>
        <v>0.452347745234775</v>
      </c>
      <c r="Q451" s="0" t="n">
        <f aca="false">0.4*H451+0.4*I451+0.2*P451</f>
        <v>0.816877559059471</v>
      </c>
      <c r="R451" s="0" t="n">
        <f aca="false">PERCENTILE($Q$2:$Q$800,0.75)</f>
        <v>0.667715717403612</v>
      </c>
      <c r="S451" s="1" t="b">
        <f aca="false">OR(Q451&gt;=R451,AND(B451="CW",COUNT(J451:L451)&lt;3))</f>
        <v>1</v>
      </c>
      <c r="T451" s="0" t="n">
        <v>0.368088926687113</v>
      </c>
      <c r="U451" s="0" t="n">
        <v>12.9985983186528</v>
      </c>
      <c r="V451" s="0" t="n">
        <v>0.816877559059471</v>
      </c>
      <c r="W451" s="0" t="n">
        <f aca="false">Q451-V451</f>
        <v>0</v>
      </c>
    </row>
    <row r="452" customFormat="false" ht="15" hidden="false" customHeight="false" outlineLevel="0" collapsed="false">
      <c r="A452" s="0" t="s">
        <v>486</v>
      </c>
      <c r="B452" s="0" t="s">
        <v>33</v>
      </c>
      <c r="C452" s="0" t="n">
        <v>-37.1829439068722</v>
      </c>
      <c r="D452" s="0" t="n">
        <f aca="false">SUMPRODUCT(Risk_Inputs!B452:AJ452,Risk_Coefs!$B$2:$AJ$2)</f>
        <v>-0.40726587913472</v>
      </c>
      <c r="E452" s="0" t="n">
        <f aca="false">1/(1+EXP(-MAX(-25,MIN(25,D452))))</f>
        <v>0.399567892882993</v>
      </c>
      <c r="F452" s="0" t="n">
        <f aca="false">SUMPRODUCT(Risk_Inputs!B452:AJ452,Risk_Coefs!$B$3:$AJ$3)</f>
        <v>13.0803967349551</v>
      </c>
      <c r="G452" s="0" t="n">
        <f aca="false">MAX(0,F452)</f>
        <v>13.0803967349551</v>
      </c>
      <c r="H452" s="0" t="n">
        <f aca="false">(SUMPRODUCT(--ISNUMBER($E$2:$E$800),--($E$2:$E$800&lt;E452))+(SUMPRODUCT(--ISNUMBER($E$2:$E$800),--($E$2:$E$800=E452))+1)/2)/COUNT($E$2:$E$800)</f>
        <v>0.939924906132666</v>
      </c>
      <c r="I452" s="0" t="n">
        <f aca="false">(SUMPRODUCT(--ISNUMBER($G$2:$G$800),--($G$2:$G$800&lt;G452))+(SUMPRODUCT(--ISNUMBER($G$2:$G$800),--($G$2:$G$800=G452))+1)/2)/COUNT($G$2:$G$800)</f>
        <v>0.954943679599499</v>
      </c>
      <c r="M452" s="0" t="n">
        <f aca="false">IF(OR(B452="NW",COUNT(Risk_Rank_Keys!B452)=0),0.5,(SUMPRODUCT(--ISNUMBER(Risk_Rank_Keys!$B$2:$B$800),--(Risk_Rank_Keys!$B$2:$B$800&lt;Risk_Rank_Keys!B452))+(SUMPRODUCT(--ISNUMBER(Risk_Rank_Keys!$B$2:$B$800),--(Risk_Rank_Keys!$B$2:$B$800=Risk_Rank_Keys!B452))+1)/2)/COUNT(Risk_Rank_Keys!$B$2:$B$800))</f>
        <v>0.5</v>
      </c>
      <c r="N452" s="0" t="n">
        <f aca="false">IF(OR(B452="NW",COUNT(Risk_Rank_Keys!C452)=0),0.5,(SUMPRODUCT(--ISNUMBER(Risk_Rank_Keys!$C$2:$C$800),--(Risk_Rank_Keys!$C$2:$C$800&lt;Risk_Rank_Keys!C452))+(SUMPRODUCT(--ISNUMBER(Risk_Rank_Keys!$C$2:$C$800),--(Risk_Rank_Keys!$C$2:$C$800=Risk_Rank_Keys!C452))+1)/2)/COUNT(Risk_Rank_Keys!$C$2:$C$800))</f>
        <v>0.5</v>
      </c>
      <c r="O452" s="0" t="n">
        <f aca="false">IF(OR(B452="NW",COUNT(Risk_Rank_Keys!D452)=0),0.5,(SUMPRODUCT(--ISNUMBER(Risk_Rank_Keys!$D$2:$D$800),--(Risk_Rank_Keys!$D$2:$D$800&lt;Risk_Rank_Keys!D452))+(SUMPRODUCT(--ISNUMBER(Risk_Rank_Keys!$D$2:$D$800),--(Risk_Rank_Keys!$D$2:$D$800=Risk_Rank_Keys!D452))+1)/2)/COUNT(Risk_Rank_Keys!$D$2:$D$800))</f>
        <v>0.5</v>
      </c>
      <c r="P452" s="0" t="n">
        <f aca="false">AVERAGE(M452:O452)</f>
        <v>0.5</v>
      </c>
      <c r="Q452" s="0" t="n">
        <f aca="false">0.4*H452+0.4*I452+0.2*P452</f>
        <v>0.857947434292866</v>
      </c>
      <c r="R452" s="0" t="n">
        <f aca="false">PERCENTILE($Q$2:$Q$800,0.75)</f>
        <v>0.667715717403612</v>
      </c>
      <c r="S452" s="1" t="b">
        <f aca="false">OR(Q452&gt;=R452,AND(B452="CW",COUNT(J452:L452)&lt;3))</f>
        <v>1</v>
      </c>
      <c r="T452" s="0" t="n">
        <v>0.399567892882993</v>
      </c>
      <c r="U452" s="0" t="n">
        <v>13.0803967349551</v>
      </c>
      <c r="V452" s="0" t="n">
        <v>0.857947434292866</v>
      </c>
      <c r="W452" s="0" t="n">
        <f aca="false">Q452-V452</f>
        <v>0</v>
      </c>
    </row>
    <row r="453" customFormat="false" ht="15" hidden="false" customHeight="false" outlineLevel="0" collapsed="false">
      <c r="A453" s="0" t="s">
        <v>487</v>
      </c>
      <c r="B453" s="0" t="s">
        <v>3013</v>
      </c>
      <c r="C453" s="0" t="n">
        <v>14.1188839738033</v>
      </c>
      <c r="D453" s="0" t="n">
        <f aca="false">SUMPRODUCT(Risk_Inputs!B453:AJ453,Risk_Coefs!$B$2:$AJ$2)</f>
        <v>-0.772904697611734</v>
      </c>
      <c r="E453" s="0" t="n">
        <f aca="false">1/(1+EXP(-MAX(-25,MIN(25,D453))))</f>
        <v>0.315851097055523</v>
      </c>
      <c r="F453" s="0" t="n">
        <f aca="false">SUMPRODUCT(Risk_Inputs!B453:AJ453,Risk_Coefs!$B$3:$AJ$3)</f>
        <v>7.45794849675412</v>
      </c>
      <c r="G453" s="0" t="n">
        <f aca="false">MAX(0,F453)</f>
        <v>7.45794849675412</v>
      </c>
      <c r="H453" s="0" t="n">
        <f aca="false">(SUMPRODUCT(--ISNUMBER($E$2:$E$800),--($E$2:$E$800&lt;E453))+(SUMPRODUCT(--ISNUMBER($E$2:$E$800),--($E$2:$E$800=E453))+1)/2)/COUNT($E$2:$E$800)</f>
        <v>0.644555694618273</v>
      </c>
      <c r="I453" s="0" t="n">
        <f aca="false">(SUMPRODUCT(--ISNUMBER($G$2:$G$800),--($G$2:$G$800&lt;G453))+(SUMPRODUCT(--ISNUMBER($G$2:$G$800),--($G$2:$G$800=G453))+1)/2)/COUNT($G$2:$G$800)</f>
        <v>0.475594493116396</v>
      </c>
      <c r="J453" s="0" t="n">
        <v>7.2348936587307</v>
      </c>
      <c r="K453" s="0" t="n">
        <v>3.37477797513322</v>
      </c>
      <c r="L453" s="0" t="n">
        <v>0.284191829484901</v>
      </c>
      <c r="M453" s="0" t="n">
        <f aca="false">IF(OR(B453="NW",COUNT(Risk_Rank_Keys!B453)=0),0.5,(SUMPRODUCT(--ISNUMBER(Risk_Rank_Keys!$B$2:$B$800),--(Risk_Rank_Keys!$B$2:$B$800&lt;Risk_Rank_Keys!B453))+(SUMPRODUCT(--ISNUMBER(Risk_Rank_Keys!$B$2:$B$800),--(Risk_Rank_Keys!$B$2:$B$800=Risk_Rank_Keys!B453))+1)/2)/COUNT(Risk_Rank_Keys!$B$2:$B$800))</f>
        <v>0.330543933054393</v>
      </c>
      <c r="N453" s="0" t="n">
        <f aca="false">IF(OR(B453="NW",COUNT(Risk_Rank_Keys!C453)=0),0.5,(SUMPRODUCT(--ISNUMBER(Risk_Rank_Keys!$C$2:$C$800),--(Risk_Rank_Keys!$C$2:$C$800&lt;Risk_Rank_Keys!C453))+(SUMPRODUCT(--ISNUMBER(Risk_Rank_Keys!$C$2:$C$800),--(Risk_Rank_Keys!$C$2:$C$800=Risk_Rank_Keys!C453))+1)/2)/COUNT(Risk_Rank_Keys!$C$2:$C$800))</f>
        <v>0.513249651324965</v>
      </c>
      <c r="O453" s="0" t="n">
        <f aca="false">IF(OR(B453="NW",COUNT(Risk_Rank_Keys!D453)=0),0.5,(SUMPRODUCT(--ISNUMBER(Risk_Rank_Keys!$D$2:$D$800),--(Risk_Rank_Keys!$D$2:$D$800&lt;Risk_Rank_Keys!D453))+(SUMPRODUCT(--ISNUMBER(Risk_Rank_Keys!$D$2:$D$800),--(Risk_Rank_Keys!$D$2:$D$800=Risk_Rank_Keys!D453))+1)/2)/COUNT(Risk_Rank_Keys!$D$2:$D$800))</f>
        <v>0.707112970711297</v>
      </c>
      <c r="P453" s="0" t="n">
        <f aca="false">AVERAGE(M453:O453)</f>
        <v>0.516968851696885</v>
      </c>
      <c r="Q453" s="0" t="n">
        <f aca="false">0.4*H453+0.4*I453+0.2*P453</f>
        <v>0.551453845433244</v>
      </c>
      <c r="R453" s="0" t="n">
        <f aca="false">PERCENTILE($Q$2:$Q$800,0.75)</f>
        <v>0.667715717403612</v>
      </c>
      <c r="S453" s="1" t="b">
        <f aca="false">OR(Q453&gt;=R453,AND(B453="CW",COUNT(J453:L453)&lt;3))</f>
        <v>0</v>
      </c>
      <c r="T453" s="0" t="n">
        <v>0.315851097055523</v>
      </c>
      <c r="U453" s="0" t="n">
        <v>7.45794849675412</v>
      </c>
      <c r="V453" s="0" t="n">
        <v>0.551453845433244</v>
      </c>
      <c r="W453" s="0" t="n">
        <f aca="false">Q453-V453</f>
        <v>0</v>
      </c>
    </row>
    <row r="454" customFormat="false" ht="15" hidden="false" customHeight="false" outlineLevel="0" collapsed="false">
      <c r="A454" s="0" t="s">
        <v>488</v>
      </c>
      <c r="B454" s="0" t="s">
        <v>3013</v>
      </c>
      <c r="C454" s="0" t="n">
        <v>-37.4974640519967</v>
      </c>
      <c r="D454" s="0" t="n">
        <f aca="false">SUMPRODUCT(Risk_Inputs!B454:AJ454,Risk_Coefs!$B$2:$AJ$2)</f>
        <v>-0.56314738581374</v>
      </c>
      <c r="E454" s="0" t="n">
        <f aca="false">1/(1+EXP(-MAX(-25,MIN(25,D454))))</f>
        <v>0.362819528596909</v>
      </c>
      <c r="F454" s="0" t="n">
        <f aca="false">SUMPRODUCT(Risk_Inputs!B454:AJ454,Risk_Coefs!$B$3:$AJ$3)</f>
        <v>10.9752648656736</v>
      </c>
      <c r="G454" s="0" t="n">
        <f aca="false">MAX(0,F454)</f>
        <v>10.9752648656736</v>
      </c>
      <c r="H454" s="0" t="n">
        <f aca="false">(SUMPRODUCT(--ISNUMBER($E$2:$E$800),--($E$2:$E$800&lt;E454))+(SUMPRODUCT(--ISNUMBER($E$2:$E$800),--($E$2:$E$800=E454))+1)/2)/COUNT($E$2:$E$800)</f>
        <v>0.852315394242804</v>
      </c>
      <c r="I454" s="0" t="n">
        <f aca="false">(SUMPRODUCT(--ISNUMBER($G$2:$G$800),--($G$2:$G$800&lt;G454))+(SUMPRODUCT(--ISNUMBER($G$2:$G$800),--($G$2:$G$800=G454))+1)/2)/COUNT($G$2:$G$800)</f>
        <v>0.878598247809762</v>
      </c>
      <c r="J454" s="0" t="n">
        <v>6.54538364768297</v>
      </c>
      <c r="K454" s="0" t="n">
        <v>1.9316909294513</v>
      </c>
      <c r="L454" s="0" t="n">
        <v>0.125979843225089</v>
      </c>
      <c r="M454" s="0" t="n">
        <f aca="false">IF(OR(B454="NW",COUNT(Risk_Rank_Keys!B454)=0),0.5,(SUMPRODUCT(--ISNUMBER(Risk_Rank_Keys!$B$2:$B$800),--(Risk_Rank_Keys!$B$2:$B$800&lt;Risk_Rank_Keys!B454))+(SUMPRODUCT(--ISNUMBER(Risk_Rank_Keys!$B$2:$B$800),--(Risk_Rank_Keys!$B$2:$B$800=Risk_Rank_Keys!B454))+1)/2)/COUNT(Risk_Rank_Keys!$B$2:$B$800))</f>
        <v>0.276150627615063</v>
      </c>
      <c r="N454" s="0" t="n">
        <f aca="false">IF(OR(B454="NW",COUNT(Risk_Rank_Keys!C454)=0),0.5,(SUMPRODUCT(--ISNUMBER(Risk_Rank_Keys!$C$2:$C$800),--(Risk_Rank_Keys!$C$2:$C$800&lt;Risk_Rank_Keys!C454))+(SUMPRODUCT(--ISNUMBER(Risk_Rank_Keys!$C$2:$C$800),--(Risk_Rank_Keys!$C$2:$C$800=Risk_Rank_Keys!C454))+1)/2)/COUNT(Risk_Rank_Keys!$C$2:$C$800))</f>
        <v>0.255230125523013</v>
      </c>
      <c r="O454" s="0" t="n">
        <f aca="false">IF(OR(B454="NW",COUNT(Risk_Rank_Keys!D454)=0),0.5,(SUMPRODUCT(--ISNUMBER(Risk_Rank_Keys!$D$2:$D$800),--(Risk_Rank_Keys!$D$2:$D$800&lt;Risk_Rank_Keys!D454))+(SUMPRODUCT(--ISNUMBER(Risk_Rank_Keys!$D$2:$D$800),--(Risk_Rank_Keys!$D$2:$D$800=Risk_Rank_Keys!D454))+1)/2)/COUNT(Risk_Rank_Keys!$D$2:$D$800))</f>
        <v>0.0529986052998605</v>
      </c>
      <c r="P454" s="0" t="n">
        <f aca="false">AVERAGE(M454:O454)</f>
        <v>0.194793119479312</v>
      </c>
      <c r="Q454" s="0" t="n">
        <f aca="false">0.4*H454+0.4*I454+0.2*P454</f>
        <v>0.731324080716889</v>
      </c>
      <c r="R454" s="0" t="n">
        <f aca="false">PERCENTILE($Q$2:$Q$800,0.75)</f>
        <v>0.667715717403612</v>
      </c>
      <c r="S454" s="1" t="b">
        <f aca="false">OR(Q454&gt;=R454,AND(B454="CW",COUNT(J454:L454)&lt;3))</f>
        <v>1</v>
      </c>
      <c r="T454" s="0" t="n">
        <v>0.362819528596909</v>
      </c>
      <c r="U454" s="0" t="n">
        <v>10.9752648656736</v>
      </c>
      <c r="V454" s="0" t="n">
        <v>0.731324080716889</v>
      </c>
      <c r="W454" s="0" t="n">
        <f aca="false">Q454-V454</f>
        <v>0</v>
      </c>
    </row>
    <row r="455" customFormat="false" ht="15" hidden="false" customHeight="false" outlineLevel="0" collapsed="false">
      <c r="A455" s="0" t="s">
        <v>489</v>
      </c>
      <c r="B455" s="0" t="s">
        <v>3013</v>
      </c>
      <c r="C455" s="0" t="n">
        <v>21.5001478274114</v>
      </c>
      <c r="D455" s="0" t="n">
        <f aca="false">SUMPRODUCT(Risk_Inputs!B455:AJ455,Risk_Coefs!$B$2:$AJ$2)</f>
        <v>-0.694923220277736</v>
      </c>
      <c r="E455" s="0" t="n">
        <f aca="false">1/(1+EXP(-MAX(-25,MIN(25,D455))))</f>
        <v>0.332938774736161</v>
      </c>
      <c r="F455" s="0" t="n">
        <f aca="false">SUMPRODUCT(Risk_Inputs!B455:AJ455,Risk_Coefs!$B$3:$AJ$3)</f>
        <v>8.52011950250535</v>
      </c>
      <c r="G455" s="0" t="n">
        <f aca="false">MAX(0,F455)</f>
        <v>8.52011950250535</v>
      </c>
      <c r="H455" s="0" t="n">
        <f aca="false">(SUMPRODUCT(--ISNUMBER($E$2:$E$800),--($E$2:$E$800&lt;E455))+(SUMPRODUCT(--ISNUMBER($E$2:$E$800),--($E$2:$E$800=E455))+1)/2)/COUNT($E$2:$E$800)</f>
        <v>0.749687108886108</v>
      </c>
      <c r="I455" s="0" t="n">
        <f aca="false">(SUMPRODUCT(--ISNUMBER($G$2:$G$800),--($G$2:$G$800&lt;G455))+(SUMPRODUCT(--ISNUMBER($G$2:$G$800),--($G$2:$G$800=G455))+1)/2)/COUNT($G$2:$G$800)</f>
        <v>0.608260325406759</v>
      </c>
      <c r="J455" s="0" t="n">
        <v>5.79355701501187</v>
      </c>
      <c r="K455" s="0" t="n">
        <v>1.78938105016134</v>
      </c>
      <c r="L455" s="0" t="n">
        <v>0.234672924611318</v>
      </c>
      <c r="M455" s="0" t="n">
        <f aca="false">IF(OR(B455="NW",COUNT(Risk_Rank_Keys!B455)=0),0.5,(SUMPRODUCT(--ISNUMBER(Risk_Rank_Keys!$B$2:$B$800),--(Risk_Rank_Keys!$B$2:$B$800&lt;Risk_Rank_Keys!B455))+(SUMPRODUCT(--ISNUMBER(Risk_Rank_Keys!$B$2:$B$800),--(Risk_Rank_Keys!$B$2:$B$800=Risk_Rank_Keys!B455))+1)/2)/COUNT(Risk_Rank_Keys!$B$2:$B$800))</f>
        <v>0.206415620641562</v>
      </c>
      <c r="N455" s="0" t="n">
        <f aca="false">IF(OR(B455="NW",COUNT(Risk_Rank_Keys!C455)=0),0.5,(SUMPRODUCT(--ISNUMBER(Risk_Rank_Keys!$C$2:$C$800),--(Risk_Rank_Keys!$C$2:$C$800&lt;Risk_Rank_Keys!C455))+(SUMPRODUCT(--ISNUMBER(Risk_Rank_Keys!$C$2:$C$800),--(Risk_Rank_Keys!$C$2:$C$800=Risk_Rank_Keys!C455))+1)/2)/COUNT(Risk_Rank_Keys!$C$2:$C$800))</f>
        <v>0.211994421199442</v>
      </c>
      <c r="O455" s="0" t="n">
        <f aca="false">IF(OR(B455="NW",COUNT(Risk_Rank_Keys!D455)=0),0.5,(SUMPRODUCT(--ISNUMBER(Risk_Rank_Keys!$D$2:$D$800),--(Risk_Rank_Keys!$D$2:$D$800&lt;Risk_Rank_Keys!D455))+(SUMPRODUCT(--ISNUMBER(Risk_Rank_Keys!$D$2:$D$800),--(Risk_Rank_Keys!$D$2:$D$800=Risk_Rank_Keys!D455))+1)/2)/COUNT(Risk_Rank_Keys!$D$2:$D$800))</f>
        <v>0.520223152022315</v>
      </c>
      <c r="P455" s="0" t="n">
        <f aca="false">AVERAGE(M455:O455)</f>
        <v>0.312877731287773</v>
      </c>
      <c r="Q455" s="0" t="n">
        <f aca="false">0.4*H455+0.4*I455+0.2*P455</f>
        <v>0.605754519974701</v>
      </c>
      <c r="R455" s="0" t="n">
        <f aca="false">PERCENTILE($Q$2:$Q$800,0.75)</f>
        <v>0.667715717403612</v>
      </c>
      <c r="S455" s="1" t="b">
        <f aca="false">OR(Q455&gt;=R455,AND(B455="CW",COUNT(J455:L455)&lt;3))</f>
        <v>0</v>
      </c>
      <c r="T455" s="0" t="n">
        <v>0.332938774736161</v>
      </c>
      <c r="U455" s="0" t="n">
        <v>8.52011950250534</v>
      </c>
      <c r="V455" s="0" t="n">
        <v>0.605754519974701</v>
      </c>
      <c r="W455" s="0" t="n">
        <f aca="false">Q455-V455</f>
        <v>0</v>
      </c>
    </row>
    <row r="456" customFormat="false" ht="15" hidden="false" customHeight="false" outlineLevel="0" collapsed="false">
      <c r="A456" s="0" t="s">
        <v>490</v>
      </c>
      <c r="B456" s="0" t="s">
        <v>3013</v>
      </c>
      <c r="C456" s="0" t="n">
        <v>23.9971438598383</v>
      </c>
      <c r="D456" s="0" t="n">
        <f aca="false">SUMPRODUCT(Risk_Inputs!B456:AJ456,Risk_Coefs!$B$2:$AJ$2)</f>
        <v>-0.799324488538629</v>
      </c>
      <c r="E456" s="0" t="n">
        <f aca="false">1/(1+EXP(-MAX(-25,MIN(25,D456))))</f>
        <v>0.310170035864447</v>
      </c>
      <c r="F456" s="0" t="n">
        <f aca="false">SUMPRODUCT(Risk_Inputs!B456:AJ456,Risk_Coefs!$B$3:$AJ$3)</f>
        <v>10.4413148019874</v>
      </c>
      <c r="G456" s="0" t="n">
        <f aca="false">MAX(0,F456)</f>
        <v>10.4413148019874</v>
      </c>
      <c r="H456" s="0" t="n">
        <f aca="false">(SUMPRODUCT(--ISNUMBER($E$2:$E$800),--($E$2:$E$800&lt;E456))+(SUMPRODUCT(--ISNUMBER($E$2:$E$800),--($E$2:$E$800=E456))+1)/2)/COUNT($E$2:$E$800)</f>
        <v>0.618272841051314</v>
      </c>
      <c r="I456" s="0" t="n">
        <f aca="false">(SUMPRODUCT(--ISNUMBER($G$2:$G$800),--($G$2:$G$800&lt;G456))+(SUMPRODUCT(--ISNUMBER($G$2:$G$800),--($G$2:$G$800=G456))+1)/2)/COUNT($G$2:$G$800)</f>
        <v>0.833541927409262</v>
      </c>
      <c r="J456" s="0" t="n">
        <v>25.5291248253291</v>
      </c>
      <c r="K456" s="0" t="n">
        <v>5.10305851063829</v>
      </c>
      <c r="L456" s="0" t="n">
        <v>0.332446808510638</v>
      </c>
      <c r="M456" s="0" t="n">
        <f aca="false">IF(OR(B456="NW",COUNT(Risk_Rank_Keys!B456)=0),0.5,(SUMPRODUCT(--ISNUMBER(Risk_Rank_Keys!$B$2:$B$800),--(Risk_Rank_Keys!$B$2:$B$800&lt;Risk_Rank_Keys!B456))+(SUMPRODUCT(--ISNUMBER(Risk_Rank_Keys!$B$2:$B$800),--(Risk_Rank_Keys!$B$2:$B$800=Risk_Rank_Keys!B456))+1)/2)/COUNT(Risk_Rank_Keys!$B$2:$B$800))</f>
        <v>0.863319386331939</v>
      </c>
      <c r="N456" s="0" t="n">
        <f aca="false">IF(OR(B456="NW",COUNT(Risk_Rank_Keys!C456)=0),0.5,(SUMPRODUCT(--ISNUMBER(Risk_Rank_Keys!$C$2:$C$800),--(Risk_Rank_Keys!$C$2:$C$800&lt;Risk_Rank_Keys!C456))+(SUMPRODUCT(--ISNUMBER(Risk_Rank_Keys!$C$2:$C$800),--(Risk_Rank_Keys!$C$2:$C$800=Risk_Rank_Keys!C456))+1)/2)/COUNT(Risk_Rank_Keys!$C$2:$C$800))</f>
        <v>0.694560669456067</v>
      </c>
      <c r="O456" s="0" t="n">
        <f aca="false">IF(OR(B456="NW",COUNT(Risk_Rank_Keys!D456)=0),0.5,(SUMPRODUCT(--ISNUMBER(Risk_Rank_Keys!$D$2:$D$800),--(Risk_Rank_Keys!$D$2:$D$800&lt;Risk_Rank_Keys!D456))+(SUMPRODUCT(--ISNUMBER(Risk_Rank_Keys!$D$2:$D$800),--(Risk_Rank_Keys!$D$2:$D$800=Risk_Rank_Keys!D456))+1)/2)/COUNT(Risk_Rank_Keys!$D$2:$D$800))</f>
        <v>0.801952580195258</v>
      </c>
      <c r="P456" s="0" t="n">
        <f aca="false">AVERAGE(M456:O456)</f>
        <v>0.786610878661088</v>
      </c>
      <c r="Q456" s="0" t="n">
        <f aca="false">0.4*H456+0.4*I456+0.2*P456</f>
        <v>0.738048083116448</v>
      </c>
      <c r="R456" s="0" t="n">
        <f aca="false">PERCENTILE($Q$2:$Q$800,0.75)</f>
        <v>0.667715717403612</v>
      </c>
      <c r="S456" s="1" t="b">
        <f aca="false">OR(Q456&gt;=R456,AND(B456="CW",COUNT(J456:L456)&lt;3))</f>
        <v>1</v>
      </c>
      <c r="T456" s="0" t="n">
        <v>0.310170035864447</v>
      </c>
      <c r="U456" s="0" t="n">
        <v>10.4413148019874</v>
      </c>
      <c r="V456" s="0" t="n">
        <v>0.738048083116448</v>
      </c>
      <c r="W456" s="0" t="n">
        <f aca="false">Q456-V456</f>
        <v>0</v>
      </c>
    </row>
    <row r="457" customFormat="false" ht="15" hidden="false" customHeight="false" outlineLevel="0" collapsed="false">
      <c r="A457" s="0" t="s">
        <v>491</v>
      </c>
      <c r="B457" s="0" t="s">
        <v>3013</v>
      </c>
      <c r="C457" s="0" t="n">
        <v>33.1604373814139</v>
      </c>
      <c r="D457" s="0" t="n">
        <f aca="false">SUMPRODUCT(Risk_Inputs!B457:AJ457,Risk_Coefs!$B$2:$AJ$2)</f>
        <v>-0.00109290397089562</v>
      </c>
      <c r="E457" s="0" t="n">
        <f aca="false">1/(1+EXP(-MAX(-25,MIN(25,D457))))</f>
        <v>0.499726774034472</v>
      </c>
      <c r="F457" s="0" t="n">
        <f aca="false">SUMPRODUCT(Risk_Inputs!B457:AJ457,Risk_Coefs!$B$3:$AJ$3)</f>
        <v>14.0662991281078</v>
      </c>
      <c r="G457" s="0" t="n">
        <f aca="false">MAX(0,F457)</f>
        <v>14.0662991281078</v>
      </c>
      <c r="H457" s="0" t="n">
        <f aca="false">(SUMPRODUCT(--ISNUMBER($E$2:$E$800),--($E$2:$E$800&lt;E457))+(SUMPRODUCT(--ISNUMBER($E$2:$E$800),--($E$2:$E$800=E457))+1)/2)/COUNT($E$2:$E$800)</f>
        <v>0.993742177722153</v>
      </c>
      <c r="I457" s="0" t="n">
        <f aca="false">(SUMPRODUCT(--ISNUMBER($G$2:$G$800),--($G$2:$G$800&lt;G457))+(SUMPRODUCT(--ISNUMBER($G$2:$G$800),--($G$2:$G$800=G457))+1)/2)/COUNT($G$2:$G$800)</f>
        <v>0.973717146433041</v>
      </c>
      <c r="J457" s="0" t="n">
        <v>7.38773405998363</v>
      </c>
      <c r="K457" s="0" t="n">
        <v>2.74190343731372</v>
      </c>
      <c r="L457" s="0" t="n">
        <v>0.218557520365592</v>
      </c>
      <c r="M457" s="0" t="n">
        <f aca="false">IF(OR(B457="NW",COUNT(Risk_Rank_Keys!B457)=0),0.5,(SUMPRODUCT(--ISNUMBER(Risk_Rank_Keys!$B$2:$B$800),--(Risk_Rank_Keys!$B$2:$B$800&lt;Risk_Rank_Keys!B457))+(SUMPRODUCT(--ISNUMBER(Risk_Rank_Keys!$B$2:$B$800),--(Risk_Rank_Keys!$B$2:$B$800=Risk_Rank_Keys!B457))+1)/2)/COUNT(Risk_Rank_Keys!$B$2:$B$800))</f>
        <v>0.348675034867504</v>
      </c>
      <c r="N457" s="0" t="n">
        <f aca="false">IF(OR(B457="NW",COUNT(Risk_Rank_Keys!C457)=0),0.5,(SUMPRODUCT(--ISNUMBER(Risk_Rank_Keys!$C$2:$C$800),--(Risk_Rank_Keys!$C$2:$C$800&lt;Risk_Rank_Keys!C457))+(SUMPRODUCT(--ISNUMBER(Risk_Rank_Keys!$C$2:$C$800),--(Risk_Rank_Keys!$C$2:$C$800=Risk_Rank_Keys!C457))+1)/2)/COUNT(Risk_Rank_Keys!$C$2:$C$800))</f>
        <v>0.432357043235704</v>
      </c>
      <c r="O457" s="0" t="n">
        <f aca="false">IF(OR(B457="NW",COUNT(Risk_Rank_Keys!D457)=0),0.5,(SUMPRODUCT(--ISNUMBER(Risk_Rank_Keys!$D$2:$D$800),--(Risk_Rank_Keys!$D$2:$D$800&lt;Risk_Rank_Keys!D457))+(SUMPRODUCT(--ISNUMBER(Risk_Rank_Keys!$D$2:$D$800),--(Risk_Rank_Keys!$D$2:$D$800=Risk_Rank_Keys!D457))+1)/2)/COUNT(Risk_Rank_Keys!$D$2:$D$800))</f>
        <v>0.428172942817294</v>
      </c>
      <c r="P457" s="0" t="n">
        <f aca="false">AVERAGE(M457:O457)</f>
        <v>0.403068340306834</v>
      </c>
      <c r="Q457" s="0" t="n">
        <f aca="false">0.4*H457+0.4*I457+0.2*P457</f>
        <v>0.867597397723445</v>
      </c>
      <c r="R457" s="0" t="n">
        <f aca="false">PERCENTILE($Q$2:$Q$800,0.75)</f>
        <v>0.667715717403612</v>
      </c>
      <c r="S457" s="1" t="b">
        <f aca="false">OR(Q457&gt;=R457,AND(B457="CW",COUNT(J457:L457)&lt;3))</f>
        <v>1</v>
      </c>
      <c r="T457" s="0" t="n">
        <v>0.499726774034472</v>
      </c>
      <c r="U457" s="0" t="n">
        <v>14.0662991281078</v>
      </c>
      <c r="V457" s="0" t="n">
        <v>0.867597397723445</v>
      </c>
      <c r="W457" s="0" t="n">
        <f aca="false">Q457-V457</f>
        <v>0</v>
      </c>
    </row>
    <row r="458" customFormat="false" ht="15" hidden="false" customHeight="false" outlineLevel="0" collapsed="false">
      <c r="A458" s="0" t="s">
        <v>492</v>
      </c>
      <c r="B458" s="0" t="s">
        <v>3013</v>
      </c>
      <c r="C458" s="0" t="n">
        <v>-8.60523287958135</v>
      </c>
      <c r="D458" s="0" t="n">
        <f aca="false">SUMPRODUCT(Risk_Inputs!B458:AJ458,Risk_Coefs!$B$2:$AJ$2)</f>
        <v>-0.673312130964357</v>
      </c>
      <c r="E458" s="0" t="n">
        <f aca="false">1/(1+EXP(-MAX(-25,MIN(25,D458))))</f>
        <v>0.337755596447385</v>
      </c>
      <c r="F458" s="0" t="n">
        <f aca="false">SUMPRODUCT(Risk_Inputs!B458:AJ458,Risk_Coefs!$B$3:$AJ$3)</f>
        <v>6.67758570533173</v>
      </c>
      <c r="G458" s="0" t="n">
        <f aca="false">MAX(0,F458)</f>
        <v>6.67758570533173</v>
      </c>
      <c r="H458" s="0" t="n">
        <f aca="false">(SUMPRODUCT(--ISNUMBER($E$2:$E$800),--($E$2:$E$800&lt;E458))+(SUMPRODUCT(--ISNUMBER($E$2:$E$800),--($E$2:$E$800=E458))+1)/2)/COUNT($E$2:$E$800)</f>
        <v>0.775969962453066</v>
      </c>
      <c r="I458" s="0" t="n">
        <f aca="false">(SUMPRODUCT(--ISNUMBER($G$2:$G$800),--($G$2:$G$800&lt;G458))+(SUMPRODUCT(--ISNUMBER($G$2:$G$800),--($G$2:$G$800=G458))+1)/2)/COUNT($G$2:$G$800)</f>
        <v>0.376720901126408</v>
      </c>
      <c r="J458" s="0" t="n">
        <v>7.88914042670126</v>
      </c>
      <c r="K458" s="0" t="n">
        <v>3.01807617817946</v>
      </c>
      <c r="L458" s="0" t="n">
        <v>0.145255003227894</v>
      </c>
      <c r="M458" s="0" t="n">
        <f aca="false">IF(OR(B458="NW",COUNT(Risk_Rank_Keys!B458)=0),0.5,(SUMPRODUCT(--ISNUMBER(Risk_Rank_Keys!$B$2:$B$800),--(Risk_Rank_Keys!$B$2:$B$800&lt;Risk_Rank_Keys!B458))+(SUMPRODUCT(--ISNUMBER(Risk_Rank_Keys!$B$2:$B$800),--(Risk_Rank_Keys!$B$2:$B$800=Risk_Rank_Keys!B458))+1)/2)/COUNT(Risk_Rank_Keys!$B$2:$B$800))</f>
        <v>0.375174337517434</v>
      </c>
      <c r="N458" s="0" t="n">
        <f aca="false">IF(OR(B458="NW",COUNT(Risk_Rank_Keys!C458)=0),0.5,(SUMPRODUCT(--ISNUMBER(Risk_Rank_Keys!$C$2:$C$800),--(Risk_Rank_Keys!$C$2:$C$800&lt;Risk_Rank_Keys!C458))+(SUMPRODUCT(--ISNUMBER(Risk_Rank_Keys!$C$2:$C$800),--(Risk_Rank_Keys!$C$2:$C$800=Risk_Rank_Keys!C458))+1)/2)/COUNT(Risk_Rank_Keys!$C$2:$C$800))</f>
        <v>0.470013947001395</v>
      </c>
      <c r="O458" s="0" t="n">
        <f aca="false">IF(OR(B458="NW",COUNT(Risk_Rank_Keys!D458)=0),0.5,(SUMPRODUCT(--ISNUMBER(Risk_Rank_Keys!$D$2:$D$800),--(Risk_Rank_Keys!$D$2:$D$800&lt;Risk_Rank_Keys!D458))+(SUMPRODUCT(--ISNUMBER(Risk_Rank_Keys!$D$2:$D$800),--(Risk_Rank_Keys!$D$2:$D$800=Risk_Rank_Keys!D458))+1)/2)/COUNT(Risk_Rank_Keys!$D$2:$D$800))</f>
        <v>0.094839609483961</v>
      </c>
      <c r="P458" s="0" t="n">
        <f aca="false">AVERAGE(M458:O458)</f>
        <v>0.313342631334263</v>
      </c>
      <c r="Q458" s="0" t="n">
        <f aca="false">0.4*H458+0.4*I458+0.2*P458</f>
        <v>0.523744871698642</v>
      </c>
      <c r="R458" s="0" t="n">
        <f aca="false">PERCENTILE($Q$2:$Q$800,0.75)</f>
        <v>0.667715717403612</v>
      </c>
      <c r="S458" s="1" t="b">
        <f aca="false">OR(Q458&gt;=R458,AND(B458="CW",COUNT(J458:L458)&lt;3))</f>
        <v>0</v>
      </c>
      <c r="T458" s="0" t="n">
        <v>0.337755596447385</v>
      </c>
      <c r="U458" s="0" t="n">
        <v>6.67758570533173</v>
      </c>
      <c r="V458" s="0" t="n">
        <v>0.523744871698642</v>
      </c>
      <c r="W458" s="0" t="n">
        <f aca="false">Q458-V458</f>
        <v>0</v>
      </c>
    </row>
    <row r="459" customFormat="false" ht="15" hidden="false" customHeight="false" outlineLevel="0" collapsed="false">
      <c r="A459" s="0" t="s">
        <v>493</v>
      </c>
      <c r="B459" s="0" t="s">
        <v>3013</v>
      </c>
      <c r="C459" s="0" t="n">
        <v>8.50971424838528</v>
      </c>
      <c r="D459" s="0" t="n">
        <f aca="false">SUMPRODUCT(Risk_Inputs!B459:AJ459,Risk_Coefs!$B$2:$AJ$2)</f>
        <v>-0.85072833700045</v>
      </c>
      <c r="E459" s="0" t="n">
        <f aca="false">1/(1+EXP(-MAX(-25,MIN(25,D459))))</f>
        <v>0.299280094540984</v>
      </c>
      <c r="F459" s="0" t="n">
        <f aca="false">SUMPRODUCT(Risk_Inputs!B459:AJ459,Risk_Coefs!$B$3:$AJ$3)</f>
        <v>6.78893096550004</v>
      </c>
      <c r="G459" s="0" t="n">
        <f aca="false">MAX(0,F459)</f>
        <v>6.78893096550004</v>
      </c>
      <c r="H459" s="0" t="n">
        <f aca="false">(SUMPRODUCT(--ISNUMBER($E$2:$E$800),--($E$2:$E$800&lt;E459))+(SUMPRODUCT(--ISNUMBER($E$2:$E$800),--($E$2:$E$800=E459))+1)/2)/COUNT($E$2:$E$800)</f>
        <v>0.563204005006258</v>
      </c>
      <c r="I459" s="0" t="n">
        <f aca="false">(SUMPRODUCT(--ISNUMBER($G$2:$G$800),--($G$2:$G$800&lt;G459))+(SUMPRODUCT(--ISNUMBER($G$2:$G$800),--($G$2:$G$800=G459))+1)/2)/COUNT($G$2:$G$800)</f>
        <v>0.392991239048811</v>
      </c>
      <c r="J459" s="0" t="n">
        <v>7.44711171587004</v>
      </c>
      <c r="K459" s="0" t="n">
        <v>2.43553008595987</v>
      </c>
      <c r="L459" s="0" t="n">
        <v>0.179083094555874</v>
      </c>
      <c r="M459" s="0" t="n">
        <f aca="false">IF(OR(B459="NW",COUNT(Risk_Rank_Keys!B459)=0),0.5,(SUMPRODUCT(--ISNUMBER(Risk_Rank_Keys!$B$2:$B$800),--(Risk_Rank_Keys!$B$2:$B$800&lt;Risk_Rank_Keys!B459))+(SUMPRODUCT(--ISNUMBER(Risk_Rank_Keys!$B$2:$B$800),--(Risk_Rank_Keys!$B$2:$B$800=Risk_Rank_Keys!B459))+1)/2)/COUNT(Risk_Rank_Keys!$B$2:$B$800))</f>
        <v>0.351464435146444</v>
      </c>
      <c r="N459" s="0" t="n">
        <f aca="false">IF(OR(B459="NW",COUNT(Risk_Rank_Keys!C459)=0),0.5,(SUMPRODUCT(--ISNUMBER(Risk_Rank_Keys!$C$2:$C$800),--(Risk_Rank_Keys!$C$2:$C$800&lt;Risk_Rank_Keys!C459))+(SUMPRODUCT(--ISNUMBER(Risk_Rank_Keys!$C$2:$C$800),--(Risk_Rank_Keys!$C$2:$C$800=Risk_Rank_Keys!C459))+1)/2)/COUNT(Risk_Rank_Keys!$C$2:$C$800))</f>
        <v>0.375174337517434</v>
      </c>
      <c r="O459" s="0" t="n">
        <f aca="false">IF(OR(B459="NW",COUNT(Risk_Rank_Keys!D459)=0),0.5,(SUMPRODUCT(--ISNUMBER(Risk_Rank_Keys!$D$2:$D$800),--(Risk_Rank_Keys!$D$2:$D$800&lt;Risk_Rank_Keys!D459))+(SUMPRODUCT(--ISNUMBER(Risk_Rank_Keys!$D$2:$D$800),--(Risk_Rank_Keys!$D$2:$D$800=Risk_Rank_Keys!D459))+1)/2)/COUNT(Risk_Rank_Keys!$D$2:$D$800))</f>
        <v>0.206415620641562</v>
      </c>
      <c r="P459" s="0" t="n">
        <f aca="false">AVERAGE(M459:O459)</f>
        <v>0.311018131101813</v>
      </c>
      <c r="Q459" s="0" t="n">
        <f aca="false">0.4*H459+0.4*I459+0.2*P459</f>
        <v>0.44468172384239</v>
      </c>
      <c r="R459" s="0" t="n">
        <f aca="false">PERCENTILE($Q$2:$Q$800,0.75)</f>
        <v>0.667715717403612</v>
      </c>
      <c r="S459" s="1" t="b">
        <f aca="false">OR(Q459&gt;=R459,AND(B459="CW",COUNT(J459:L459)&lt;3))</f>
        <v>0</v>
      </c>
      <c r="T459" s="0" t="n">
        <v>0.299280094540984</v>
      </c>
      <c r="U459" s="0" t="n">
        <v>6.78893096550004</v>
      </c>
      <c r="V459" s="0" t="n">
        <v>0.44468172384239</v>
      </c>
      <c r="W459" s="0" t="n">
        <f aca="false">Q459-V459</f>
        <v>0</v>
      </c>
    </row>
    <row r="460" customFormat="false" ht="15" hidden="false" customHeight="false" outlineLevel="0" collapsed="false">
      <c r="A460" s="0" t="s">
        <v>494</v>
      </c>
      <c r="B460" s="0" t="s">
        <v>3013</v>
      </c>
      <c r="C460" s="0" t="n">
        <v>18.442065821221</v>
      </c>
      <c r="D460" s="0" t="n">
        <f aca="false">SUMPRODUCT(Risk_Inputs!B460:AJ460,Risk_Coefs!$B$2:$AJ$2)</f>
        <v>-0.784839566594243</v>
      </c>
      <c r="E460" s="0" t="n">
        <f aca="false">1/(1+EXP(-MAX(-25,MIN(25,D460))))</f>
        <v>0.313277787133216</v>
      </c>
      <c r="F460" s="0" t="n">
        <f aca="false">SUMPRODUCT(Risk_Inputs!B460:AJ460,Risk_Coefs!$B$3:$AJ$3)</f>
        <v>10.1982305977089</v>
      </c>
      <c r="G460" s="0" t="n">
        <f aca="false">MAX(0,F460)</f>
        <v>10.1982305977089</v>
      </c>
      <c r="H460" s="0" t="n">
        <f aca="false">(SUMPRODUCT(--ISNUMBER($E$2:$E$800),--($E$2:$E$800&lt;E460))+(SUMPRODUCT(--ISNUMBER($E$2:$E$800),--($E$2:$E$800=E460))+1)/2)/COUNT($E$2:$E$800)</f>
        <v>0.633291614518148</v>
      </c>
      <c r="I460" s="0" t="n">
        <f aca="false">(SUMPRODUCT(--ISNUMBER($G$2:$G$800),--($G$2:$G$800&lt;G460))+(SUMPRODUCT(--ISNUMBER($G$2:$G$800),--($G$2:$G$800=G460))+1)/2)/COUNT($G$2:$G$800)</f>
        <v>0.809762202753442</v>
      </c>
      <c r="J460" s="0" t="n">
        <v>6.61987413170763</v>
      </c>
      <c r="K460" s="0" t="n">
        <v>1.68246445497631</v>
      </c>
      <c r="L460" s="0" t="n">
        <v>0.189573459715643</v>
      </c>
      <c r="M460" s="0" t="n">
        <f aca="false">IF(OR(B460="NW",COUNT(Risk_Rank_Keys!B460)=0),0.5,(SUMPRODUCT(--ISNUMBER(Risk_Rank_Keys!$B$2:$B$800),--(Risk_Rank_Keys!$B$2:$B$800&lt;Risk_Rank_Keys!B460))+(SUMPRODUCT(--ISNUMBER(Risk_Rank_Keys!$B$2:$B$800),--(Risk_Rank_Keys!$B$2:$B$800=Risk_Rank_Keys!B460))+1)/2)/COUNT(Risk_Rank_Keys!$B$2:$B$800))</f>
        <v>0.284518828451883</v>
      </c>
      <c r="N460" s="0" t="n">
        <f aca="false">IF(OR(B460="NW",COUNT(Risk_Rank_Keys!C460)=0),0.5,(SUMPRODUCT(--ISNUMBER(Risk_Rank_Keys!$C$2:$C$800),--(Risk_Rank_Keys!$C$2:$C$800&lt;Risk_Rank_Keys!C460))+(SUMPRODUCT(--ISNUMBER(Risk_Rank_Keys!$C$2:$C$800),--(Risk_Rank_Keys!$C$2:$C$800=Risk_Rank_Keys!C460))+1)/2)/COUNT(Risk_Rank_Keys!$C$2:$C$800))</f>
        <v>0.181311018131102</v>
      </c>
      <c r="O460" s="0" t="n">
        <f aca="false">IF(OR(B460="NW",COUNT(Risk_Rank_Keys!D460)=0),0.5,(SUMPRODUCT(--ISNUMBER(Risk_Rank_Keys!$D$2:$D$800),--(Risk_Rank_Keys!$D$2:$D$800&lt;Risk_Rank_Keys!D460))+(SUMPRODUCT(--ISNUMBER(Risk_Rank_Keys!$D$2:$D$800),--(Risk_Rank_Keys!$D$2:$D$800=Risk_Rank_Keys!D460))+1)/2)/COUNT(Risk_Rank_Keys!$D$2:$D$800))</f>
        <v>0.251046025104603</v>
      </c>
      <c r="P460" s="0" t="n">
        <f aca="false">AVERAGE(M460:O460)</f>
        <v>0.238958623895862</v>
      </c>
      <c r="Q460" s="0" t="n">
        <f aca="false">0.4*H460+0.4*I460+0.2*P460</f>
        <v>0.625013251687808</v>
      </c>
      <c r="R460" s="0" t="n">
        <f aca="false">PERCENTILE($Q$2:$Q$800,0.75)</f>
        <v>0.667715717403612</v>
      </c>
      <c r="S460" s="1" t="b">
        <f aca="false">OR(Q460&gt;=R460,AND(B460="CW",COUNT(J460:L460)&lt;3))</f>
        <v>0</v>
      </c>
      <c r="T460" s="0" t="n">
        <v>0.313277787133216</v>
      </c>
      <c r="U460" s="0" t="n">
        <v>10.1982305977089</v>
      </c>
      <c r="V460" s="0" t="n">
        <v>0.625013251687808</v>
      </c>
      <c r="W460" s="0" t="n">
        <f aca="false">Q460-V460</f>
        <v>0</v>
      </c>
    </row>
    <row r="461" customFormat="false" ht="15" hidden="false" customHeight="false" outlineLevel="0" collapsed="false">
      <c r="A461" s="0" t="s">
        <v>495</v>
      </c>
      <c r="B461" s="0" t="s">
        <v>3013</v>
      </c>
      <c r="C461" s="0" t="n">
        <v>-41.2883061674766</v>
      </c>
      <c r="D461" s="0" t="n">
        <f aca="false">SUMPRODUCT(Risk_Inputs!B461:AJ461,Risk_Coefs!$B$2:$AJ$2)</f>
        <v>-0.810283279261241</v>
      </c>
      <c r="E461" s="0" t="n">
        <f aca="false">1/(1+EXP(-MAX(-25,MIN(25,D461))))</f>
        <v>0.307830133890111</v>
      </c>
      <c r="F461" s="0" t="n">
        <f aca="false">SUMPRODUCT(Risk_Inputs!B461:AJ461,Risk_Coefs!$B$3:$AJ$3)</f>
        <v>7.4446255930583</v>
      </c>
      <c r="G461" s="0" t="n">
        <f aca="false">MAX(0,F461)</f>
        <v>7.4446255930583</v>
      </c>
      <c r="H461" s="0" t="n">
        <f aca="false">(SUMPRODUCT(--ISNUMBER($E$2:$E$800),--($E$2:$E$800&lt;E461))+(SUMPRODUCT(--ISNUMBER($E$2:$E$800),--($E$2:$E$800=E461))+1)/2)/COUNT($E$2:$E$800)</f>
        <v>0.60575719649562</v>
      </c>
      <c r="I461" s="0" t="n">
        <f aca="false">(SUMPRODUCT(--ISNUMBER($G$2:$G$800),--($G$2:$G$800&lt;G461))+(SUMPRODUCT(--ISNUMBER($G$2:$G$800),--($G$2:$G$800=G461))+1)/2)/COUNT($G$2:$G$800)</f>
        <v>0.473091364205257</v>
      </c>
      <c r="J461" s="0" t="n">
        <v>3.70404035813199</v>
      </c>
      <c r="K461" s="0" t="n">
        <v>2.00000000000001</v>
      </c>
      <c r="L461" s="0" t="n">
        <v>0.304347826086958</v>
      </c>
      <c r="M461" s="0" t="n">
        <f aca="false">IF(OR(B461="NW",COUNT(Risk_Rank_Keys!B461)=0),0.5,(SUMPRODUCT(--ISNUMBER(Risk_Rank_Keys!$B$2:$B$800),--(Risk_Rank_Keys!$B$2:$B$800&lt;Risk_Rank_Keys!B461))+(SUMPRODUCT(--ISNUMBER(Risk_Rank_Keys!$B$2:$B$800),--(Risk_Rank_Keys!$B$2:$B$800=Risk_Rank_Keys!B461))+1)/2)/COUNT(Risk_Rank_Keys!$B$2:$B$800))</f>
        <v>0.0571827057182706</v>
      </c>
      <c r="N461" s="0" t="n">
        <f aca="false">IF(OR(B461="NW",COUNT(Risk_Rank_Keys!C461)=0),0.5,(SUMPRODUCT(--ISNUMBER(Risk_Rank_Keys!$C$2:$C$800),--(Risk_Rank_Keys!$C$2:$C$800&lt;Risk_Rank_Keys!C461))+(SUMPRODUCT(--ISNUMBER(Risk_Rank_Keys!$C$2:$C$800),--(Risk_Rank_Keys!$C$2:$C$800=Risk_Rank_Keys!C461))+1)/2)/COUNT(Risk_Rank_Keys!$C$2:$C$800))</f>
        <v>0.269177126917713</v>
      </c>
      <c r="O461" s="0" t="n">
        <f aca="false">IF(OR(B461="NW",COUNT(Risk_Rank_Keys!D461)=0),0.5,(SUMPRODUCT(--ISNUMBER(Risk_Rank_Keys!$D$2:$D$800),--(Risk_Rank_Keys!$D$2:$D$800&lt;Risk_Rank_Keys!D461))+(SUMPRODUCT(--ISNUMBER(Risk_Rank_Keys!$D$2:$D$800),--(Risk_Rank_Keys!$D$2:$D$800=Risk_Rank_Keys!D461))+1)/2)/COUNT(Risk_Rank_Keys!$D$2:$D$800))</f>
        <v>0.755927475592748</v>
      </c>
      <c r="P461" s="0" t="n">
        <f aca="false">AVERAGE(M461:O461)</f>
        <v>0.360762436076244</v>
      </c>
      <c r="Q461" s="0" t="n">
        <f aca="false">0.4*H461+0.4*I461+0.2*P461</f>
        <v>0.503691911495599</v>
      </c>
      <c r="R461" s="0" t="n">
        <f aca="false">PERCENTILE($Q$2:$Q$800,0.75)</f>
        <v>0.667715717403612</v>
      </c>
      <c r="S461" s="1" t="b">
        <f aca="false">OR(Q461&gt;=R461,AND(B461="CW",COUNT(J461:L461)&lt;3))</f>
        <v>0</v>
      </c>
      <c r="T461" s="0" t="n">
        <v>0.307830133890111</v>
      </c>
      <c r="U461" s="0" t="n">
        <v>7.4446255930583</v>
      </c>
      <c r="V461" s="0" t="n">
        <v>0.503691911495599</v>
      </c>
      <c r="W461" s="0" t="n">
        <f aca="false">Q461-V461</f>
        <v>0</v>
      </c>
    </row>
    <row r="462" customFormat="false" ht="15" hidden="false" customHeight="false" outlineLevel="0" collapsed="false">
      <c r="A462" s="0" t="s">
        <v>496</v>
      </c>
      <c r="B462" s="0" t="s">
        <v>3013</v>
      </c>
      <c r="C462" s="0" t="n">
        <v>32.7562383075123</v>
      </c>
      <c r="D462" s="0" t="n">
        <f aca="false">SUMPRODUCT(Risk_Inputs!B462:AJ462,Risk_Coefs!$B$2:$AJ$2)</f>
        <v>-1.07797895005367</v>
      </c>
      <c r="E462" s="0" t="n">
        <f aca="false">1/(1+EXP(-MAX(-25,MIN(25,D462))))</f>
        <v>0.253888672101368</v>
      </c>
      <c r="F462" s="0" t="n">
        <f aca="false">SUMPRODUCT(Risk_Inputs!B462:AJ462,Risk_Coefs!$B$3:$AJ$3)</f>
        <v>5.67781830556573</v>
      </c>
      <c r="G462" s="0" t="n">
        <f aca="false">MAX(0,F462)</f>
        <v>5.67781830556573</v>
      </c>
      <c r="H462" s="0" t="n">
        <f aca="false">(SUMPRODUCT(--ISNUMBER($E$2:$E$800),--($E$2:$E$800&lt;E462))+(SUMPRODUCT(--ISNUMBER($E$2:$E$800),--($E$2:$E$800=E462))+1)/2)/COUNT($E$2:$E$800)</f>
        <v>0.292866082603254</v>
      </c>
      <c r="I462" s="0" t="n">
        <f aca="false">(SUMPRODUCT(--ISNUMBER($G$2:$G$800),--($G$2:$G$800&lt;G462))+(SUMPRODUCT(--ISNUMBER($G$2:$G$800),--($G$2:$G$800=G462))+1)/2)/COUNT($G$2:$G$800)</f>
        <v>0.224030037546934</v>
      </c>
      <c r="J462" s="0" t="n">
        <v>8.4261902569294</v>
      </c>
      <c r="K462" s="0" t="n">
        <v>1.7531556802244</v>
      </c>
      <c r="L462" s="0" t="n">
        <v>0.196353436185138</v>
      </c>
      <c r="M462" s="0" t="n">
        <f aca="false">IF(OR(B462="NW",COUNT(Risk_Rank_Keys!B462)=0),0.5,(SUMPRODUCT(--ISNUMBER(Risk_Rank_Keys!$B$2:$B$800),--(Risk_Rank_Keys!$B$2:$B$800&lt;Risk_Rank_Keys!B462))+(SUMPRODUCT(--ISNUMBER(Risk_Rank_Keys!$B$2:$B$800),--(Risk_Rank_Keys!$B$2:$B$800=Risk_Rank_Keys!B462))+1)/2)/COUNT(Risk_Rank_Keys!$B$2:$B$800))</f>
        <v>0.410041841004184</v>
      </c>
      <c r="N462" s="0" t="n">
        <f aca="false">IF(OR(B462="NW",COUNT(Risk_Rank_Keys!C462)=0),0.5,(SUMPRODUCT(--ISNUMBER(Risk_Rank_Keys!$C$2:$C$800),--(Risk_Rank_Keys!$C$2:$C$800&lt;Risk_Rank_Keys!C462))+(SUMPRODUCT(--ISNUMBER(Risk_Rank_Keys!$C$2:$C$800),--(Risk_Rank_Keys!$C$2:$C$800=Risk_Rank_Keys!C462))+1)/2)/COUNT(Risk_Rank_Keys!$C$2:$C$800))</f>
        <v>0.202231520223152</v>
      </c>
      <c r="O462" s="0" t="n">
        <f aca="false">IF(OR(B462="NW",COUNT(Risk_Rank_Keys!D462)=0),0.5,(SUMPRODUCT(--ISNUMBER(Risk_Rank_Keys!$D$2:$D$800),--(Risk_Rank_Keys!$D$2:$D$800&lt;Risk_Rank_Keys!D462))+(SUMPRODUCT(--ISNUMBER(Risk_Rank_Keys!$D$2:$D$800),--(Risk_Rank_Keys!$D$2:$D$800=Risk_Rank_Keys!D462))+1)/2)/COUNT(Risk_Rank_Keys!$D$2:$D$800))</f>
        <v>0.297071129707113</v>
      </c>
      <c r="P462" s="0" t="n">
        <f aca="false">AVERAGE(M462:O462)</f>
        <v>0.303114830311483</v>
      </c>
      <c r="Q462" s="0" t="n">
        <f aca="false">0.4*H462+0.4*I462+0.2*P462</f>
        <v>0.267381414122372</v>
      </c>
      <c r="R462" s="0" t="n">
        <f aca="false">PERCENTILE($Q$2:$Q$800,0.75)</f>
        <v>0.667715717403612</v>
      </c>
      <c r="S462" s="1" t="b">
        <f aca="false">OR(Q462&gt;=R462,AND(B462="CW",COUNT(J462:L462)&lt;3))</f>
        <v>0</v>
      </c>
      <c r="T462" s="0" t="n">
        <v>0.253888672101368</v>
      </c>
      <c r="U462" s="0" t="n">
        <v>5.67781830556573</v>
      </c>
      <c r="V462" s="0" t="n">
        <v>0.267381414122372</v>
      </c>
      <c r="W462" s="0" t="n">
        <f aca="false">Q462-V462</f>
        <v>0</v>
      </c>
    </row>
    <row r="463" customFormat="false" ht="15" hidden="false" customHeight="false" outlineLevel="0" collapsed="false">
      <c r="A463" s="0" t="s">
        <v>497</v>
      </c>
      <c r="B463" s="0" t="s">
        <v>3013</v>
      </c>
      <c r="C463" s="0" t="n">
        <v>6.63082553950027</v>
      </c>
      <c r="D463" s="0" t="n">
        <f aca="false">SUMPRODUCT(Risk_Inputs!B463:AJ463,Risk_Coefs!$B$2:$AJ$2)</f>
        <v>-0.788108057063862</v>
      </c>
      <c r="E463" s="0" t="n">
        <f aca="false">1/(1+EXP(-MAX(-25,MIN(25,D463))))</f>
        <v>0.312575050545572</v>
      </c>
      <c r="F463" s="0" t="n">
        <f aca="false">SUMPRODUCT(Risk_Inputs!B463:AJ463,Risk_Coefs!$B$3:$AJ$3)</f>
        <v>6.32873437875516</v>
      </c>
      <c r="G463" s="0" t="n">
        <f aca="false">MAX(0,F463)</f>
        <v>6.32873437875516</v>
      </c>
      <c r="H463" s="0" t="n">
        <f aca="false">(SUMPRODUCT(--ISNUMBER($E$2:$E$800),--($E$2:$E$800&lt;E463))+(SUMPRODUCT(--ISNUMBER($E$2:$E$800),--($E$2:$E$800=E463))+1)/2)/COUNT($E$2:$E$800)</f>
        <v>0.6270337922403</v>
      </c>
      <c r="I463" s="0" t="n">
        <f aca="false">(SUMPRODUCT(--ISNUMBER($G$2:$G$800),--($G$2:$G$800&lt;G463))+(SUMPRODUCT(--ISNUMBER($G$2:$G$800),--($G$2:$G$800=G463))+1)/2)/COUNT($G$2:$G$800)</f>
        <v>0.316645807259074</v>
      </c>
      <c r="J463" s="0" t="n">
        <v>7.15862591330211</v>
      </c>
      <c r="K463" s="0" t="n">
        <v>2.00921658986177</v>
      </c>
      <c r="L463" s="0" t="n">
        <v>0.165898617511527</v>
      </c>
      <c r="M463" s="0" t="n">
        <f aca="false">IF(OR(B463="NW",COUNT(Risk_Rank_Keys!B463)=0),0.5,(SUMPRODUCT(--ISNUMBER(Risk_Rank_Keys!$B$2:$B$800),--(Risk_Rank_Keys!$B$2:$B$800&lt;Risk_Rank_Keys!B463))+(SUMPRODUCT(--ISNUMBER(Risk_Rank_Keys!$B$2:$B$800),--(Risk_Rank_Keys!$B$2:$B$800=Risk_Rank_Keys!B463))+1)/2)/COUNT(Risk_Rank_Keys!$B$2:$B$800))</f>
        <v>0.327754532775453</v>
      </c>
      <c r="N463" s="0" t="n">
        <f aca="false">IF(OR(B463="NW",COUNT(Risk_Rank_Keys!C463)=0),0.5,(SUMPRODUCT(--ISNUMBER(Risk_Rank_Keys!$C$2:$C$800),--(Risk_Rank_Keys!$C$2:$C$800&lt;Risk_Rank_Keys!C463))+(SUMPRODUCT(--ISNUMBER(Risk_Rank_Keys!$C$2:$C$800),--(Risk_Rank_Keys!$C$2:$C$800=Risk_Rank_Keys!C463))+1)/2)/COUNT(Risk_Rank_Keys!$C$2:$C$800))</f>
        <v>0.271966527196653</v>
      </c>
      <c r="O463" s="0" t="n">
        <f aca="false">IF(OR(B463="NW",COUNT(Risk_Rank_Keys!D463)=0),0.5,(SUMPRODUCT(--ISNUMBER(Risk_Rank_Keys!$D$2:$D$800),--(Risk_Rank_Keys!$D$2:$D$800&lt;Risk_Rank_Keys!D463))+(SUMPRODUCT(--ISNUMBER(Risk_Rank_Keys!$D$2:$D$800),--(Risk_Rank_Keys!$D$2:$D$800=Risk_Rank_Keys!D463))+1)/2)/COUNT(Risk_Rank_Keys!$D$2:$D$800))</f>
        <v>0.157601115760112</v>
      </c>
      <c r="P463" s="0" t="n">
        <f aca="false">AVERAGE(M463:O463)</f>
        <v>0.252440725244073</v>
      </c>
      <c r="Q463" s="0" t="n">
        <f aca="false">0.4*H463+0.4*I463+0.2*P463</f>
        <v>0.427959984848564</v>
      </c>
      <c r="R463" s="0" t="n">
        <f aca="false">PERCENTILE($Q$2:$Q$800,0.75)</f>
        <v>0.667715717403612</v>
      </c>
      <c r="S463" s="1" t="b">
        <f aca="false">OR(Q463&gt;=R463,AND(B463="CW",COUNT(J463:L463)&lt;3))</f>
        <v>0</v>
      </c>
      <c r="T463" s="0" t="n">
        <v>0.312575050545572</v>
      </c>
      <c r="U463" s="0" t="n">
        <v>6.32873437875516</v>
      </c>
      <c r="V463" s="0" t="n">
        <v>0.427959984848564</v>
      </c>
      <c r="W463" s="0" t="n">
        <f aca="false">Q463-V463</f>
        <v>0</v>
      </c>
    </row>
    <row r="464" customFormat="false" ht="15" hidden="false" customHeight="false" outlineLevel="0" collapsed="false">
      <c r="A464" s="0" t="s">
        <v>498</v>
      </c>
      <c r="B464" s="0" t="s">
        <v>3013</v>
      </c>
      <c r="C464" s="0" t="n">
        <v>15.0277433188618</v>
      </c>
      <c r="D464" s="0" t="n">
        <f aca="false">SUMPRODUCT(Risk_Inputs!B464:AJ464,Risk_Coefs!$B$2:$AJ$2)</f>
        <v>-0.961647316516261</v>
      </c>
      <c r="E464" s="0" t="n">
        <f aca="false">1/(1+EXP(-MAX(-25,MIN(25,D464))))</f>
        <v>0.276548495920778</v>
      </c>
      <c r="F464" s="0" t="n">
        <f aca="false">SUMPRODUCT(Risk_Inputs!B464:AJ464,Risk_Coefs!$B$3:$AJ$3)</f>
        <v>7.65052438789654</v>
      </c>
      <c r="G464" s="0" t="n">
        <f aca="false">MAX(0,F464)</f>
        <v>7.65052438789654</v>
      </c>
      <c r="H464" s="0" t="n">
        <f aca="false">(SUMPRODUCT(--ISNUMBER($E$2:$E$800),--($E$2:$E$800&lt;E464))+(SUMPRODUCT(--ISNUMBER($E$2:$E$800),--($E$2:$E$800=E464))+1)/2)/COUNT($E$2:$E$800)</f>
        <v>0.439299123904881</v>
      </c>
      <c r="I464" s="0" t="n">
        <f aca="false">(SUMPRODUCT(--ISNUMBER($G$2:$G$800),--($G$2:$G$800&lt;G464))+(SUMPRODUCT(--ISNUMBER($G$2:$G$800),--($G$2:$G$800=G464))+1)/2)/COUNT($G$2:$G$800)</f>
        <v>0.505632040050063</v>
      </c>
      <c r="J464" s="0" t="n">
        <v>8.09951220402557</v>
      </c>
      <c r="K464" s="0" t="n">
        <v>7.4608408903545</v>
      </c>
      <c r="L464" s="0" t="n">
        <v>0.20610057708161</v>
      </c>
      <c r="M464" s="0" t="n">
        <f aca="false">IF(OR(B464="NW",COUNT(Risk_Rank_Keys!B464)=0),0.5,(SUMPRODUCT(--ISNUMBER(Risk_Rank_Keys!$B$2:$B$800),--(Risk_Rank_Keys!$B$2:$B$800&lt;Risk_Rank_Keys!B464))+(SUMPRODUCT(--ISNUMBER(Risk_Rank_Keys!$B$2:$B$800),--(Risk_Rank_Keys!$B$2:$B$800=Risk_Rank_Keys!B464))+1)/2)/COUNT(Risk_Rank_Keys!$B$2:$B$800))</f>
        <v>0.390516039051604</v>
      </c>
      <c r="N464" s="0" t="n">
        <f aca="false">IF(OR(B464="NW",COUNT(Risk_Rank_Keys!C464)=0),0.5,(SUMPRODUCT(--ISNUMBER(Risk_Rank_Keys!$C$2:$C$800),--(Risk_Rank_Keys!$C$2:$C$800&lt;Risk_Rank_Keys!C464))+(SUMPRODUCT(--ISNUMBER(Risk_Rank_Keys!$C$2:$C$800),--(Risk_Rank_Keys!$C$2:$C$800=Risk_Rank_Keys!C464))+1)/2)/COUNT(Risk_Rank_Keys!$C$2:$C$800))</f>
        <v>0.804741980474198</v>
      </c>
      <c r="O464" s="0" t="n">
        <f aca="false">IF(OR(B464="NW",COUNT(Risk_Rank_Keys!D464)=0),0.5,(SUMPRODUCT(--ISNUMBER(Risk_Rank_Keys!$D$2:$D$800),--(Risk_Rank_Keys!$D$2:$D$800&lt;Risk_Rank_Keys!D464))+(SUMPRODUCT(--ISNUMBER(Risk_Rank_Keys!$D$2:$D$800),--(Risk_Rank_Keys!$D$2:$D$800=Risk_Rank_Keys!D464))+1)/2)/COUNT(Risk_Rank_Keys!$D$2:$D$800))</f>
        <v>0.347280334728034</v>
      </c>
      <c r="P464" s="0" t="n">
        <f aca="false">AVERAGE(M464:O464)</f>
        <v>0.514179451417945</v>
      </c>
      <c r="Q464" s="0" t="n">
        <f aca="false">0.4*H464+0.4*I464+0.2*P464</f>
        <v>0.480808355865567</v>
      </c>
      <c r="R464" s="0" t="n">
        <f aca="false">PERCENTILE($Q$2:$Q$800,0.75)</f>
        <v>0.667715717403612</v>
      </c>
      <c r="S464" s="1" t="b">
        <f aca="false">OR(Q464&gt;=R464,AND(B464="CW",COUNT(J464:L464)&lt;3))</f>
        <v>0</v>
      </c>
      <c r="T464" s="0" t="n">
        <v>0.276548495920778</v>
      </c>
      <c r="U464" s="0" t="n">
        <v>7.65052438789654</v>
      </c>
      <c r="V464" s="0" t="n">
        <v>0.480808355865567</v>
      </c>
      <c r="W464" s="0" t="n">
        <f aca="false">Q464-V464</f>
        <v>0</v>
      </c>
    </row>
    <row r="465" customFormat="false" ht="15" hidden="false" customHeight="false" outlineLevel="0" collapsed="false">
      <c r="A465" s="0" t="s">
        <v>499</v>
      </c>
      <c r="B465" s="0" t="s">
        <v>3013</v>
      </c>
      <c r="C465" s="0" t="n">
        <v>8.77488029553996</v>
      </c>
      <c r="D465" s="0" t="n">
        <f aca="false">SUMPRODUCT(Risk_Inputs!B465:AJ465,Risk_Coefs!$B$2:$AJ$2)</f>
        <v>-1.27957958440315</v>
      </c>
      <c r="E465" s="0" t="n">
        <f aca="false">1/(1+EXP(-MAX(-25,MIN(25,D465))))</f>
        <v>0.21762179611058</v>
      </c>
      <c r="F465" s="0" t="n">
        <f aca="false">SUMPRODUCT(Risk_Inputs!B465:AJ465,Risk_Coefs!$B$3:$AJ$3)</f>
        <v>6.17320520658547</v>
      </c>
      <c r="G465" s="0" t="n">
        <f aca="false">MAX(0,F465)</f>
        <v>6.17320520658547</v>
      </c>
      <c r="H465" s="0" t="n">
        <f aca="false">(SUMPRODUCT(--ISNUMBER($E$2:$E$800),--($E$2:$E$800&lt;E465))+(SUMPRODUCT(--ISNUMBER($E$2:$E$800),--($E$2:$E$800=E465))+1)/2)/COUNT($E$2:$E$800)</f>
        <v>0.137672090112641</v>
      </c>
      <c r="I465" s="0" t="n">
        <f aca="false">(SUMPRODUCT(--ISNUMBER($G$2:$G$800),--($G$2:$G$800&lt;G465))+(SUMPRODUCT(--ISNUMBER($G$2:$G$800),--($G$2:$G$800=G465))+1)/2)/COUNT($G$2:$G$800)</f>
        <v>0.289111389236546</v>
      </c>
      <c r="J465" s="0" t="n">
        <v>11.2806614961737</v>
      </c>
      <c r="K465" s="0" t="n">
        <v>4.46244243290458</v>
      </c>
      <c r="L465" s="0" t="n">
        <v>0.222328092742572</v>
      </c>
      <c r="M465" s="0" t="n">
        <f aca="false">IF(OR(B465="NW",COUNT(Risk_Rank_Keys!B465)=0),0.5,(SUMPRODUCT(--ISNUMBER(Risk_Rank_Keys!$B$2:$B$800),--(Risk_Rank_Keys!$B$2:$B$800&lt;Risk_Rank_Keys!B465))+(SUMPRODUCT(--ISNUMBER(Risk_Rank_Keys!$B$2:$B$800),--(Risk_Rank_Keys!$B$2:$B$800=Risk_Rank_Keys!B465))+1)/2)/COUNT(Risk_Rank_Keys!$B$2:$B$800))</f>
        <v>0.557880055788006</v>
      </c>
      <c r="N465" s="0" t="n">
        <f aca="false">IF(OR(B465="NW",COUNT(Risk_Rank_Keys!C465)=0),0.5,(SUMPRODUCT(--ISNUMBER(Risk_Rank_Keys!$C$2:$C$800),--(Risk_Rank_Keys!$C$2:$C$800&lt;Risk_Rank_Keys!C465))+(SUMPRODUCT(--ISNUMBER(Risk_Rank_Keys!$C$2:$C$800),--(Risk_Rank_Keys!$C$2:$C$800=Risk_Rank_Keys!C465))+1)/2)/COUNT(Risk_Rank_Keys!$C$2:$C$800))</f>
        <v>0.642956764295676</v>
      </c>
      <c r="O465" s="0" t="n">
        <f aca="false">IF(OR(B465="NW",COUNT(Risk_Rank_Keys!D465)=0),0.5,(SUMPRODUCT(--ISNUMBER(Risk_Rank_Keys!$D$2:$D$800),--(Risk_Rank_Keys!$D$2:$D$800&lt;Risk_Rank_Keys!D465))+(SUMPRODUCT(--ISNUMBER(Risk_Rank_Keys!$D$2:$D$800),--(Risk_Rank_Keys!$D$2:$D$800=Risk_Rank_Keys!D465))+1)/2)/COUNT(Risk_Rank_Keys!$D$2:$D$800))</f>
        <v>0.456066945606695</v>
      </c>
      <c r="P465" s="0" t="n">
        <f aca="false">AVERAGE(M465:O465)</f>
        <v>0.552301255230126</v>
      </c>
      <c r="Q465" s="0" t="n">
        <f aca="false">0.4*H465+0.4*I465+0.2*P465</f>
        <v>0.2811736427857</v>
      </c>
      <c r="R465" s="0" t="n">
        <f aca="false">PERCENTILE($Q$2:$Q$800,0.75)</f>
        <v>0.667715717403612</v>
      </c>
      <c r="S465" s="1" t="b">
        <f aca="false">OR(Q465&gt;=R465,AND(B465="CW",COUNT(J465:L465)&lt;3))</f>
        <v>0</v>
      </c>
      <c r="T465" s="0" t="n">
        <v>0.21762179611058</v>
      </c>
      <c r="U465" s="0" t="n">
        <v>6.17320520658547</v>
      </c>
      <c r="V465" s="0" t="n">
        <v>0.2811736427857</v>
      </c>
      <c r="W465" s="0" t="n">
        <f aca="false">Q465-V465</f>
        <v>0</v>
      </c>
    </row>
    <row r="466" customFormat="false" ht="15" hidden="false" customHeight="false" outlineLevel="0" collapsed="false">
      <c r="A466" s="0" t="s">
        <v>500</v>
      </c>
      <c r="B466" s="0" t="s">
        <v>3013</v>
      </c>
      <c r="C466" s="0" t="n">
        <v>-4.87999806855399</v>
      </c>
      <c r="D466" s="0" t="n">
        <f aca="false">SUMPRODUCT(Risk_Inputs!B466:AJ466,Risk_Coefs!$B$2:$AJ$2)</f>
        <v>-0.661145938440775</v>
      </c>
      <c r="E466" s="0" t="n">
        <f aca="false">1/(1+EXP(-MAX(-25,MIN(25,D466))))</f>
        <v>0.340482239372841</v>
      </c>
      <c r="F466" s="0" t="n">
        <f aca="false">SUMPRODUCT(Risk_Inputs!B466:AJ466,Risk_Coefs!$B$3:$AJ$3)</f>
        <v>9.25424817012469</v>
      </c>
      <c r="G466" s="0" t="n">
        <f aca="false">MAX(0,F466)</f>
        <v>9.25424817012469</v>
      </c>
      <c r="H466" s="0" t="n">
        <f aca="false">(SUMPRODUCT(--ISNUMBER($E$2:$E$800),--($E$2:$E$800&lt;E466))+(SUMPRODUCT(--ISNUMBER($E$2:$E$800),--($E$2:$E$800=E466))+1)/2)/COUNT($E$2:$E$800)</f>
        <v>0.784730913642053</v>
      </c>
      <c r="I466" s="0" t="n">
        <f aca="false">(SUMPRODUCT(--ISNUMBER($G$2:$G$800),--($G$2:$G$800&lt;G466))+(SUMPRODUCT(--ISNUMBER($G$2:$G$800),--($G$2:$G$800=G466))+1)/2)/COUNT($G$2:$G$800)</f>
        <v>0.710888610763454</v>
      </c>
      <c r="J466" s="0" t="n">
        <v>5.65998863474118</v>
      </c>
      <c r="K466" s="0" t="n">
        <v>1.71250648676699</v>
      </c>
      <c r="L466" s="0" t="n">
        <v>0.207576543850543</v>
      </c>
      <c r="M466" s="0" t="n">
        <f aca="false">IF(OR(B466="NW",COUNT(Risk_Rank_Keys!B466)=0),0.5,(SUMPRODUCT(--ISNUMBER(Risk_Rank_Keys!$B$2:$B$800),--(Risk_Rank_Keys!$B$2:$B$800&lt;Risk_Rank_Keys!B466))+(SUMPRODUCT(--ISNUMBER(Risk_Rank_Keys!$B$2:$B$800),--(Risk_Rank_Keys!$B$2:$B$800=Risk_Rank_Keys!B466))+1)/2)/COUNT(Risk_Rank_Keys!$B$2:$B$800))</f>
        <v>0.185495118549512</v>
      </c>
      <c r="N466" s="0" t="n">
        <f aca="false">IF(OR(B466="NW",COUNT(Risk_Rank_Keys!C466)=0),0.5,(SUMPRODUCT(--ISNUMBER(Risk_Rank_Keys!$C$2:$C$800),--(Risk_Rank_Keys!$C$2:$C$800&lt;Risk_Rank_Keys!C466))+(SUMPRODUCT(--ISNUMBER(Risk_Rank_Keys!$C$2:$C$800),--(Risk_Rank_Keys!$C$2:$C$800=Risk_Rank_Keys!C466))+1)/2)/COUNT(Risk_Rank_Keys!$C$2:$C$800))</f>
        <v>0.195258019525802</v>
      </c>
      <c r="O466" s="0" t="n">
        <f aca="false">IF(OR(B466="NW",COUNT(Risk_Rank_Keys!D466)=0),0.5,(SUMPRODUCT(--ISNUMBER(Risk_Rank_Keys!$D$2:$D$800),--(Risk_Rank_Keys!$D$2:$D$800&lt;Risk_Rank_Keys!D466))+(SUMPRODUCT(--ISNUMBER(Risk_Rank_Keys!$D$2:$D$800),--(Risk_Rank_Keys!$D$2:$D$800=Risk_Rank_Keys!D466))+1)/2)/COUNT(Risk_Rank_Keys!$D$2:$D$800))</f>
        <v>0.359832635983264</v>
      </c>
      <c r="P466" s="0" t="n">
        <f aca="false">AVERAGE(M466:O466)</f>
        <v>0.246861924686192</v>
      </c>
      <c r="Q466" s="0" t="n">
        <f aca="false">0.4*H466+0.4*I466+0.2*P466</f>
        <v>0.647620194699441</v>
      </c>
      <c r="R466" s="0" t="n">
        <f aca="false">PERCENTILE($Q$2:$Q$800,0.75)</f>
        <v>0.667715717403612</v>
      </c>
      <c r="S466" s="1" t="b">
        <f aca="false">OR(Q466&gt;=R466,AND(B466="CW",COUNT(J466:L466)&lt;3))</f>
        <v>0</v>
      </c>
      <c r="T466" s="0" t="n">
        <v>0.340482239372841</v>
      </c>
      <c r="U466" s="0" t="n">
        <v>9.25424817012469</v>
      </c>
      <c r="V466" s="0" t="n">
        <v>0.647620194699441</v>
      </c>
      <c r="W466" s="0" t="n">
        <f aca="false">Q466-V466</f>
        <v>0</v>
      </c>
    </row>
    <row r="467" customFormat="false" ht="15" hidden="false" customHeight="false" outlineLevel="0" collapsed="false">
      <c r="A467" s="0" t="s">
        <v>501</v>
      </c>
      <c r="B467" s="0" t="s">
        <v>3013</v>
      </c>
      <c r="C467" s="0" t="n">
        <v>3.88507892681832</v>
      </c>
      <c r="D467" s="0" t="n">
        <f aca="false">SUMPRODUCT(Risk_Inputs!B467:AJ467,Risk_Coefs!$B$2:$AJ$2)</f>
        <v>-1.06215220983637</v>
      </c>
      <c r="E467" s="0" t="n">
        <f aca="false">1/(1+EXP(-MAX(-25,MIN(25,D467))))</f>
        <v>0.256898379473276</v>
      </c>
      <c r="F467" s="0" t="n">
        <f aca="false">SUMPRODUCT(Risk_Inputs!B467:AJ467,Risk_Coefs!$B$3:$AJ$3)</f>
        <v>5.91354364363598</v>
      </c>
      <c r="G467" s="0" t="n">
        <f aca="false">MAX(0,F467)</f>
        <v>5.91354364363598</v>
      </c>
      <c r="H467" s="0" t="n">
        <f aca="false">(SUMPRODUCT(--ISNUMBER($E$2:$E$800),--($E$2:$E$800&lt;E467))+(SUMPRODUCT(--ISNUMBER($E$2:$E$800),--($E$2:$E$800=E467))+1)/2)/COUNT($E$2:$E$800)</f>
        <v>0.310387984981227</v>
      </c>
      <c r="I467" s="0" t="n">
        <f aca="false">(SUMPRODUCT(--ISNUMBER($G$2:$G$800),--($G$2:$G$800&lt;G467))+(SUMPRODUCT(--ISNUMBER($G$2:$G$800),--($G$2:$G$800=G467))+1)/2)/COUNT($G$2:$G$800)</f>
        <v>0.254067584480601</v>
      </c>
      <c r="J467" s="0" t="n">
        <v>15.498290429806</v>
      </c>
      <c r="K467" s="0" t="n">
        <v>5.5077452667814</v>
      </c>
      <c r="L467" s="0" t="n">
        <v>0.267737617135203</v>
      </c>
      <c r="M467" s="0" t="n">
        <f aca="false">IF(OR(B467="NW",COUNT(Risk_Rank_Keys!B467)=0),0.5,(SUMPRODUCT(--ISNUMBER(Risk_Rank_Keys!$B$2:$B$800),--(Risk_Rank_Keys!$B$2:$B$800&lt;Risk_Rank_Keys!B467))+(SUMPRODUCT(--ISNUMBER(Risk_Rank_Keys!$B$2:$B$800),--(Risk_Rank_Keys!$B$2:$B$800=Risk_Rank_Keys!B467))+1)/2)/COUNT(Risk_Rank_Keys!$B$2:$B$800))</f>
        <v>0.716875871687587</v>
      </c>
      <c r="N467" s="0" t="n">
        <f aca="false">IF(OR(B467="NW",COUNT(Risk_Rank_Keys!C467)=0),0.5,(SUMPRODUCT(--ISNUMBER(Risk_Rank_Keys!$C$2:$C$800),--(Risk_Rank_Keys!$C$2:$C$800&lt;Risk_Rank_Keys!C467))+(SUMPRODUCT(--ISNUMBER(Risk_Rank_Keys!$C$2:$C$800),--(Risk_Rank_Keys!$C$2:$C$800=Risk_Rank_Keys!C467))+1)/2)/COUNT(Risk_Rank_Keys!$C$2:$C$800))</f>
        <v>0.719665271966527</v>
      </c>
      <c r="O467" s="0" t="n">
        <f aca="false">IF(OR(B467="NW",COUNT(Risk_Rank_Keys!D467)=0),0.5,(SUMPRODUCT(--ISNUMBER(Risk_Rank_Keys!$D$2:$D$800),--(Risk_Rank_Keys!$D$2:$D$800&lt;Risk_Rank_Keys!D467))+(SUMPRODUCT(--ISNUMBER(Risk_Rank_Keys!$D$2:$D$800),--(Risk_Rank_Keys!$D$2:$D$800=Risk_Rank_Keys!D467))+1)/2)/COUNT(Risk_Rank_Keys!$D$2:$D$800))</f>
        <v>0.658298465829847</v>
      </c>
      <c r="P467" s="0" t="n">
        <f aca="false">AVERAGE(M467:O467)</f>
        <v>0.698279869827987</v>
      </c>
      <c r="Q467" s="0" t="n">
        <f aca="false">0.4*H467+0.4*I467+0.2*P467</f>
        <v>0.365438201750328</v>
      </c>
      <c r="R467" s="0" t="n">
        <f aca="false">PERCENTILE($Q$2:$Q$800,0.75)</f>
        <v>0.667715717403612</v>
      </c>
      <c r="S467" s="1" t="b">
        <f aca="false">OR(Q467&gt;=R467,AND(B467="CW",COUNT(J467:L467)&lt;3))</f>
        <v>0</v>
      </c>
      <c r="T467" s="0" t="n">
        <v>0.256898379473276</v>
      </c>
      <c r="U467" s="0" t="n">
        <v>5.91354364363598</v>
      </c>
      <c r="V467" s="0" t="n">
        <v>0.365438201750328</v>
      </c>
      <c r="W467" s="0" t="n">
        <f aca="false">Q467-V467</f>
        <v>0</v>
      </c>
    </row>
    <row r="468" customFormat="false" ht="15" hidden="false" customHeight="false" outlineLevel="0" collapsed="false">
      <c r="A468" s="0" t="s">
        <v>502</v>
      </c>
      <c r="B468" s="0" t="s">
        <v>3013</v>
      </c>
      <c r="C468" s="0" t="n">
        <v>52.3022079171256</v>
      </c>
      <c r="D468" s="0" t="n">
        <f aca="false">SUMPRODUCT(Risk_Inputs!B468:AJ468,Risk_Coefs!$B$2:$AJ$2)</f>
        <v>-1.0203405416729</v>
      </c>
      <c r="E468" s="0" t="n">
        <f aca="false">1/(1+EXP(-MAX(-25,MIN(25,D468))))</f>
        <v>0.264961072451895</v>
      </c>
      <c r="F468" s="0" t="n">
        <f aca="false">SUMPRODUCT(Risk_Inputs!B468:AJ468,Risk_Coefs!$B$3:$AJ$3)</f>
        <v>7.85796903330593</v>
      </c>
      <c r="G468" s="0" t="n">
        <f aca="false">MAX(0,F468)</f>
        <v>7.85796903330593</v>
      </c>
      <c r="H468" s="0" t="n">
        <f aca="false">(SUMPRODUCT(--ISNUMBER($E$2:$E$800),--($E$2:$E$800&lt;E468))+(SUMPRODUCT(--ISNUMBER($E$2:$E$800),--($E$2:$E$800=E468))+1)/2)/COUNT($E$2:$E$800)</f>
        <v>0.367959949937422</v>
      </c>
      <c r="I468" s="0" t="n">
        <f aca="false">(SUMPRODUCT(--ISNUMBER($G$2:$G$800),--($G$2:$G$800&lt;G468))+(SUMPRODUCT(--ISNUMBER($G$2:$G$800),--($G$2:$G$800=G468))+1)/2)/COUNT($G$2:$G$800)</f>
        <v>0.523153942428035</v>
      </c>
      <c r="J468" s="0" t="n">
        <v>15.202257591557</v>
      </c>
      <c r="K468" s="0" t="n">
        <v>7.33144743045734</v>
      </c>
      <c r="L468" s="0" t="n">
        <v>0.353606789250354</v>
      </c>
      <c r="M468" s="0" t="n">
        <f aca="false">IF(OR(B468="NW",COUNT(Risk_Rank_Keys!B468)=0),0.5,(SUMPRODUCT(--ISNUMBER(Risk_Rank_Keys!$B$2:$B$800),--(Risk_Rank_Keys!$B$2:$B$800&lt;Risk_Rank_Keys!B468))+(SUMPRODUCT(--ISNUMBER(Risk_Rank_Keys!$B$2:$B$800),--(Risk_Rank_Keys!$B$2:$B$800=Risk_Rank_Keys!B468))+1)/2)/COUNT(Risk_Rank_Keys!$B$2:$B$800))</f>
        <v>0.709902370990237</v>
      </c>
      <c r="N468" s="0" t="n">
        <f aca="false">IF(OR(B468="NW",COUNT(Risk_Rank_Keys!C468)=0),0.5,(SUMPRODUCT(--ISNUMBER(Risk_Rank_Keys!$C$2:$C$800),--(Risk_Rank_Keys!$C$2:$C$800&lt;Risk_Rank_Keys!C468))+(SUMPRODUCT(--ISNUMBER(Risk_Rank_Keys!$C$2:$C$800),--(Risk_Rank_Keys!$C$2:$C$800=Risk_Rank_Keys!C468))+1)/2)/COUNT(Risk_Rank_Keys!$C$2:$C$800))</f>
        <v>0.797768479776848</v>
      </c>
      <c r="O468" s="0" t="n">
        <f aca="false">IF(OR(B468="NW",COUNT(Risk_Rank_Keys!D468)=0),0.5,(SUMPRODUCT(--ISNUMBER(Risk_Rank_Keys!$D$2:$D$800),--(Risk_Rank_Keys!$D$2:$D$800&lt;Risk_Rank_Keys!D468))+(SUMPRODUCT(--ISNUMBER(Risk_Rank_Keys!$D$2:$D$800),--(Risk_Rank_Keys!$D$2:$D$800=Risk_Rank_Keys!D468))+1)/2)/COUNT(Risk_Rank_Keys!$D$2:$D$800))</f>
        <v>0.839609483960948</v>
      </c>
      <c r="P468" s="0" t="n">
        <f aca="false">AVERAGE(M468:O468)</f>
        <v>0.782426778242678</v>
      </c>
      <c r="Q468" s="0" t="n">
        <f aca="false">0.4*H468+0.4*I468+0.2*P468</f>
        <v>0.512930912594718</v>
      </c>
      <c r="R468" s="0" t="n">
        <f aca="false">PERCENTILE($Q$2:$Q$800,0.75)</f>
        <v>0.667715717403612</v>
      </c>
      <c r="S468" s="1" t="b">
        <f aca="false">OR(Q468&gt;=R468,AND(B468="CW",COUNT(J468:L468)&lt;3))</f>
        <v>0</v>
      </c>
      <c r="T468" s="0" t="n">
        <v>0.264961072451895</v>
      </c>
      <c r="U468" s="0" t="n">
        <v>7.85796903330593</v>
      </c>
      <c r="V468" s="0" t="n">
        <v>0.512930912594718</v>
      </c>
      <c r="W468" s="0" t="n">
        <f aca="false">Q468-V468</f>
        <v>0</v>
      </c>
    </row>
    <row r="469" customFormat="false" ht="15" hidden="false" customHeight="false" outlineLevel="0" collapsed="false">
      <c r="A469" s="0" t="s">
        <v>503</v>
      </c>
      <c r="B469" s="0" t="s">
        <v>3013</v>
      </c>
      <c r="C469" s="0" t="n">
        <v>-46.2645909779201</v>
      </c>
      <c r="D469" s="0" t="n">
        <f aca="false">SUMPRODUCT(Risk_Inputs!B469:AJ469,Risk_Coefs!$B$2:$AJ$2)</f>
        <v>-0.810002719034722</v>
      </c>
      <c r="E469" s="0" t="n">
        <f aca="false">1/(1+EXP(-MAX(-25,MIN(25,D469))))</f>
        <v>0.307889916288697</v>
      </c>
      <c r="F469" s="0" t="n">
        <f aca="false">SUMPRODUCT(Risk_Inputs!B469:AJ469,Risk_Coefs!$B$3:$AJ$3)</f>
        <v>9.87044341145503</v>
      </c>
      <c r="G469" s="0" t="n">
        <f aca="false">MAX(0,F469)</f>
        <v>9.87044341145503</v>
      </c>
      <c r="H469" s="0" t="n">
        <f aca="false">(SUMPRODUCT(--ISNUMBER($E$2:$E$800),--($E$2:$E$800&lt;E469))+(SUMPRODUCT(--ISNUMBER($E$2:$E$800),--($E$2:$E$800=E469))+1)/2)/COUNT($E$2:$E$800)</f>
        <v>0.607008760951189</v>
      </c>
      <c r="I469" s="0" t="n">
        <f aca="false">(SUMPRODUCT(--ISNUMBER($G$2:$G$800),--($G$2:$G$800&lt;G469))+(SUMPRODUCT(--ISNUMBER($G$2:$G$800),--($G$2:$G$800=G469))+1)/2)/COUNT($G$2:$G$800)</f>
        <v>0.780976220275344</v>
      </c>
      <c r="J469" s="0" t="n">
        <v>8.23091923268687</v>
      </c>
      <c r="K469" s="0" t="n">
        <v>5.11875511875512</v>
      </c>
      <c r="L469" s="0" t="n">
        <v>0.204750204750199</v>
      </c>
      <c r="M469" s="0" t="n">
        <f aca="false">IF(OR(B469="NW",COUNT(Risk_Rank_Keys!B469)=0),0.5,(SUMPRODUCT(--ISNUMBER(Risk_Rank_Keys!$B$2:$B$800),--(Risk_Rank_Keys!$B$2:$B$800&lt;Risk_Rank_Keys!B469))+(SUMPRODUCT(--ISNUMBER(Risk_Rank_Keys!$B$2:$B$800),--(Risk_Rank_Keys!$B$2:$B$800=Risk_Rank_Keys!B469))+1)/2)/COUNT(Risk_Rank_Keys!$B$2:$B$800))</f>
        <v>0.394700139470014</v>
      </c>
      <c r="N469" s="0" t="n">
        <f aca="false">IF(OR(B469="NW",COUNT(Risk_Rank_Keys!C469)=0),0.5,(SUMPRODUCT(--ISNUMBER(Risk_Rank_Keys!$C$2:$C$800),--(Risk_Rank_Keys!$C$2:$C$800&lt;Risk_Rank_Keys!C469))+(SUMPRODUCT(--ISNUMBER(Risk_Rank_Keys!$C$2:$C$800),--(Risk_Rank_Keys!$C$2:$C$800=Risk_Rank_Keys!C469))+1)/2)/COUNT(Risk_Rank_Keys!$C$2:$C$800))</f>
        <v>0.695955369595537</v>
      </c>
      <c r="O469" s="0" t="n">
        <f aca="false">IF(OR(B469="NW",COUNT(Risk_Rank_Keys!D469)=0),0.5,(SUMPRODUCT(--ISNUMBER(Risk_Rank_Keys!$D$2:$D$800),--(Risk_Rank_Keys!$D$2:$D$800&lt;Risk_Rank_Keys!D469))+(SUMPRODUCT(--ISNUMBER(Risk_Rank_Keys!$D$2:$D$800),--(Risk_Rank_Keys!$D$2:$D$800=Risk_Rank_Keys!D469))+1)/2)/COUNT(Risk_Rank_Keys!$D$2:$D$800))</f>
        <v>0.340306834030683</v>
      </c>
      <c r="P469" s="0" t="n">
        <f aca="false">AVERAGE(M469:O469)</f>
        <v>0.476987447698745</v>
      </c>
      <c r="Q469" s="0" t="n">
        <f aca="false">0.4*H469+0.4*I469+0.2*P469</f>
        <v>0.650591482030362</v>
      </c>
      <c r="R469" s="0" t="n">
        <f aca="false">PERCENTILE($Q$2:$Q$800,0.75)</f>
        <v>0.667715717403612</v>
      </c>
      <c r="S469" s="1" t="b">
        <f aca="false">OR(Q469&gt;=R469,AND(B469="CW",COUNT(J469:L469)&lt;3))</f>
        <v>0</v>
      </c>
      <c r="T469" s="0" t="n">
        <v>0.307889916288697</v>
      </c>
      <c r="U469" s="0" t="n">
        <v>9.87044341145503</v>
      </c>
      <c r="V469" s="0" t="n">
        <v>0.650591482030362</v>
      </c>
      <c r="W469" s="0" t="n">
        <f aca="false">Q469-V469</f>
        <v>0</v>
      </c>
    </row>
    <row r="470" customFormat="false" ht="15" hidden="false" customHeight="false" outlineLevel="0" collapsed="false">
      <c r="A470" s="0" t="s">
        <v>504</v>
      </c>
      <c r="B470" s="0" t="s">
        <v>3013</v>
      </c>
      <c r="C470" s="0" t="n">
        <v>21.026170180741</v>
      </c>
      <c r="D470" s="0" t="n">
        <f aca="false">SUMPRODUCT(Risk_Inputs!B470:AJ470,Risk_Coefs!$B$2:$AJ$2)</f>
        <v>-0.749965164890728</v>
      </c>
      <c r="E470" s="0" t="n">
        <f aca="false">1/(1+EXP(-MAX(-25,MIN(25,D470))))</f>
        <v>0.320828891267901</v>
      </c>
      <c r="F470" s="0" t="n">
        <f aca="false">SUMPRODUCT(Risk_Inputs!B470:AJ470,Risk_Coefs!$B$3:$AJ$3)</f>
        <v>8.00578413395947</v>
      </c>
      <c r="G470" s="0" t="n">
        <f aca="false">MAX(0,F470)</f>
        <v>8.00578413395947</v>
      </c>
      <c r="H470" s="0" t="n">
        <f aca="false">(SUMPRODUCT(--ISNUMBER($E$2:$E$800),--($E$2:$E$800&lt;E470))+(SUMPRODUCT(--ISNUMBER($E$2:$E$800),--($E$2:$E$800=E470))+1)/2)/COUNT($E$2:$E$800)</f>
        <v>0.675844806007509</v>
      </c>
      <c r="I470" s="0" t="n">
        <f aca="false">(SUMPRODUCT(--ISNUMBER($G$2:$G$800),--($G$2:$G$800&lt;G470))+(SUMPRODUCT(--ISNUMBER($G$2:$G$800),--($G$2:$G$800=G470))+1)/2)/COUNT($G$2:$G$800)</f>
        <v>0.544430538172716</v>
      </c>
      <c r="J470" s="0" t="n">
        <v>9.7994160899654</v>
      </c>
      <c r="K470" s="0" t="n">
        <v>1.93751090940826</v>
      </c>
      <c r="L470" s="0" t="n">
        <v>0.174550532379114</v>
      </c>
      <c r="M470" s="0" t="n">
        <f aca="false">IF(OR(B470="NW",COUNT(Risk_Rank_Keys!B470)=0),0.5,(SUMPRODUCT(--ISNUMBER(Risk_Rank_Keys!$B$2:$B$800),--(Risk_Rank_Keys!$B$2:$B$800&lt;Risk_Rank_Keys!B470))+(SUMPRODUCT(--ISNUMBER(Risk_Rank_Keys!$B$2:$B$800),--(Risk_Rank_Keys!$B$2:$B$800=Risk_Rank_Keys!B470))+1)/2)/COUNT(Risk_Rank_Keys!$B$2:$B$800))</f>
        <v>0.496513249651325</v>
      </c>
      <c r="N470" s="0" t="n">
        <f aca="false">IF(OR(B470="NW",COUNT(Risk_Rank_Keys!C470)=0),0.5,(SUMPRODUCT(--ISNUMBER(Risk_Rank_Keys!$C$2:$C$800),--(Risk_Rank_Keys!$C$2:$C$800&lt;Risk_Rank_Keys!C470))+(SUMPRODUCT(--ISNUMBER(Risk_Rank_Keys!$C$2:$C$800),--(Risk_Rank_Keys!$C$2:$C$800=Risk_Rank_Keys!C470))+1)/2)/COUNT(Risk_Rank_Keys!$C$2:$C$800))</f>
        <v>0.258019525801953</v>
      </c>
      <c r="O470" s="0" t="n">
        <f aca="false">IF(OR(B470="NW",COUNT(Risk_Rank_Keys!D470)=0),0.5,(SUMPRODUCT(--ISNUMBER(Risk_Rank_Keys!$D$2:$D$800),--(Risk_Rank_Keys!$D$2:$D$800&lt;Risk_Rank_Keys!D470))+(SUMPRODUCT(--ISNUMBER(Risk_Rank_Keys!$D$2:$D$800),--(Risk_Rank_Keys!$D$2:$D$800=Risk_Rank_Keys!D470))+1)/2)/COUNT(Risk_Rank_Keys!$D$2:$D$800))</f>
        <v>0.186889818688982</v>
      </c>
      <c r="P470" s="0" t="n">
        <f aca="false">AVERAGE(M470:O470)</f>
        <v>0.313807531380753</v>
      </c>
      <c r="Q470" s="0" t="n">
        <f aca="false">0.4*H470+0.4*I470+0.2*P470</f>
        <v>0.550871643948241</v>
      </c>
      <c r="R470" s="0" t="n">
        <f aca="false">PERCENTILE($Q$2:$Q$800,0.75)</f>
        <v>0.667715717403612</v>
      </c>
      <c r="S470" s="1" t="b">
        <f aca="false">OR(Q470&gt;=R470,AND(B470="CW",COUNT(J470:L470)&lt;3))</f>
        <v>0</v>
      </c>
      <c r="T470" s="0" t="n">
        <v>0.320828891267901</v>
      </c>
      <c r="U470" s="0" t="n">
        <v>8.00578413395947</v>
      </c>
      <c r="V470" s="0" t="n">
        <v>0.550871643948241</v>
      </c>
      <c r="W470" s="0" t="n">
        <f aca="false">Q470-V470</f>
        <v>0</v>
      </c>
    </row>
    <row r="471" customFormat="false" ht="15" hidden="false" customHeight="false" outlineLevel="0" collapsed="false">
      <c r="A471" s="0" t="s">
        <v>505</v>
      </c>
      <c r="B471" s="0" t="s">
        <v>3013</v>
      </c>
      <c r="C471" s="0" t="n">
        <v>38.1125394066885</v>
      </c>
      <c r="D471" s="0" t="n">
        <f aca="false">SUMPRODUCT(Risk_Inputs!B471:AJ471,Risk_Coefs!$B$2:$AJ$2)</f>
        <v>-0.706580670727457</v>
      </c>
      <c r="E471" s="0" t="n">
        <f aca="false">1/(1+EXP(-MAX(-25,MIN(25,D471))))</f>
        <v>0.330354826710654</v>
      </c>
      <c r="F471" s="0" t="n">
        <f aca="false">SUMPRODUCT(Risk_Inputs!B471:AJ471,Risk_Coefs!$B$3:$AJ$3)</f>
        <v>8.64610434442567</v>
      </c>
      <c r="G471" s="0" t="n">
        <f aca="false">MAX(0,F471)</f>
        <v>8.64610434442567</v>
      </c>
      <c r="H471" s="0" t="n">
        <f aca="false">(SUMPRODUCT(--ISNUMBER($E$2:$E$800),--($E$2:$E$800&lt;E471))+(SUMPRODUCT(--ISNUMBER($E$2:$E$800),--($E$2:$E$800=E471))+1)/2)/COUNT($E$2:$E$800)</f>
        <v>0.735919899874844</v>
      </c>
      <c r="I471" s="0" t="n">
        <f aca="false">(SUMPRODUCT(--ISNUMBER($G$2:$G$800),--($G$2:$G$800&lt;G471))+(SUMPRODUCT(--ISNUMBER($G$2:$G$800),--($G$2:$G$800=G471))+1)/2)/COUNT($G$2:$G$800)</f>
        <v>0.629536921151439</v>
      </c>
      <c r="J471" s="0" t="n">
        <v>3.45904982388138</v>
      </c>
      <c r="K471" s="0" t="n">
        <v>1.70476559473072</v>
      </c>
      <c r="L471" s="0" t="n">
        <v>0.154978690430063</v>
      </c>
      <c r="M471" s="0" t="n">
        <f aca="false">IF(OR(B471="NW",COUNT(Risk_Rank_Keys!B471)=0),0.5,(SUMPRODUCT(--ISNUMBER(Risk_Rank_Keys!$B$2:$B$800),--(Risk_Rank_Keys!$B$2:$B$800&lt;Risk_Rank_Keys!B471))+(SUMPRODUCT(--ISNUMBER(Risk_Rank_Keys!$B$2:$B$800),--(Risk_Rank_Keys!$B$2:$B$800=Risk_Rank_Keys!B471))+1)/2)/COUNT(Risk_Rank_Keys!$B$2:$B$800))</f>
        <v>0.0390516039051604</v>
      </c>
      <c r="N471" s="0" t="n">
        <f aca="false">IF(OR(B471="NW",COUNT(Risk_Rank_Keys!C471)=0),0.5,(SUMPRODUCT(--ISNUMBER(Risk_Rank_Keys!$C$2:$C$800),--(Risk_Rank_Keys!$C$2:$C$800&lt;Risk_Rank_Keys!C471))+(SUMPRODUCT(--ISNUMBER(Risk_Rank_Keys!$C$2:$C$800),--(Risk_Rank_Keys!$C$2:$C$800=Risk_Rank_Keys!C471))+1)/2)/COUNT(Risk_Rank_Keys!$C$2:$C$800))</f>
        <v>0.193863319386332</v>
      </c>
      <c r="O471" s="0" t="n">
        <f aca="false">IF(OR(B471="NW",COUNT(Risk_Rank_Keys!D471)=0),0.5,(SUMPRODUCT(--ISNUMBER(Risk_Rank_Keys!$D$2:$D$800),--(Risk_Rank_Keys!$D$2:$D$800&lt;Risk_Rank_Keys!D471))+(SUMPRODUCT(--ISNUMBER(Risk_Rank_Keys!$D$2:$D$800),--(Risk_Rank_Keys!$D$2:$D$800=Risk_Rank_Keys!D471))+1)/2)/COUNT(Risk_Rank_Keys!$D$2:$D$800))</f>
        <v>0.119944211994421</v>
      </c>
      <c r="P471" s="0" t="n">
        <f aca="false">AVERAGE(M471:O471)</f>
        <v>0.117619711761971</v>
      </c>
      <c r="Q471" s="0" t="n">
        <f aca="false">0.4*H471+0.4*I471+0.2*P471</f>
        <v>0.569706670762907</v>
      </c>
      <c r="R471" s="0" t="n">
        <f aca="false">PERCENTILE($Q$2:$Q$800,0.75)</f>
        <v>0.667715717403612</v>
      </c>
      <c r="S471" s="1" t="b">
        <f aca="false">OR(Q471&gt;=R471,AND(B471="CW",COUNT(J471:L471)&lt;3))</f>
        <v>0</v>
      </c>
      <c r="T471" s="0" t="n">
        <v>0.330354826710655</v>
      </c>
      <c r="U471" s="0" t="n">
        <v>8.64610434442567</v>
      </c>
      <c r="V471" s="0" t="n">
        <v>0.569706670762907</v>
      </c>
      <c r="W471" s="0" t="n">
        <f aca="false">Q471-V471</f>
        <v>0</v>
      </c>
    </row>
    <row r="472" customFormat="false" ht="15" hidden="false" customHeight="false" outlineLevel="0" collapsed="false">
      <c r="A472" s="0" t="s">
        <v>506</v>
      </c>
      <c r="B472" s="0" t="s">
        <v>3013</v>
      </c>
      <c r="C472" s="0" t="n">
        <v>-46.2243102160917</v>
      </c>
      <c r="D472" s="0" t="n">
        <f aca="false">SUMPRODUCT(Risk_Inputs!B472:AJ472,Risk_Coefs!$B$2:$AJ$2)</f>
        <v>-0.383738578919411</v>
      </c>
      <c r="E472" s="0" t="n">
        <f aca="false">1/(1+EXP(-MAX(-25,MIN(25,D472))))</f>
        <v>0.405225514681412</v>
      </c>
      <c r="F472" s="0" t="n">
        <f aca="false">SUMPRODUCT(Risk_Inputs!B472:AJ472,Risk_Coefs!$B$3:$AJ$3)</f>
        <v>12.3799310040375</v>
      </c>
      <c r="G472" s="0" t="n">
        <f aca="false">MAX(0,F472)</f>
        <v>12.3799310040375</v>
      </c>
      <c r="H472" s="0" t="n">
        <f aca="false">(SUMPRODUCT(--ISNUMBER($E$2:$E$800),--($E$2:$E$800&lt;E472))+(SUMPRODUCT(--ISNUMBER($E$2:$E$800),--($E$2:$E$800=E472))+1)/2)/COUNT($E$2:$E$800)</f>
        <v>0.95244055068836</v>
      </c>
      <c r="I472" s="0" t="n">
        <f aca="false">(SUMPRODUCT(--ISNUMBER($G$2:$G$800),--($G$2:$G$800&lt;G472))+(SUMPRODUCT(--ISNUMBER($G$2:$G$800),--($G$2:$G$800=G472))+1)/2)/COUNT($G$2:$G$800)</f>
        <v>0.936170212765958</v>
      </c>
      <c r="J472" s="0" t="n">
        <v>5.06649493125166</v>
      </c>
      <c r="K472" s="0" t="n">
        <v>1.46802687235632</v>
      </c>
      <c r="L472" s="0" t="n">
        <v>0.0746454341876117</v>
      </c>
      <c r="M472" s="0" t="n">
        <f aca="false">IF(OR(B472="NW",COUNT(Risk_Rank_Keys!B472)=0),0.5,(SUMPRODUCT(--ISNUMBER(Risk_Rank_Keys!$B$2:$B$800),--(Risk_Rank_Keys!$B$2:$B$800&lt;Risk_Rank_Keys!B472))+(SUMPRODUCT(--ISNUMBER(Risk_Rank_Keys!$B$2:$B$800),--(Risk_Rank_Keys!$B$2:$B$800=Risk_Rank_Keys!B472))+1)/2)/COUNT(Risk_Rank_Keys!$B$2:$B$800))</f>
        <v>0.131101813110181</v>
      </c>
      <c r="N472" s="0" t="n">
        <f aca="false">IF(OR(B472="NW",COUNT(Risk_Rank_Keys!C472)=0),0.5,(SUMPRODUCT(--ISNUMBER(Risk_Rank_Keys!$C$2:$C$800),--(Risk_Rank_Keys!$C$2:$C$800&lt;Risk_Rank_Keys!C472))+(SUMPRODUCT(--ISNUMBER(Risk_Rank_Keys!$C$2:$C$800),--(Risk_Rank_Keys!$C$2:$C$800=Risk_Rank_Keys!C472))+1)/2)/COUNT(Risk_Rank_Keys!$C$2:$C$800))</f>
        <v>0.125523012552301</v>
      </c>
      <c r="O472" s="0" t="n">
        <f aca="false">IF(OR(B472="NW",COUNT(Risk_Rank_Keys!D472)=0),0.5,(SUMPRODUCT(--ISNUMBER(Risk_Rank_Keys!$D$2:$D$800),--(Risk_Rank_Keys!$D$2:$D$800&lt;Risk_Rank_Keys!D472))+(SUMPRODUCT(--ISNUMBER(Risk_Rank_Keys!$D$2:$D$800),--(Risk_Rank_Keys!$D$2:$D$800=Risk_Rank_Keys!D472))+1)/2)/COUNT(Risk_Rank_Keys!$D$2:$D$800))</f>
        <v>0.00697350069735007</v>
      </c>
      <c r="P472" s="0" t="n">
        <f aca="false">AVERAGE(M472:O472)</f>
        <v>0.0878661087866109</v>
      </c>
      <c r="Q472" s="0" t="n">
        <f aca="false">0.4*H472+0.4*I472+0.2*P472</f>
        <v>0.773017527139049</v>
      </c>
      <c r="R472" s="0" t="n">
        <f aca="false">PERCENTILE($Q$2:$Q$800,0.75)</f>
        <v>0.667715717403612</v>
      </c>
      <c r="S472" s="1" t="b">
        <f aca="false">OR(Q472&gt;=R472,AND(B472="CW",COUNT(J472:L472)&lt;3))</f>
        <v>1</v>
      </c>
      <c r="T472" s="0" t="n">
        <v>0.405225514681412</v>
      </c>
      <c r="U472" s="0" t="n">
        <v>12.3799310040375</v>
      </c>
      <c r="V472" s="0" t="n">
        <v>0.773017527139049</v>
      </c>
      <c r="W472" s="0" t="n">
        <f aca="false">Q472-V472</f>
        <v>0</v>
      </c>
    </row>
    <row r="473" customFormat="false" ht="15" hidden="false" customHeight="false" outlineLevel="0" collapsed="false">
      <c r="A473" s="0" t="s">
        <v>507</v>
      </c>
      <c r="B473" s="0" t="s">
        <v>3013</v>
      </c>
      <c r="C473" s="0" t="n">
        <v>-61.2793149951032</v>
      </c>
      <c r="D473" s="0" t="n">
        <f aca="false">SUMPRODUCT(Risk_Inputs!B473:AJ473,Risk_Coefs!$B$2:$AJ$2)</f>
        <v>-0.703549796399518</v>
      </c>
      <c r="E473" s="0" t="n">
        <f aca="false">1/(1+EXP(-MAX(-25,MIN(25,D473))))</f>
        <v>0.331025662703279</v>
      </c>
      <c r="F473" s="0" t="n">
        <f aca="false">SUMPRODUCT(Risk_Inputs!B473:AJ473,Risk_Coefs!$B$3:$AJ$3)</f>
        <v>12.161161724939</v>
      </c>
      <c r="G473" s="0" t="n">
        <f aca="false">MAX(0,F473)</f>
        <v>12.161161724939</v>
      </c>
      <c r="H473" s="0" t="n">
        <f aca="false">(SUMPRODUCT(--ISNUMBER($E$2:$E$800),--($E$2:$E$800&lt;E473))+(SUMPRODUCT(--ISNUMBER($E$2:$E$800),--($E$2:$E$800=E473))+1)/2)/COUNT($E$2:$E$800)</f>
        <v>0.740926157697121</v>
      </c>
      <c r="I473" s="0" t="n">
        <f aca="false">(SUMPRODUCT(--ISNUMBER($G$2:$G$800),--($G$2:$G$800&lt;G473))+(SUMPRODUCT(--ISNUMBER($G$2:$G$800),--($G$2:$G$800=G473))+1)/2)/COUNT($G$2:$G$800)</f>
        <v>0.926157697121402</v>
      </c>
      <c r="J473" s="0" t="n">
        <v>10.1231420956275</v>
      </c>
      <c r="K473" s="0" t="n">
        <v>3.70856580242862</v>
      </c>
      <c r="L473" s="0" t="n">
        <v>0.295372497538564</v>
      </c>
      <c r="M473" s="0" t="n">
        <f aca="false">IF(OR(B473="NW",COUNT(Risk_Rank_Keys!B473)=0),0.5,(SUMPRODUCT(--ISNUMBER(Risk_Rank_Keys!$B$2:$B$800),--(Risk_Rank_Keys!$B$2:$B$800&lt;Risk_Rank_Keys!B473))+(SUMPRODUCT(--ISNUMBER(Risk_Rank_Keys!$B$2:$B$800),--(Risk_Rank_Keys!$B$2:$B$800=Risk_Rank_Keys!B473))+1)/2)/COUNT(Risk_Rank_Keys!$B$2:$B$800))</f>
        <v>0.513249651324965</v>
      </c>
      <c r="N473" s="0" t="n">
        <f aca="false">IF(OR(B473="NW",COUNT(Risk_Rank_Keys!C473)=0),0.5,(SUMPRODUCT(--ISNUMBER(Risk_Rank_Keys!$C$2:$C$800),--(Risk_Rank_Keys!$C$2:$C$800&lt;Risk_Rank_Keys!C473))+(SUMPRODUCT(--ISNUMBER(Risk_Rank_Keys!$C$2:$C$800),--(Risk_Rank_Keys!$C$2:$C$800=Risk_Rank_Keys!C473))+1)/2)/COUNT(Risk_Rank_Keys!$C$2:$C$800))</f>
        <v>0.560669456066946</v>
      </c>
      <c r="O473" s="0" t="n">
        <f aca="false">IF(OR(B473="NW",COUNT(Risk_Rank_Keys!D473)=0),0.5,(SUMPRODUCT(--ISNUMBER(Risk_Rank_Keys!$D$2:$D$800),--(Risk_Rank_Keys!$D$2:$D$800&lt;Risk_Rank_Keys!D473))+(SUMPRODUCT(--ISNUMBER(Risk_Rank_Keys!$D$2:$D$800),--(Risk_Rank_Keys!$D$2:$D$800=Risk_Rank_Keys!D473))+1)/2)/COUNT(Risk_Rank_Keys!$D$2:$D$800))</f>
        <v>0.736401673640167</v>
      </c>
      <c r="P473" s="0" t="n">
        <f aca="false">AVERAGE(M473:O473)</f>
        <v>0.603440260344026</v>
      </c>
      <c r="Q473" s="0" t="n">
        <f aca="false">0.4*H473+0.4*I473+0.2*P473</f>
        <v>0.787521593996215</v>
      </c>
      <c r="R473" s="0" t="n">
        <f aca="false">PERCENTILE($Q$2:$Q$800,0.75)</f>
        <v>0.667715717403612</v>
      </c>
      <c r="S473" s="1" t="b">
        <f aca="false">OR(Q473&gt;=R473,AND(B473="CW",COUNT(J473:L473)&lt;3))</f>
        <v>1</v>
      </c>
      <c r="T473" s="0" t="n">
        <v>0.331025662703279</v>
      </c>
      <c r="U473" s="0" t="n">
        <v>12.161161724939</v>
      </c>
      <c r="V473" s="0" t="n">
        <v>0.787521593996215</v>
      </c>
      <c r="W473" s="0" t="n">
        <f aca="false">Q473-V473</f>
        <v>0</v>
      </c>
    </row>
    <row r="474" customFormat="false" ht="15" hidden="false" customHeight="false" outlineLevel="0" collapsed="false">
      <c r="A474" s="0" t="s">
        <v>508</v>
      </c>
      <c r="B474" s="0" t="s">
        <v>3013</v>
      </c>
      <c r="C474" s="0" t="n">
        <v>27.0717137255965</v>
      </c>
      <c r="D474" s="0" t="n">
        <f aca="false">SUMPRODUCT(Risk_Inputs!B474:AJ474,Risk_Coefs!$B$2:$AJ$2)</f>
        <v>-0.993356135749083</v>
      </c>
      <c r="E474" s="0" t="n">
        <f aca="false">1/(1+EXP(-MAX(-25,MIN(25,D474))))</f>
        <v>0.270249687900735</v>
      </c>
      <c r="F474" s="0" t="n">
        <f aca="false">SUMPRODUCT(Risk_Inputs!B474:AJ474,Risk_Coefs!$B$3:$AJ$3)</f>
        <v>7.34155167935366</v>
      </c>
      <c r="G474" s="0" t="n">
        <f aca="false">MAX(0,F474)</f>
        <v>7.34155167935366</v>
      </c>
      <c r="H474" s="0" t="n">
        <f aca="false">(SUMPRODUCT(--ISNUMBER($E$2:$E$800),--($E$2:$E$800&lt;E474))+(SUMPRODUCT(--ISNUMBER($E$2:$E$800),--($E$2:$E$800=E474))+1)/2)/COUNT($E$2:$E$800)</f>
        <v>0.390488110137672</v>
      </c>
      <c r="I474" s="0" t="n">
        <f aca="false">(SUMPRODUCT(--ISNUMBER($G$2:$G$800),--($G$2:$G$800&lt;G474))+(SUMPRODUCT(--ISNUMBER($G$2:$G$800),--($G$2:$G$800=G474))+1)/2)/COUNT($G$2:$G$800)</f>
        <v>0.454317897371715</v>
      </c>
      <c r="J474" s="0" t="n">
        <v>1.58624125612239</v>
      </c>
      <c r="K474" s="0" t="n">
        <v>1.08677753993083</v>
      </c>
      <c r="L474" s="0" t="n">
        <v>0.214062242713652</v>
      </c>
      <c r="M474" s="0" t="n">
        <f aca="false">IF(OR(B474="NW",COUNT(Risk_Rank_Keys!B474)=0),0.5,(SUMPRODUCT(--ISNUMBER(Risk_Rank_Keys!$B$2:$B$800),--(Risk_Rank_Keys!$B$2:$B$800&lt;Risk_Rank_Keys!B474))+(SUMPRODUCT(--ISNUMBER(Risk_Rank_Keys!$B$2:$B$800),--(Risk_Rank_Keys!$B$2:$B$800=Risk_Rank_Keys!B474))+1)/2)/COUNT(Risk_Rank_Keys!$B$2:$B$800))</f>
        <v>0.00139470013947001</v>
      </c>
      <c r="N474" s="0" t="n">
        <f aca="false">IF(OR(B474="NW",COUNT(Risk_Rank_Keys!C474)=0),0.5,(SUMPRODUCT(--ISNUMBER(Risk_Rank_Keys!$C$2:$C$800),--(Risk_Rank_Keys!$C$2:$C$800&lt;Risk_Rank_Keys!C474))+(SUMPRODUCT(--ISNUMBER(Risk_Rank_Keys!$C$2:$C$800),--(Risk_Rank_Keys!$C$2:$C$800=Risk_Rank_Keys!C474))+1)/2)/COUNT(Risk_Rank_Keys!$C$2:$C$800))</f>
        <v>0.0404463040446304</v>
      </c>
      <c r="O474" s="0" t="n">
        <f aca="false">IF(OR(B474="NW",COUNT(Risk_Rank_Keys!D474)=0),0.5,(SUMPRODUCT(--ISNUMBER(Risk_Rank_Keys!$D$2:$D$800),--(Risk_Rank_Keys!$D$2:$D$800&lt;Risk_Rank_Keys!D474))+(SUMPRODUCT(--ISNUMBER(Risk_Rank_Keys!$D$2:$D$800),--(Risk_Rank_Keys!$D$2:$D$800=Risk_Rank_Keys!D474))+1)/2)/COUNT(Risk_Rank_Keys!$D$2:$D$800))</f>
        <v>0.405857740585774</v>
      </c>
      <c r="P474" s="0" t="n">
        <f aca="false">AVERAGE(M474:O474)</f>
        <v>0.149232914923292</v>
      </c>
      <c r="Q474" s="0" t="n">
        <f aca="false">0.4*H474+0.4*I474+0.2*P474</f>
        <v>0.367768985988413</v>
      </c>
      <c r="R474" s="0" t="n">
        <f aca="false">PERCENTILE($Q$2:$Q$800,0.75)</f>
        <v>0.667715717403612</v>
      </c>
      <c r="S474" s="1" t="b">
        <f aca="false">OR(Q474&gt;=R474,AND(B474="CW",COUNT(J474:L474)&lt;3))</f>
        <v>0</v>
      </c>
      <c r="T474" s="0" t="n">
        <v>0.270249687900735</v>
      </c>
      <c r="U474" s="0" t="n">
        <v>7.34155167935366</v>
      </c>
      <c r="V474" s="0" t="n">
        <v>0.367768985988413</v>
      </c>
      <c r="W474" s="0" t="n">
        <f aca="false">Q474-V474</f>
        <v>0</v>
      </c>
    </row>
    <row r="475" customFormat="false" ht="15" hidden="false" customHeight="false" outlineLevel="0" collapsed="false">
      <c r="A475" s="0" t="s">
        <v>509</v>
      </c>
      <c r="B475" s="0" t="s">
        <v>3013</v>
      </c>
      <c r="C475" s="0" t="n">
        <v>38.0186767098599</v>
      </c>
      <c r="D475" s="0" t="n">
        <f aca="false">SUMPRODUCT(Risk_Inputs!B475:AJ475,Risk_Coefs!$B$2:$AJ$2)</f>
        <v>-0.530785119702821</v>
      </c>
      <c r="E475" s="0" t="n">
        <f aca="false">1/(1+EXP(-MAX(-25,MIN(25,D475))))</f>
        <v>0.370333789949815</v>
      </c>
      <c r="F475" s="0" t="n">
        <f aca="false">SUMPRODUCT(Risk_Inputs!B475:AJ475,Risk_Coefs!$B$3:$AJ$3)</f>
        <v>9.34577292993326</v>
      </c>
      <c r="G475" s="0" t="n">
        <f aca="false">MAX(0,F475)</f>
        <v>9.34577292993326</v>
      </c>
      <c r="H475" s="0" t="n">
        <f aca="false">(SUMPRODUCT(--ISNUMBER($E$2:$E$800),--($E$2:$E$800&lt;E475))+(SUMPRODUCT(--ISNUMBER($E$2:$E$800),--($E$2:$E$800=E475))+1)/2)/COUNT($E$2:$E$800)</f>
        <v>0.874843554443054</v>
      </c>
      <c r="I475" s="0" t="n">
        <f aca="false">(SUMPRODUCT(--ISNUMBER($G$2:$G$800),--($G$2:$G$800&lt;G475))+(SUMPRODUCT(--ISNUMBER($G$2:$G$800),--($G$2:$G$800=G475))+1)/2)/COUNT($G$2:$G$800)</f>
        <v>0.715894868585732</v>
      </c>
      <c r="J475" s="0" t="n">
        <v>7.02621559106087</v>
      </c>
      <c r="K475" s="0" t="n">
        <v>3.92646796359093</v>
      </c>
      <c r="L475" s="0" t="n">
        <v>0.160628234874171</v>
      </c>
      <c r="M475" s="0" t="n">
        <f aca="false">IF(OR(B475="NW",COUNT(Risk_Rank_Keys!B475)=0),0.5,(SUMPRODUCT(--ISNUMBER(Risk_Rank_Keys!$B$2:$B$800),--(Risk_Rank_Keys!$B$2:$B$800&lt;Risk_Rank_Keys!B475))+(SUMPRODUCT(--ISNUMBER(Risk_Rank_Keys!$B$2:$B$800),--(Risk_Rank_Keys!$B$2:$B$800=Risk_Rank_Keys!B475))+1)/2)/COUNT(Risk_Rank_Keys!$B$2:$B$800))</f>
        <v>0.316596931659693</v>
      </c>
      <c r="N475" s="0" t="n">
        <f aca="false">IF(OR(B475="NW",COUNT(Risk_Rank_Keys!C475)=0),0.5,(SUMPRODUCT(--ISNUMBER(Risk_Rank_Keys!$C$2:$C$800),--(Risk_Rank_Keys!$C$2:$C$800&lt;Risk_Rank_Keys!C475))+(SUMPRODUCT(--ISNUMBER(Risk_Rank_Keys!$C$2:$C$800),--(Risk_Rank_Keys!$C$2:$C$800=Risk_Rank_Keys!C475))+1)/2)/COUNT(Risk_Rank_Keys!$C$2:$C$800))</f>
        <v>0.585774058577406</v>
      </c>
      <c r="O475" s="0" t="n">
        <f aca="false">IF(OR(B475="NW",COUNT(Risk_Rank_Keys!D475)=0),0.5,(SUMPRODUCT(--ISNUMBER(Risk_Rank_Keys!$D$2:$D$800),--(Risk_Rank_Keys!$D$2:$D$800&lt;Risk_Rank_Keys!D475))+(SUMPRODUCT(--ISNUMBER(Risk_Rank_Keys!$D$2:$D$800),--(Risk_Rank_Keys!$D$2:$D$800=Risk_Rank_Keys!D475))+1)/2)/COUNT(Risk_Rank_Keys!$D$2:$D$800))</f>
        <v>0.138075313807531</v>
      </c>
      <c r="P475" s="0" t="n">
        <f aca="false">AVERAGE(M475:O475)</f>
        <v>0.346815434681543</v>
      </c>
      <c r="Q475" s="0" t="n">
        <f aca="false">0.4*H475+0.4*I475+0.2*P475</f>
        <v>0.705658456147823</v>
      </c>
      <c r="R475" s="0" t="n">
        <f aca="false">PERCENTILE($Q$2:$Q$800,0.75)</f>
        <v>0.667715717403612</v>
      </c>
      <c r="S475" s="1" t="b">
        <f aca="false">OR(Q475&gt;=R475,AND(B475="CW",COUNT(J475:L475)&lt;3))</f>
        <v>1</v>
      </c>
      <c r="T475" s="0" t="n">
        <v>0.370333789949816</v>
      </c>
      <c r="U475" s="0" t="n">
        <v>9.34577292993326</v>
      </c>
      <c r="V475" s="0" t="n">
        <v>0.705658456147823</v>
      </c>
      <c r="W475" s="0" t="n">
        <f aca="false">Q475-V475</f>
        <v>0</v>
      </c>
    </row>
    <row r="476" customFormat="false" ht="15" hidden="false" customHeight="false" outlineLevel="0" collapsed="false">
      <c r="A476" s="0" t="s">
        <v>510</v>
      </c>
      <c r="B476" s="0" t="s">
        <v>3013</v>
      </c>
      <c r="C476" s="0" t="n">
        <v>33.4025116092371</v>
      </c>
      <c r="D476" s="0" t="n">
        <f aca="false">SUMPRODUCT(Risk_Inputs!B476:AJ476,Risk_Coefs!$B$2:$AJ$2)</f>
        <v>-0.996641873718022</v>
      </c>
      <c r="E476" s="0" t="n">
        <f aca="false">1/(1+EXP(-MAX(-25,MIN(25,D476))))</f>
        <v>0.269602181148709</v>
      </c>
      <c r="F476" s="0" t="n">
        <f aca="false">SUMPRODUCT(Risk_Inputs!B476:AJ476,Risk_Coefs!$B$3:$AJ$3)</f>
        <v>5.62234928885729</v>
      </c>
      <c r="G476" s="0" t="n">
        <f aca="false">MAX(0,F476)</f>
        <v>5.62234928885729</v>
      </c>
      <c r="H476" s="0" t="n">
        <f aca="false">(SUMPRODUCT(--ISNUMBER($E$2:$E$800),--($E$2:$E$800&lt;E476))+(SUMPRODUCT(--ISNUMBER($E$2:$E$800),--($E$2:$E$800=E476))+1)/2)/COUNT($E$2:$E$800)</f>
        <v>0.386733416770964</v>
      </c>
      <c r="I476" s="0" t="n">
        <f aca="false">(SUMPRODUCT(--ISNUMBER($G$2:$G$800),--($G$2:$G$800&lt;G476))+(SUMPRODUCT(--ISNUMBER($G$2:$G$800),--($G$2:$G$800=G476))+1)/2)/COUNT($G$2:$G$800)</f>
        <v>0.220275344180225</v>
      </c>
      <c r="J476" s="0" t="n">
        <v>14.3432535242797</v>
      </c>
      <c r="K476" s="0" t="n">
        <v>6.89873417721519</v>
      </c>
      <c r="L476" s="0" t="n">
        <v>0.0843881856540036</v>
      </c>
      <c r="M476" s="0" t="n">
        <f aca="false">IF(OR(B476="NW",COUNT(Risk_Rank_Keys!B476)=0),0.5,(SUMPRODUCT(--ISNUMBER(Risk_Rank_Keys!$B$2:$B$800),--(Risk_Rank_Keys!$B$2:$B$800&lt;Risk_Rank_Keys!B476))+(SUMPRODUCT(--ISNUMBER(Risk_Rank_Keys!$B$2:$B$800),--(Risk_Rank_Keys!$B$2:$B$800=Risk_Rank_Keys!B476))+1)/2)/COUNT(Risk_Rank_Keys!$B$2:$B$800))</f>
        <v>0.687587168758717</v>
      </c>
      <c r="N476" s="0" t="n">
        <f aca="false">IF(OR(B476="NW",COUNT(Risk_Rank_Keys!C476)=0),0.5,(SUMPRODUCT(--ISNUMBER(Risk_Rank_Keys!$C$2:$C$800),--(Risk_Rank_Keys!$C$2:$C$800&lt;Risk_Rank_Keys!C476))+(SUMPRODUCT(--ISNUMBER(Risk_Rank_Keys!$C$2:$C$800),--(Risk_Rank_Keys!$C$2:$C$800=Risk_Rank_Keys!C476))+1)/2)/COUNT(Risk_Rank_Keys!$C$2:$C$800))</f>
        <v>0.782426778242678</v>
      </c>
      <c r="O476" s="0" t="n">
        <f aca="false">IF(OR(B476="NW",COUNT(Risk_Rank_Keys!D476)=0),0.5,(SUMPRODUCT(--ISNUMBER(Risk_Rank_Keys!$D$2:$D$800),--(Risk_Rank_Keys!$D$2:$D$800&lt;Risk_Rank_Keys!D476))+(SUMPRODUCT(--ISNUMBER(Risk_Rank_Keys!$D$2:$D$800),--(Risk_Rank_Keys!$D$2:$D$800=Risk_Rank_Keys!D476))+1)/2)/COUNT(Risk_Rank_Keys!$D$2:$D$800))</f>
        <v>0.00836820083682008</v>
      </c>
      <c r="P476" s="0" t="n">
        <f aca="false">AVERAGE(M476:O476)</f>
        <v>0.492794049279405</v>
      </c>
      <c r="Q476" s="0" t="n">
        <f aca="false">0.4*H476+0.4*I476+0.2*P476</f>
        <v>0.341362314236357</v>
      </c>
      <c r="R476" s="0" t="n">
        <f aca="false">PERCENTILE($Q$2:$Q$800,0.75)</f>
        <v>0.667715717403612</v>
      </c>
      <c r="S476" s="1" t="b">
        <f aca="false">OR(Q476&gt;=R476,AND(B476="CW",COUNT(J476:L476)&lt;3))</f>
        <v>0</v>
      </c>
      <c r="T476" s="0" t="n">
        <v>0.269602181148709</v>
      </c>
      <c r="U476" s="0" t="n">
        <v>5.62234928885729</v>
      </c>
      <c r="V476" s="0" t="n">
        <v>0.341362314236357</v>
      </c>
      <c r="W476" s="0" t="n">
        <f aca="false">Q476-V476</f>
        <v>0</v>
      </c>
    </row>
    <row r="477" customFormat="false" ht="15" hidden="false" customHeight="false" outlineLevel="0" collapsed="false">
      <c r="A477" s="0" t="s">
        <v>511</v>
      </c>
      <c r="B477" s="0" t="s">
        <v>3013</v>
      </c>
      <c r="C477" s="0" t="n">
        <v>-8.00691380616066</v>
      </c>
      <c r="D477" s="0" t="n">
        <f aca="false">SUMPRODUCT(Risk_Inputs!B477:AJ477,Risk_Coefs!$B$2:$AJ$2)</f>
        <v>-0.726951180229859</v>
      </c>
      <c r="E477" s="0" t="n">
        <f aca="false">1/(1+EXP(-MAX(-25,MIN(25,D477))))</f>
        <v>0.325864126167623</v>
      </c>
      <c r="F477" s="0" t="n">
        <f aca="false">SUMPRODUCT(Risk_Inputs!B477:AJ477,Risk_Coefs!$B$3:$AJ$3)</f>
        <v>8.63785992758417</v>
      </c>
      <c r="G477" s="0" t="n">
        <f aca="false">MAX(0,F477)</f>
        <v>8.63785992758417</v>
      </c>
      <c r="H477" s="0" t="n">
        <f aca="false">(SUMPRODUCT(--ISNUMBER($E$2:$E$800),--($E$2:$E$800&lt;E477))+(SUMPRODUCT(--ISNUMBER($E$2:$E$800),--($E$2:$E$800=E477))+1)/2)/COUNT($E$2:$E$800)</f>
        <v>0.710888610763454</v>
      </c>
      <c r="I477" s="0" t="n">
        <f aca="false">(SUMPRODUCT(--ISNUMBER($G$2:$G$800),--($G$2:$G$800&lt;G477))+(SUMPRODUCT(--ISNUMBER($G$2:$G$800),--($G$2:$G$800=G477))+1)/2)/COUNT($G$2:$G$800)</f>
        <v>0.62828535669587</v>
      </c>
      <c r="J477" s="0" t="n">
        <v>5.15448899964815</v>
      </c>
      <c r="K477" s="0" t="n">
        <v>2.8890705914418</v>
      </c>
      <c r="L477" s="0" t="n">
        <v>0.109021531752523</v>
      </c>
      <c r="M477" s="0" t="n">
        <f aca="false">IF(OR(B477="NW",COUNT(Risk_Rank_Keys!B477)=0),0.5,(SUMPRODUCT(--ISNUMBER(Risk_Rank_Keys!$B$2:$B$800),--(Risk_Rank_Keys!$B$2:$B$800&lt;Risk_Rank_Keys!B477))+(SUMPRODUCT(--ISNUMBER(Risk_Rank_Keys!$B$2:$B$800),--(Risk_Rank_Keys!$B$2:$B$800=Risk_Rank_Keys!B477))+1)/2)/COUNT(Risk_Rank_Keys!$B$2:$B$800))</f>
        <v>0.145048814504881</v>
      </c>
      <c r="N477" s="0" t="n">
        <f aca="false">IF(OR(B477="NW",COUNT(Risk_Rank_Keys!C477)=0),0.5,(SUMPRODUCT(--ISNUMBER(Risk_Rank_Keys!$C$2:$C$800),--(Risk_Rank_Keys!$C$2:$C$800&lt;Risk_Rank_Keys!C477))+(SUMPRODUCT(--ISNUMBER(Risk_Rank_Keys!$C$2:$C$800),--(Risk_Rank_Keys!$C$2:$C$800=Risk_Rank_Keys!C477))+1)/2)/COUNT(Risk_Rank_Keys!$C$2:$C$800))</f>
        <v>0.457461645746165</v>
      </c>
      <c r="O477" s="0" t="n">
        <f aca="false">IF(OR(B477="NW",COUNT(Risk_Rank_Keys!D477)=0),0.5,(SUMPRODUCT(--ISNUMBER(Risk_Rank_Keys!$D$2:$D$800),--(Risk_Rank_Keys!$D$2:$D$800&lt;Risk_Rank_Keys!D477))+(SUMPRODUCT(--ISNUMBER(Risk_Rank_Keys!$D$2:$D$800),--(Risk_Rank_Keys!$D$2:$D$800=Risk_Rank_Keys!D477))+1)/2)/COUNT(Risk_Rank_Keys!$D$2:$D$800))</f>
        <v>0.0278940027894003</v>
      </c>
      <c r="P477" s="0" t="n">
        <f aca="false">AVERAGE(M477:O477)</f>
        <v>0.210134821013482</v>
      </c>
      <c r="Q477" s="0" t="n">
        <f aca="false">0.4*H477+0.4*I477+0.2*P477</f>
        <v>0.577696551186426</v>
      </c>
      <c r="R477" s="0" t="n">
        <f aca="false">PERCENTILE($Q$2:$Q$800,0.75)</f>
        <v>0.667715717403612</v>
      </c>
      <c r="S477" s="1" t="b">
        <f aca="false">OR(Q477&gt;=R477,AND(B477="CW",COUNT(J477:L477)&lt;3))</f>
        <v>0</v>
      </c>
      <c r="T477" s="0" t="n">
        <v>0.325864126167623</v>
      </c>
      <c r="U477" s="0" t="n">
        <v>8.63785992758417</v>
      </c>
      <c r="V477" s="0" t="n">
        <v>0.577696551186426</v>
      </c>
      <c r="W477" s="0" t="n">
        <f aca="false">Q477-V477</f>
        <v>0</v>
      </c>
    </row>
    <row r="478" customFormat="false" ht="15" hidden="false" customHeight="false" outlineLevel="0" collapsed="false">
      <c r="A478" s="0" t="s">
        <v>512</v>
      </c>
      <c r="B478" s="0" t="s">
        <v>3013</v>
      </c>
      <c r="C478" s="0" t="n">
        <v>49.666155796303</v>
      </c>
      <c r="D478" s="0" t="n">
        <f aca="false">SUMPRODUCT(Risk_Inputs!B478:AJ478,Risk_Coefs!$B$2:$AJ$2)</f>
        <v>-0.978529295647605</v>
      </c>
      <c r="E478" s="0" t="n">
        <f aca="false">1/(1+EXP(-MAX(-25,MIN(25,D478))))</f>
        <v>0.273183700999559</v>
      </c>
      <c r="F478" s="0" t="n">
        <f aca="false">SUMPRODUCT(Risk_Inputs!B478:AJ478,Risk_Coefs!$B$3:$AJ$3)</f>
        <v>8.52930481603484</v>
      </c>
      <c r="G478" s="0" t="n">
        <f aca="false">MAX(0,F478)</f>
        <v>8.52930481603484</v>
      </c>
      <c r="H478" s="0" t="n">
        <f aca="false">(SUMPRODUCT(--ISNUMBER($E$2:$E$800),--($E$2:$E$800&lt;E478))+(SUMPRODUCT(--ISNUMBER($E$2:$E$800),--($E$2:$E$800=E478))+1)/2)/COUNT($E$2:$E$800)</f>
        <v>0.409261576971214</v>
      </c>
      <c r="I478" s="0" t="n">
        <f aca="false">(SUMPRODUCT(--ISNUMBER($G$2:$G$800),--($G$2:$G$800&lt;G478))+(SUMPRODUCT(--ISNUMBER($G$2:$G$800),--($G$2:$G$800=G478))+1)/2)/COUNT($G$2:$G$800)</f>
        <v>0.610763454317897</v>
      </c>
      <c r="J478" s="0" t="n">
        <v>12.9597602777797</v>
      </c>
      <c r="K478" s="0" t="n">
        <v>8.06591500433652</v>
      </c>
      <c r="L478" s="0" t="n">
        <v>0.303555941023418</v>
      </c>
      <c r="M478" s="0" t="n">
        <f aca="false">IF(OR(B478="NW",COUNT(Risk_Rank_Keys!B478)=0),0.5,(SUMPRODUCT(--ISNUMBER(Risk_Rank_Keys!$B$2:$B$800),--(Risk_Rank_Keys!$B$2:$B$800&lt;Risk_Rank_Keys!B478))+(SUMPRODUCT(--ISNUMBER(Risk_Rank_Keys!$B$2:$B$800),--(Risk_Rank_Keys!$B$2:$B$800=Risk_Rank_Keys!B478))+1)/2)/COUNT(Risk_Rank_Keys!$B$2:$B$800))</f>
        <v>0.638772663877266</v>
      </c>
      <c r="N478" s="0" t="n">
        <f aca="false">IF(OR(B478="NW",COUNT(Risk_Rank_Keys!C478)=0),0.5,(SUMPRODUCT(--ISNUMBER(Risk_Rank_Keys!$C$2:$C$800),--(Risk_Rank_Keys!$C$2:$C$800&lt;Risk_Rank_Keys!C478))+(SUMPRODUCT(--ISNUMBER(Risk_Rank_Keys!$C$2:$C$800),--(Risk_Rank_Keys!$C$2:$C$800=Risk_Rank_Keys!C478))+1)/2)/COUNT(Risk_Rank_Keys!$C$2:$C$800))</f>
        <v>0.824267782426778</v>
      </c>
      <c r="O478" s="0" t="n">
        <f aca="false">IF(OR(B478="NW",COUNT(Risk_Rank_Keys!D478)=0),0.5,(SUMPRODUCT(--ISNUMBER(Risk_Rank_Keys!$D$2:$D$800),--(Risk_Rank_Keys!$D$2:$D$800&lt;Risk_Rank_Keys!D478))+(SUMPRODUCT(--ISNUMBER(Risk_Rank_Keys!$D$2:$D$800),--(Risk_Rank_Keys!$D$2:$D$800=Risk_Rank_Keys!D478))+1)/2)/COUNT(Risk_Rank_Keys!$D$2:$D$800))</f>
        <v>0.754532775453278</v>
      </c>
      <c r="P478" s="0" t="n">
        <f aca="false">AVERAGE(M478:O478)</f>
        <v>0.739191073919107</v>
      </c>
      <c r="Q478" s="0" t="n">
        <f aca="false">0.4*H478+0.4*I478+0.2*P478</f>
        <v>0.555848227299466</v>
      </c>
      <c r="R478" s="0" t="n">
        <f aca="false">PERCENTILE($Q$2:$Q$800,0.75)</f>
        <v>0.667715717403612</v>
      </c>
      <c r="S478" s="1" t="b">
        <f aca="false">OR(Q478&gt;=R478,AND(B478="CW",COUNT(J478:L478)&lt;3))</f>
        <v>0</v>
      </c>
      <c r="T478" s="0" t="n">
        <v>0.273183700999559</v>
      </c>
      <c r="U478" s="0" t="n">
        <v>8.52930481603484</v>
      </c>
      <c r="V478" s="0" t="n">
        <v>0.555848227299466</v>
      </c>
      <c r="W478" s="0" t="n">
        <f aca="false">Q478-V478</f>
        <v>0</v>
      </c>
    </row>
    <row r="479" customFormat="false" ht="15" hidden="false" customHeight="false" outlineLevel="0" collapsed="false">
      <c r="A479" s="0" t="s">
        <v>513</v>
      </c>
      <c r="B479" s="0" t="s">
        <v>3013</v>
      </c>
      <c r="C479" s="0" t="n">
        <v>17.1513213589299</v>
      </c>
      <c r="D479" s="0" t="n">
        <f aca="false">SUMPRODUCT(Risk_Inputs!B479:AJ479,Risk_Coefs!$B$2:$AJ$2)</f>
        <v>-0.901302186784127</v>
      </c>
      <c r="E479" s="0" t="n">
        <f aca="false">1/(1+EXP(-MAX(-25,MIN(25,D479))))</f>
        <v>0.288782971116745</v>
      </c>
      <c r="F479" s="0" t="n">
        <f aca="false">SUMPRODUCT(Risk_Inputs!B479:AJ479,Risk_Coefs!$B$3:$AJ$3)</f>
        <v>7.37157889463717</v>
      </c>
      <c r="G479" s="0" t="n">
        <f aca="false">MAX(0,F479)</f>
        <v>7.37157889463717</v>
      </c>
      <c r="H479" s="0" t="n">
        <f aca="false">(SUMPRODUCT(--ISNUMBER($E$2:$E$800),--($E$2:$E$800&lt;E479))+(SUMPRODUCT(--ISNUMBER($E$2:$E$800),--($E$2:$E$800=E479))+1)/2)/COUNT($E$2:$E$800)</f>
        <v>0.516896120150188</v>
      </c>
      <c r="I479" s="0" t="n">
        <f aca="false">(SUMPRODUCT(--ISNUMBER($G$2:$G$800),--($G$2:$G$800&lt;G479))+(SUMPRODUCT(--ISNUMBER($G$2:$G$800),--($G$2:$G$800=G479))+1)/2)/COUNT($G$2:$G$800)</f>
        <v>0.456821026282854</v>
      </c>
      <c r="J479" s="0" t="n">
        <v>17.1757166917754</v>
      </c>
      <c r="K479" s="0" t="n">
        <v>7.67307692307692</v>
      </c>
      <c r="L479" s="0" t="n">
        <v>0.17307692307693</v>
      </c>
      <c r="M479" s="0" t="n">
        <f aca="false">IF(OR(B479="NW",COUNT(Risk_Rank_Keys!B479)=0),0.5,(SUMPRODUCT(--ISNUMBER(Risk_Rank_Keys!$B$2:$B$800),--(Risk_Rank_Keys!$B$2:$B$800&lt;Risk_Rank_Keys!B479))+(SUMPRODUCT(--ISNUMBER(Risk_Rank_Keys!$B$2:$B$800),--(Risk_Rank_Keys!$B$2:$B$800=Risk_Rank_Keys!B479))+1)/2)/COUNT(Risk_Rank_Keys!$B$2:$B$800))</f>
        <v>0.748953974895398</v>
      </c>
      <c r="N479" s="0" t="n">
        <f aca="false">IF(OR(B479="NW",COUNT(Risk_Rank_Keys!C479)=0),0.5,(SUMPRODUCT(--ISNUMBER(Risk_Rank_Keys!$C$2:$C$800),--(Risk_Rank_Keys!$C$2:$C$800&lt;Risk_Rank_Keys!C479))+(SUMPRODUCT(--ISNUMBER(Risk_Rank_Keys!$C$2:$C$800),--(Risk_Rank_Keys!$C$2:$C$800=Risk_Rank_Keys!C479))+1)/2)/COUNT(Risk_Rank_Keys!$C$2:$C$800))</f>
        <v>0.815899581589958</v>
      </c>
      <c r="O479" s="0" t="n">
        <f aca="false">IF(OR(B479="NW",COUNT(Risk_Rank_Keys!D479)=0),0.5,(SUMPRODUCT(--ISNUMBER(Risk_Rank_Keys!$D$2:$D$800),--(Risk_Rank_Keys!$D$2:$D$800&lt;Risk_Rank_Keys!D479))+(SUMPRODUCT(--ISNUMBER(Risk_Rank_Keys!$D$2:$D$800),--(Risk_Rank_Keys!$D$2:$D$800=Risk_Rank_Keys!D479))+1)/2)/COUNT(Risk_Rank_Keys!$D$2:$D$800))</f>
        <v>0.184100418410042</v>
      </c>
      <c r="P479" s="0" t="n">
        <f aca="false">AVERAGE(M479:O479)</f>
        <v>0.582984658298466</v>
      </c>
      <c r="Q479" s="0" t="n">
        <f aca="false">0.4*H479+0.4*I479+0.2*P479</f>
        <v>0.50608379023291</v>
      </c>
      <c r="R479" s="0" t="n">
        <f aca="false">PERCENTILE($Q$2:$Q$800,0.75)</f>
        <v>0.667715717403612</v>
      </c>
      <c r="S479" s="1" t="b">
        <f aca="false">OR(Q479&gt;=R479,AND(B479="CW",COUNT(J479:L479)&lt;3))</f>
        <v>0</v>
      </c>
      <c r="T479" s="0" t="n">
        <v>0.288782971116745</v>
      </c>
      <c r="U479" s="0" t="n">
        <v>7.37157889463717</v>
      </c>
      <c r="V479" s="0" t="n">
        <v>0.50608379023291</v>
      </c>
      <c r="W479" s="0" t="n">
        <f aca="false">Q479-V479</f>
        <v>0</v>
      </c>
    </row>
    <row r="480" customFormat="false" ht="15" hidden="false" customHeight="false" outlineLevel="0" collapsed="false">
      <c r="A480" s="0" t="s">
        <v>514</v>
      </c>
      <c r="B480" s="0" t="s">
        <v>3013</v>
      </c>
      <c r="C480" s="0" t="n">
        <v>-35.0893817271337</v>
      </c>
      <c r="D480" s="0" t="n">
        <f aca="false">SUMPRODUCT(Risk_Inputs!B480:AJ480,Risk_Coefs!$B$2:$AJ$2)</f>
        <v>-0.805766698731984</v>
      </c>
      <c r="E480" s="0" t="n">
        <f aca="false">1/(1+EXP(-MAX(-25,MIN(25,D480))))</f>
        <v>0.308793319417463</v>
      </c>
      <c r="F480" s="0" t="n">
        <f aca="false">SUMPRODUCT(Risk_Inputs!B480:AJ480,Risk_Coefs!$B$3:$AJ$3)</f>
        <v>6.96049335098963</v>
      </c>
      <c r="G480" s="0" t="n">
        <f aca="false">MAX(0,F480)</f>
        <v>6.96049335098963</v>
      </c>
      <c r="H480" s="0" t="n">
        <f aca="false">(SUMPRODUCT(--ISNUMBER($E$2:$E$800),--($E$2:$E$800&lt;E480))+(SUMPRODUCT(--ISNUMBER($E$2:$E$800),--($E$2:$E$800=E480))+1)/2)/COUNT($E$2:$E$800)</f>
        <v>0.609511889862328</v>
      </c>
      <c r="I480" s="0" t="n">
        <f aca="false">(SUMPRODUCT(--ISNUMBER($G$2:$G$800),--($G$2:$G$800&lt;G480))+(SUMPRODUCT(--ISNUMBER($G$2:$G$800),--($G$2:$G$800=G480))+1)/2)/COUNT($G$2:$G$800)</f>
        <v>0.410513141426783</v>
      </c>
      <c r="J480" s="0" t="n">
        <v>3.57473200680987</v>
      </c>
      <c r="K480" s="0" t="n">
        <v>1.35562584726615</v>
      </c>
      <c r="L480" s="0" t="n">
        <v>0.203343877089918</v>
      </c>
      <c r="M480" s="0" t="n">
        <f aca="false">IF(OR(B480="NW",COUNT(Risk_Rank_Keys!B480)=0),0.5,(SUMPRODUCT(--ISNUMBER(Risk_Rank_Keys!$B$2:$B$800),--(Risk_Rank_Keys!$B$2:$B$800&lt;Risk_Rank_Keys!B480))+(SUMPRODUCT(--ISNUMBER(Risk_Rank_Keys!$B$2:$B$800),--(Risk_Rank_Keys!$B$2:$B$800=Risk_Rank_Keys!B480))+1)/2)/COUNT(Risk_Rank_Keys!$B$2:$B$800))</f>
        <v>0.0460251046025105</v>
      </c>
      <c r="N480" s="0" t="n">
        <f aca="false">IF(OR(B480="NW",COUNT(Risk_Rank_Keys!C480)=0),0.5,(SUMPRODUCT(--ISNUMBER(Risk_Rank_Keys!$C$2:$C$800),--(Risk_Rank_Keys!$C$2:$C$800&lt;Risk_Rank_Keys!C480))+(SUMPRODUCT(--ISNUMBER(Risk_Rank_Keys!$C$2:$C$800),--(Risk_Rank_Keys!$C$2:$C$800=Risk_Rank_Keys!C480))+1)/2)/COUNT(Risk_Rank_Keys!$C$2:$C$800))</f>
        <v>0.099023709902371</v>
      </c>
      <c r="O480" s="0" t="n">
        <f aca="false">IF(OR(B480="NW",COUNT(Risk_Rank_Keys!D480)=0),0.5,(SUMPRODUCT(--ISNUMBER(Risk_Rank_Keys!$D$2:$D$800),--(Risk_Rank_Keys!$D$2:$D$800&lt;Risk_Rank_Keys!D480))+(SUMPRODUCT(--ISNUMBER(Risk_Rank_Keys!$D$2:$D$800),--(Risk_Rank_Keys!$D$2:$D$800=Risk_Rank_Keys!D480))+1)/2)/COUNT(Risk_Rank_Keys!$D$2:$D$800))</f>
        <v>0.334728033472803</v>
      </c>
      <c r="P480" s="0" t="n">
        <f aca="false">AVERAGE(M480:O480)</f>
        <v>0.159925615992562</v>
      </c>
      <c r="Q480" s="0" t="n">
        <f aca="false">0.4*H480+0.4*I480+0.2*P480</f>
        <v>0.439995135714157</v>
      </c>
      <c r="R480" s="0" t="n">
        <f aca="false">PERCENTILE($Q$2:$Q$800,0.75)</f>
        <v>0.667715717403612</v>
      </c>
      <c r="S480" s="1" t="b">
        <f aca="false">OR(Q480&gt;=R480,AND(B480="CW",COUNT(J480:L480)&lt;3))</f>
        <v>0</v>
      </c>
      <c r="T480" s="0" t="n">
        <v>0.308793319417463</v>
      </c>
      <c r="U480" s="0" t="n">
        <v>6.96049335098963</v>
      </c>
      <c r="V480" s="0" t="n">
        <v>0.439995135714157</v>
      </c>
      <c r="W480" s="0" t="n">
        <f aca="false">Q480-V480</f>
        <v>0</v>
      </c>
    </row>
    <row r="481" customFormat="false" ht="15" hidden="false" customHeight="false" outlineLevel="0" collapsed="false">
      <c r="A481" s="0" t="s">
        <v>515</v>
      </c>
      <c r="B481" s="0" t="s">
        <v>3013</v>
      </c>
      <c r="C481" s="0" t="n">
        <v>-40.1680114272852</v>
      </c>
      <c r="D481" s="0" t="n">
        <f aca="false">SUMPRODUCT(Risk_Inputs!B481:AJ481,Risk_Coefs!$B$2:$AJ$2)</f>
        <v>-0.822585724667694</v>
      </c>
      <c r="E481" s="0" t="n">
        <f aca="false">1/(1+EXP(-MAX(-25,MIN(25,D481))))</f>
        <v>0.305215058150253</v>
      </c>
      <c r="F481" s="0" t="n">
        <f aca="false">SUMPRODUCT(Risk_Inputs!B481:AJ481,Risk_Coefs!$B$3:$AJ$3)</f>
        <v>9.61052363387936</v>
      </c>
      <c r="G481" s="0" t="n">
        <f aca="false">MAX(0,F481)</f>
        <v>9.61052363387936</v>
      </c>
      <c r="H481" s="0" t="n">
        <f aca="false">(SUMPRODUCT(--ISNUMBER($E$2:$E$800),--($E$2:$E$800&lt;E481))+(SUMPRODUCT(--ISNUMBER($E$2:$E$800),--($E$2:$E$800=E481))+1)/2)/COUNT($E$2:$E$800)</f>
        <v>0.593241551939925</v>
      </c>
      <c r="I481" s="0" t="n">
        <f aca="false">(SUMPRODUCT(--ISNUMBER($G$2:$G$800),--($G$2:$G$800&lt;G481))+(SUMPRODUCT(--ISNUMBER($G$2:$G$800),--($G$2:$G$800=G481))+1)/2)/COUNT($G$2:$G$800)</f>
        <v>0.738423028785982</v>
      </c>
      <c r="J481" s="0" t="n">
        <v>3.83763244852204</v>
      </c>
      <c r="K481" s="0" t="n">
        <v>2.38541945859018</v>
      </c>
      <c r="L481" s="0" t="n">
        <v>0.160814794961127</v>
      </c>
      <c r="M481" s="0" t="n">
        <f aca="false">IF(OR(B481="NW",COUNT(Risk_Rank_Keys!B481)=0),0.5,(SUMPRODUCT(--ISNUMBER(Risk_Rank_Keys!$B$2:$B$800),--(Risk_Rank_Keys!$B$2:$B$800&lt;Risk_Rank_Keys!B481))+(SUMPRODUCT(--ISNUMBER(Risk_Rank_Keys!$B$2:$B$800),--(Risk_Rank_Keys!$B$2:$B$800=Risk_Rank_Keys!B481))+1)/2)/COUNT(Risk_Rank_Keys!$B$2:$B$800))</f>
        <v>0.0641562064156206</v>
      </c>
      <c r="N481" s="0" t="n">
        <f aca="false">IF(OR(B481="NW",COUNT(Risk_Rank_Keys!C481)=0),0.5,(SUMPRODUCT(--ISNUMBER(Risk_Rank_Keys!$C$2:$C$800),--(Risk_Rank_Keys!$C$2:$C$800&lt;Risk_Rank_Keys!C481))+(SUMPRODUCT(--ISNUMBER(Risk_Rank_Keys!$C$2:$C$800),--(Risk_Rank_Keys!$C$2:$C$800=Risk_Rank_Keys!C481))+1)/2)/COUNT(Risk_Rank_Keys!$C$2:$C$800))</f>
        <v>0.365411436541144</v>
      </c>
      <c r="O481" s="0" t="n">
        <f aca="false">IF(OR(B481="NW",COUNT(Risk_Rank_Keys!D481)=0),0.5,(SUMPRODUCT(--ISNUMBER(Risk_Rank_Keys!$D$2:$D$800),--(Risk_Rank_Keys!$D$2:$D$800&lt;Risk_Rank_Keys!D481))+(SUMPRODUCT(--ISNUMBER(Risk_Rank_Keys!$D$2:$D$800),--(Risk_Rank_Keys!$D$2:$D$800=Risk_Rank_Keys!D481))+1)/2)/COUNT(Risk_Rank_Keys!$D$2:$D$800))</f>
        <v>0.140864714086471</v>
      </c>
      <c r="P481" s="0" t="n">
        <f aca="false">AVERAGE(M481:O481)</f>
        <v>0.190144119014412</v>
      </c>
      <c r="Q481" s="0" t="n">
        <f aca="false">0.4*H481+0.4*I481+0.2*P481</f>
        <v>0.570694656093245</v>
      </c>
      <c r="R481" s="0" t="n">
        <f aca="false">PERCENTILE($Q$2:$Q$800,0.75)</f>
        <v>0.667715717403612</v>
      </c>
      <c r="S481" s="1" t="b">
        <f aca="false">OR(Q481&gt;=R481,AND(B481="CW",COUNT(J481:L481)&lt;3))</f>
        <v>0</v>
      </c>
      <c r="T481" s="0" t="n">
        <v>0.305215058150253</v>
      </c>
      <c r="U481" s="0" t="n">
        <v>9.61052363387936</v>
      </c>
      <c r="V481" s="0" t="n">
        <v>0.570694656093245</v>
      </c>
      <c r="W481" s="0" t="n">
        <f aca="false">Q481-V481</f>
        <v>0</v>
      </c>
    </row>
    <row r="482" customFormat="false" ht="15" hidden="false" customHeight="false" outlineLevel="0" collapsed="false">
      <c r="A482" s="0" t="s">
        <v>516</v>
      </c>
      <c r="B482" s="0" t="s">
        <v>3013</v>
      </c>
      <c r="C482" s="0" t="n">
        <v>7.21600975464972</v>
      </c>
      <c r="D482" s="0" t="n">
        <f aca="false">SUMPRODUCT(Risk_Inputs!B482:AJ482,Risk_Coefs!$B$2:$AJ$2)</f>
        <v>-0.786831272680006</v>
      </c>
      <c r="E482" s="0" t="n">
        <f aca="false">1/(1+EXP(-MAX(-25,MIN(25,D482))))</f>
        <v>0.312849461246656</v>
      </c>
      <c r="F482" s="0" t="n">
        <f aca="false">SUMPRODUCT(Risk_Inputs!B482:AJ482,Risk_Coefs!$B$3:$AJ$3)</f>
        <v>10.849508702533</v>
      </c>
      <c r="G482" s="0" t="n">
        <f aca="false">MAX(0,F482)</f>
        <v>10.849508702533</v>
      </c>
      <c r="H482" s="0" t="n">
        <f aca="false">(SUMPRODUCT(--ISNUMBER($E$2:$E$800),--($E$2:$E$800&lt;E482))+(SUMPRODUCT(--ISNUMBER($E$2:$E$800),--($E$2:$E$800=E482))+1)/2)/COUNT($E$2:$E$800)</f>
        <v>0.629536921151439</v>
      </c>
      <c r="I482" s="0" t="n">
        <f aca="false">(SUMPRODUCT(--ISNUMBER($G$2:$G$800),--($G$2:$G$800&lt;G482))+(SUMPRODUCT(--ISNUMBER($G$2:$G$800),--($G$2:$G$800=G482))+1)/2)/COUNT($G$2:$G$800)</f>
        <v>0.867334167709637</v>
      </c>
      <c r="J482" s="0" t="n">
        <v>6.38074837063033</v>
      </c>
      <c r="K482" s="0" t="n">
        <v>6.66208791208791</v>
      </c>
      <c r="L482" s="0" t="n">
        <v>0.206043956043954</v>
      </c>
      <c r="M482" s="0" t="n">
        <f aca="false">IF(OR(B482="NW",COUNT(Risk_Rank_Keys!B482)=0),0.5,(SUMPRODUCT(--ISNUMBER(Risk_Rank_Keys!$B$2:$B$800),--(Risk_Rank_Keys!$B$2:$B$800&lt;Risk_Rank_Keys!B482))+(SUMPRODUCT(--ISNUMBER(Risk_Rank_Keys!$B$2:$B$800),--(Risk_Rank_Keys!$B$2:$B$800=Risk_Rank_Keys!B482))+1)/2)/COUNT(Risk_Rank_Keys!$B$2:$B$800))</f>
        <v>0.263598326359833</v>
      </c>
      <c r="N482" s="0" t="n">
        <f aca="false">IF(OR(B482="NW",COUNT(Risk_Rank_Keys!C482)=0),0.5,(SUMPRODUCT(--ISNUMBER(Risk_Rank_Keys!$C$2:$C$800),--(Risk_Rank_Keys!$C$2:$C$800&lt;Risk_Rank_Keys!C482))+(SUMPRODUCT(--ISNUMBER(Risk_Rank_Keys!$C$2:$C$800),--(Risk_Rank_Keys!$C$2:$C$800=Risk_Rank_Keys!C482))+1)/2)/COUNT(Risk_Rank_Keys!$C$2:$C$800))</f>
        <v>0.774058577405858</v>
      </c>
      <c r="O482" s="0" t="n">
        <f aca="false">IF(OR(B482="NW",COUNT(Risk_Rank_Keys!D482)=0),0.5,(SUMPRODUCT(--ISNUMBER(Risk_Rank_Keys!$D$2:$D$800),--(Risk_Rank_Keys!$D$2:$D$800&lt;Risk_Rank_Keys!D482))+(SUMPRODUCT(--ISNUMBER(Risk_Rank_Keys!$D$2:$D$800),--(Risk_Rank_Keys!$D$2:$D$800=Risk_Rank_Keys!D482))+1)/2)/COUNT(Risk_Rank_Keys!$D$2:$D$800))</f>
        <v>0.345885634588564</v>
      </c>
      <c r="P482" s="0" t="n">
        <f aca="false">AVERAGE(M482:O482)</f>
        <v>0.461180846118085</v>
      </c>
      <c r="Q482" s="0" t="n">
        <f aca="false">0.4*H482+0.4*I482+0.2*P482</f>
        <v>0.690984604768048</v>
      </c>
      <c r="R482" s="0" t="n">
        <f aca="false">PERCENTILE($Q$2:$Q$800,0.75)</f>
        <v>0.667715717403612</v>
      </c>
      <c r="S482" s="1" t="b">
        <f aca="false">OR(Q482&gt;=R482,AND(B482="CW",COUNT(J482:L482)&lt;3))</f>
        <v>1</v>
      </c>
      <c r="T482" s="0" t="n">
        <v>0.312849461246656</v>
      </c>
      <c r="U482" s="0" t="n">
        <v>10.849508702533</v>
      </c>
      <c r="V482" s="0" t="n">
        <v>0.690984604768048</v>
      </c>
      <c r="W482" s="0" t="n">
        <f aca="false">Q482-V482</f>
        <v>0</v>
      </c>
    </row>
    <row r="483" customFormat="false" ht="15" hidden="false" customHeight="false" outlineLevel="0" collapsed="false">
      <c r="A483" s="0" t="s">
        <v>517</v>
      </c>
      <c r="B483" s="0" t="s">
        <v>3013</v>
      </c>
      <c r="C483" s="0" t="n">
        <v>22.3924035614245</v>
      </c>
      <c r="D483" s="0" t="n">
        <f aca="false">SUMPRODUCT(Risk_Inputs!B483:AJ483,Risk_Coefs!$B$2:$AJ$2)</f>
        <v>-0.844342733372441</v>
      </c>
      <c r="E483" s="0" t="n">
        <f aca="false">1/(1+EXP(-MAX(-25,MIN(25,D483))))</f>
        <v>0.300620943214434</v>
      </c>
      <c r="F483" s="0" t="n">
        <f aca="false">SUMPRODUCT(Risk_Inputs!B483:AJ483,Risk_Coefs!$B$3:$AJ$3)</f>
        <v>6.4777574457467</v>
      </c>
      <c r="G483" s="0" t="n">
        <f aca="false">MAX(0,F483)</f>
        <v>6.4777574457467</v>
      </c>
      <c r="H483" s="0" t="n">
        <f aca="false">(SUMPRODUCT(--ISNUMBER($E$2:$E$800),--($E$2:$E$800&lt;E483))+(SUMPRODUCT(--ISNUMBER($E$2:$E$800),--($E$2:$E$800=E483))+1)/2)/COUNT($E$2:$E$800)</f>
        <v>0.568210262828536</v>
      </c>
      <c r="I483" s="0" t="n">
        <f aca="false">(SUMPRODUCT(--ISNUMBER($G$2:$G$800),--($G$2:$G$800&lt;G483))+(SUMPRODUCT(--ISNUMBER($G$2:$G$800),--($G$2:$G$800=G483))+1)/2)/COUNT($G$2:$G$800)</f>
        <v>0.339173967459324</v>
      </c>
      <c r="J483" s="0" t="n">
        <v>9.20090691408398</v>
      </c>
      <c r="K483" s="0" t="n">
        <v>2.33262108262109</v>
      </c>
      <c r="L483" s="0" t="n">
        <v>0.160256410256406</v>
      </c>
      <c r="M483" s="0" t="n">
        <f aca="false">IF(OR(B483="NW",COUNT(Risk_Rank_Keys!B483)=0),0.5,(SUMPRODUCT(--ISNUMBER(Risk_Rank_Keys!$B$2:$B$800),--(Risk_Rank_Keys!$B$2:$B$800&lt;Risk_Rank_Keys!B483))+(SUMPRODUCT(--ISNUMBER(Risk_Rank_Keys!$B$2:$B$800),--(Risk_Rank_Keys!$B$2:$B$800=Risk_Rank_Keys!B483))+1)/2)/COUNT(Risk_Rank_Keys!$B$2:$B$800))</f>
        <v>0.457461645746165</v>
      </c>
      <c r="N483" s="0" t="n">
        <f aca="false">IF(OR(B483="NW",COUNT(Risk_Rank_Keys!C483)=0),0.5,(SUMPRODUCT(--ISNUMBER(Risk_Rank_Keys!$C$2:$C$800),--(Risk_Rank_Keys!$C$2:$C$800&lt;Risk_Rank_Keys!C483))+(SUMPRODUCT(--ISNUMBER(Risk_Rank_Keys!$C$2:$C$800),--(Risk_Rank_Keys!$C$2:$C$800=Risk_Rank_Keys!C483))+1)/2)/COUNT(Risk_Rank_Keys!$C$2:$C$800))</f>
        <v>0.348675034867504</v>
      </c>
      <c r="O483" s="0" t="n">
        <f aca="false">IF(OR(B483="NW",COUNT(Risk_Rank_Keys!D483)=0),0.5,(SUMPRODUCT(--ISNUMBER(Risk_Rank_Keys!$D$2:$D$800),--(Risk_Rank_Keys!$D$2:$D$800&lt;Risk_Rank_Keys!D483))+(SUMPRODUCT(--ISNUMBER(Risk_Rank_Keys!$D$2:$D$800),--(Risk_Rank_Keys!$D$2:$D$800=Risk_Rank_Keys!D483))+1)/2)/COUNT(Risk_Rank_Keys!$D$2:$D$800))</f>
        <v>0.136680613668061</v>
      </c>
      <c r="P483" s="0" t="n">
        <f aca="false">AVERAGE(M483:O483)</f>
        <v>0.314272431427243</v>
      </c>
      <c r="Q483" s="0" t="n">
        <f aca="false">0.4*H483+0.4*I483+0.2*P483</f>
        <v>0.425808178400593</v>
      </c>
      <c r="R483" s="0" t="n">
        <f aca="false">PERCENTILE($Q$2:$Q$800,0.75)</f>
        <v>0.667715717403612</v>
      </c>
      <c r="S483" s="1" t="b">
        <f aca="false">OR(Q483&gt;=R483,AND(B483="CW",COUNT(J483:L483)&lt;3))</f>
        <v>0</v>
      </c>
      <c r="T483" s="0" t="n">
        <v>0.300620943214434</v>
      </c>
      <c r="U483" s="0" t="n">
        <v>6.4777574457467</v>
      </c>
      <c r="V483" s="0" t="n">
        <v>0.425808178400593</v>
      </c>
      <c r="W483" s="0" t="n">
        <f aca="false">Q483-V483</f>
        <v>0</v>
      </c>
    </row>
    <row r="484" customFormat="false" ht="15" hidden="false" customHeight="false" outlineLevel="0" collapsed="false">
      <c r="A484" s="0" t="s">
        <v>518</v>
      </c>
      <c r="B484" s="0" t="s">
        <v>3013</v>
      </c>
      <c r="C484" s="0" t="n">
        <v>13.4643759428918</v>
      </c>
      <c r="D484" s="0" t="n">
        <f aca="false">SUMPRODUCT(Risk_Inputs!B484:AJ484,Risk_Coefs!$B$2:$AJ$2)</f>
        <v>-0.955743094315003</v>
      </c>
      <c r="E484" s="0" t="n">
        <f aca="false">1/(1+EXP(-MAX(-25,MIN(25,D484))))</f>
        <v>0.277731307319273</v>
      </c>
      <c r="F484" s="0" t="n">
        <f aca="false">SUMPRODUCT(Risk_Inputs!B484:AJ484,Risk_Coefs!$B$3:$AJ$3)</f>
        <v>5.32997216789607</v>
      </c>
      <c r="G484" s="0" t="n">
        <f aca="false">MAX(0,F484)</f>
        <v>5.32997216789607</v>
      </c>
      <c r="H484" s="0" t="n">
        <f aca="false">(SUMPRODUCT(--ISNUMBER($E$2:$E$800),--($E$2:$E$800&lt;E484))+(SUMPRODUCT(--ISNUMBER($E$2:$E$800),--($E$2:$E$800=E484))+1)/2)/COUNT($E$2:$E$800)</f>
        <v>0.451814768460576</v>
      </c>
      <c r="I484" s="0" t="n">
        <f aca="false">(SUMPRODUCT(--ISNUMBER($G$2:$G$800),--($G$2:$G$800&lt;G484))+(SUMPRODUCT(--ISNUMBER($G$2:$G$800),--($G$2:$G$800=G484))+1)/2)/COUNT($G$2:$G$800)</f>
        <v>0.178973717146433</v>
      </c>
      <c r="J484" s="0" t="n">
        <v>6.50419816426933</v>
      </c>
      <c r="K484" s="0" t="n">
        <v>1.8670496512105</v>
      </c>
      <c r="L484" s="0" t="n">
        <v>0.143619203939267</v>
      </c>
      <c r="M484" s="0" t="n">
        <f aca="false">IF(OR(B484="NW",COUNT(Risk_Rank_Keys!B484)=0),0.5,(SUMPRODUCT(--ISNUMBER(Risk_Rank_Keys!$B$2:$B$800),--(Risk_Rank_Keys!$B$2:$B$800&lt;Risk_Rank_Keys!B484))+(SUMPRODUCT(--ISNUMBER(Risk_Rank_Keys!$B$2:$B$800),--(Risk_Rank_Keys!$B$2:$B$800=Risk_Rank_Keys!B484))+1)/2)/COUNT(Risk_Rank_Keys!$B$2:$B$800))</f>
        <v>0.273361227336123</v>
      </c>
      <c r="N484" s="0" t="n">
        <f aca="false">IF(OR(B484="NW",COUNT(Risk_Rank_Keys!C484)=0),0.5,(SUMPRODUCT(--ISNUMBER(Risk_Rank_Keys!$C$2:$C$800),--(Risk_Rank_Keys!$C$2:$C$800&lt;Risk_Rank_Keys!C484))+(SUMPRODUCT(--ISNUMBER(Risk_Rank_Keys!$C$2:$C$800),--(Risk_Rank_Keys!$C$2:$C$800=Risk_Rank_Keys!C484))+1)/2)/COUNT(Risk_Rank_Keys!$C$2:$C$800))</f>
        <v>0.239888423988842</v>
      </c>
      <c r="O484" s="0" t="n">
        <f aca="false">IF(OR(B484="NW",COUNT(Risk_Rank_Keys!D484)=0),0.5,(SUMPRODUCT(--ISNUMBER(Risk_Rank_Keys!$D$2:$D$800),--(Risk_Rank_Keys!$D$2:$D$800&lt;Risk_Rank_Keys!D484))+(SUMPRODUCT(--ISNUMBER(Risk_Rank_Keys!$D$2:$D$800),--(Risk_Rank_Keys!$D$2:$D$800=Risk_Rank_Keys!D484))+1)/2)/COUNT(Risk_Rank_Keys!$D$2:$D$800))</f>
        <v>0.0906555090655509</v>
      </c>
      <c r="P484" s="0" t="n">
        <f aca="false">AVERAGE(M484:O484)</f>
        <v>0.201301720130172</v>
      </c>
      <c r="Q484" s="0" t="n">
        <f aca="false">0.4*H484+0.4*I484+0.2*P484</f>
        <v>0.292575738268838</v>
      </c>
      <c r="R484" s="0" t="n">
        <f aca="false">PERCENTILE($Q$2:$Q$800,0.75)</f>
        <v>0.667715717403612</v>
      </c>
      <c r="S484" s="1" t="b">
        <f aca="false">OR(Q484&gt;=R484,AND(B484="CW",COUNT(J484:L484)&lt;3))</f>
        <v>0</v>
      </c>
      <c r="T484" s="0" t="n">
        <v>0.277731307319273</v>
      </c>
      <c r="U484" s="0" t="n">
        <v>5.32997216789607</v>
      </c>
      <c r="V484" s="0" t="n">
        <v>0.292575738268838</v>
      </c>
      <c r="W484" s="0" t="n">
        <f aca="false">Q484-V484</f>
        <v>0</v>
      </c>
    </row>
    <row r="485" customFormat="false" ht="15" hidden="false" customHeight="false" outlineLevel="0" collapsed="false">
      <c r="A485" s="0" t="s">
        <v>519</v>
      </c>
      <c r="B485" s="0" t="s">
        <v>3013</v>
      </c>
      <c r="C485" s="0" t="n">
        <v>-0.519516331000696</v>
      </c>
      <c r="D485" s="0" t="n">
        <f aca="false">SUMPRODUCT(Risk_Inputs!B485:AJ485,Risk_Coefs!$B$2:$AJ$2)</f>
        <v>-0.675846104583688</v>
      </c>
      <c r="E485" s="0" t="n">
        <f aca="false">1/(1+EXP(-MAX(-25,MIN(25,D485))))</f>
        <v>0.337189038682825</v>
      </c>
      <c r="F485" s="0" t="n">
        <f aca="false">SUMPRODUCT(Risk_Inputs!B485:AJ485,Risk_Coefs!$B$3:$AJ$3)</f>
        <v>8.49668767670793</v>
      </c>
      <c r="G485" s="0" t="n">
        <f aca="false">MAX(0,F485)</f>
        <v>8.49668767670793</v>
      </c>
      <c r="H485" s="0" t="n">
        <f aca="false">(SUMPRODUCT(--ISNUMBER($E$2:$E$800),--($E$2:$E$800&lt;E485))+(SUMPRODUCT(--ISNUMBER($E$2:$E$800),--($E$2:$E$800=E485))+1)/2)/COUNT($E$2:$E$800)</f>
        <v>0.769712140175219</v>
      </c>
      <c r="I485" s="0" t="n">
        <f aca="false">(SUMPRODUCT(--ISNUMBER($G$2:$G$800),--($G$2:$G$800&lt;G485))+(SUMPRODUCT(--ISNUMBER($G$2:$G$800),--($G$2:$G$800=G485))+1)/2)/COUNT($G$2:$G$800)</f>
        <v>0.600750938673342</v>
      </c>
      <c r="J485" s="0" t="n">
        <v>5.48441056297474</v>
      </c>
      <c r="K485" s="0" t="n">
        <v>3.59001040582728</v>
      </c>
      <c r="L485" s="0" t="n">
        <v>0.182101977107177</v>
      </c>
      <c r="M485" s="0" t="n">
        <f aca="false">IF(OR(B485="NW",COUNT(Risk_Rank_Keys!B485)=0),0.5,(SUMPRODUCT(--ISNUMBER(Risk_Rank_Keys!$B$2:$B$800),--(Risk_Rank_Keys!$B$2:$B$800&lt;Risk_Rank_Keys!B485))+(SUMPRODUCT(--ISNUMBER(Risk_Rank_Keys!$B$2:$B$800),--(Risk_Rank_Keys!$B$2:$B$800=Risk_Rank_Keys!B485))+1)/2)/COUNT(Risk_Rank_Keys!$B$2:$B$800))</f>
        <v>0.167364016736402</v>
      </c>
      <c r="N485" s="0" t="n">
        <f aca="false">IF(OR(B485="NW",COUNT(Risk_Rank_Keys!C485)=0),0.5,(SUMPRODUCT(--ISNUMBER(Risk_Rank_Keys!$C$2:$C$800),--(Risk_Rank_Keys!$C$2:$C$800&lt;Risk_Rank_Keys!C485))+(SUMPRODUCT(--ISNUMBER(Risk_Rank_Keys!$C$2:$C$800),--(Risk_Rank_Keys!$C$2:$C$800=Risk_Rank_Keys!C485))+1)/2)/COUNT(Risk_Rank_Keys!$C$2:$C$800))</f>
        <v>0.539748953974895</v>
      </c>
      <c r="O485" s="0" t="n">
        <f aca="false">IF(OR(B485="NW",COUNT(Risk_Rank_Keys!D485)=0),0.5,(SUMPRODUCT(--ISNUMBER(Risk_Rank_Keys!$D$2:$D$800),--(Risk_Rank_Keys!$D$2:$D$800&lt;Risk_Rank_Keys!D485))+(SUMPRODUCT(--ISNUMBER(Risk_Rank_Keys!$D$2:$D$800),--(Risk_Rank_Keys!$D$2:$D$800=Risk_Rank_Keys!D485))+1)/2)/COUNT(Risk_Rank_Keys!$D$2:$D$800))</f>
        <v>0.220362622036262</v>
      </c>
      <c r="P485" s="0" t="n">
        <f aca="false">AVERAGE(M485:O485)</f>
        <v>0.309158530915853</v>
      </c>
      <c r="Q485" s="0" t="n">
        <f aca="false">0.4*H485+0.4*I485+0.2*P485</f>
        <v>0.610016937722595</v>
      </c>
      <c r="R485" s="0" t="n">
        <f aca="false">PERCENTILE($Q$2:$Q$800,0.75)</f>
        <v>0.667715717403612</v>
      </c>
      <c r="S485" s="1" t="b">
        <f aca="false">OR(Q485&gt;=R485,AND(B485="CW",COUNT(J485:L485)&lt;3))</f>
        <v>0</v>
      </c>
      <c r="T485" s="0" t="n">
        <v>0.337189038682825</v>
      </c>
      <c r="U485" s="0" t="n">
        <v>8.49668767670793</v>
      </c>
      <c r="V485" s="0" t="n">
        <v>0.610016937722595</v>
      </c>
      <c r="W485" s="0" t="n">
        <f aca="false">Q485-V485</f>
        <v>0</v>
      </c>
    </row>
    <row r="486" customFormat="false" ht="15" hidden="false" customHeight="false" outlineLevel="0" collapsed="false">
      <c r="A486" s="0" t="s">
        <v>520</v>
      </c>
      <c r="B486" s="0" t="s">
        <v>33</v>
      </c>
      <c r="C486" s="0" t="n">
        <v>33.9189309697403</v>
      </c>
      <c r="D486" s="0" t="n">
        <f aca="false">SUMPRODUCT(Risk_Inputs!B486:AJ486,Risk_Coefs!$B$2:$AJ$2)</f>
        <v>-0.751179813466254</v>
      </c>
      <c r="E486" s="0" t="n">
        <f aca="false">1/(1+EXP(-MAX(-25,MIN(25,D486))))</f>
        <v>0.320564279740151</v>
      </c>
      <c r="F486" s="0" t="n">
        <f aca="false">SUMPRODUCT(Risk_Inputs!B486:AJ486,Risk_Coefs!$B$3:$AJ$3)</f>
        <v>8.8011468673713</v>
      </c>
      <c r="G486" s="0" t="n">
        <f aca="false">MAX(0,F486)</f>
        <v>8.8011468673713</v>
      </c>
      <c r="H486" s="0" t="n">
        <f aca="false">(SUMPRODUCT(--ISNUMBER($E$2:$E$800),--($E$2:$E$800&lt;E486))+(SUMPRODUCT(--ISNUMBER($E$2:$E$800),--($E$2:$E$800=E486))+1)/2)/COUNT($E$2:$E$800)</f>
        <v>0.673341677096371</v>
      </c>
      <c r="I486" s="0" t="n">
        <f aca="false">(SUMPRODUCT(--ISNUMBER($G$2:$G$800),--($G$2:$G$800&lt;G486))+(SUMPRODUCT(--ISNUMBER($G$2:$G$800),--($G$2:$G$800=G486))+1)/2)/COUNT($G$2:$G$800)</f>
        <v>0.65081351689612</v>
      </c>
      <c r="M486" s="0" t="n">
        <f aca="false">IF(OR(B486="NW",COUNT(Risk_Rank_Keys!B486)=0),0.5,(SUMPRODUCT(--ISNUMBER(Risk_Rank_Keys!$B$2:$B$800),--(Risk_Rank_Keys!$B$2:$B$800&lt;Risk_Rank_Keys!B486))+(SUMPRODUCT(--ISNUMBER(Risk_Rank_Keys!$B$2:$B$800),--(Risk_Rank_Keys!$B$2:$B$800=Risk_Rank_Keys!B486))+1)/2)/COUNT(Risk_Rank_Keys!$B$2:$B$800))</f>
        <v>0.5</v>
      </c>
      <c r="N486" s="0" t="n">
        <f aca="false">IF(OR(B486="NW",COUNT(Risk_Rank_Keys!C486)=0),0.5,(SUMPRODUCT(--ISNUMBER(Risk_Rank_Keys!$C$2:$C$800),--(Risk_Rank_Keys!$C$2:$C$800&lt;Risk_Rank_Keys!C486))+(SUMPRODUCT(--ISNUMBER(Risk_Rank_Keys!$C$2:$C$800),--(Risk_Rank_Keys!$C$2:$C$800=Risk_Rank_Keys!C486))+1)/2)/COUNT(Risk_Rank_Keys!$C$2:$C$800))</f>
        <v>0.5</v>
      </c>
      <c r="O486" s="0" t="n">
        <f aca="false">IF(OR(B486="NW",COUNT(Risk_Rank_Keys!D486)=0),0.5,(SUMPRODUCT(--ISNUMBER(Risk_Rank_Keys!$D$2:$D$800),--(Risk_Rank_Keys!$D$2:$D$800&lt;Risk_Rank_Keys!D486))+(SUMPRODUCT(--ISNUMBER(Risk_Rank_Keys!$D$2:$D$800),--(Risk_Rank_Keys!$D$2:$D$800=Risk_Rank_Keys!D486))+1)/2)/COUNT(Risk_Rank_Keys!$D$2:$D$800))</f>
        <v>0.5</v>
      </c>
      <c r="P486" s="0" t="n">
        <f aca="false">AVERAGE(M486:O486)</f>
        <v>0.5</v>
      </c>
      <c r="Q486" s="0" t="n">
        <f aca="false">0.4*H486+0.4*I486+0.2*P486</f>
        <v>0.629662077596996</v>
      </c>
      <c r="R486" s="0" t="n">
        <f aca="false">PERCENTILE($Q$2:$Q$800,0.75)</f>
        <v>0.667715717403612</v>
      </c>
      <c r="S486" s="1" t="b">
        <f aca="false">OR(Q486&gt;=R486,AND(B486="CW",COUNT(J486:L486)&lt;3))</f>
        <v>0</v>
      </c>
      <c r="T486" s="0" t="n">
        <v>0.320564279740151</v>
      </c>
      <c r="U486" s="0" t="n">
        <v>8.8011468673713</v>
      </c>
      <c r="V486" s="0" t="n">
        <v>0.629662077596996</v>
      </c>
      <c r="W486" s="0" t="n">
        <f aca="false">Q486-V486</f>
        <v>0</v>
      </c>
    </row>
    <row r="487" customFormat="false" ht="15" hidden="false" customHeight="false" outlineLevel="0" collapsed="false">
      <c r="A487" s="0" t="s">
        <v>521</v>
      </c>
      <c r="B487" s="0" t="s">
        <v>3013</v>
      </c>
      <c r="C487" s="0" t="n">
        <v>48.4600797196496</v>
      </c>
      <c r="D487" s="0" t="n">
        <f aca="false">SUMPRODUCT(Risk_Inputs!B487:AJ487,Risk_Coefs!$B$2:$AJ$2)</f>
        <v>-1.0300664284423</v>
      </c>
      <c r="E487" s="0" t="n">
        <f aca="false">1/(1+EXP(-MAX(-25,MIN(25,D487))))</f>
        <v>0.263071225830139</v>
      </c>
      <c r="F487" s="0" t="n">
        <f aca="false">SUMPRODUCT(Risk_Inputs!B487:AJ487,Risk_Coefs!$B$3:$AJ$3)</f>
        <v>5.35259316368565</v>
      </c>
      <c r="G487" s="0" t="n">
        <f aca="false">MAX(0,F487)</f>
        <v>5.35259316368565</v>
      </c>
      <c r="H487" s="0" t="n">
        <f aca="false">(SUMPRODUCT(--ISNUMBER($E$2:$E$800),--($E$2:$E$800&lt;E487))+(SUMPRODUCT(--ISNUMBER($E$2:$E$800),--($E$2:$E$800=E487))+1)/2)/COUNT($E$2:$E$800)</f>
        <v>0.354192740926158</v>
      </c>
      <c r="I487" s="0" t="n">
        <f aca="false">(SUMPRODUCT(--ISNUMBER($G$2:$G$800),--($G$2:$G$800&lt;G487))+(SUMPRODUCT(--ISNUMBER($G$2:$G$800),--($G$2:$G$800=G487))+1)/2)/COUNT($G$2:$G$800)</f>
        <v>0.182728410513141</v>
      </c>
      <c r="J487" s="0" t="n">
        <v>4.70346677158917</v>
      </c>
      <c r="K487" s="0" t="n">
        <v>3.09122351923907</v>
      </c>
      <c r="L487" s="0" t="n">
        <v>0.194552529182881</v>
      </c>
      <c r="M487" s="0" t="n">
        <f aca="false">IF(OR(B487="NW",COUNT(Risk_Rank_Keys!B487)=0),0.5,(SUMPRODUCT(--ISNUMBER(Risk_Rank_Keys!$B$2:$B$800),--(Risk_Rank_Keys!$B$2:$B$800&lt;Risk_Rank_Keys!B487))+(SUMPRODUCT(--ISNUMBER(Risk_Rank_Keys!$B$2:$B$800),--(Risk_Rank_Keys!$B$2:$B$800=Risk_Rank_Keys!B487))+1)/2)/COUNT(Risk_Rank_Keys!$B$2:$B$800))</f>
        <v>0.114365411436541</v>
      </c>
      <c r="N487" s="0" t="n">
        <f aca="false">IF(OR(B487="NW",COUNT(Risk_Rank_Keys!C487)=0),0.5,(SUMPRODUCT(--ISNUMBER(Risk_Rank_Keys!$C$2:$C$800),--(Risk_Rank_Keys!$C$2:$C$800&lt;Risk_Rank_Keys!C487))+(SUMPRODUCT(--ISNUMBER(Risk_Rank_Keys!$C$2:$C$800),--(Risk_Rank_Keys!$C$2:$C$800=Risk_Rank_Keys!C487))+1)/2)/COUNT(Risk_Rank_Keys!$C$2:$C$800))</f>
        <v>0.476987447698745</v>
      </c>
      <c r="O487" s="0" t="n">
        <f aca="false">IF(OR(B487="NW",COUNT(Risk_Rank_Keys!D487)=0),0.5,(SUMPRODUCT(--ISNUMBER(Risk_Rank_Keys!$D$2:$D$800),--(Risk_Rank_Keys!$D$2:$D$800&lt;Risk_Rank_Keys!D487))+(SUMPRODUCT(--ISNUMBER(Risk_Rank_Keys!$D$2:$D$800),--(Risk_Rank_Keys!$D$2:$D$800=Risk_Rank_Keys!D487))+1)/2)/COUNT(Risk_Rank_Keys!$D$2:$D$800))</f>
        <v>0.280334728033473</v>
      </c>
      <c r="P487" s="0" t="n">
        <f aca="false">AVERAGE(M487:O487)</f>
        <v>0.290562529056253</v>
      </c>
      <c r="Q487" s="0" t="n">
        <f aca="false">0.4*H487+0.4*I487+0.2*P487</f>
        <v>0.27288096638697</v>
      </c>
      <c r="R487" s="0" t="n">
        <f aca="false">PERCENTILE($Q$2:$Q$800,0.75)</f>
        <v>0.667715717403612</v>
      </c>
      <c r="S487" s="1" t="b">
        <f aca="false">OR(Q487&gt;=R487,AND(B487="CW",COUNT(J487:L487)&lt;3))</f>
        <v>0</v>
      </c>
      <c r="T487" s="0" t="n">
        <v>0.263071225830139</v>
      </c>
      <c r="U487" s="0" t="n">
        <v>5.35259316368565</v>
      </c>
      <c r="V487" s="0" t="n">
        <v>0.27288096638697</v>
      </c>
      <c r="W487" s="0" t="n">
        <f aca="false">Q487-V487</f>
        <v>0</v>
      </c>
    </row>
    <row r="488" customFormat="false" ht="15" hidden="false" customHeight="false" outlineLevel="0" collapsed="false">
      <c r="A488" s="0" t="s">
        <v>522</v>
      </c>
      <c r="B488" s="0" t="s">
        <v>3013</v>
      </c>
      <c r="C488" s="0" t="n">
        <v>36.5781038296098</v>
      </c>
      <c r="D488" s="0" t="n">
        <f aca="false">SUMPRODUCT(Risk_Inputs!B488:AJ488,Risk_Coefs!$B$2:$AJ$2)</f>
        <v>-0.834923833374061</v>
      </c>
      <c r="E488" s="0" t="n">
        <f aca="false">1/(1+EXP(-MAX(-25,MIN(25,D488))))</f>
        <v>0.302604959201421</v>
      </c>
      <c r="F488" s="0" t="n">
        <f aca="false">SUMPRODUCT(Risk_Inputs!B488:AJ488,Risk_Coefs!$B$3:$AJ$3)</f>
        <v>8.50260043653633</v>
      </c>
      <c r="G488" s="0" t="n">
        <f aca="false">MAX(0,F488)</f>
        <v>8.50260043653633</v>
      </c>
      <c r="H488" s="0" t="n">
        <f aca="false">(SUMPRODUCT(--ISNUMBER($E$2:$E$800),--($E$2:$E$800&lt;E488))+(SUMPRODUCT(--ISNUMBER($E$2:$E$800),--($E$2:$E$800=E488))+1)/2)/COUNT($E$2:$E$800)</f>
        <v>0.58072590738423</v>
      </c>
      <c r="I488" s="0" t="n">
        <f aca="false">(SUMPRODUCT(--ISNUMBER($G$2:$G$800),--($G$2:$G$800&lt;G488))+(SUMPRODUCT(--ISNUMBER($G$2:$G$800),--($G$2:$G$800=G488))+1)/2)/COUNT($G$2:$G$800)</f>
        <v>0.60450563204005</v>
      </c>
      <c r="J488" s="0" t="n">
        <v>5.65924550938869</v>
      </c>
      <c r="K488" s="0" t="n">
        <v>1.99487033342833</v>
      </c>
      <c r="L488" s="0" t="n">
        <v>0.199487033342821</v>
      </c>
      <c r="M488" s="0" t="n">
        <f aca="false">IF(OR(B488="NW",COUNT(Risk_Rank_Keys!B488)=0),0.5,(SUMPRODUCT(--ISNUMBER(Risk_Rank_Keys!$B$2:$B$800),--(Risk_Rank_Keys!$B$2:$B$800&lt;Risk_Rank_Keys!B488))+(SUMPRODUCT(--ISNUMBER(Risk_Rank_Keys!$B$2:$B$800),--(Risk_Rank_Keys!$B$2:$B$800=Risk_Rank_Keys!B488))+1)/2)/COUNT(Risk_Rank_Keys!$B$2:$B$800))</f>
        <v>0.184100418410042</v>
      </c>
      <c r="N488" s="0" t="n">
        <f aca="false">IF(OR(B488="NW",COUNT(Risk_Rank_Keys!C488)=0),0.5,(SUMPRODUCT(--ISNUMBER(Risk_Rank_Keys!$C$2:$C$800),--(Risk_Rank_Keys!$C$2:$C$800&lt;Risk_Rank_Keys!C488))+(SUMPRODUCT(--ISNUMBER(Risk_Rank_Keys!$C$2:$C$800),--(Risk_Rank_Keys!$C$2:$C$800=Risk_Rank_Keys!C488))+1)/2)/COUNT(Risk_Rank_Keys!$C$2:$C$800))</f>
        <v>0.267782426778243</v>
      </c>
      <c r="O488" s="0" t="n">
        <f aca="false">IF(OR(B488="NW",COUNT(Risk_Rank_Keys!D488)=0),0.5,(SUMPRODUCT(--ISNUMBER(Risk_Rank_Keys!$D$2:$D$800),--(Risk_Rank_Keys!$D$2:$D$800&lt;Risk_Rank_Keys!D488))+(SUMPRODUCT(--ISNUMBER(Risk_Rank_Keys!$D$2:$D$800),--(Risk_Rank_Keys!$D$2:$D$800=Risk_Rank_Keys!D488))+1)/2)/COUNT(Risk_Rank_Keys!$D$2:$D$800))</f>
        <v>0.313807531380753</v>
      </c>
      <c r="P488" s="0" t="n">
        <f aca="false">AVERAGE(M488:O488)</f>
        <v>0.255230125523013</v>
      </c>
      <c r="Q488" s="0" t="n">
        <f aca="false">0.4*H488+0.4*I488+0.2*P488</f>
        <v>0.525138640874315</v>
      </c>
      <c r="R488" s="0" t="n">
        <f aca="false">PERCENTILE($Q$2:$Q$800,0.75)</f>
        <v>0.667715717403612</v>
      </c>
      <c r="S488" s="1" t="b">
        <f aca="false">OR(Q488&gt;=R488,AND(B488="CW",COUNT(J488:L488)&lt;3))</f>
        <v>0</v>
      </c>
      <c r="T488" s="0" t="n">
        <v>0.302604959201421</v>
      </c>
      <c r="U488" s="0" t="n">
        <v>8.50260043653633</v>
      </c>
      <c r="V488" s="0" t="n">
        <v>0.525138640874315</v>
      </c>
      <c r="W488" s="0" t="n">
        <f aca="false">Q488-V488</f>
        <v>0</v>
      </c>
    </row>
    <row r="489" customFormat="false" ht="15" hidden="false" customHeight="false" outlineLevel="0" collapsed="false">
      <c r="A489" s="0" t="s">
        <v>523</v>
      </c>
      <c r="B489" s="0" t="s">
        <v>3013</v>
      </c>
      <c r="C489" s="0" t="n">
        <v>-29.7228081420955</v>
      </c>
      <c r="D489" s="0" t="n">
        <f aca="false">SUMPRODUCT(Risk_Inputs!B489:AJ489,Risk_Coefs!$B$2:$AJ$2)</f>
        <v>-0.701682430512597</v>
      </c>
      <c r="E489" s="0" t="n">
        <f aca="false">1/(1+EXP(-MAX(-25,MIN(25,D489))))</f>
        <v>0.33143931693718</v>
      </c>
      <c r="F489" s="0" t="n">
        <f aca="false">SUMPRODUCT(Risk_Inputs!B489:AJ489,Risk_Coefs!$B$3:$AJ$3)</f>
        <v>11.1305667857401</v>
      </c>
      <c r="G489" s="0" t="n">
        <f aca="false">MAX(0,F489)</f>
        <v>11.1305667857401</v>
      </c>
      <c r="H489" s="0" t="n">
        <f aca="false">(SUMPRODUCT(--ISNUMBER($E$2:$E$800),--($E$2:$E$800&lt;E489))+(SUMPRODUCT(--ISNUMBER($E$2:$E$800),--($E$2:$E$800=E489))+1)/2)/COUNT($E$2:$E$800)</f>
        <v>0.742177722152691</v>
      </c>
      <c r="I489" s="0" t="n">
        <f aca="false">(SUMPRODUCT(--ISNUMBER($G$2:$G$800),--($G$2:$G$800&lt;G489))+(SUMPRODUCT(--ISNUMBER($G$2:$G$800),--($G$2:$G$800=G489))+1)/2)/COUNT($G$2:$G$800)</f>
        <v>0.889862327909887</v>
      </c>
      <c r="J489" s="0" t="n">
        <v>12.9967911370832</v>
      </c>
      <c r="K489" s="0" t="n">
        <v>9.12052117263845</v>
      </c>
      <c r="L489" s="0" t="n">
        <v>0.0930665425779445</v>
      </c>
      <c r="M489" s="0" t="n">
        <f aca="false">IF(OR(B489="NW",COUNT(Risk_Rank_Keys!B489)=0),0.5,(SUMPRODUCT(--ISNUMBER(Risk_Rank_Keys!$B$2:$B$800),--(Risk_Rank_Keys!$B$2:$B$800&lt;Risk_Rank_Keys!B489))+(SUMPRODUCT(--ISNUMBER(Risk_Rank_Keys!$B$2:$B$800),--(Risk_Rank_Keys!$B$2:$B$800=Risk_Rank_Keys!B489))+1)/2)/COUNT(Risk_Rank_Keys!$B$2:$B$800))</f>
        <v>0.641562064156206</v>
      </c>
      <c r="N489" s="0" t="n">
        <f aca="false">IF(OR(B489="NW",COUNT(Risk_Rank_Keys!C489)=0),0.5,(SUMPRODUCT(--ISNUMBER(Risk_Rank_Keys!$C$2:$C$800),--(Risk_Rank_Keys!$C$2:$C$800&lt;Risk_Rank_Keys!C489))+(SUMPRODUCT(--ISNUMBER(Risk_Rank_Keys!$C$2:$C$800),--(Risk_Rank_Keys!$C$2:$C$800=Risk_Rank_Keys!C489))+1)/2)/COUNT(Risk_Rank_Keys!$C$2:$C$800))</f>
        <v>0.852161785216179</v>
      </c>
      <c r="O489" s="0" t="n">
        <f aca="false">IF(OR(B489="NW",COUNT(Risk_Rank_Keys!D489)=0),0.5,(SUMPRODUCT(--ISNUMBER(Risk_Rank_Keys!$D$2:$D$800),--(Risk_Rank_Keys!$D$2:$D$800&lt;Risk_Rank_Keys!D489))+(SUMPRODUCT(--ISNUMBER(Risk_Rank_Keys!$D$2:$D$800),--(Risk_Rank_Keys!$D$2:$D$800=Risk_Rank_Keys!D489))+1)/2)/COUNT(Risk_Rank_Keys!$D$2:$D$800))</f>
        <v>0.0139470013947001</v>
      </c>
      <c r="P489" s="0" t="n">
        <f aca="false">AVERAGE(M489:O489)</f>
        <v>0.502556950255695</v>
      </c>
      <c r="Q489" s="0" t="n">
        <f aca="false">0.4*H489+0.4*I489+0.2*P489</f>
        <v>0.75332741007617</v>
      </c>
      <c r="R489" s="0" t="n">
        <f aca="false">PERCENTILE($Q$2:$Q$800,0.75)</f>
        <v>0.667715717403612</v>
      </c>
      <c r="S489" s="1" t="b">
        <f aca="false">OR(Q489&gt;=R489,AND(B489="CW",COUNT(J489:L489)&lt;3))</f>
        <v>1</v>
      </c>
      <c r="T489" s="0" t="n">
        <v>0.33143931693718</v>
      </c>
      <c r="U489" s="0" t="n">
        <v>11.1305667857401</v>
      </c>
      <c r="V489" s="0" t="n">
        <v>0.75332741007617</v>
      </c>
      <c r="W489" s="0" t="n">
        <f aca="false">Q489-V489</f>
        <v>0</v>
      </c>
    </row>
    <row r="490" customFormat="false" ht="15" hidden="false" customHeight="false" outlineLevel="0" collapsed="false">
      <c r="A490" s="0" t="s">
        <v>524</v>
      </c>
      <c r="B490" s="0" t="s">
        <v>3013</v>
      </c>
      <c r="C490" s="0" t="n">
        <v>38.3396119711537</v>
      </c>
      <c r="D490" s="0" t="n">
        <f aca="false">SUMPRODUCT(Risk_Inputs!B490:AJ490,Risk_Coefs!$B$2:$AJ$2)</f>
        <v>-1.02451863500357</v>
      </c>
      <c r="E490" s="0" t="n">
        <f aca="false">1/(1+EXP(-MAX(-25,MIN(25,D490))))</f>
        <v>0.264148160246105</v>
      </c>
      <c r="F490" s="0" t="n">
        <f aca="false">SUMPRODUCT(Risk_Inputs!B490:AJ490,Risk_Coefs!$B$3:$AJ$3)</f>
        <v>7.56771514480741</v>
      </c>
      <c r="G490" s="0" t="n">
        <f aca="false">MAX(0,F490)</f>
        <v>7.56771514480741</v>
      </c>
      <c r="H490" s="0" t="n">
        <f aca="false">(SUMPRODUCT(--ISNUMBER($E$2:$E$800),--($E$2:$E$800&lt;E490))+(SUMPRODUCT(--ISNUMBER($E$2:$E$800),--($E$2:$E$800=E490))+1)/2)/COUNT($E$2:$E$800)</f>
        <v>0.360450563204005</v>
      </c>
      <c r="I490" s="0" t="n">
        <f aca="false">(SUMPRODUCT(--ISNUMBER($G$2:$G$800),--($G$2:$G$800&lt;G490))+(SUMPRODUCT(--ISNUMBER($G$2:$G$800),--($G$2:$G$800=G490))+1)/2)/COUNT($G$2:$G$800)</f>
        <v>0.491864831038799</v>
      </c>
      <c r="J490" s="0" t="n">
        <v>11.1591512820791</v>
      </c>
      <c r="K490" s="0" t="n">
        <v>3.81135707410972</v>
      </c>
      <c r="L490" s="0" t="n">
        <v>0.23099133782484</v>
      </c>
      <c r="M490" s="0" t="n">
        <f aca="false">IF(OR(B490="NW",COUNT(Risk_Rank_Keys!B490)=0),0.5,(SUMPRODUCT(--ISNUMBER(Risk_Rank_Keys!$B$2:$B$800),--(Risk_Rank_Keys!$B$2:$B$800&lt;Risk_Rank_Keys!B490))+(SUMPRODUCT(--ISNUMBER(Risk_Rank_Keys!$B$2:$B$800),--(Risk_Rank_Keys!$B$2:$B$800=Risk_Rank_Keys!B490))+1)/2)/COUNT(Risk_Rank_Keys!$B$2:$B$800))</f>
        <v>0.548117154811716</v>
      </c>
      <c r="N490" s="0" t="n">
        <f aca="false">IF(OR(B490="NW",COUNT(Risk_Rank_Keys!C490)=0),0.5,(SUMPRODUCT(--ISNUMBER(Risk_Rank_Keys!$C$2:$C$800),--(Risk_Rank_Keys!$C$2:$C$800&lt;Risk_Rank_Keys!C490))+(SUMPRODUCT(--ISNUMBER(Risk_Rank_Keys!$C$2:$C$800),--(Risk_Rank_Keys!$C$2:$C$800=Risk_Rank_Keys!C490))+1)/2)/COUNT(Risk_Rank_Keys!$C$2:$C$800))</f>
        <v>0.570432357043236</v>
      </c>
      <c r="O490" s="0" t="n">
        <f aca="false">IF(OR(B490="NW",COUNT(Risk_Rank_Keys!D490)=0),0.5,(SUMPRODUCT(--ISNUMBER(Risk_Rank_Keys!$D$2:$D$800),--(Risk_Rank_Keys!$D$2:$D$800&lt;Risk_Rank_Keys!D490))+(SUMPRODUCT(--ISNUMBER(Risk_Rank_Keys!$D$2:$D$800),--(Risk_Rank_Keys!$D$2:$D$800=Risk_Rank_Keys!D490))+1)/2)/COUNT(Risk_Rank_Keys!$D$2:$D$800))</f>
        <v>0.503486750348675</v>
      </c>
      <c r="P490" s="0" t="n">
        <f aca="false">AVERAGE(M490:O490)</f>
        <v>0.540678754067876</v>
      </c>
      <c r="Q490" s="0" t="n">
        <f aca="false">0.4*H490+0.4*I490+0.2*P490</f>
        <v>0.449061908510697</v>
      </c>
      <c r="R490" s="0" t="n">
        <f aca="false">PERCENTILE($Q$2:$Q$800,0.75)</f>
        <v>0.667715717403612</v>
      </c>
      <c r="S490" s="1" t="b">
        <f aca="false">OR(Q490&gt;=R490,AND(B490="CW",COUNT(J490:L490)&lt;3))</f>
        <v>0</v>
      </c>
      <c r="T490" s="0" t="n">
        <v>0.264148160246105</v>
      </c>
      <c r="U490" s="0" t="n">
        <v>7.56771514480741</v>
      </c>
      <c r="V490" s="0" t="n">
        <v>0.449061908510697</v>
      </c>
      <c r="W490" s="0" t="n">
        <f aca="false">Q490-V490</f>
        <v>0</v>
      </c>
    </row>
    <row r="491" customFormat="false" ht="15" hidden="false" customHeight="false" outlineLevel="0" collapsed="false">
      <c r="A491" s="0" t="s">
        <v>525</v>
      </c>
      <c r="B491" s="0" t="s">
        <v>3013</v>
      </c>
      <c r="C491" s="0" t="n">
        <v>15.2994876460649</v>
      </c>
      <c r="D491" s="0" t="n">
        <f aca="false">SUMPRODUCT(Risk_Inputs!B491:AJ491,Risk_Coefs!$B$2:$AJ$2)</f>
        <v>-1.21726574495426</v>
      </c>
      <c r="E491" s="0" t="n">
        <f aca="false">1/(1+EXP(-MAX(-25,MIN(25,D491))))</f>
        <v>0.228417986583045</v>
      </c>
      <c r="F491" s="0" t="n">
        <f aca="false">SUMPRODUCT(Risk_Inputs!B491:AJ491,Risk_Coefs!$B$3:$AJ$3)</f>
        <v>3.8439556056656</v>
      </c>
      <c r="G491" s="0" t="n">
        <f aca="false">MAX(0,F491)</f>
        <v>3.8439556056656</v>
      </c>
      <c r="H491" s="0" t="n">
        <f aca="false">(SUMPRODUCT(--ISNUMBER($E$2:$E$800),--($E$2:$E$800&lt;E491))+(SUMPRODUCT(--ISNUMBER($E$2:$E$800),--($E$2:$E$800=E491))+1)/2)/COUNT($E$2:$E$800)</f>
        <v>0.167709637046308</v>
      </c>
      <c r="I491" s="0" t="n">
        <f aca="false">(SUMPRODUCT(--ISNUMBER($G$2:$G$800),--($G$2:$G$800&lt;G491))+(SUMPRODUCT(--ISNUMBER($G$2:$G$800),--($G$2:$G$800=G491))+1)/2)/COUNT($G$2:$G$800)</f>
        <v>0.0450563204005006</v>
      </c>
      <c r="J491" s="0" t="n">
        <v>6.44074293635509</v>
      </c>
      <c r="K491" s="0" t="n">
        <v>2.24171539961013</v>
      </c>
      <c r="L491" s="0" t="n">
        <v>0.268031189083819</v>
      </c>
      <c r="M491" s="0" t="n">
        <f aca="false">IF(OR(B491="NW",COUNT(Risk_Rank_Keys!B491)=0),0.5,(SUMPRODUCT(--ISNUMBER(Risk_Rank_Keys!$B$2:$B$800),--(Risk_Rank_Keys!$B$2:$B$800&lt;Risk_Rank_Keys!B491))+(SUMPRODUCT(--ISNUMBER(Risk_Rank_Keys!$B$2:$B$800),--(Risk_Rank_Keys!$B$2:$B$800=Risk_Rank_Keys!B491))+1)/2)/COUNT(Risk_Rank_Keys!$B$2:$B$800))</f>
        <v>0.271966527196653</v>
      </c>
      <c r="N491" s="0" t="n">
        <f aca="false">IF(OR(B491="NW",COUNT(Risk_Rank_Keys!C491)=0),0.5,(SUMPRODUCT(--ISNUMBER(Risk_Rank_Keys!$C$2:$C$800),--(Risk_Rank_Keys!$C$2:$C$800&lt;Risk_Rank_Keys!C491))+(SUMPRODUCT(--ISNUMBER(Risk_Rank_Keys!$C$2:$C$800),--(Risk_Rank_Keys!$C$2:$C$800=Risk_Rank_Keys!C491))+1)/2)/COUNT(Risk_Rank_Keys!$C$2:$C$800))</f>
        <v>0.320781032078103</v>
      </c>
      <c r="O491" s="0" t="n">
        <f aca="false">IF(OR(B491="NW",COUNT(Risk_Rank_Keys!D491)=0),0.5,(SUMPRODUCT(--ISNUMBER(Risk_Rank_Keys!$D$2:$D$800),--(Risk_Rank_Keys!$D$2:$D$800&lt;Risk_Rank_Keys!D491))+(SUMPRODUCT(--ISNUMBER(Risk_Rank_Keys!$D$2:$D$800),--(Risk_Rank_Keys!$D$2:$D$800=Risk_Rank_Keys!D491))+1)/2)/COUNT(Risk_Rank_Keys!$D$2:$D$800))</f>
        <v>0.661087866108787</v>
      </c>
      <c r="P491" s="0" t="n">
        <f aca="false">AVERAGE(M491:O491)</f>
        <v>0.417945141794514</v>
      </c>
      <c r="Q491" s="0" t="n">
        <f aca="false">0.4*H491+0.4*I491+0.2*P491</f>
        <v>0.168695411337626</v>
      </c>
      <c r="R491" s="0" t="n">
        <f aca="false">PERCENTILE($Q$2:$Q$800,0.75)</f>
        <v>0.667715717403612</v>
      </c>
      <c r="S491" s="1" t="b">
        <f aca="false">OR(Q491&gt;=R491,AND(B491="CW",COUNT(J491:L491)&lt;3))</f>
        <v>0</v>
      </c>
      <c r="T491" s="0" t="n">
        <v>0.228417986583045</v>
      </c>
      <c r="U491" s="0" t="n">
        <v>3.8439556056656</v>
      </c>
      <c r="V491" s="0" t="n">
        <v>0.168695411337626</v>
      </c>
      <c r="W491" s="0" t="n">
        <f aca="false">Q491-V491</f>
        <v>0</v>
      </c>
    </row>
    <row r="492" customFormat="false" ht="15" hidden="false" customHeight="false" outlineLevel="0" collapsed="false">
      <c r="A492" s="0" t="s">
        <v>526</v>
      </c>
      <c r="B492" s="0" t="s">
        <v>3013</v>
      </c>
      <c r="C492" s="0" t="n">
        <v>18.7769110128508</v>
      </c>
      <c r="D492" s="0" t="n">
        <f aca="false">SUMPRODUCT(Risk_Inputs!B492:AJ492,Risk_Coefs!$B$2:$AJ$2)</f>
        <v>-0.898645207802567</v>
      </c>
      <c r="E492" s="0" t="n">
        <f aca="false">1/(1+EXP(-MAX(-25,MIN(25,D492))))</f>
        <v>0.289328987135709</v>
      </c>
      <c r="F492" s="0" t="n">
        <f aca="false">SUMPRODUCT(Risk_Inputs!B492:AJ492,Risk_Coefs!$B$3:$AJ$3)</f>
        <v>6.57729869953886</v>
      </c>
      <c r="G492" s="0" t="n">
        <f aca="false">MAX(0,F492)</f>
        <v>6.57729869953886</v>
      </c>
      <c r="H492" s="0" t="n">
        <f aca="false">(SUMPRODUCT(--ISNUMBER($E$2:$E$800),--($E$2:$E$800&lt;E492))+(SUMPRODUCT(--ISNUMBER($E$2:$E$800),--($E$2:$E$800=E492))+1)/2)/COUNT($E$2:$E$800)</f>
        <v>0.520650813516896</v>
      </c>
      <c r="I492" s="0" t="n">
        <f aca="false">(SUMPRODUCT(--ISNUMBER($G$2:$G$800),--($G$2:$G$800&lt;G492))+(SUMPRODUCT(--ISNUMBER($G$2:$G$800),--($G$2:$G$800=G492))+1)/2)/COUNT($G$2:$G$800)</f>
        <v>0.359198998748436</v>
      </c>
      <c r="J492" s="0" t="n">
        <v>5.12361561695972</v>
      </c>
      <c r="K492" s="0" t="n">
        <v>2.75376240794109</v>
      </c>
      <c r="L492" s="0" t="n">
        <v>0.16010246557797</v>
      </c>
      <c r="M492" s="0" t="n">
        <f aca="false">IF(OR(B492="NW",COUNT(Risk_Rank_Keys!B492)=0),0.5,(SUMPRODUCT(--ISNUMBER(Risk_Rank_Keys!$B$2:$B$800),--(Risk_Rank_Keys!$B$2:$B$800&lt;Risk_Rank_Keys!B492))+(SUMPRODUCT(--ISNUMBER(Risk_Rank_Keys!$B$2:$B$800),--(Risk_Rank_Keys!$B$2:$B$800=Risk_Rank_Keys!B492))+1)/2)/COUNT(Risk_Rank_Keys!$B$2:$B$800))</f>
        <v>0.142259414225941</v>
      </c>
      <c r="N492" s="0" t="n">
        <f aca="false">IF(OR(B492="NW",COUNT(Risk_Rank_Keys!C492)=0),0.5,(SUMPRODUCT(--ISNUMBER(Risk_Rank_Keys!$C$2:$C$800),--(Risk_Rank_Keys!$C$2:$C$800&lt;Risk_Rank_Keys!C492))+(SUMPRODUCT(--ISNUMBER(Risk_Rank_Keys!$C$2:$C$800),--(Risk_Rank_Keys!$C$2:$C$800=Risk_Rank_Keys!C492))+1)/2)/COUNT(Risk_Rank_Keys!$C$2:$C$800))</f>
        <v>0.435146443514644</v>
      </c>
      <c r="O492" s="0" t="n">
        <f aca="false">IF(OR(B492="NW",COUNT(Risk_Rank_Keys!D492)=0),0.5,(SUMPRODUCT(--ISNUMBER(Risk_Rank_Keys!$D$2:$D$800),--(Risk_Rank_Keys!$D$2:$D$800&lt;Risk_Rank_Keys!D492))+(SUMPRODUCT(--ISNUMBER(Risk_Rank_Keys!$D$2:$D$800),--(Risk_Rank_Keys!$D$2:$D$800=Risk_Rank_Keys!D492))+1)/2)/COUNT(Risk_Rank_Keys!$D$2:$D$800))</f>
        <v>0.135285913528591</v>
      </c>
      <c r="P492" s="0" t="n">
        <f aca="false">AVERAGE(M492:O492)</f>
        <v>0.237563923756392</v>
      </c>
      <c r="Q492" s="0" t="n">
        <f aca="false">0.4*H492+0.4*I492+0.2*P492</f>
        <v>0.399452709657411</v>
      </c>
      <c r="R492" s="0" t="n">
        <f aca="false">PERCENTILE($Q$2:$Q$800,0.75)</f>
        <v>0.667715717403612</v>
      </c>
      <c r="S492" s="1" t="b">
        <f aca="false">OR(Q492&gt;=R492,AND(B492="CW",COUNT(J492:L492)&lt;3))</f>
        <v>0</v>
      </c>
      <c r="T492" s="0" t="n">
        <v>0.289328987135709</v>
      </c>
      <c r="U492" s="0" t="n">
        <v>6.57729869953886</v>
      </c>
      <c r="V492" s="0" t="n">
        <v>0.399452709657411</v>
      </c>
      <c r="W492" s="0" t="n">
        <f aca="false">Q492-V492</f>
        <v>0</v>
      </c>
    </row>
    <row r="493" customFormat="false" ht="15" hidden="false" customHeight="false" outlineLevel="0" collapsed="false">
      <c r="A493" s="0" t="s">
        <v>527</v>
      </c>
      <c r="B493" s="0" t="s">
        <v>3013</v>
      </c>
      <c r="C493" s="0" t="n">
        <v>25.3846525439916</v>
      </c>
      <c r="D493" s="0" t="n">
        <f aca="false">SUMPRODUCT(Risk_Inputs!B493:AJ493,Risk_Coefs!$B$2:$AJ$2)</f>
        <v>-1.87264936927678</v>
      </c>
      <c r="E493" s="0" t="n">
        <f aca="false">1/(1+EXP(-MAX(-25,MIN(25,D493))))</f>
        <v>0.133235465954858</v>
      </c>
      <c r="F493" s="0" t="n">
        <f aca="false">SUMPRODUCT(Risk_Inputs!B493:AJ493,Risk_Coefs!$B$3:$AJ$3)</f>
        <v>2.36934081900101</v>
      </c>
      <c r="G493" s="0" t="n">
        <f aca="false">MAX(0,F493)</f>
        <v>2.36934081900101</v>
      </c>
      <c r="H493" s="0" t="n">
        <f aca="false">(SUMPRODUCT(--ISNUMBER($E$2:$E$800),--($E$2:$E$800&lt;E493))+(SUMPRODUCT(--ISNUMBER($E$2:$E$800),--($E$2:$E$800=E493))+1)/2)/COUNT($E$2:$E$800)</f>
        <v>0.00876095118898623</v>
      </c>
      <c r="I493" s="0" t="n">
        <f aca="false">(SUMPRODUCT(--ISNUMBER($G$2:$G$800),--($G$2:$G$800&lt;G493))+(SUMPRODUCT(--ISNUMBER($G$2:$G$800),--($G$2:$G$800=G493))+1)/2)/COUNT($G$2:$G$800)</f>
        <v>0.0125156445556946</v>
      </c>
      <c r="J493" s="0" t="n">
        <v>45.7729554598222</v>
      </c>
      <c r="K493" s="0" t="n">
        <v>10.0649350649351</v>
      </c>
      <c r="L493" s="0" t="n">
        <v>0.229182582123756</v>
      </c>
      <c r="M493" s="0" t="n">
        <f aca="false">IF(OR(B493="NW",COUNT(Risk_Rank_Keys!B493)=0),0.5,(SUMPRODUCT(--ISNUMBER(Risk_Rank_Keys!$B$2:$B$800),--(Risk_Rank_Keys!$B$2:$B$800&lt;Risk_Rank_Keys!B493))+(SUMPRODUCT(--ISNUMBER(Risk_Rank_Keys!$B$2:$B$800),--(Risk_Rank_Keys!$B$2:$B$800=Risk_Rank_Keys!B493))+1)/2)/COUNT(Risk_Rank_Keys!$B$2:$B$800))</f>
        <v>0.97071129707113</v>
      </c>
      <c r="N493" s="0" t="n">
        <f aca="false">IF(OR(B493="NW",COUNT(Risk_Rank_Keys!C493)=0),0.5,(SUMPRODUCT(--ISNUMBER(Risk_Rank_Keys!$C$2:$C$800),--(Risk_Rank_Keys!$C$2:$C$800&lt;Risk_Rank_Keys!C493))+(SUMPRODUCT(--ISNUMBER(Risk_Rank_Keys!$C$2:$C$800),--(Risk_Rank_Keys!$C$2:$C$800=Risk_Rank_Keys!C493))+1)/2)/COUNT(Risk_Rank_Keys!$C$2:$C$800))</f>
        <v>0.884239888423989</v>
      </c>
      <c r="O493" s="0" t="n">
        <f aca="false">IF(OR(B493="NW",COUNT(Risk_Rank_Keys!D493)=0),0.5,(SUMPRODUCT(--ISNUMBER(Risk_Rank_Keys!$D$2:$D$800),--(Risk_Rank_Keys!$D$2:$D$800&lt;Risk_Rank_Keys!D493))+(SUMPRODUCT(--ISNUMBER(Risk_Rank_Keys!$D$2:$D$800),--(Risk_Rank_Keys!$D$2:$D$800=Risk_Rank_Keys!D493))+1)/2)/COUNT(Risk_Rank_Keys!$D$2:$D$800))</f>
        <v>0.496513249651325</v>
      </c>
      <c r="P493" s="0" t="n">
        <f aca="false">AVERAGE(M493:O493)</f>
        <v>0.783821478382148</v>
      </c>
      <c r="Q493" s="0" t="n">
        <f aca="false">0.4*H493+0.4*I493+0.2*P493</f>
        <v>0.165274933974302</v>
      </c>
      <c r="R493" s="0" t="n">
        <f aca="false">PERCENTILE($Q$2:$Q$800,0.75)</f>
        <v>0.667715717403612</v>
      </c>
      <c r="S493" s="1" t="b">
        <f aca="false">OR(Q493&gt;=R493,AND(B493="CW",COUNT(J493:L493)&lt;3))</f>
        <v>0</v>
      </c>
      <c r="T493" s="0" t="n">
        <v>0.133235465954859</v>
      </c>
      <c r="U493" s="0" t="n">
        <v>2.36934081900101</v>
      </c>
      <c r="V493" s="0" t="n">
        <v>0.165274933974302</v>
      </c>
      <c r="W493" s="0" t="n">
        <f aca="false">Q493-V493</f>
        <v>0</v>
      </c>
    </row>
    <row r="494" customFormat="false" ht="15" hidden="false" customHeight="false" outlineLevel="0" collapsed="false">
      <c r="A494" s="0" t="s">
        <v>528</v>
      </c>
      <c r="B494" s="0" t="s">
        <v>3013</v>
      </c>
      <c r="C494" s="0" t="n">
        <v>11.5359383042272</v>
      </c>
      <c r="D494" s="0" t="n">
        <f aca="false">SUMPRODUCT(Risk_Inputs!B494:AJ494,Risk_Coefs!$B$2:$AJ$2)</f>
        <v>-0.926975934558035</v>
      </c>
      <c r="E494" s="0" t="n">
        <f aca="false">1/(1+EXP(-MAX(-25,MIN(25,D494))))</f>
        <v>0.283538634364512</v>
      </c>
      <c r="F494" s="0" t="n">
        <f aca="false">SUMPRODUCT(Risk_Inputs!B494:AJ494,Risk_Coefs!$B$3:$AJ$3)</f>
        <v>8.22710574280036</v>
      </c>
      <c r="G494" s="0" t="n">
        <f aca="false">MAX(0,F494)</f>
        <v>8.22710574280036</v>
      </c>
      <c r="H494" s="0" t="n">
        <f aca="false">(SUMPRODUCT(--ISNUMBER($E$2:$E$800),--($E$2:$E$800&lt;E494))+(SUMPRODUCT(--ISNUMBER($E$2:$E$800),--($E$2:$E$800=E494))+1)/2)/COUNT($E$2:$E$800)</f>
        <v>0.478097622027534</v>
      </c>
      <c r="I494" s="0" t="n">
        <f aca="false">(SUMPRODUCT(--ISNUMBER($G$2:$G$800),--($G$2:$G$800&lt;G494))+(SUMPRODUCT(--ISNUMBER($G$2:$G$800),--($G$2:$G$800=G494))+1)/2)/COUNT($G$2:$G$800)</f>
        <v>0.570713391739675</v>
      </c>
      <c r="J494" s="0" t="n">
        <v>5.93232719883543</v>
      </c>
      <c r="K494" s="0" t="n">
        <v>1.61673799334283</v>
      </c>
      <c r="L494" s="0" t="n">
        <v>0.237755587256301</v>
      </c>
      <c r="M494" s="0" t="n">
        <f aca="false">IF(OR(B494="NW",COUNT(Risk_Rank_Keys!B494)=0),0.5,(SUMPRODUCT(--ISNUMBER(Risk_Rank_Keys!$B$2:$B$800),--(Risk_Rank_Keys!$B$2:$B$800&lt;Risk_Rank_Keys!B494))+(SUMPRODUCT(--ISNUMBER(Risk_Rank_Keys!$B$2:$B$800),--(Risk_Rank_Keys!$B$2:$B$800=Risk_Rank_Keys!B494))+1)/2)/COUNT(Risk_Rank_Keys!$B$2:$B$800))</f>
        <v>0.220362622036262</v>
      </c>
      <c r="N494" s="0" t="n">
        <f aca="false">IF(OR(B494="NW",COUNT(Risk_Rank_Keys!C494)=0),0.5,(SUMPRODUCT(--ISNUMBER(Risk_Rank_Keys!$C$2:$C$800),--(Risk_Rank_Keys!$C$2:$C$800&lt;Risk_Rank_Keys!C494))+(SUMPRODUCT(--ISNUMBER(Risk_Rank_Keys!$C$2:$C$800),--(Risk_Rank_Keys!$C$2:$C$800=Risk_Rank_Keys!C494))+1)/2)/COUNT(Risk_Rank_Keys!$C$2:$C$800))</f>
        <v>0.163179916317992</v>
      </c>
      <c r="O494" s="0" t="n">
        <f aca="false">IF(OR(B494="NW",COUNT(Risk_Rank_Keys!D494)=0),0.5,(SUMPRODUCT(--ISNUMBER(Risk_Rank_Keys!$D$2:$D$800),--(Risk_Rank_Keys!$D$2:$D$800&lt;Risk_Rank_Keys!D494))+(SUMPRODUCT(--ISNUMBER(Risk_Rank_Keys!$D$2:$D$800),--(Risk_Rank_Keys!$D$2:$D$800=Risk_Rank_Keys!D494))+1)/2)/COUNT(Risk_Rank_Keys!$D$2:$D$800))</f>
        <v>0.529986052998605</v>
      </c>
      <c r="P494" s="0" t="n">
        <f aca="false">AVERAGE(M494:O494)</f>
        <v>0.304509530450953</v>
      </c>
      <c r="Q494" s="0" t="n">
        <f aca="false">0.4*H494+0.4*I494+0.2*P494</f>
        <v>0.480426311597074</v>
      </c>
      <c r="R494" s="0" t="n">
        <f aca="false">PERCENTILE($Q$2:$Q$800,0.75)</f>
        <v>0.667715717403612</v>
      </c>
      <c r="S494" s="1" t="b">
        <f aca="false">OR(Q494&gt;=R494,AND(B494="CW",COUNT(J494:L494)&lt;3))</f>
        <v>0</v>
      </c>
      <c r="T494" s="0" t="n">
        <v>0.283538634364512</v>
      </c>
      <c r="U494" s="0" t="n">
        <v>8.22710574280037</v>
      </c>
      <c r="V494" s="0" t="n">
        <v>0.480426311597074</v>
      </c>
      <c r="W494" s="0" t="n">
        <f aca="false">Q494-V494</f>
        <v>0</v>
      </c>
    </row>
    <row r="495" customFormat="false" ht="15" hidden="false" customHeight="false" outlineLevel="0" collapsed="false">
      <c r="A495" s="0" t="s">
        <v>529</v>
      </c>
      <c r="B495" s="0" t="s">
        <v>3013</v>
      </c>
      <c r="C495" s="0" t="n">
        <v>27.0221218848833</v>
      </c>
      <c r="D495" s="0" t="n">
        <f aca="false">SUMPRODUCT(Risk_Inputs!B495:AJ495,Risk_Coefs!$B$2:$AJ$2)</f>
        <v>-0.679923877446749</v>
      </c>
      <c r="E495" s="0" t="n">
        <f aca="false">1/(1+EXP(-MAX(-25,MIN(25,D495))))</f>
        <v>0.336278292572583</v>
      </c>
      <c r="F495" s="0" t="n">
        <f aca="false">SUMPRODUCT(Risk_Inputs!B495:AJ495,Risk_Coefs!$B$3:$AJ$3)</f>
        <v>8.93477114697843</v>
      </c>
      <c r="G495" s="0" t="n">
        <f aca="false">MAX(0,F495)</f>
        <v>8.93477114697843</v>
      </c>
      <c r="H495" s="0" t="n">
        <f aca="false">(SUMPRODUCT(--ISNUMBER($E$2:$E$800),--($E$2:$E$800&lt;E495))+(SUMPRODUCT(--ISNUMBER($E$2:$E$800),--($E$2:$E$800=E495))+1)/2)/COUNT($E$2:$E$800)</f>
        <v>0.763454317897372</v>
      </c>
      <c r="I495" s="0" t="n">
        <f aca="false">(SUMPRODUCT(--ISNUMBER($G$2:$G$800),--($G$2:$G$800&lt;G495))+(SUMPRODUCT(--ISNUMBER($G$2:$G$800),--($G$2:$G$800=G495))+1)/2)/COUNT($G$2:$G$800)</f>
        <v>0.670838548185232</v>
      </c>
      <c r="J495" s="0" t="n">
        <v>6.16473945169046</v>
      </c>
      <c r="K495" s="0" t="n">
        <v>1.69700709657513</v>
      </c>
      <c r="L495" s="0" t="n">
        <v>0.215982721382295</v>
      </c>
      <c r="M495" s="0" t="n">
        <f aca="false">IF(OR(B495="NW",COUNT(Risk_Rank_Keys!B495)=0),0.5,(SUMPRODUCT(--ISNUMBER(Risk_Rank_Keys!$B$2:$B$800),--(Risk_Rank_Keys!$B$2:$B$800&lt;Risk_Rank_Keys!B495))+(SUMPRODUCT(--ISNUMBER(Risk_Rank_Keys!$B$2:$B$800),--(Risk_Rank_Keys!$B$2:$B$800=Risk_Rank_Keys!B495))+1)/2)/COUNT(Risk_Rank_Keys!$B$2:$B$800))</f>
        <v>0.234309623430962</v>
      </c>
      <c r="N495" s="0" t="n">
        <f aca="false">IF(OR(B495="NW",COUNT(Risk_Rank_Keys!C495)=0),0.5,(SUMPRODUCT(--ISNUMBER(Risk_Rank_Keys!$C$2:$C$800),--(Risk_Rank_Keys!$C$2:$C$800&lt;Risk_Rank_Keys!C495))+(SUMPRODUCT(--ISNUMBER(Risk_Rank_Keys!$C$2:$C$800),--(Risk_Rank_Keys!$C$2:$C$800=Risk_Rank_Keys!C495))+1)/2)/COUNT(Risk_Rank_Keys!$C$2:$C$800))</f>
        <v>0.191073919107392</v>
      </c>
      <c r="O495" s="0" t="n">
        <f aca="false">IF(OR(B495="NW",COUNT(Risk_Rank_Keys!D495)=0),0.5,(SUMPRODUCT(--ISNUMBER(Risk_Rank_Keys!$D$2:$D$800),--(Risk_Rank_Keys!$D$2:$D$800&lt;Risk_Rank_Keys!D495))+(SUMPRODUCT(--ISNUMBER(Risk_Rank_Keys!$D$2:$D$800),--(Risk_Rank_Keys!$D$2:$D$800=Risk_Rank_Keys!D495))+1)/2)/COUNT(Risk_Rank_Keys!$D$2:$D$800))</f>
        <v>0.419804741980474</v>
      </c>
      <c r="P495" s="0" t="n">
        <f aca="false">AVERAGE(M495:O495)</f>
        <v>0.281729428172943</v>
      </c>
      <c r="Q495" s="0" t="n">
        <f aca="false">0.4*H495+0.4*I495+0.2*P495</f>
        <v>0.63006303206763</v>
      </c>
      <c r="R495" s="0" t="n">
        <f aca="false">PERCENTILE($Q$2:$Q$800,0.75)</f>
        <v>0.667715717403612</v>
      </c>
      <c r="S495" s="1" t="b">
        <f aca="false">OR(Q495&gt;=R495,AND(B495="CW",COUNT(J495:L495)&lt;3))</f>
        <v>0</v>
      </c>
      <c r="T495" s="0" t="n">
        <v>0.336278292572583</v>
      </c>
      <c r="U495" s="0" t="n">
        <v>8.93477114697843</v>
      </c>
      <c r="V495" s="0" t="n">
        <v>0.63006303206763</v>
      </c>
      <c r="W495" s="0" t="n">
        <f aca="false">Q495-V495</f>
        <v>0</v>
      </c>
    </row>
    <row r="496" customFormat="false" ht="15" hidden="false" customHeight="false" outlineLevel="0" collapsed="false">
      <c r="A496" s="0" t="s">
        <v>530</v>
      </c>
      <c r="B496" s="0" t="s">
        <v>3013</v>
      </c>
      <c r="C496" s="0" t="n">
        <v>26.3556859147595</v>
      </c>
      <c r="D496" s="0" t="n">
        <f aca="false">SUMPRODUCT(Risk_Inputs!B496:AJ496,Risk_Coefs!$B$2:$AJ$2)</f>
        <v>-1.02137445835149</v>
      </c>
      <c r="E496" s="0" t="n">
        <f aca="false">1/(1+EXP(-MAX(-25,MIN(25,D496))))</f>
        <v>0.26475975918808</v>
      </c>
      <c r="F496" s="0" t="n">
        <f aca="false">SUMPRODUCT(Risk_Inputs!B496:AJ496,Risk_Coefs!$B$3:$AJ$3)</f>
        <v>6.54926013419998</v>
      </c>
      <c r="G496" s="0" t="n">
        <f aca="false">MAX(0,F496)</f>
        <v>6.54926013419998</v>
      </c>
      <c r="H496" s="0" t="n">
        <f aca="false">(SUMPRODUCT(--ISNUMBER($E$2:$E$800),--($E$2:$E$800&lt;E496))+(SUMPRODUCT(--ISNUMBER($E$2:$E$800),--($E$2:$E$800=E496))+1)/2)/COUNT($E$2:$E$800)</f>
        <v>0.366708385481852</v>
      </c>
      <c r="I496" s="0" t="n">
        <f aca="false">(SUMPRODUCT(--ISNUMBER($G$2:$G$800),--($G$2:$G$800&lt;G496))+(SUMPRODUCT(--ISNUMBER($G$2:$G$800),--($G$2:$G$800=G496))+1)/2)/COUNT($G$2:$G$800)</f>
        <v>0.34918648310388</v>
      </c>
      <c r="J496" s="0" t="n">
        <v>6.89372648864752</v>
      </c>
      <c r="K496" s="0" t="n">
        <v>2.13252094440214</v>
      </c>
      <c r="L496" s="0" t="n">
        <v>0.171363290175167</v>
      </c>
      <c r="M496" s="0" t="n">
        <f aca="false">IF(OR(B496="NW",COUNT(Risk_Rank_Keys!B496)=0),0.5,(SUMPRODUCT(--ISNUMBER(Risk_Rank_Keys!$B$2:$B$800),--(Risk_Rank_Keys!$B$2:$B$800&lt;Risk_Rank_Keys!B496))+(SUMPRODUCT(--ISNUMBER(Risk_Rank_Keys!$B$2:$B$800),--(Risk_Rank_Keys!$B$2:$B$800=Risk_Rank_Keys!B496))+1)/2)/COUNT(Risk_Rank_Keys!$B$2:$B$800))</f>
        <v>0.302649930264993</v>
      </c>
      <c r="N496" s="0" t="n">
        <f aca="false">IF(OR(B496="NW",COUNT(Risk_Rank_Keys!C496)=0),0.5,(SUMPRODUCT(--ISNUMBER(Risk_Rank_Keys!$C$2:$C$800),--(Risk_Rank_Keys!$C$2:$C$800&lt;Risk_Rank_Keys!C496))+(SUMPRODUCT(--ISNUMBER(Risk_Rank_Keys!$C$2:$C$800),--(Risk_Rank_Keys!$C$2:$C$800=Risk_Rank_Keys!C496))+1)/2)/COUNT(Risk_Rank_Keys!$C$2:$C$800))</f>
        <v>0.301255230125523</v>
      </c>
      <c r="O496" s="0" t="n">
        <f aca="false">IF(OR(B496="NW",COUNT(Risk_Rank_Keys!D496)=0),0.5,(SUMPRODUCT(--ISNUMBER(Risk_Rank_Keys!$D$2:$D$800),--(Risk_Rank_Keys!$D$2:$D$800&lt;Risk_Rank_Keys!D496))+(SUMPRODUCT(--ISNUMBER(Risk_Rank_Keys!$D$2:$D$800),--(Risk_Rank_Keys!$D$2:$D$800=Risk_Rank_Keys!D496))+1)/2)/COUNT(Risk_Rank_Keys!$D$2:$D$800))</f>
        <v>0.174337517433752</v>
      </c>
      <c r="P496" s="0" t="n">
        <f aca="false">AVERAGE(M496:O496)</f>
        <v>0.259414225941423</v>
      </c>
      <c r="Q496" s="0" t="n">
        <f aca="false">0.4*H496+0.4*I496+0.2*P496</f>
        <v>0.338240792622577</v>
      </c>
      <c r="R496" s="0" t="n">
        <f aca="false">PERCENTILE($Q$2:$Q$800,0.75)</f>
        <v>0.667715717403612</v>
      </c>
      <c r="S496" s="1" t="b">
        <f aca="false">OR(Q496&gt;=R496,AND(B496="CW",COUNT(J496:L496)&lt;3))</f>
        <v>0</v>
      </c>
      <c r="T496" s="0" t="n">
        <v>0.26475975918808</v>
      </c>
      <c r="U496" s="0" t="n">
        <v>6.54926013419998</v>
      </c>
      <c r="V496" s="0" t="n">
        <v>0.338240792622577</v>
      </c>
      <c r="W496" s="0" t="n">
        <f aca="false">Q496-V496</f>
        <v>0</v>
      </c>
    </row>
    <row r="497" customFormat="false" ht="15" hidden="false" customHeight="false" outlineLevel="0" collapsed="false">
      <c r="A497" s="0" t="s">
        <v>531</v>
      </c>
      <c r="B497" s="0" t="s">
        <v>3013</v>
      </c>
      <c r="C497" s="0" t="n">
        <v>29.3650894001619</v>
      </c>
      <c r="D497" s="0" t="n">
        <f aca="false">SUMPRODUCT(Risk_Inputs!B497:AJ497,Risk_Coefs!$B$2:$AJ$2)</f>
        <v>-0.653832798692347</v>
      </c>
      <c r="E497" s="0" t="n">
        <f aca="false">1/(1+EXP(-MAX(-25,MIN(25,D497))))</f>
        <v>0.342126345417156</v>
      </c>
      <c r="F497" s="0" t="n">
        <f aca="false">SUMPRODUCT(Risk_Inputs!B497:AJ497,Risk_Coefs!$B$3:$AJ$3)</f>
        <v>6.50570415937991</v>
      </c>
      <c r="G497" s="0" t="n">
        <f aca="false">MAX(0,F497)</f>
        <v>6.50570415937991</v>
      </c>
      <c r="H497" s="0" t="n">
        <f aca="false">(SUMPRODUCT(--ISNUMBER($E$2:$E$800),--($E$2:$E$800&lt;E497))+(SUMPRODUCT(--ISNUMBER($E$2:$E$800),--($E$2:$E$800=E497))+1)/2)/COUNT($E$2:$E$800)</f>
        <v>0.7909887359199</v>
      </c>
      <c r="I497" s="0" t="n">
        <f aca="false">(SUMPRODUCT(--ISNUMBER($G$2:$G$800),--($G$2:$G$800&lt;G497))+(SUMPRODUCT(--ISNUMBER($G$2:$G$800),--($G$2:$G$800=G497))+1)/2)/COUNT($G$2:$G$800)</f>
        <v>0.342928660826033</v>
      </c>
      <c r="J497" s="0" t="n">
        <v>6.63190684069007</v>
      </c>
      <c r="K497" s="0" t="n">
        <v>3.61681329423265</v>
      </c>
      <c r="L497" s="0" t="n">
        <v>0.215053763440865</v>
      </c>
      <c r="M497" s="0" t="n">
        <f aca="false">IF(OR(B497="NW",COUNT(Risk_Rank_Keys!B497)=0),0.5,(SUMPRODUCT(--ISNUMBER(Risk_Rank_Keys!$B$2:$B$800),--(Risk_Rank_Keys!$B$2:$B$800&lt;Risk_Rank_Keys!B497))+(SUMPRODUCT(--ISNUMBER(Risk_Rank_Keys!$B$2:$B$800),--(Risk_Rank_Keys!$B$2:$B$800=Risk_Rank_Keys!B497))+1)/2)/COUNT(Risk_Rank_Keys!$B$2:$B$800))</f>
        <v>0.285913528591353</v>
      </c>
      <c r="N497" s="0" t="n">
        <f aca="false">IF(OR(B497="NW",COUNT(Risk_Rank_Keys!C497)=0),0.5,(SUMPRODUCT(--ISNUMBER(Risk_Rank_Keys!$C$2:$C$800),--(Risk_Rank_Keys!$C$2:$C$800&lt;Risk_Rank_Keys!C497))+(SUMPRODUCT(--ISNUMBER(Risk_Rank_Keys!$C$2:$C$800),--(Risk_Rank_Keys!$C$2:$C$800=Risk_Rank_Keys!C497))+1)/2)/COUNT(Risk_Rank_Keys!$C$2:$C$800))</f>
        <v>0.543933054393305</v>
      </c>
      <c r="O497" s="0" t="n">
        <f aca="false">IF(OR(B497="NW",COUNT(Risk_Rank_Keys!D497)=0),0.5,(SUMPRODUCT(--ISNUMBER(Risk_Rank_Keys!$D$2:$D$800),--(Risk_Rank_Keys!$D$2:$D$800&lt;Risk_Rank_Keys!D497))+(SUMPRODUCT(--ISNUMBER(Risk_Rank_Keys!$D$2:$D$800),--(Risk_Rank_Keys!$D$2:$D$800=Risk_Rank_Keys!D497))+1)/2)/COUNT(Risk_Rank_Keys!$D$2:$D$800))</f>
        <v>0.412831241283124</v>
      </c>
      <c r="P497" s="0" t="n">
        <f aca="false">AVERAGE(M497:O497)</f>
        <v>0.414225941422594</v>
      </c>
      <c r="Q497" s="0" t="n">
        <f aca="false">0.4*H497+0.4*I497+0.2*P497</f>
        <v>0.536412146982892</v>
      </c>
      <c r="R497" s="0" t="n">
        <f aca="false">PERCENTILE($Q$2:$Q$800,0.75)</f>
        <v>0.667715717403612</v>
      </c>
      <c r="S497" s="1" t="b">
        <f aca="false">OR(Q497&gt;=R497,AND(B497="CW",COUNT(J497:L497)&lt;3))</f>
        <v>0</v>
      </c>
      <c r="T497" s="0" t="n">
        <v>0.342126345417156</v>
      </c>
      <c r="U497" s="0" t="n">
        <v>6.50570415937991</v>
      </c>
      <c r="V497" s="0" t="n">
        <v>0.536412146982892</v>
      </c>
      <c r="W497" s="0" t="n">
        <f aca="false">Q497-V497</f>
        <v>0</v>
      </c>
    </row>
    <row r="498" customFormat="false" ht="15" hidden="false" customHeight="false" outlineLevel="0" collapsed="false">
      <c r="A498" s="0" t="s">
        <v>532</v>
      </c>
      <c r="B498" s="0" t="s">
        <v>3013</v>
      </c>
      <c r="C498" s="0" t="n">
        <v>-39.8429014660043</v>
      </c>
      <c r="D498" s="0" t="n">
        <f aca="false">SUMPRODUCT(Risk_Inputs!B498:AJ498,Risk_Coefs!$B$2:$AJ$2)</f>
        <v>-1.09993515453506</v>
      </c>
      <c r="E498" s="0" t="n">
        <f aca="false">1/(1+EXP(-MAX(-25,MIN(25,D498))))</f>
        <v>0.249752044689011</v>
      </c>
      <c r="F498" s="0" t="n">
        <f aca="false">SUMPRODUCT(Risk_Inputs!B498:AJ498,Risk_Coefs!$B$3:$AJ$3)</f>
        <v>8.7087843217966</v>
      </c>
      <c r="G498" s="0" t="n">
        <f aca="false">MAX(0,F498)</f>
        <v>8.7087843217966</v>
      </c>
      <c r="H498" s="0" t="n">
        <f aca="false">(SUMPRODUCT(--ISNUMBER($E$2:$E$800),--($E$2:$E$800&lt;E498))+(SUMPRODUCT(--ISNUMBER($E$2:$E$800),--($E$2:$E$800=E498))+1)/2)/COUNT($E$2:$E$800)</f>
        <v>0.265331664580726</v>
      </c>
      <c r="I498" s="0" t="n">
        <f aca="false">(SUMPRODUCT(--ISNUMBER($G$2:$G$800),--($G$2:$G$800&lt;G498))+(SUMPRODUCT(--ISNUMBER($G$2:$G$800),--($G$2:$G$800=G498))+1)/2)/COUNT($G$2:$G$800)</f>
        <v>0.634543178973717</v>
      </c>
      <c r="J498" s="0" t="n">
        <v>13.7448289271642</v>
      </c>
      <c r="K498" s="0" t="n">
        <v>28.9925208974923</v>
      </c>
      <c r="L498" s="0" t="n">
        <v>0.395952485701706</v>
      </c>
      <c r="M498" s="0" t="n">
        <f aca="false">IF(OR(B498="NW",COUNT(Risk_Rank_Keys!B498)=0),0.5,(SUMPRODUCT(--ISNUMBER(Risk_Rank_Keys!$B$2:$B$800),--(Risk_Rank_Keys!$B$2:$B$800&lt;Risk_Rank_Keys!B498))+(SUMPRODUCT(--ISNUMBER(Risk_Rank_Keys!$B$2:$B$800),--(Risk_Rank_Keys!$B$2:$B$800=Risk_Rank_Keys!B498))+1)/2)/COUNT(Risk_Rank_Keys!$B$2:$B$800))</f>
        <v>0.670850767085077</v>
      </c>
      <c r="N498" s="0" t="n">
        <f aca="false">IF(OR(B498="NW",COUNT(Risk_Rank_Keys!C498)=0),0.5,(SUMPRODUCT(--ISNUMBER(Risk_Rank_Keys!$C$2:$C$800),--(Risk_Rank_Keys!$C$2:$C$800&lt;Risk_Rank_Keys!C498))+(SUMPRODUCT(--ISNUMBER(Risk_Rank_Keys!$C$2:$C$800),--(Risk_Rank_Keys!$C$2:$C$800=Risk_Rank_Keys!C498))+1)/2)/COUNT(Risk_Rank_Keys!$C$2:$C$800))</f>
        <v>0.98465829846583</v>
      </c>
      <c r="O498" s="0" t="n">
        <f aca="false">IF(OR(B498="NW",COUNT(Risk_Rank_Keys!D498)=0),0.5,(SUMPRODUCT(--ISNUMBER(Risk_Rank_Keys!$D$2:$D$800),--(Risk_Rank_Keys!$D$2:$D$800&lt;Risk_Rank_Keys!D498))+(SUMPRODUCT(--ISNUMBER(Risk_Rank_Keys!$D$2:$D$800),--(Risk_Rank_Keys!$D$2:$D$800=Risk_Rank_Keys!D498))+1)/2)/COUNT(Risk_Rank_Keys!$D$2:$D$800))</f>
        <v>0.877266387726639</v>
      </c>
      <c r="P498" s="0" t="n">
        <f aca="false">AVERAGE(M498:O498)</f>
        <v>0.844258484425848</v>
      </c>
      <c r="Q498" s="0" t="n">
        <f aca="false">0.4*H498+0.4*I498+0.2*P498</f>
        <v>0.528801634306947</v>
      </c>
      <c r="R498" s="0" t="n">
        <f aca="false">PERCENTILE($Q$2:$Q$800,0.75)</f>
        <v>0.667715717403612</v>
      </c>
      <c r="S498" s="1" t="b">
        <f aca="false">OR(Q498&gt;=R498,AND(B498="CW",COUNT(J498:L498)&lt;3))</f>
        <v>0</v>
      </c>
      <c r="T498" s="0" t="n">
        <v>0.249752044689011</v>
      </c>
      <c r="U498" s="0" t="n">
        <v>8.7087843217966</v>
      </c>
      <c r="V498" s="0" t="n">
        <v>0.528801634306947</v>
      </c>
      <c r="W498" s="0" t="n">
        <f aca="false">Q498-V498</f>
        <v>0</v>
      </c>
    </row>
    <row r="499" customFormat="false" ht="15" hidden="false" customHeight="false" outlineLevel="0" collapsed="false">
      <c r="A499" s="0" t="s">
        <v>533</v>
      </c>
      <c r="B499" s="0" t="s">
        <v>3013</v>
      </c>
      <c r="C499" s="0" t="n">
        <v>7.05359865147343</v>
      </c>
      <c r="D499" s="0" t="n">
        <f aca="false">SUMPRODUCT(Risk_Inputs!B499:AJ499,Risk_Coefs!$B$2:$AJ$2)</f>
        <v>-0.885308408150421</v>
      </c>
      <c r="E499" s="0" t="n">
        <f aca="false">1/(1+EXP(-MAX(-25,MIN(25,D499))))</f>
        <v>0.292078955291339</v>
      </c>
      <c r="F499" s="0" t="n">
        <f aca="false">SUMPRODUCT(Risk_Inputs!B499:AJ499,Risk_Coefs!$B$3:$AJ$3)</f>
        <v>8.20511367842612</v>
      </c>
      <c r="G499" s="0" t="n">
        <f aca="false">MAX(0,F499)</f>
        <v>8.20511367842612</v>
      </c>
      <c r="H499" s="0" t="n">
        <f aca="false">(SUMPRODUCT(--ISNUMBER($E$2:$E$800),--($E$2:$E$800&lt;E499))+(SUMPRODUCT(--ISNUMBER($E$2:$E$800),--($E$2:$E$800=E499))+1)/2)/COUNT($E$2:$E$800)</f>
        <v>0.53566958698373</v>
      </c>
      <c r="I499" s="0" t="n">
        <f aca="false">(SUMPRODUCT(--ISNUMBER($G$2:$G$800),--($G$2:$G$800&lt;G499))+(SUMPRODUCT(--ISNUMBER($G$2:$G$800),--($G$2:$G$800=G499))+1)/2)/COUNT($G$2:$G$800)</f>
        <v>0.565707133917397</v>
      </c>
      <c r="J499" s="0" t="n">
        <v>3.63746052024751</v>
      </c>
      <c r="K499" s="0" t="n">
        <v>1.69270833333335</v>
      </c>
      <c r="L499" s="0" t="n">
        <v>0.195312500000001</v>
      </c>
      <c r="M499" s="0" t="n">
        <f aca="false">IF(OR(B499="NW",COUNT(Risk_Rank_Keys!B499)=0),0.5,(SUMPRODUCT(--ISNUMBER(Risk_Rank_Keys!$B$2:$B$800),--(Risk_Rank_Keys!$B$2:$B$800&lt;Risk_Rank_Keys!B499))+(SUMPRODUCT(--ISNUMBER(Risk_Rank_Keys!$B$2:$B$800),--(Risk_Rank_Keys!$B$2:$B$800=Risk_Rank_Keys!B499))+1)/2)/COUNT(Risk_Rank_Keys!$B$2:$B$800))</f>
        <v>0.0502092050209205</v>
      </c>
      <c r="N499" s="0" t="n">
        <f aca="false">IF(OR(B499="NW",COUNT(Risk_Rank_Keys!C499)=0),0.5,(SUMPRODUCT(--ISNUMBER(Risk_Rank_Keys!$C$2:$C$800),--(Risk_Rank_Keys!$C$2:$C$800&lt;Risk_Rank_Keys!C499))+(SUMPRODUCT(--ISNUMBER(Risk_Rank_Keys!$C$2:$C$800),--(Risk_Rank_Keys!$C$2:$C$800=Risk_Rank_Keys!C499))+1)/2)/COUNT(Risk_Rank_Keys!$C$2:$C$800))</f>
        <v>0.188284518828452</v>
      </c>
      <c r="O499" s="0" t="n">
        <f aca="false">IF(OR(B499="NW",COUNT(Risk_Rank_Keys!D499)=0),0.5,(SUMPRODUCT(--ISNUMBER(Risk_Rank_Keys!$D$2:$D$800),--(Risk_Rank_Keys!$D$2:$D$800&lt;Risk_Rank_Keys!D499))+(SUMPRODUCT(--ISNUMBER(Risk_Rank_Keys!$D$2:$D$800),--(Risk_Rank_Keys!$D$2:$D$800=Risk_Rank_Keys!D499))+1)/2)/COUNT(Risk_Rank_Keys!$D$2:$D$800))</f>
        <v>0.288702928870293</v>
      </c>
      <c r="P499" s="0" t="n">
        <f aca="false">AVERAGE(M499:O499)</f>
        <v>0.175732217573222</v>
      </c>
      <c r="Q499" s="0" t="n">
        <f aca="false">0.4*H499+0.4*I499+0.2*P499</f>
        <v>0.475697131875095</v>
      </c>
      <c r="R499" s="0" t="n">
        <f aca="false">PERCENTILE($Q$2:$Q$800,0.75)</f>
        <v>0.667715717403612</v>
      </c>
      <c r="S499" s="1" t="b">
        <f aca="false">OR(Q499&gt;=R499,AND(B499="CW",COUNT(J499:L499)&lt;3))</f>
        <v>0</v>
      </c>
      <c r="T499" s="0" t="n">
        <v>0.292078955291339</v>
      </c>
      <c r="U499" s="0" t="n">
        <v>8.20511367842612</v>
      </c>
      <c r="V499" s="0" t="n">
        <v>0.475697131875095</v>
      </c>
      <c r="W499" s="0" t="n">
        <f aca="false">Q499-V499</f>
        <v>0</v>
      </c>
    </row>
    <row r="500" customFormat="false" ht="15" hidden="false" customHeight="false" outlineLevel="0" collapsed="false">
      <c r="A500" s="0" t="s">
        <v>534</v>
      </c>
      <c r="B500" s="0" t="s">
        <v>3013</v>
      </c>
      <c r="C500" s="0" t="n">
        <v>57.8206747207703</v>
      </c>
      <c r="D500" s="0" t="n">
        <f aca="false">SUMPRODUCT(Risk_Inputs!B500:AJ500,Risk_Coefs!$B$2:$AJ$2)</f>
        <v>-1.46172577465294</v>
      </c>
      <c r="E500" s="0" t="n">
        <f aca="false">1/(1+EXP(-MAX(-25,MIN(25,D500))))</f>
        <v>0.188203514380003</v>
      </c>
      <c r="F500" s="0" t="n">
        <f aca="false">SUMPRODUCT(Risk_Inputs!B500:AJ500,Risk_Coefs!$B$3:$AJ$3)</f>
        <v>6.74406902588709</v>
      </c>
      <c r="G500" s="0" t="n">
        <f aca="false">MAX(0,F500)</f>
        <v>6.74406902588709</v>
      </c>
      <c r="H500" s="0" t="n">
        <f aca="false">(SUMPRODUCT(--ISNUMBER($E$2:$E$800),--($E$2:$E$800&lt;E500))+(SUMPRODUCT(--ISNUMBER($E$2:$E$800),--($E$2:$E$800=E500))+1)/2)/COUNT($E$2:$E$800)</f>
        <v>0.081351689612015</v>
      </c>
      <c r="I500" s="0" t="n">
        <f aca="false">(SUMPRODUCT(--ISNUMBER($G$2:$G$800),--($G$2:$G$800&lt;G500))+(SUMPRODUCT(--ISNUMBER($G$2:$G$800),--($G$2:$G$800=G500))+1)/2)/COUNT($G$2:$G$800)</f>
        <v>0.385481852315394</v>
      </c>
      <c r="J500" s="0" t="n">
        <v>27.4049315648361</v>
      </c>
      <c r="K500" s="0" t="n">
        <v>21.2271341463415</v>
      </c>
      <c r="L500" s="0" t="n">
        <v>0.266768292682933</v>
      </c>
      <c r="M500" s="0" t="n">
        <f aca="false">IF(OR(B500="NW",COUNT(Risk_Rank_Keys!B500)=0),0.5,(SUMPRODUCT(--ISNUMBER(Risk_Rank_Keys!$B$2:$B$800),--(Risk_Rank_Keys!$B$2:$B$800&lt;Risk_Rank_Keys!B500))+(SUMPRODUCT(--ISNUMBER(Risk_Rank_Keys!$B$2:$B$800),--(Risk_Rank_Keys!$B$2:$B$800=Risk_Rank_Keys!B500))+1)/2)/COUNT(Risk_Rank_Keys!$B$2:$B$800))</f>
        <v>0.892608089260809</v>
      </c>
      <c r="N500" s="0" t="n">
        <f aca="false">IF(OR(B500="NW",COUNT(Risk_Rank_Keys!C500)=0),0.5,(SUMPRODUCT(--ISNUMBER(Risk_Rank_Keys!$C$2:$C$800),--(Risk_Rank_Keys!$C$2:$C$800&lt;Risk_Rank_Keys!C500))+(SUMPRODUCT(--ISNUMBER(Risk_Rank_Keys!$C$2:$C$800),--(Risk_Rank_Keys!$C$2:$C$800=Risk_Rank_Keys!C500))+1)/2)/COUNT(Risk_Rank_Keys!$C$2:$C$800))</f>
        <v>0.96373779637378</v>
      </c>
      <c r="O500" s="0" t="n">
        <f aca="false">IF(OR(B500="NW",COUNT(Risk_Rank_Keys!D500)=0),0.5,(SUMPRODUCT(--ISNUMBER(Risk_Rank_Keys!$D$2:$D$800),--(Risk_Rank_Keys!$D$2:$D$800&lt;Risk_Rank_Keys!D500))+(SUMPRODUCT(--ISNUMBER(Risk_Rank_Keys!$D$2:$D$800),--(Risk_Rank_Keys!$D$2:$D$800=Risk_Rank_Keys!D500))+1)/2)/COUNT(Risk_Rank_Keys!$D$2:$D$800))</f>
        <v>0.655509065550907</v>
      </c>
      <c r="P500" s="0" t="n">
        <f aca="false">AVERAGE(M500:O500)</f>
        <v>0.837284983728499</v>
      </c>
      <c r="Q500" s="0" t="n">
        <f aca="false">0.4*H500+0.4*I500+0.2*P500</f>
        <v>0.354190413516663</v>
      </c>
      <c r="R500" s="0" t="n">
        <f aca="false">PERCENTILE($Q$2:$Q$800,0.75)</f>
        <v>0.667715717403612</v>
      </c>
      <c r="S500" s="1" t="b">
        <f aca="false">OR(Q500&gt;=R500,AND(B500="CW",COUNT(J500:L500)&lt;3))</f>
        <v>0</v>
      </c>
      <c r="T500" s="0" t="n">
        <v>0.188203514380003</v>
      </c>
      <c r="U500" s="0" t="n">
        <v>6.74406902588709</v>
      </c>
      <c r="V500" s="0" t="n">
        <v>0.354190413516663</v>
      </c>
      <c r="W500" s="0" t="n">
        <f aca="false">Q500-V500</f>
        <v>0</v>
      </c>
    </row>
    <row r="501" customFormat="false" ht="15" hidden="false" customHeight="false" outlineLevel="0" collapsed="false">
      <c r="A501" s="0" t="s">
        <v>535</v>
      </c>
      <c r="B501" s="0" t="s">
        <v>3013</v>
      </c>
      <c r="C501" s="0" t="n">
        <v>-36.4026509720218</v>
      </c>
      <c r="D501" s="0" t="n">
        <f aca="false">SUMPRODUCT(Risk_Inputs!B501:AJ501,Risk_Coefs!$B$2:$AJ$2)</f>
        <v>-0.959886689800654</v>
      </c>
      <c r="E501" s="0" t="n">
        <f aca="false">1/(1+EXP(-MAX(-25,MIN(25,D501))))</f>
        <v>0.276900882038828</v>
      </c>
      <c r="F501" s="0" t="n">
        <f aca="false">SUMPRODUCT(Risk_Inputs!B501:AJ501,Risk_Coefs!$B$3:$AJ$3)</f>
        <v>7.56735880197286</v>
      </c>
      <c r="G501" s="0" t="n">
        <f aca="false">MAX(0,F501)</f>
        <v>7.56735880197286</v>
      </c>
      <c r="H501" s="0" t="n">
        <f aca="false">(SUMPRODUCT(--ISNUMBER($E$2:$E$800),--($E$2:$E$800&lt;E501))+(SUMPRODUCT(--ISNUMBER($E$2:$E$800),--($E$2:$E$800=E501))+1)/2)/COUNT($E$2:$E$800)</f>
        <v>0.44305381727159</v>
      </c>
      <c r="I501" s="0" t="n">
        <f aca="false">(SUMPRODUCT(--ISNUMBER($G$2:$G$800),--($G$2:$G$800&lt;G501))+(SUMPRODUCT(--ISNUMBER($G$2:$G$800),--($G$2:$G$800=G501))+1)/2)/COUNT($G$2:$G$800)</f>
        <v>0.490613266583229</v>
      </c>
      <c r="J501" s="0" t="n">
        <v>7.60412312453799</v>
      </c>
      <c r="K501" s="0" t="n">
        <v>3.63636363636364</v>
      </c>
      <c r="L501" s="0" t="n">
        <v>0.185950413223142</v>
      </c>
      <c r="M501" s="0" t="n">
        <f aca="false">IF(OR(B501="NW",COUNT(Risk_Rank_Keys!B501)=0),0.5,(SUMPRODUCT(--ISNUMBER(Risk_Rank_Keys!$B$2:$B$800),--(Risk_Rank_Keys!$B$2:$B$800&lt;Risk_Rank_Keys!B501))+(SUMPRODUCT(--ISNUMBER(Risk_Rank_Keys!$B$2:$B$800),--(Risk_Rank_Keys!$B$2:$B$800=Risk_Rank_Keys!B501))+1)/2)/COUNT(Risk_Rank_Keys!$B$2:$B$800))</f>
        <v>0.359832635983264</v>
      </c>
      <c r="N501" s="0" t="n">
        <f aca="false">IF(OR(B501="NW",COUNT(Risk_Rank_Keys!C501)=0),0.5,(SUMPRODUCT(--ISNUMBER(Risk_Rank_Keys!$C$2:$C$800),--(Risk_Rank_Keys!$C$2:$C$800&lt;Risk_Rank_Keys!C501))+(SUMPRODUCT(--ISNUMBER(Risk_Rank_Keys!$C$2:$C$800),--(Risk_Rank_Keys!$C$2:$C$800=Risk_Rank_Keys!C501))+1)/2)/COUNT(Risk_Rank_Keys!$C$2:$C$800))</f>
        <v>0.550906555090656</v>
      </c>
      <c r="O501" s="0" t="n">
        <f aca="false">IF(OR(B501="NW",COUNT(Risk_Rank_Keys!D501)=0),0.5,(SUMPRODUCT(--ISNUMBER(Risk_Rank_Keys!$D$2:$D$800),--(Risk_Rank_Keys!$D$2:$D$800&lt;Risk_Rank_Keys!D501))+(SUMPRODUCT(--ISNUMBER(Risk_Rank_Keys!$D$2:$D$800),--(Risk_Rank_Keys!$D$2:$D$800=Risk_Rank_Keys!D501))+1)/2)/COUNT(Risk_Rank_Keys!$D$2:$D$800))</f>
        <v>0.238493723849372</v>
      </c>
      <c r="P501" s="0" t="n">
        <f aca="false">AVERAGE(M501:O501)</f>
        <v>0.383077638307764</v>
      </c>
      <c r="Q501" s="0" t="n">
        <f aca="false">0.4*H501+0.4*I501+0.2*P501</f>
        <v>0.45008236120348</v>
      </c>
      <c r="R501" s="0" t="n">
        <f aca="false">PERCENTILE($Q$2:$Q$800,0.75)</f>
        <v>0.667715717403612</v>
      </c>
      <c r="S501" s="1" t="b">
        <f aca="false">OR(Q501&gt;=R501,AND(B501="CW",COUNT(J501:L501)&lt;3))</f>
        <v>0</v>
      </c>
      <c r="T501" s="0" t="n">
        <v>0.276900882038828</v>
      </c>
      <c r="U501" s="0" t="n">
        <v>7.56735880197286</v>
      </c>
      <c r="V501" s="0" t="n">
        <v>0.45008236120348</v>
      </c>
      <c r="W501" s="0" t="n">
        <f aca="false">Q501-V501</f>
        <v>0</v>
      </c>
    </row>
    <row r="502" customFormat="false" ht="15" hidden="false" customHeight="false" outlineLevel="0" collapsed="false">
      <c r="A502" s="0" t="s">
        <v>536</v>
      </c>
      <c r="B502" s="0" t="s">
        <v>3013</v>
      </c>
      <c r="C502" s="0" t="n">
        <v>4.55029253585794</v>
      </c>
      <c r="D502" s="0" t="n">
        <f aca="false">SUMPRODUCT(Risk_Inputs!B502:AJ502,Risk_Coefs!$B$2:$AJ$2)</f>
        <v>-0.855753941816683</v>
      </c>
      <c r="E502" s="0" t="n">
        <f aca="false">1/(1+EXP(-MAX(-25,MIN(25,D502))))</f>
        <v>0.298227231598119</v>
      </c>
      <c r="F502" s="0" t="n">
        <f aca="false">SUMPRODUCT(Risk_Inputs!B502:AJ502,Risk_Coefs!$B$3:$AJ$3)</f>
        <v>8.98776248707886</v>
      </c>
      <c r="G502" s="0" t="n">
        <f aca="false">MAX(0,F502)</f>
        <v>8.98776248707886</v>
      </c>
      <c r="H502" s="0" t="n">
        <f aca="false">(SUMPRODUCT(--ISNUMBER($E$2:$E$800),--($E$2:$E$800&lt;E502))+(SUMPRODUCT(--ISNUMBER($E$2:$E$800),--($E$2:$E$800=E502))+1)/2)/COUNT($E$2:$E$800)</f>
        <v>0.55819774718398</v>
      </c>
      <c r="I502" s="0" t="n">
        <f aca="false">(SUMPRODUCT(--ISNUMBER($G$2:$G$800),--($G$2:$G$800&lt;G502))+(SUMPRODUCT(--ISNUMBER($G$2:$G$800),--($G$2:$G$800=G502))+1)/2)/COUNT($G$2:$G$800)</f>
        <v>0.683354192740926</v>
      </c>
      <c r="J502" s="0" t="n">
        <v>10.5378348802325</v>
      </c>
      <c r="K502" s="0" t="n">
        <v>4.23887587822015</v>
      </c>
      <c r="L502" s="0" t="n">
        <v>0.210772833723655</v>
      </c>
      <c r="M502" s="0" t="n">
        <f aca="false">IF(OR(B502="NW",COUNT(Risk_Rank_Keys!B502)=0),0.5,(SUMPRODUCT(--ISNUMBER(Risk_Rank_Keys!$B$2:$B$800),--(Risk_Rank_Keys!$B$2:$B$800&lt;Risk_Rank_Keys!B502))+(SUMPRODUCT(--ISNUMBER(Risk_Rank_Keys!$B$2:$B$800),--(Risk_Rank_Keys!$B$2:$B$800=Risk_Rank_Keys!B502))+1)/2)/COUNT(Risk_Rank_Keys!$B$2:$B$800))</f>
        <v>0.529986052998605</v>
      </c>
      <c r="N502" s="0" t="n">
        <f aca="false">IF(OR(B502="NW",COUNT(Risk_Rank_Keys!C502)=0),0.5,(SUMPRODUCT(--ISNUMBER(Risk_Rank_Keys!$C$2:$C$800),--(Risk_Rank_Keys!$C$2:$C$800&lt;Risk_Rank_Keys!C502))+(SUMPRODUCT(--ISNUMBER(Risk_Rank_Keys!$C$2:$C$800),--(Risk_Rank_Keys!$C$2:$C$800=Risk_Rank_Keys!C502))+1)/2)/COUNT(Risk_Rank_Keys!$C$2:$C$800))</f>
        <v>0.615062761506276</v>
      </c>
      <c r="O502" s="0" t="n">
        <f aca="false">IF(OR(B502="NW",COUNT(Risk_Rank_Keys!D502)=0),0.5,(SUMPRODUCT(--ISNUMBER(Risk_Rank_Keys!$D$2:$D$800),--(Risk_Rank_Keys!$D$2:$D$800&lt;Risk_Rank_Keys!D502))+(SUMPRODUCT(--ISNUMBER(Risk_Rank_Keys!$D$2:$D$800),--(Risk_Rank_Keys!$D$2:$D$800=Risk_Rank_Keys!D502))+1)/2)/COUNT(Risk_Rank_Keys!$D$2:$D$800))</f>
        <v>0.384937238493724</v>
      </c>
      <c r="P502" s="0" t="n">
        <f aca="false">AVERAGE(M502:O502)</f>
        <v>0.509995350999535</v>
      </c>
      <c r="Q502" s="0" t="n">
        <f aca="false">0.4*H502+0.4*I502+0.2*P502</f>
        <v>0.59861984616987</v>
      </c>
      <c r="R502" s="0" t="n">
        <f aca="false">PERCENTILE($Q$2:$Q$800,0.75)</f>
        <v>0.667715717403612</v>
      </c>
      <c r="S502" s="1" t="b">
        <f aca="false">OR(Q502&gt;=R502,AND(B502="CW",COUNT(J502:L502)&lt;3))</f>
        <v>0</v>
      </c>
      <c r="T502" s="0" t="n">
        <v>0.298227231598119</v>
      </c>
      <c r="U502" s="0" t="n">
        <v>8.98776248707886</v>
      </c>
      <c r="V502" s="0" t="n">
        <v>0.59861984616987</v>
      </c>
      <c r="W502" s="0" t="n">
        <f aca="false">Q502-V502</f>
        <v>0</v>
      </c>
    </row>
    <row r="503" customFormat="false" ht="15" hidden="false" customHeight="false" outlineLevel="0" collapsed="false">
      <c r="A503" s="0" t="s">
        <v>537</v>
      </c>
      <c r="B503" s="0" t="s">
        <v>3013</v>
      </c>
      <c r="C503" s="0" t="n">
        <v>-10.4631998144482</v>
      </c>
      <c r="D503" s="0" t="n">
        <f aca="false">SUMPRODUCT(Risk_Inputs!B503:AJ503,Risk_Coefs!$B$2:$AJ$2)</f>
        <v>-0.794180723112799</v>
      </c>
      <c r="E503" s="0" t="n">
        <f aca="false">1/(1+EXP(-MAX(-25,MIN(25,D503))))</f>
        <v>0.311271692771423</v>
      </c>
      <c r="F503" s="0" t="n">
        <f aca="false">SUMPRODUCT(Risk_Inputs!B503:AJ503,Risk_Coefs!$B$3:$AJ$3)</f>
        <v>10.0024966102962</v>
      </c>
      <c r="G503" s="0" t="n">
        <f aca="false">MAX(0,F503)</f>
        <v>10.0024966102962</v>
      </c>
      <c r="H503" s="0" t="n">
        <f aca="false">(SUMPRODUCT(--ISNUMBER($E$2:$E$800),--($E$2:$E$800&lt;E503))+(SUMPRODUCT(--ISNUMBER($E$2:$E$800),--($E$2:$E$800=E503))+1)/2)/COUNT($E$2:$E$800)</f>
        <v>0.622027534418023</v>
      </c>
      <c r="I503" s="0" t="n">
        <f aca="false">(SUMPRODUCT(--ISNUMBER($G$2:$G$800),--($G$2:$G$800&lt;G503))+(SUMPRODUCT(--ISNUMBER($G$2:$G$800),--($G$2:$G$800=G503))+1)/2)/COUNT($G$2:$G$800)</f>
        <v>0.7909887359199</v>
      </c>
      <c r="J503" s="0" t="n">
        <v>20.1768387825744</v>
      </c>
      <c r="K503" s="0" t="n">
        <v>8.974358974359</v>
      </c>
      <c r="L503" s="0" t="n">
        <v>0.183150183150183</v>
      </c>
      <c r="M503" s="0" t="n">
        <f aca="false">IF(OR(B503="NW",COUNT(Risk_Rank_Keys!B503)=0),0.5,(SUMPRODUCT(--ISNUMBER(Risk_Rank_Keys!$B$2:$B$800),--(Risk_Rank_Keys!$B$2:$B$800&lt;Risk_Rank_Keys!B503))+(SUMPRODUCT(--ISNUMBER(Risk_Rank_Keys!$B$2:$B$800),--(Risk_Rank_Keys!$B$2:$B$800=Risk_Rank_Keys!B503))+1)/2)/COUNT(Risk_Rank_Keys!$B$2:$B$800))</f>
        <v>0.790794979079498</v>
      </c>
      <c r="N503" s="0" t="n">
        <f aca="false">IF(OR(B503="NW",COUNT(Risk_Rank_Keys!C503)=0),0.5,(SUMPRODUCT(--ISNUMBER(Risk_Rank_Keys!$C$2:$C$800),--(Risk_Rank_Keys!$C$2:$C$800&lt;Risk_Rank_Keys!C503))+(SUMPRODUCT(--ISNUMBER(Risk_Rank_Keys!$C$2:$C$800),--(Risk_Rank_Keys!$C$2:$C$800=Risk_Rank_Keys!C503))+1)/2)/COUNT(Risk_Rank_Keys!$C$2:$C$800))</f>
        <v>0.845188284518828</v>
      </c>
      <c r="O503" s="0" t="n">
        <f aca="false">IF(OR(B503="NW",COUNT(Risk_Rank_Keys!D503)=0),0.5,(SUMPRODUCT(--ISNUMBER(Risk_Rank_Keys!$D$2:$D$800),--(Risk_Rank_Keys!$D$2:$D$800&lt;Risk_Rank_Keys!D503))+(SUMPRODUCT(--ISNUMBER(Risk_Rank_Keys!$D$2:$D$800),--(Risk_Rank_Keys!$D$2:$D$800=Risk_Rank_Keys!D503))+1)/2)/COUNT(Risk_Rank_Keys!$D$2:$D$800))</f>
        <v>0.225941422594142</v>
      </c>
      <c r="P503" s="0" t="n">
        <f aca="false">AVERAGE(M503:O503)</f>
        <v>0.620641562064156</v>
      </c>
      <c r="Q503" s="0" t="n">
        <f aca="false">0.4*H503+0.4*I503+0.2*P503</f>
        <v>0.689334820548</v>
      </c>
      <c r="R503" s="0" t="n">
        <f aca="false">PERCENTILE($Q$2:$Q$800,0.75)</f>
        <v>0.667715717403612</v>
      </c>
      <c r="S503" s="1" t="b">
        <f aca="false">OR(Q503&gt;=R503,AND(B503="CW",COUNT(J503:L503)&lt;3))</f>
        <v>1</v>
      </c>
      <c r="T503" s="0" t="n">
        <v>0.311271692771423</v>
      </c>
      <c r="U503" s="0" t="n">
        <v>10.0024966102962</v>
      </c>
      <c r="V503" s="0" t="n">
        <v>0.689334820548</v>
      </c>
      <c r="W503" s="0" t="n">
        <f aca="false">Q503-V503</f>
        <v>0</v>
      </c>
    </row>
    <row r="504" customFormat="false" ht="15" hidden="false" customHeight="false" outlineLevel="0" collapsed="false">
      <c r="A504" s="0" t="s">
        <v>538</v>
      </c>
      <c r="B504" s="0" t="s">
        <v>3013</v>
      </c>
      <c r="C504" s="0" t="n">
        <v>6.36303732862081</v>
      </c>
      <c r="D504" s="0" t="n">
        <f aca="false">SUMPRODUCT(Risk_Inputs!B504:AJ504,Risk_Coefs!$B$2:$AJ$2)</f>
        <v>-0.705470053716383</v>
      </c>
      <c r="E504" s="0" t="n">
        <f aca="false">1/(1+EXP(-MAX(-25,MIN(25,D504))))</f>
        <v>0.330600564252363</v>
      </c>
      <c r="F504" s="0" t="n">
        <f aca="false">SUMPRODUCT(Risk_Inputs!B504:AJ504,Risk_Coefs!$B$3:$AJ$3)</f>
        <v>8.38669409210329</v>
      </c>
      <c r="G504" s="0" t="n">
        <f aca="false">MAX(0,F504)</f>
        <v>8.38669409210329</v>
      </c>
      <c r="H504" s="0" t="n">
        <f aca="false">(SUMPRODUCT(--ISNUMBER($E$2:$E$800),--($E$2:$E$800&lt;E504))+(SUMPRODUCT(--ISNUMBER($E$2:$E$800),--($E$2:$E$800=E504))+1)/2)/COUNT($E$2:$E$800)</f>
        <v>0.738423028785982</v>
      </c>
      <c r="I504" s="0" t="n">
        <f aca="false">(SUMPRODUCT(--ISNUMBER($G$2:$G$800),--($G$2:$G$800&lt;G504))+(SUMPRODUCT(--ISNUMBER($G$2:$G$800),--($G$2:$G$800=G504))+1)/2)/COUNT($G$2:$G$800)</f>
        <v>0.591989987484356</v>
      </c>
      <c r="J504" s="0" t="n">
        <v>7.97549636671965</v>
      </c>
      <c r="K504" s="0" t="n">
        <v>2.76104417670685</v>
      </c>
      <c r="L504" s="0" t="n">
        <v>0.15060240963855</v>
      </c>
      <c r="M504" s="0" t="n">
        <f aca="false">IF(OR(B504="NW",COUNT(Risk_Rank_Keys!B504)=0),0.5,(SUMPRODUCT(--ISNUMBER(Risk_Rank_Keys!$B$2:$B$800),--(Risk_Rank_Keys!$B$2:$B$800&lt;Risk_Rank_Keys!B504))+(SUMPRODUCT(--ISNUMBER(Risk_Rank_Keys!$B$2:$B$800),--(Risk_Rank_Keys!$B$2:$B$800=Risk_Rank_Keys!B504))+1)/2)/COUNT(Risk_Rank_Keys!$B$2:$B$800))</f>
        <v>0.387726638772664</v>
      </c>
      <c r="N504" s="0" t="n">
        <f aca="false">IF(OR(B504="NW",COUNT(Risk_Rank_Keys!C504)=0),0.5,(SUMPRODUCT(--ISNUMBER(Risk_Rank_Keys!$C$2:$C$800),--(Risk_Rank_Keys!$C$2:$C$800&lt;Risk_Rank_Keys!C504))+(SUMPRODUCT(--ISNUMBER(Risk_Rank_Keys!$C$2:$C$800),--(Risk_Rank_Keys!$C$2:$C$800=Risk_Rank_Keys!C504))+1)/2)/COUNT(Risk_Rank_Keys!$C$2:$C$800))</f>
        <v>0.437935843793584</v>
      </c>
      <c r="O504" s="0" t="n">
        <f aca="false">IF(OR(B504="NW",COUNT(Risk_Rank_Keys!D504)=0),0.5,(SUMPRODUCT(--ISNUMBER(Risk_Rank_Keys!$D$2:$D$800),--(Risk_Rank_Keys!$D$2:$D$800&lt;Risk_Rank_Keys!D504))+(SUMPRODUCT(--ISNUMBER(Risk_Rank_Keys!$D$2:$D$800),--(Risk_Rank_Keys!$D$2:$D$800=Risk_Rank_Keys!D504))+1)/2)/COUNT(Risk_Rank_Keys!$D$2:$D$800))</f>
        <v>0.107391910739191</v>
      </c>
      <c r="P504" s="0" t="n">
        <f aca="false">AVERAGE(M504:O504)</f>
        <v>0.311018131101813</v>
      </c>
      <c r="Q504" s="0" t="n">
        <f aca="false">0.4*H504+0.4*I504+0.2*P504</f>
        <v>0.594368832728498</v>
      </c>
      <c r="R504" s="0" t="n">
        <f aca="false">PERCENTILE($Q$2:$Q$800,0.75)</f>
        <v>0.667715717403612</v>
      </c>
      <c r="S504" s="1" t="b">
        <f aca="false">OR(Q504&gt;=R504,AND(B504="CW",COUNT(J504:L504)&lt;3))</f>
        <v>0</v>
      </c>
      <c r="T504" s="0" t="n">
        <v>0.330600564252363</v>
      </c>
      <c r="U504" s="0" t="n">
        <v>8.38669409210329</v>
      </c>
      <c r="V504" s="0" t="n">
        <v>0.594368832728498</v>
      </c>
      <c r="W504" s="0" t="n">
        <f aca="false">Q504-V504</f>
        <v>0</v>
      </c>
    </row>
    <row r="505" customFormat="false" ht="15" hidden="false" customHeight="false" outlineLevel="0" collapsed="false">
      <c r="A505" s="0" t="s">
        <v>539</v>
      </c>
      <c r="B505" s="0" t="s">
        <v>3013</v>
      </c>
      <c r="C505" s="0" t="n">
        <v>17.1422524668678</v>
      </c>
      <c r="D505" s="0" t="n">
        <f aca="false">SUMPRODUCT(Risk_Inputs!B505:AJ505,Risk_Coefs!$B$2:$AJ$2)</f>
        <v>-1.09185856305011</v>
      </c>
      <c r="E505" s="0" t="n">
        <f aca="false">1/(1+EXP(-MAX(-25,MIN(25,D505))))</f>
        <v>0.251268460440317</v>
      </c>
      <c r="F505" s="0" t="n">
        <f aca="false">SUMPRODUCT(Risk_Inputs!B505:AJ505,Risk_Coefs!$B$3:$AJ$3)</f>
        <v>5.8238681528826</v>
      </c>
      <c r="G505" s="0" t="n">
        <f aca="false">MAX(0,F505)</f>
        <v>5.8238681528826</v>
      </c>
      <c r="H505" s="0" t="n">
        <f aca="false">(SUMPRODUCT(--ISNUMBER($E$2:$E$800),--($E$2:$E$800&lt;E505))+(SUMPRODUCT(--ISNUMBER($E$2:$E$800),--($E$2:$E$800=E505))+1)/2)/COUNT($E$2:$E$800)</f>
        <v>0.274092615769712</v>
      </c>
      <c r="I505" s="0" t="n">
        <f aca="false">(SUMPRODUCT(--ISNUMBER($G$2:$G$800),--($G$2:$G$800&lt;G505))+(SUMPRODUCT(--ISNUMBER($G$2:$G$800),--($G$2:$G$800=G505))+1)/2)/COUNT($G$2:$G$800)</f>
        <v>0.242803504380476</v>
      </c>
      <c r="J505" s="0" t="n">
        <v>7.30531010365005</v>
      </c>
      <c r="K505" s="0" t="n">
        <v>1.23030433844162</v>
      </c>
      <c r="L505" s="0" t="n">
        <v>0.215842866393266</v>
      </c>
      <c r="M505" s="0" t="n">
        <f aca="false">IF(OR(B505="NW",COUNT(Risk_Rank_Keys!B505)=0),0.5,(SUMPRODUCT(--ISNUMBER(Risk_Rank_Keys!$B$2:$B$800),--(Risk_Rank_Keys!$B$2:$B$800&lt;Risk_Rank_Keys!B505))+(SUMPRODUCT(--ISNUMBER(Risk_Rank_Keys!$B$2:$B$800),--(Risk_Rank_Keys!$B$2:$B$800=Risk_Rank_Keys!B505))+1)/2)/COUNT(Risk_Rank_Keys!$B$2:$B$800))</f>
        <v>0.336122733612273</v>
      </c>
      <c r="N505" s="0" t="n">
        <f aca="false">IF(OR(B505="NW",COUNT(Risk_Rank_Keys!C505)=0),0.5,(SUMPRODUCT(--ISNUMBER(Risk_Rank_Keys!$C$2:$C$800),--(Risk_Rank_Keys!$C$2:$C$800&lt;Risk_Rank_Keys!C505))+(SUMPRODUCT(--ISNUMBER(Risk_Rank_Keys!$C$2:$C$800),--(Risk_Rank_Keys!$C$2:$C$800=Risk_Rank_Keys!C505))+1)/2)/COUNT(Risk_Rank_Keys!$C$2:$C$800))</f>
        <v>0.0781032078103208</v>
      </c>
      <c r="O505" s="0" t="n">
        <f aca="false">IF(OR(B505="NW",COUNT(Risk_Rank_Keys!D505)=0),0.5,(SUMPRODUCT(--ISNUMBER(Risk_Rank_Keys!$D$2:$D$800),--(Risk_Rank_Keys!$D$2:$D$800&lt;Risk_Rank_Keys!D505))+(SUMPRODUCT(--ISNUMBER(Risk_Rank_Keys!$D$2:$D$800),--(Risk_Rank_Keys!$D$2:$D$800=Risk_Rank_Keys!D505))+1)/2)/COUNT(Risk_Rank_Keys!$D$2:$D$800))</f>
        <v>0.418410041841004</v>
      </c>
      <c r="P505" s="0" t="n">
        <f aca="false">AVERAGE(M505:O505)</f>
        <v>0.277545327754533</v>
      </c>
      <c r="Q505" s="0" t="n">
        <f aca="false">0.4*H505+0.4*I505+0.2*P505</f>
        <v>0.262267513610982</v>
      </c>
      <c r="R505" s="0" t="n">
        <f aca="false">PERCENTILE($Q$2:$Q$800,0.75)</f>
        <v>0.667715717403612</v>
      </c>
      <c r="S505" s="1" t="b">
        <f aca="false">OR(Q505&gt;=R505,AND(B505="CW",COUNT(J505:L505)&lt;3))</f>
        <v>0</v>
      </c>
      <c r="T505" s="0" t="n">
        <v>0.251268460440317</v>
      </c>
      <c r="U505" s="0" t="n">
        <v>5.8238681528826</v>
      </c>
      <c r="V505" s="0" t="n">
        <v>0.262267513610982</v>
      </c>
      <c r="W505" s="0" t="n">
        <f aca="false">Q505-V505</f>
        <v>0</v>
      </c>
    </row>
    <row r="506" customFormat="false" ht="15" hidden="false" customHeight="false" outlineLevel="0" collapsed="false">
      <c r="A506" s="0" t="s">
        <v>540</v>
      </c>
      <c r="B506" s="0" t="s">
        <v>3013</v>
      </c>
      <c r="C506" s="0" t="n">
        <v>24.9458001828865</v>
      </c>
      <c r="D506" s="0" t="n">
        <f aca="false">SUMPRODUCT(Risk_Inputs!B506:AJ506,Risk_Coefs!$B$2:$AJ$2)</f>
        <v>-0.747722373426852</v>
      </c>
      <c r="E506" s="0" t="n">
        <f aca="false">1/(1+EXP(-MAX(-25,MIN(25,D506))))</f>
        <v>0.321317786654868</v>
      </c>
      <c r="F506" s="0" t="n">
        <f aca="false">SUMPRODUCT(Risk_Inputs!B506:AJ506,Risk_Coefs!$B$3:$AJ$3)</f>
        <v>9.21224401799797</v>
      </c>
      <c r="G506" s="0" t="n">
        <f aca="false">MAX(0,F506)</f>
        <v>9.21224401799797</v>
      </c>
      <c r="H506" s="0" t="n">
        <f aca="false">(SUMPRODUCT(--ISNUMBER($E$2:$E$800),--($E$2:$E$800&lt;E506))+(SUMPRODUCT(--ISNUMBER($E$2:$E$800),--($E$2:$E$800=E506))+1)/2)/COUNT($E$2:$E$800)</f>
        <v>0.680851063829787</v>
      </c>
      <c r="I506" s="0" t="n">
        <f aca="false">(SUMPRODUCT(--ISNUMBER($G$2:$G$800),--($G$2:$G$800&lt;G506))+(SUMPRODUCT(--ISNUMBER($G$2:$G$800),--($G$2:$G$800=G506))+1)/2)/COUNT($G$2:$G$800)</f>
        <v>0.705882352941177</v>
      </c>
      <c r="J506" s="0" t="n">
        <v>5.61660177619415</v>
      </c>
      <c r="K506" s="0" t="n">
        <v>2.02647932991084</v>
      </c>
      <c r="L506" s="0" t="n">
        <v>0.189138070791683</v>
      </c>
      <c r="M506" s="0" t="n">
        <f aca="false">IF(OR(B506="NW",COUNT(Risk_Rank_Keys!B506)=0),0.5,(SUMPRODUCT(--ISNUMBER(Risk_Rank_Keys!$B$2:$B$800),--(Risk_Rank_Keys!$B$2:$B$800&lt;Risk_Rank_Keys!B506))+(SUMPRODUCT(--ISNUMBER(Risk_Rank_Keys!$B$2:$B$800),--(Risk_Rank_Keys!$B$2:$B$800=Risk_Rank_Keys!B506))+1)/2)/COUNT(Risk_Rank_Keys!$B$2:$B$800))</f>
        <v>0.181311018131102</v>
      </c>
      <c r="N506" s="0" t="n">
        <f aca="false">IF(OR(B506="NW",COUNT(Risk_Rank_Keys!C506)=0),0.5,(SUMPRODUCT(--ISNUMBER(Risk_Rank_Keys!$C$2:$C$800),--(Risk_Rank_Keys!$C$2:$C$800&lt;Risk_Rank_Keys!C506))+(SUMPRODUCT(--ISNUMBER(Risk_Rank_Keys!$C$2:$C$800),--(Risk_Rank_Keys!$C$2:$C$800=Risk_Rank_Keys!C506))+1)/2)/COUNT(Risk_Rank_Keys!$C$2:$C$800))</f>
        <v>0.277545327754533</v>
      </c>
      <c r="O506" s="0" t="n">
        <f aca="false">IF(OR(B506="NW",COUNT(Risk_Rank_Keys!D506)=0),0.5,(SUMPRODUCT(--ISNUMBER(Risk_Rank_Keys!$D$2:$D$800),--(Risk_Rank_Keys!$D$2:$D$800&lt;Risk_Rank_Keys!D506))+(SUMPRODUCT(--ISNUMBER(Risk_Rank_Keys!$D$2:$D$800),--(Risk_Rank_Keys!$D$2:$D$800=Risk_Rank_Keys!D506))+1)/2)/COUNT(Risk_Rank_Keys!$D$2:$D$800))</f>
        <v>0.248256624825663</v>
      </c>
      <c r="P506" s="0" t="n">
        <f aca="false">AVERAGE(M506:O506)</f>
        <v>0.235704323570432</v>
      </c>
      <c r="Q506" s="0" t="n">
        <f aca="false">0.4*H506+0.4*I506+0.2*P506</f>
        <v>0.601834231422472</v>
      </c>
      <c r="R506" s="0" t="n">
        <f aca="false">PERCENTILE($Q$2:$Q$800,0.75)</f>
        <v>0.667715717403612</v>
      </c>
      <c r="S506" s="1" t="b">
        <f aca="false">OR(Q506&gt;=R506,AND(B506="CW",COUNT(J506:L506)&lt;3))</f>
        <v>0</v>
      </c>
      <c r="T506" s="0" t="n">
        <v>0.321317786654868</v>
      </c>
      <c r="U506" s="0" t="n">
        <v>9.21224401799797</v>
      </c>
      <c r="V506" s="0" t="n">
        <v>0.601834231422472</v>
      </c>
      <c r="W506" s="0" t="n">
        <f aca="false">Q506-V506</f>
        <v>0</v>
      </c>
    </row>
    <row r="507" customFormat="false" ht="15" hidden="false" customHeight="false" outlineLevel="0" collapsed="false">
      <c r="A507" s="0" t="s">
        <v>541</v>
      </c>
      <c r="B507" s="0" t="s">
        <v>3013</v>
      </c>
      <c r="C507" s="0" t="n">
        <v>-41.4478108004598</v>
      </c>
      <c r="D507" s="0" t="n">
        <f aca="false">SUMPRODUCT(Risk_Inputs!B507:AJ507,Risk_Coefs!$B$2:$AJ$2)</f>
        <v>-0.749468993768667</v>
      </c>
      <c r="E507" s="0" t="n">
        <f aca="false">1/(1+EXP(-MAX(-25,MIN(25,D507))))</f>
        <v>0.320937015431019</v>
      </c>
      <c r="F507" s="0" t="n">
        <f aca="false">SUMPRODUCT(Risk_Inputs!B507:AJ507,Risk_Coefs!$B$3:$AJ$3)</f>
        <v>11.049841837734</v>
      </c>
      <c r="G507" s="0" t="n">
        <f aca="false">MAX(0,F507)</f>
        <v>11.049841837734</v>
      </c>
      <c r="H507" s="0" t="n">
        <f aca="false">(SUMPRODUCT(--ISNUMBER($E$2:$E$800),--($E$2:$E$800&lt;E507))+(SUMPRODUCT(--ISNUMBER($E$2:$E$800),--($E$2:$E$800=E507))+1)/2)/COUNT($E$2:$E$800)</f>
        <v>0.677096370463079</v>
      </c>
      <c r="I507" s="0" t="n">
        <f aca="false">(SUMPRODUCT(--ISNUMBER($G$2:$G$800),--($G$2:$G$800&lt;G507))+(SUMPRODUCT(--ISNUMBER($G$2:$G$800),--($G$2:$G$800=G507))+1)/2)/COUNT($G$2:$G$800)</f>
        <v>0.88360450563204</v>
      </c>
      <c r="J507" s="0" t="n">
        <v>8.36990961395096</v>
      </c>
      <c r="K507" s="0" t="n">
        <v>10.994983277592</v>
      </c>
      <c r="L507" s="0" t="n">
        <v>0.292642140468223</v>
      </c>
      <c r="M507" s="0" t="n">
        <f aca="false">IF(OR(B507="NW",COUNT(Risk_Rank_Keys!B507)=0),0.5,(SUMPRODUCT(--ISNUMBER(Risk_Rank_Keys!$B$2:$B$800),--(Risk_Rank_Keys!$B$2:$B$800&lt;Risk_Rank_Keys!B507))+(SUMPRODUCT(--ISNUMBER(Risk_Rank_Keys!$B$2:$B$800),--(Risk_Rank_Keys!$B$2:$B$800=Risk_Rank_Keys!B507))+1)/2)/COUNT(Risk_Rank_Keys!$B$2:$B$800))</f>
        <v>0.405857740585774</v>
      </c>
      <c r="N507" s="0" t="n">
        <f aca="false">IF(OR(B507="NW",COUNT(Risk_Rank_Keys!C507)=0),0.5,(SUMPRODUCT(--ISNUMBER(Risk_Rank_Keys!$C$2:$C$800),--(Risk_Rank_Keys!$C$2:$C$800&lt;Risk_Rank_Keys!C507))+(SUMPRODUCT(--ISNUMBER(Risk_Rank_Keys!$C$2:$C$800),--(Risk_Rank_Keys!$C$2:$C$800=Risk_Rank_Keys!C507))+1)/2)/COUNT(Risk_Rank_Keys!$C$2:$C$800))</f>
        <v>0.894002789400279</v>
      </c>
      <c r="O507" s="0" t="n">
        <f aca="false">IF(OR(B507="NW",COUNT(Risk_Rank_Keys!D507)=0),0.5,(SUMPRODUCT(--ISNUMBER(Risk_Rank_Keys!$D$2:$D$800),--(Risk_Rank_Keys!$D$2:$D$800&lt;Risk_Rank_Keys!D507))+(SUMPRODUCT(--ISNUMBER(Risk_Rank_Keys!$D$2:$D$800),--(Risk_Rank_Keys!$D$2:$D$800=Risk_Rank_Keys!D507))+1)/2)/COUNT(Risk_Rank_Keys!$D$2:$D$800))</f>
        <v>0.728033472803347</v>
      </c>
      <c r="P507" s="0" t="n">
        <f aca="false">AVERAGE(M507:O507)</f>
        <v>0.675964667596467</v>
      </c>
      <c r="Q507" s="0" t="n">
        <f aca="false">0.4*H507+0.4*I507+0.2*P507</f>
        <v>0.759473283957341</v>
      </c>
      <c r="R507" s="0" t="n">
        <f aca="false">PERCENTILE($Q$2:$Q$800,0.75)</f>
        <v>0.667715717403612</v>
      </c>
      <c r="S507" s="1" t="b">
        <f aca="false">OR(Q507&gt;=R507,AND(B507="CW",COUNT(J507:L507)&lt;3))</f>
        <v>1</v>
      </c>
      <c r="T507" s="0" t="n">
        <v>0.320937015431019</v>
      </c>
      <c r="U507" s="0" t="n">
        <v>11.049841837734</v>
      </c>
      <c r="V507" s="0" t="n">
        <v>0.759473283957341</v>
      </c>
      <c r="W507" s="0" t="n">
        <f aca="false">Q507-V507</f>
        <v>0</v>
      </c>
    </row>
    <row r="508" customFormat="false" ht="15" hidden="false" customHeight="false" outlineLevel="0" collapsed="false">
      <c r="A508" s="0" t="s">
        <v>542</v>
      </c>
      <c r="B508" s="0" t="s">
        <v>3013</v>
      </c>
      <c r="C508" s="0" t="n">
        <v>31.0765903053561</v>
      </c>
      <c r="D508" s="0" t="n">
        <f aca="false">SUMPRODUCT(Risk_Inputs!B508:AJ508,Risk_Coefs!$B$2:$AJ$2)</f>
        <v>-1.38098517418954</v>
      </c>
      <c r="E508" s="0" t="n">
        <f aca="false">1/(1+EXP(-MAX(-25,MIN(25,D508))))</f>
        <v>0.200850823063918</v>
      </c>
      <c r="F508" s="0" t="n">
        <f aca="false">SUMPRODUCT(Risk_Inputs!B508:AJ508,Risk_Coefs!$B$3:$AJ$3)</f>
        <v>5.33770069695022</v>
      </c>
      <c r="G508" s="0" t="n">
        <f aca="false">MAX(0,F508)</f>
        <v>5.33770069695022</v>
      </c>
      <c r="H508" s="0" t="n">
        <f aca="false">(SUMPRODUCT(--ISNUMBER($E$2:$E$800),--($E$2:$E$800&lt;E508))+(SUMPRODUCT(--ISNUMBER($E$2:$E$800),--($E$2:$E$800=E508))+1)/2)/COUNT($E$2:$E$800)</f>
        <v>0.102628285356696</v>
      </c>
      <c r="I508" s="0" t="n">
        <f aca="false">(SUMPRODUCT(--ISNUMBER($G$2:$G$800),--($G$2:$G$800&lt;G508))+(SUMPRODUCT(--ISNUMBER($G$2:$G$800),--($G$2:$G$800=G508))+1)/2)/COUNT($G$2:$G$800)</f>
        <v>0.180225281602003</v>
      </c>
      <c r="J508" s="0" t="n">
        <v>18.8445016031226</v>
      </c>
      <c r="K508" s="0" t="n">
        <v>3.63577863577864</v>
      </c>
      <c r="L508" s="0" t="n">
        <v>0.14478764478765</v>
      </c>
      <c r="M508" s="0" t="n">
        <f aca="false">IF(OR(B508="NW",COUNT(Risk_Rank_Keys!B508)=0),0.5,(SUMPRODUCT(--ISNUMBER(Risk_Rank_Keys!$B$2:$B$800),--(Risk_Rank_Keys!$B$2:$B$800&lt;Risk_Rank_Keys!B508))+(SUMPRODUCT(--ISNUMBER(Risk_Rank_Keys!$B$2:$B$800),--(Risk_Rank_Keys!$B$2:$B$800=Risk_Rank_Keys!B508))+1)/2)/COUNT(Risk_Rank_Keys!$B$2:$B$800))</f>
        <v>0.775453277545328</v>
      </c>
      <c r="N508" s="0" t="n">
        <f aca="false">IF(OR(B508="NW",COUNT(Risk_Rank_Keys!C508)=0),0.5,(SUMPRODUCT(--ISNUMBER(Risk_Rank_Keys!$C$2:$C$800),--(Risk_Rank_Keys!$C$2:$C$800&lt;Risk_Rank_Keys!C508))+(SUMPRODUCT(--ISNUMBER(Risk_Rank_Keys!$C$2:$C$800),--(Risk_Rank_Keys!$C$2:$C$800=Risk_Rank_Keys!C508))+1)/2)/COUNT(Risk_Rank_Keys!$C$2:$C$800))</f>
        <v>0.549511854951186</v>
      </c>
      <c r="O508" s="0" t="n">
        <f aca="false">IF(OR(B508="NW",COUNT(Risk_Rank_Keys!D508)=0),0.5,(SUMPRODUCT(--ISNUMBER(Risk_Rank_Keys!$D$2:$D$800),--(Risk_Rank_Keys!$D$2:$D$800&lt;Risk_Rank_Keys!D508))+(SUMPRODUCT(--ISNUMBER(Risk_Rank_Keys!$D$2:$D$800),--(Risk_Rank_Keys!$D$2:$D$800=Risk_Rank_Keys!D508))+1)/2)/COUNT(Risk_Rank_Keys!$D$2:$D$800))</f>
        <v>0.0934449093444909</v>
      </c>
      <c r="P508" s="0" t="n">
        <f aca="false">AVERAGE(M508:O508)</f>
        <v>0.472803347280335</v>
      </c>
      <c r="Q508" s="0" t="n">
        <f aca="false">0.4*H508+0.4*I508+0.2*P508</f>
        <v>0.207702096239546</v>
      </c>
      <c r="R508" s="0" t="n">
        <f aca="false">PERCENTILE($Q$2:$Q$800,0.75)</f>
        <v>0.667715717403612</v>
      </c>
      <c r="S508" s="1" t="b">
        <f aca="false">OR(Q508&gt;=R508,AND(B508="CW",COUNT(J508:L508)&lt;3))</f>
        <v>0</v>
      </c>
      <c r="T508" s="0" t="n">
        <v>0.200850823063918</v>
      </c>
      <c r="U508" s="0" t="n">
        <v>5.33770069695022</v>
      </c>
      <c r="V508" s="0" t="n">
        <v>0.207702096239546</v>
      </c>
      <c r="W508" s="0" t="n">
        <f aca="false">Q508-V508</f>
        <v>0</v>
      </c>
    </row>
    <row r="509" customFormat="false" ht="15" hidden="false" customHeight="false" outlineLevel="0" collapsed="false">
      <c r="A509" s="0" t="s">
        <v>543</v>
      </c>
      <c r="B509" s="0" t="s">
        <v>3013</v>
      </c>
      <c r="C509" s="0" t="n">
        <v>24.8083428097182</v>
      </c>
      <c r="D509" s="0" t="n">
        <f aca="false">SUMPRODUCT(Risk_Inputs!B509:AJ509,Risk_Coefs!$B$2:$AJ$2)</f>
        <v>-1.06946231269066</v>
      </c>
      <c r="E509" s="0" t="n">
        <f aca="false">1/(1+EXP(-MAX(-25,MIN(25,D509))))</f>
        <v>0.255505350878355</v>
      </c>
      <c r="F509" s="0" t="n">
        <f aca="false">SUMPRODUCT(Risk_Inputs!B509:AJ509,Risk_Coefs!$B$3:$AJ$3)</f>
        <v>6.6719636021087</v>
      </c>
      <c r="G509" s="0" t="n">
        <f aca="false">MAX(0,F509)</f>
        <v>6.6719636021087</v>
      </c>
      <c r="H509" s="0" t="n">
        <f aca="false">(SUMPRODUCT(--ISNUMBER($E$2:$E$800),--($E$2:$E$800&lt;E509))+(SUMPRODUCT(--ISNUMBER($E$2:$E$800),--($E$2:$E$800=E509))+1)/2)/COUNT($E$2:$E$800)</f>
        <v>0.297872340425532</v>
      </c>
      <c r="I509" s="0" t="n">
        <f aca="false">(SUMPRODUCT(--ISNUMBER($G$2:$G$800),--($G$2:$G$800&lt;G509))+(SUMPRODUCT(--ISNUMBER($G$2:$G$800),--($G$2:$G$800=G509))+1)/2)/COUNT($G$2:$G$800)</f>
        <v>0.374217772215269</v>
      </c>
      <c r="J509" s="0" t="n">
        <v>2.11264630075795</v>
      </c>
      <c r="K509" s="0" t="n">
        <v>0.569408992735133</v>
      </c>
      <c r="L509" s="0" t="n">
        <v>0.176713135676414</v>
      </c>
      <c r="M509" s="0" t="n">
        <f aca="false">IF(OR(B509="NW",COUNT(Risk_Rank_Keys!B509)=0),0.5,(SUMPRODUCT(--ISNUMBER(Risk_Rank_Keys!$B$2:$B$800),--(Risk_Rank_Keys!$B$2:$B$800&lt;Risk_Rank_Keys!B509))+(SUMPRODUCT(--ISNUMBER(Risk_Rank_Keys!$B$2:$B$800),--(Risk_Rank_Keys!$B$2:$B$800=Risk_Rank_Keys!B509))+1)/2)/COUNT(Risk_Rank_Keys!$B$2:$B$800))</f>
        <v>0.00836820083682008</v>
      </c>
      <c r="N509" s="0" t="n">
        <f aca="false">IF(OR(B509="NW",COUNT(Risk_Rank_Keys!C509)=0),0.5,(SUMPRODUCT(--ISNUMBER(Risk_Rank_Keys!$C$2:$C$800),--(Risk_Rank_Keys!$C$2:$C$800&lt;Risk_Rank_Keys!C509))+(SUMPRODUCT(--ISNUMBER(Risk_Rank_Keys!$C$2:$C$800),--(Risk_Rank_Keys!$C$2:$C$800=Risk_Rank_Keys!C509))+1)/2)/COUNT(Risk_Rank_Keys!$C$2:$C$800))</f>
        <v>0.00278940027894003</v>
      </c>
      <c r="O509" s="0" t="n">
        <f aca="false">IF(OR(B509="NW",COUNT(Risk_Rank_Keys!D509)=0),0.5,(SUMPRODUCT(--ISNUMBER(Risk_Rank_Keys!$D$2:$D$800),--(Risk_Rank_Keys!$D$2:$D$800&lt;Risk_Rank_Keys!D509))+(SUMPRODUCT(--ISNUMBER(Risk_Rank_Keys!$D$2:$D$800),--(Risk_Rank_Keys!$D$2:$D$800=Risk_Rank_Keys!D509))+1)/2)/COUNT(Risk_Rank_Keys!$D$2:$D$800))</f>
        <v>0.196652719665272</v>
      </c>
      <c r="P509" s="0" t="n">
        <f aca="false">AVERAGE(M509:O509)</f>
        <v>0.0692701069270107</v>
      </c>
      <c r="Q509" s="0" t="n">
        <f aca="false">0.4*H509+0.4*I509+0.2*P509</f>
        <v>0.282690066441723</v>
      </c>
      <c r="R509" s="0" t="n">
        <f aca="false">PERCENTILE($Q$2:$Q$800,0.75)</f>
        <v>0.667715717403612</v>
      </c>
      <c r="S509" s="1" t="b">
        <f aca="false">OR(Q509&gt;=R509,AND(B509="CW",COUNT(J509:L509)&lt;3))</f>
        <v>0</v>
      </c>
      <c r="T509" s="0" t="n">
        <v>0.255505350878356</v>
      </c>
      <c r="U509" s="0" t="n">
        <v>6.6719636021087</v>
      </c>
      <c r="V509" s="0" t="n">
        <v>0.282690066441723</v>
      </c>
      <c r="W509" s="0" t="n">
        <f aca="false">Q509-V509</f>
        <v>0</v>
      </c>
    </row>
    <row r="510" customFormat="false" ht="15" hidden="false" customHeight="false" outlineLevel="0" collapsed="false">
      <c r="A510" s="0" t="s">
        <v>544</v>
      </c>
      <c r="B510" s="0" t="s">
        <v>3013</v>
      </c>
      <c r="C510" s="0" t="n">
        <v>26.6357984238333</v>
      </c>
      <c r="D510" s="0" t="n">
        <f aca="false">SUMPRODUCT(Risk_Inputs!B510:AJ510,Risk_Coefs!$B$2:$AJ$2)</f>
        <v>-1.48227891752086</v>
      </c>
      <c r="E510" s="0" t="n">
        <f aca="false">1/(1+EXP(-MAX(-25,MIN(25,D510))))</f>
        <v>0.185083449002511</v>
      </c>
      <c r="F510" s="0" t="n">
        <f aca="false">SUMPRODUCT(Risk_Inputs!B510:AJ510,Risk_Coefs!$B$3:$AJ$3)</f>
        <v>5.15061739619232</v>
      </c>
      <c r="G510" s="0" t="n">
        <f aca="false">MAX(0,F510)</f>
        <v>5.15061739619232</v>
      </c>
      <c r="H510" s="0" t="n">
        <f aca="false">(SUMPRODUCT(--ISNUMBER($E$2:$E$800),--($E$2:$E$800&lt;E510))+(SUMPRODUCT(--ISNUMBER($E$2:$E$800),--($E$2:$E$800=E510))+1)/2)/COUNT($E$2:$E$800)</f>
        <v>0.0725907384230288</v>
      </c>
      <c r="I510" s="0" t="n">
        <f aca="false">(SUMPRODUCT(--ISNUMBER($G$2:$G$800),--($G$2:$G$800&lt;G510))+(SUMPRODUCT(--ISNUMBER($G$2:$G$800),--($G$2:$G$800=G510))+1)/2)/COUNT($G$2:$G$800)</f>
        <v>0.156445556946183</v>
      </c>
      <c r="J510" s="0" t="n">
        <v>31.1398563527089</v>
      </c>
      <c r="K510" s="0" t="n">
        <v>17.0032310177706</v>
      </c>
      <c r="L510" s="0" t="n">
        <v>0.222132471728599</v>
      </c>
      <c r="M510" s="0" t="n">
        <f aca="false">IF(OR(B510="NW",COUNT(Risk_Rank_Keys!B510)=0),0.5,(SUMPRODUCT(--ISNUMBER(Risk_Rank_Keys!$B$2:$B$800),--(Risk_Rank_Keys!$B$2:$B$800&lt;Risk_Rank_Keys!B510))+(SUMPRODUCT(--ISNUMBER(Risk_Rank_Keys!$B$2:$B$800),--(Risk_Rank_Keys!$B$2:$B$800=Risk_Rank_Keys!B510))+1)/2)/COUNT(Risk_Rank_Keys!$B$2:$B$800))</f>
        <v>0.907949790794979</v>
      </c>
      <c r="N510" s="0" t="n">
        <f aca="false">IF(OR(B510="NW",COUNT(Risk_Rank_Keys!C510)=0),0.5,(SUMPRODUCT(--ISNUMBER(Risk_Rank_Keys!$C$2:$C$800),--(Risk_Rank_Keys!$C$2:$C$800&lt;Risk_Rank_Keys!C510))+(SUMPRODUCT(--ISNUMBER(Risk_Rank_Keys!$C$2:$C$800),--(Risk_Rank_Keys!$C$2:$C$800=Risk_Rank_Keys!C510))+1)/2)/COUNT(Risk_Rank_Keys!$C$2:$C$800))</f>
        <v>0.947001394700139</v>
      </c>
      <c r="O510" s="0" t="n">
        <f aca="false">IF(OR(B510="NW",COUNT(Risk_Rank_Keys!D510)=0),0.5,(SUMPRODUCT(--ISNUMBER(Risk_Rank_Keys!$D$2:$D$800),--(Risk_Rank_Keys!$D$2:$D$800&lt;Risk_Rank_Keys!D510))+(SUMPRODUCT(--ISNUMBER(Risk_Rank_Keys!$D$2:$D$800),--(Risk_Rank_Keys!$D$2:$D$800=Risk_Rank_Keys!D510))+1)/2)/COUNT(Risk_Rank_Keys!$D$2:$D$800))</f>
        <v>0.453277545327755</v>
      </c>
      <c r="P510" s="0" t="n">
        <f aca="false">AVERAGE(M510:O510)</f>
        <v>0.769409576940958</v>
      </c>
      <c r="Q510" s="0" t="n">
        <f aca="false">0.4*H510+0.4*I510+0.2*P510</f>
        <v>0.245496433535876</v>
      </c>
      <c r="R510" s="0" t="n">
        <f aca="false">PERCENTILE($Q$2:$Q$800,0.75)</f>
        <v>0.667715717403612</v>
      </c>
      <c r="S510" s="1" t="b">
        <f aca="false">OR(Q510&gt;=R510,AND(B510="CW",COUNT(J510:L510)&lt;3))</f>
        <v>0</v>
      </c>
      <c r="T510" s="0" t="n">
        <v>0.185083449002512</v>
      </c>
      <c r="U510" s="0" t="n">
        <v>5.15061739619232</v>
      </c>
      <c r="V510" s="0" t="n">
        <v>0.245496433535876</v>
      </c>
      <c r="W510" s="0" t="n">
        <f aca="false">Q510-V510</f>
        <v>0</v>
      </c>
    </row>
    <row r="511" customFormat="false" ht="15" hidden="false" customHeight="false" outlineLevel="0" collapsed="false">
      <c r="A511" s="0" t="s">
        <v>545</v>
      </c>
      <c r="B511" s="0" t="s">
        <v>3013</v>
      </c>
      <c r="C511" s="0" t="n">
        <v>0.260831345216317</v>
      </c>
      <c r="D511" s="0" t="n">
        <f aca="false">SUMPRODUCT(Risk_Inputs!B511:AJ511,Risk_Coefs!$B$2:$AJ$2)</f>
        <v>-0.766651571264974</v>
      </c>
      <c r="E511" s="0" t="n">
        <f aca="false">1/(1+EXP(-MAX(-25,MIN(25,D511))))</f>
        <v>0.317203883343893</v>
      </c>
      <c r="F511" s="0" t="n">
        <f aca="false">SUMPRODUCT(Risk_Inputs!B511:AJ511,Risk_Coefs!$B$3:$AJ$3)</f>
        <v>10.2609392308847</v>
      </c>
      <c r="G511" s="0" t="n">
        <f aca="false">MAX(0,F511)</f>
        <v>10.2609392308847</v>
      </c>
      <c r="H511" s="0" t="n">
        <f aca="false">(SUMPRODUCT(--ISNUMBER($E$2:$E$800),--($E$2:$E$800&lt;E511))+(SUMPRODUCT(--ISNUMBER($E$2:$E$800),--($E$2:$E$800=E511))+1)/2)/COUNT($E$2:$E$800)</f>
        <v>0.654568210262829</v>
      </c>
      <c r="I511" s="0" t="n">
        <f aca="false">(SUMPRODUCT(--ISNUMBER($G$2:$G$800),--($G$2:$G$800&lt;G511))+(SUMPRODUCT(--ISNUMBER($G$2:$G$800),--($G$2:$G$800=G511))+1)/2)/COUNT($G$2:$G$800)</f>
        <v>0.817271589486859</v>
      </c>
      <c r="J511" s="0" t="n">
        <v>4.16784903518632</v>
      </c>
      <c r="K511" s="0" t="n">
        <v>1.89535504538175</v>
      </c>
      <c r="L511" s="0" t="n">
        <v>0.24025627335825</v>
      </c>
      <c r="M511" s="0" t="n">
        <f aca="false">IF(OR(B511="NW",COUNT(Risk_Rank_Keys!B511)=0),0.5,(SUMPRODUCT(--ISNUMBER(Risk_Rank_Keys!$B$2:$B$800),--(Risk_Rank_Keys!$B$2:$B$800&lt;Risk_Rank_Keys!B511))+(SUMPRODUCT(--ISNUMBER(Risk_Rank_Keys!$B$2:$B$800),--(Risk_Rank_Keys!$B$2:$B$800=Risk_Rank_Keys!B511))+1)/2)/COUNT(Risk_Rank_Keys!$B$2:$B$800))</f>
        <v>0.0808926080892608</v>
      </c>
      <c r="N511" s="0" t="n">
        <f aca="false">IF(OR(B511="NW",COUNT(Risk_Rank_Keys!C511)=0),0.5,(SUMPRODUCT(--ISNUMBER(Risk_Rank_Keys!$C$2:$C$800),--(Risk_Rank_Keys!$C$2:$C$800&lt;Risk_Rank_Keys!C511))+(SUMPRODUCT(--ISNUMBER(Risk_Rank_Keys!$C$2:$C$800),--(Risk_Rank_Keys!$C$2:$C$800=Risk_Rank_Keys!C511))+1)/2)/COUNT(Risk_Rank_Keys!$C$2:$C$800))</f>
        <v>0.245467224546722</v>
      </c>
      <c r="O511" s="0" t="n">
        <f aca="false">IF(OR(B511="NW",COUNT(Risk_Rank_Keys!D511)=0),0.5,(SUMPRODUCT(--ISNUMBER(Risk_Rank_Keys!$D$2:$D$800),--(Risk_Rank_Keys!$D$2:$D$800&lt;Risk_Rank_Keys!D511))+(SUMPRODUCT(--ISNUMBER(Risk_Rank_Keys!$D$2:$D$800),--(Risk_Rank_Keys!$D$2:$D$800=Risk_Rank_Keys!D511))+1)/2)/COUNT(Risk_Rank_Keys!$D$2:$D$800))</f>
        <v>0.543933054393305</v>
      </c>
      <c r="P511" s="0" t="n">
        <f aca="false">AVERAGE(M511:O511)</f>
        <v>0.290097629009763</v>
      </c>
      <c r="Q511" s="0" t="n">
        <f aca="false">0.4*H511+0.4*I511+0.2*P511</f>
        <v>0.646755445701827</v>
      </c>
      <c r="R511" s="0" t="n">
        <f aca="false">PERCENTILE($Q$2:$Q$800,0.75)</f>
        <v>0.667715717403612</v>
      </c>
      <c r="S511" s="1" t="b">
        <f aca="false">OR(Q511&gt;=R511,AND(B511="CW",COUNT(J511:L511)&lt;3))</f>
        <v>0</v>
      </c>
      <c r="T511" s="0" t="n">
        <v>0.317203883343893</v>
      </c>
      <c r="U511" s="0" t="n">
        <v>10.2609392308847</v>
      </c>
      <c r="V511" s="0" t="n">
        <v>0.646755445701827</v>
      </c>
      <c r="W511" s="0" t="n">
        <f aca="false">Q511-V511</f>
        <v>0</v>
      </c>
    </row>
    <row r="512" customFormat="false" ht="15" hidden="false" customHeight="false" outlineLevel="0" collapsed="false">
      <c r="A512" s="0" t="s">
        <v>546</v>
      </c>
      <c r="B512" s="0" t="s">
        <v>3013</v>
      </c>
      <c r="C512" s="0" t="n">
        <v>-45.6962803040953</v>
      </c>
      <c r="D512" s="0" t="n">
        <f aca="false">SUMPRODUCT(Risk_Inputs!B512:AJ512,Risk_Coefs!$B$2:$AJ$2)</f>
        <v>-0.843778537993322</v>
      </c>
      <c r="E512" s="0" t="n">
        <f aca="false">1/(1+EXP(-MAX(-25,MIN(25,D512))))</f>
        <v>0.300739577501704</v>
      </c>
      <c r="F512" s="0" t="n">
        <f aca="false">SUMPRODUCT(Risk_Inputs!B512:AJ512,Risk_Coefs!$B$3:$AJ$3)</f>
        <v>10.3032761285339</v>
      </c>
      <c r="G512" s="0" t="n">
        <f aca="false">MAX(0,F512)</f>
        <v>10.3032761285339</v>
      </c>
      <c r="H512" s="0" t="n">
        <f aca="false">(SUMPRODUCT(--ISNUMBER($E$2:$E$800),--($E$2:$E$800&lt;E512))+(SUMPRODUCT(--ISNUMBER($E$2:$E$800),--($E$2:$E$800=E512))+1)/2)/COUNT($E$2:$E$800)</f>
        <v>0.570713391739675</v>
      </c>
      <c r="I512" s="0" t="n">
        <f aca="false">(SUMPRODUCT(--ISNUMBER($G$2:$G$800),--($G$2:$G$800&lt;G512))+(SUMPRODUCT(--ISNUMBER($G$2:$G$800),--($G$2:$G$800=G512))+1)/2)/COUNT($G$2:$G$800)</f>
        <v>0.822277847309136</v>
      </c>
      <c r="J512" s="0" t="n">
        <v>11.6995536918825</v>
      </c>
      <c r="K512" s="0" t="n">
        <v>9.1263650546022</v>
      </c>
      <c r="L512" s="0" t="n">
        <v>0.273010920436813</v>
      </c>
      <c r="M512" s="0" t="n">
        <f aca="false">IF(OR(B512="NW",COUNT(Risk_Rank_Keys!B512)=0),0.5,(SUMPRODUCT(--ISNUMBER(Risk_Rank_Keys!$B$2:$B$800),--(Risk_Rank_Keys!$B$2:$B$800&lt;Risk_Rank_Keys!B512))+(SUMPRODUCT(--ISNUMBER(Risk_Rank_Keys!$B$2:$B$800),--(Risk_Rank_Keys!$B$2:$B$800=Risk_Rank_Keys!B512))+1)/2)/COUNT(Risk_Rank_Keys!$B$2:$B$800))</f>
        <v>0.591352859135286</v>
      </c>
      <c r="N512" s="0" t="n">
        <f aca="false">IF(OR(B512="NW",COUNT(Risk_Rank_Keys!C512)=0),0.5,(SUMPRODUCT(--ISNUMBER(Risk_Rank_Keys!$C$2:$C$800),--(Risk_Rank_Keys!$C$2:$C$800&lt;Risk_Rank_Keys!C512))+(SUMPRODUCT(--ISNUMBER(Risk_Rank_Keys!$C$2:$C$800),--(Risk_Rank_Keys!$C$2:$C$800=Risk_Rank_Keys!C512))+1)/2)/COUNT(Risk_Rank_Keys!$C$2:$C$800))</f>
        <v>0.853556485355649</v>
      </c>
      <c r="O512" s="0" t="n">
        <f aca="false">IF(OR(B512="NW",COUNT(Risk_Rank_Keys!D512)=0),0.5,(SUMPRODUCT(--ISNUMBER(Risk_Rank_Keys!$D$2:$D$800),--(Risk_Rank_Keys!$D$2:$D$800&lt;Risk_Rank_Keys!D512))+(SUMPRODUCT(--ISNUMBER(Risk_Rank_Keys!$D$2:$D$800),--(Risk_Rank_Keys!$D$2:$D$800=Risk_Rank_Keys!D512))+1)/2)/COUNT(Risk_Rank_Keys!$D$2:$D$800))</f>
        <v>0.670850767085077</v>
      </c>
      <c r="P512" s="0" t="n">
        <f aca="false">AVERAGE(M512:O512)</f>
        <v>0.705253370525337</v>
      </c>
      <c r="Q512" s="0" t="n">
        <f aca="false">0.4*H512+0.4*I512+0.2*P512</f>
        <v>0.698247169724592</v>
      </c>
      <c r="R512" s="0" t="n">
        <f aca="false">PERCENTILE($Q$2:$Q$800,0.75)</f>
        <v>0.667715717403612</v>
      </c>
      <c r="S512" s="1" t="b">
        <f aca="false">OR(Q512&gt;=R512,AND(B512="CW",COUNT(J512:L512)&lt;3))</f>
        <v>1</v>
      </c>
      <c r="T512" s="0" t="n">
        <v>0.300739577501704</v>
      </c>
      <c r="U512" s="0" t="n">
        <v>10.3032761285339</v>
      </c>
      <c r="V512" s="0" t="n">
        <v>0.698247169724592</v>
      </c>
      <c r="W512" s="0" t="n">
        <f aca="false">Q512-V512</f>
        <v>0</v>
      </c>
    </row>
    <row r="513" customFormat="false" ht="15" hidden="false" customHeight="false" outlineLevel="0" collapsed="false">
      <c r="A513" s="0" t="s">
        <v>547</v>
      </c>
      <c r="B513" s="0" t="s">
        <v>3013</v>
      </c>
      <c r="C513" s="0" t="n">
        <v>21.6204051597985</v>
      </c>
      <c r="D513" s="0" t="n">
        <f aca="false">SUMPRODUCT(Risk_Inputs!B513:AJ513,Risk_Coefs!$B$2:$AJ$2)</f>
        <v>-1.16087650613617</v>
      </c>
      <c r="E513" s="0" t="n">
        <f aca="false">1/(1+EXP(-MAX(-25,MIN(25,D513))))</f>
        <v>0.238508055906867</v>
      </c>
      <c r="F513" s="0" t="n">
        <f aca="false">SUMPRODUCT(Risk_Inputs!B513:AJ513,Risk_Coefs!$B$3:$AJ$3)</f>
        <v>7.36217168652151</v>
      </c>
      <c r="G513" s="0" t="n">
        <f aca="false">MAX(0,F513)</f>
        <v>7.36217168652151</v>
      </c>
      <c r="H513" s="0" t="n">
        <f aca="false">(SUMPRODUCT(--ISNUMBER($E$2:$E$800),--($E$2:$E$800&lt;E513))+(SUMPRODUCT(--ISNUMBER($E$2:$E$800),--($E$2:$E$800=E513))+1)/2)/COUNT($E$2:$E$800)</f>
        <v>0.216520650813517</v>
      </c>
      <c r="I513" s="0" t="n">
        <f aca="false">(SUMPRODUCT(--ISNUMBER($G$2:$G$800),--($G$2:$G$800&lt;G513))+(SUMPRODUCT(--ISNUMBER($G$2:$G$800),--($G$2:$G$800=G513))+1)/2)/COUNT($G$2:$G$800)</f>
        <v>0.455569461827284</v>
      </c>
      <c r="J513" s="0" t="n">
        <v>11.3826304976153</v>
      </c>
      <c r="K513" s="0" t="n">
        <v>4.88522660388465</v>
      </c>
      <c r="L513" s="0" t="n">
        <v>0.294290759270159</v>
      </c>
      <c r="M513" s="0" t="n">
        <f aca="false">IF(OR(B513="NW",COUNT(Risk_Rank_Keys!B513)=0),0.5,(SUMPRODUCT(--ISNUMBER(Risk_Rank_Keys!$B$2:$B$800),--(Risk_Rank_Keys!$B$2:$B$800&lt;Risk_Rank_Keys!B513))+(SUMPRODUCT(--ISNUMBER(Risk_Rank_Keys!$B$2:$B$800),--(Risk_Rank_Keys!$B$2:$B$800=Risk_Rank_Keys!B513))+1)/2)/COUNT(Risk_Rank_Keys!$B$2:$B$800))</f>
        <v>0.563458856345886</v>
      </c>
      <c r="N513" s="0" t="n">
        <f aca="false">IF(OR(B513="NW",COUNT(Risk_Rank_Keys!C513)=0),0.5,(SUMPRODUCT(--ISNUMBER(Risk_Rank_Keys!$C$2:$C$800),--(Risk_Rank_Keys!$C$2:$C$800&lt;Risk_Rank_Keys!C513))+(SUMPRODUCT(--ISNUMBER(Risk_Rank_Keys!$C$2:$C$800),--(Risk_Rank_Keys!$C$2:$C$800=Risk_Rank_Keys!C513))+1)/2)/COUNT(Risk_Rank_Keys!$C$2:$C$800))</f>
        <v>0.683403068340307</v>
      </c>
      <c r="O513" s="0" t="n">
        <f aca="false">IF(OR(B513="NW",COUNT(Risk_Rank_Keys!D513)=0),0.5,(SUMPRODUCT(--ISNUMBER(Risk_Rank_Keys!$D$2:$D$800),--(Risk_Rank_Keys!$D$2:$D$800&lt;Risk_Rank_Keys!D513))+(SUMPRODUCT(--ISNUMBER(Risk_Rank_Keys!$D$2:$D$800),--(Risk_Rank_Keys!$D$2:$D$800=Risk_Rank_Keys!D513))+1)/2)/COUNT(Risk_Rank_Keys!$D$2:$D$800))</f>
        <v>0.730822873082287</v>
      </c>
      <c r="P513" s="0" t="n">
        <f aca="false">AVERAGE(M513:O513)</f>
        <v>0.659228265922827</v>
      </c>
      <c r="Q513" s="0" t="n">
        <f aca="false">0.4*H513+0.4*I513+0.2*P513</f>
        <v>0.400681698240886</v>
      </c>
      <c r="R513" s="0" t="n">
        <f aca="false">PERCENTILE($Q$2:$Q$800,0.75)</f>
        <v>0.667715717403612</v>
      </c>
      <c r="S513" s="1" t="b">
        <f aca="false">OR(Q513&gt;=R513,AND(B513="CW",COUNT(J513:L513)&lt;3))</f>
        <v>0</v>
      </c>
      <c r="T513" s="0" t="n">
        <v>0.238508055906867</v>
      </c>
      <c r="U513" s="0" t="n">
        <v>7.36217168652151</v>
      </c>
      <c r="V513" s="0" t="n">
        <v>0.400681698240886</v>
      </c>
      <c r="W513" s="0" t="n">
        <f aca="false">Q513-V513</f>
        <v>0</v>
      </c>
    </row>
    <row r="514" customFormat="false" ht="15" hidden="false" customHeight="false" outlineLevel="0" collapsed="false">
      <c r="A514" s="0" t="s">
        <v>548</v>
      </c>
      <c r="B514" s="0" t="s">
        <v>3013</v>
      </c>
      <c r="C514" s="0" t="n">
        <v>14.0421877051446</v>
      </c>
      <c r="D514" s="0" t="n">
        <f aca="false">SUMPRODUCT(Risk_Inputs!B514:AJ514,Risk_Coefs!$B$2:$AJ$2)</f>
        <v>-0.615546576576581</v>
      </c>
      <c r="E514" s="0" t="n">
        <f aca="false">1/(1+EXP(-MAX(-25,MIN(25,D514))))</f>
        <v>0.35079498942391</v>
      </c>
      <c r="F514" s="0" t="n">
        <f aca="false">SUMPRODUCT(Risk_Inputs!B514:AJ514,Risk_Coefs!$B$3:$AJ$3)</f>
        <v>9.83093069045816</v>
      </c>
      <c r="G514" s="0" t="n">
        <f aca="false">MAX(0,F514)</f>
        <v>9.83093069045816</v>
      </c>
      <c r="H514" s="0" t="n">
        <f aca="false">(SUMPRODUCT(--ISNUMBER($E$2:$E$800),--($E$2:$E$800&lt;E514))+(SUMPRODUCT(--ISNUMBER($E$2:$E$800),--($E$2:$E$800=E514))+1)/2)/COUNT($E$2:$E$800)</f>
        <v>0.817271589486859</v>
      </c>
      <c r="I514" s="0" t="n">
        <f aca="false">(SUMPRODUCT(--ISNUMBER($G$2:$G$800),--($G$2:$G$800&lt;G514))+(SUMPRODUCT(--ISNUMBER($G$2:$G$800),--($G$2:$G$800=G514))+1)/2)/COUNT($G$2:$G$800)</f>
        <v>0.770963704630788</v>
      </c>
      <c r="J514" s="0" t="n">
        <v>3.31854088312135</v>
      </c>
      <c r="K514" s="0" t="n">
        <v>2.0611473720371</v>
      </c>
      <c r="L514" s="0" t="n">
        <v>0.206114737203708</v>
      </c>
      <c r="M514" s="0" t="n">
        <f aca="false">IF(OR(B514="NW",COUNT(Risk_Rank_Keys!B514)=0),0.5,(SUMPRODUCT(--ISNUMBER(Risk_Rank_Keys!$B$2:$B$800),--(Risk_Rank_Keys!$B$2:$B$800&lt;Risk_Rank_Keys!B514))+(SUMPRODUCT(--ISNUMBER(Risk_Rank_Keys!$B$2:$B$800),--(Risk_Rank_Keys!$B$2:$B$800=Risk_Rank_Keys!B514))+1)/2)/COUNT(Risk_Rank_Keys!$B$2:$B$800))</f>
        <v>0.0362622036262204</v>
      </c>
      <c r="N514" s="0" t="n">
        <f aca="false">IF(OR(B514="NW",COUNT(Risk_Rank_Keys!C514)=0),0.5,(SUMPRODUCT(--ISNUMBER(Risk_Rank_Keys!$C$2:$C$800),--(Risk_Rank_Keys!$C$2:$C$800&lt;Risk_Rank_Keys!C514))+(SUMPRODUCT(--ISNUMBER(Risk_Rank_Keys!$C$2:$C$800),--(Risk_Rank_Keys!$C$2:$C$800=Risk_Rank_Keys!C514))+1)/2)/COUNT(Risk_Rank_Keys!$C$2:$C$800))</f>
        <v>0.290097629009763</v>
      </c>
      <c r="O514" s="0" t="n">
        <f aca="false">IF(OR(B514="NW",COUNT(Risk_Rank_Keys!D514)=0),0.5,(SUMPRODUCT(--ISNUMBER(Risk_Rank_Keys!$D$2:$D$800),--(Risk_Rank_Keys!$D$2:$D$800&lt;Risk_Rank_Keys!D514))+(SUMPRODUCT(--ISNUMBER(Risk_Rank_Keys!$D$2:$D$800),--(Risk_Rank_Keys!$D$2:$D$800=Risk_Rank_Keys!D514))+1)/2)/COUNT(Risk_Rank_Keys!$D$2:$D$800))</f>
        <v>0.348675034867504</v>
      </c>
      <c r="P514" s="0" t="n">
        <f aca="false">AVERAGE(M514:O514)</f>
        <v>0.225011622501162</v>
      </c>
      <c r="Q514" s="0" t="n">
        <f aca="false">0.4*H514+0.4*I514+0.2*P514</f>
        <v>0.680296442147291</v>
      </c>
      <c r="R514" s="0" t="n">
        <f aca="false">PERCENTILE($Q$2:$Q$800,0.75)</f>
        <v>0.667715717403612</v>
      </c>
      <c r="S514" s="1" t="b">
        <f aca="false">OR(Q514&gt;=R514,AND(B514="CW",COUNT(J514:L514)&lt;3))</f>
        <v>1</v>
      </c>
      <c r="T514" s="0" t="n">
        <v>0.350794989423911</v>
      </c>
      <c r="U514" s="0" t="n">
        <v>9.83093069045816</v>
      </c>
      <c r="V514" s="0" t="n">
        <v>0.680296442147291</v>
      </c>
      <c r="W514" s="0" t="n">
        <f aca="false">Q514-V514</f>
        <v>0</v>
      </c>
    </row>
    <row r="515" customFormat="false" ht="15" hidden="false" customHeight="false" outlineLevel="0" collapsed="false">
      <c r="A515" s="0" t="s">
        <v>549</v>
      </c>
      <c r="B515" s="0" t="s">
        <v>3013</v>
      </c>
      <c r="C515" s="0" t="n">
        <v>37.6472930151103</v>
      </c>
      <c r="D515" s="0" t="n">
        <f aca="false">SUMPRODUCT(Risk_Inputs!B515:AJ515,Risk_Coefs!$B$2:$AJ$2)</f>
        <v>-0.770348022626799</v>
      </c>
      <c r="E515" s="0" t="n">
        <f aca="false">1/(1+EXP(-MAX(-25,MIN(25,D515))))</f>
        <v>0.316403826789486</v>
      </c>
      <c r="F515" s="0" t="n">
        <f aca="false">SUMPRODUCT(Risk_Inputs!B515:AJ515,Risk_Coefs!$B$3:$AJ$3)</f>
        <v>8.60654076813099</v>
      </c>
      <c r="G515" s="0" t="n">
        <f aca="false">MAX(0,F515)</f>
        <v>8.60654076813099</v>
      </c>
      <c r="H515" s="0" t="n">
        <f aca="false">(SUMPRODUCT(--ISNUMBER($E$2:$E$800),--($E$2:$E$800&lt;E515))+(SUMPRODUCT(--ISNUMBER($E$2:$E$800),--($E$2:$E$800=E515))+1)/2)/COUNT($E$2:$E$800)</f>
        <v>0.647058823529412</v>
      </c>
      <c r="I515" s="0" t="n">
        <f aca="false">(SUMPRODUCT(--ISNUMBER($G$2:$G$800),--($G$2:$G$800&lt;G515))+(SUMPRODUCT(--ISNUMBER($G$2:$G$800),--($G$2:$G$800=G515))+1)/2)/COUNT($G$2:$G$800)</f>
        <v>0.623279098873592</v>
      </c>
      <c r="J515" s="0" t="n">
        <v>4.08637021644784</v>
      </c>
      <c r="K515" s="0" t="n">
        <v>1.99386503067484</v>
      </c>
      <c r="L515" s="0" t="n">
        <v>0.191717791411043</v>
      </c>
      <c r="M515" s="0" t="n">
        <f aca="false">IF(OR(B515="NW",COUNT(Risk_Rank_Keys!B515)=0),0.5,(SUMPRODUCT(--ISNUMBER(Risk_Rank_Keys!$B$2:$B$800),--(Risk_Rank_Keys!$B$2:$B$800&lt;Risk_Rank_Keys!B515))+(SUMPRODUCT(--ISNUMBER(Risk_Rank_Keys!$B$2:$B$800),--(Risk_Rank_Keys!$B$2:$B$800=Risk_Rank_Keys!B515))+1)/2)/COUNT(Risk_Rank_Keys!$B$2:$B$800))</f>
        <v>0.0767085076708508</v>
      </c>
      <c r="N515" s="0" t="n">
        <f aca="false">IF(OR(B515="NW",COUNT(Risk_Rank_Keys!C515)=0),0.5,(SUMPRODUCT(--ISNUMBER(Risk_Rank_Keys!$C$2:$C$800),--(Risk_Rank_Keys!$C$2:$C$800&lt;Risk_Rank_Keys!C515))+(SUMPRODUCT(--ISNUMBER(Risk_Rank_Keys!$C$2:$C$800),--(Risk_Rank_Keys!$C$2:$C$800=Risk_Rank_Keys!C515))+1)/2)/COUNT(Risk_Rank_Keys!$C$2:$C$800))</f>
        <v>0.266387726638773</v>
      </c>
      <c r="O515" s="0" t="n">
        <f aca="false">IF(OR(B515="NW",COUNT(Risk_Rank_Keys!D515)=0),0.5,(SUMPRODUCT(--ISNUMBER(Risk_Rank_Keys!$D$2:$D$800),--(Risk_Rank_Keys!$D$2:$D$800&lt;Risk_Rank_Keys!D515))+(SUMPRODUCT(--ISNUMBER(Risk_Rank_Keys!$D$2:$D$800),--(Risk_Rank_Keys!$D$2:$D$800=Risk_Rank_Keys!D515))+1)/2)/COUNT(Risk_Rank_Keys!$D$2:$D$800))</f>
        <v>0.264993026499303</v>
      </c>
      <c r="P515" s="0" t="n">
        <f aca="false">AVERAGE(M515:O515)</f>
        <v>0.202696420269642</v>
      </c>
      <c r="Q515" s="0" t="n">
        <f aca="false">0.4*H515+0.4*I515+0.2*P515</f>
        <v>0.54867445301513</v>
      </c>
      <c r="R515" s="0" t="n">
        <f aca="false">PERCENTILE($Q$2:$Q$800,0.75)</f>
        <v>0.667715717403612</v>
      </c>
      <c r="S515" s="1" t="b">
        <f aca="false">OR(Q515&gt;=R515,AND(B515="CW",COUNT(J515:L515)&lt;3))</f>
        <v>0</v>
      </c>
      <c r="T515" s="0" t="n">
        <v>0.316403826789486</v>
      </c>
      <c r="U515" s="0" t="n">
        <v>8.60654076813099</v>
      </c>
      <c r="V515" s="0" t="n">
        <v>0.54867445301513</v>
      </c>
      <c r="W515" s="0" t="n">
        <f aca="false">Q515-V515</f>
        <v>0</v>
      </c>
    </row>
    <row r="516" customFormat="false" ht="15" hidden="false" customHeight="false" outlineLevel="0" collapsed="false">
      <c r="A516" s="0" t="s">
        <v>550</v>
      </c>
      <c r="B516" s="0" t="s">
        <v>3013</v>
      </c>
      <c r="C516" s="0" t="n">
        <v>25.1100623666935</v>
      </c>
      <c r="D516" s="0" t="n">
        <f aca="false">SUMPRODUCT(Risk_Inputs!B516:AJ516,Risk_Coefs!$B$2:$AJ$2)</f>
        <v>-0.537829182351527</v>
      </c>
      <c r="E516" s="0" t="n">
        <f aca="false">1/(1+EXP(-MAX(-25,MIN(25,D516))))</f>
        <v>0.36869271411597</v>
      </c>
      <c r="F516" s="0" t="n">
        <f aca="false">SUMPRODUCT(Risk_Inputs!B516:AJ516,Risk_Coefs!$B$3:$AJ$3)</f>
        <v>10.5501038240265</v>
      </c>
      <c r="G516" s="0" t="n">
        <f aca="false">MAX(0,F516)</f>
        <v>10.5501038240265</v>
      </c>
      <c r="H516" s="0" t="n">
        <f aca="false">(SUMPRODUCT(--ISNUMBER($E$2:$E$800),--($E$2:$E$800&lt;E516))+(SUMPRODUCT(--ISNUMBER($E$2:$E$800),--($E$2:$E$800=E516))+1)/2)/COUNT($E$2:$E$800)</f>
        <v>0.868585732165207</v>
      </c>
      <c r="I516" s="0" t="n">
        <f aca="false">(SUMPRODUCT(--ISNUMBER($G$2:$G$800),--($G$2:$G$800&lt;G516))+(SUMPRODUCT(--ISNUMBER($G$2:$G$800),--($G$2:$G$800=G516))+1)/2)/COUNT($G$2:$G$800)</f>
        <v>0.846057571964956</v>
      </c>
      <c r="J516" s="0" t="n">
        <v>11.9686059309156</v>
      </c>
      <c r="K516" s="0" t="n">
        <v>7.48687514266148</v>
      </c>
      <c r="L516" s="0" t="n">
        <v>0.159780871947048</v>
      </c>
      <c r="M516" s="0" t="n">
        <f aca="false">IF(OR(B516="NW",COUNT(Risk_Rank_Keys!B516)=0),0.5,(SUMPRODUCT(--ISNUMBER(Risk_Rank_Keys!$B$2:$B$800),--(Risk_Rank_Keys!$B$2:$B$800&lt;Risk_Rank_Keys!B516))+(SUMPRODUCT(--ISNUMBER(Risk_Rank_Keys!$B$2:$B$800),--(Risk_Rank_Keys!$B$2:$B$800=Risk_Rank_Keys!B516))+1)/2)/COUNT(Risk_Rank_Keys!$B$2:$B$800))</f>
        <v>0.601115760111576</v>
      </c>
      <c r="N516" s="0" t="n">
        <f aca="false">IF(OR(B516="NW",COUNT(Risk_Rank_Keys!C516)=0),0.5,(SUMPRODUCT(--ISNUMBER(Risk_Rank_Keys!$C$2:$C$800),--(Risk_Rank_Keys!$C$2:$C$800&lt;Risk_Rank_Keys!C516))+(SUMPRODUCT(--ISNUMBER(Risk_Rank_Keys!$C$2:$C$800),--(Risk_Rank_Keys!$C$2:$C$800=Risk_Rank_Keys!C516))+1)/2)/COUNT(Risk_Rank_Keys!$C$2:$C$800))</f>
        <v>0.807531380753138</v>
      </c>
      <c r="O516" s="0" t="n">
        <f aca="false">IF(OR(B516="NW",COUNT(Risk_Rank_Keys!D516)=0),0.5,(SUMPRODUCT(--ISNUMBER(Risk_Rank_Keys!$D$2:$D$800),--(Risk_Rank_Keys!$D$2:$D$800&lt;Risk_Rank_Keys!D516))+(SUMPRODUCT(--ISNUMBER(Risk_Rank_Keys!$D$2:$D$800),--(Risk_Rank_Keys!$D$2:$D$800=Risk_Rank_Keys!D516))+1)/2)/COUNT(Risk_Rank_Keys!$D$2:$D$800))</f>
        <v>0.132496513249651</v>
      </c>
      <c r="P516" s="0" t="n">
        <f aca="false">AVERAGE(M516:O516)</f>
        <v>0.513714551371455</v>
      </c>
      <c r="Q516" s="0" t="n">
        <f aca="false">0.4*H516+0.4*I516+0.2*P516</f>
        <v>0.788600231926356</v>
      </c>
      <c r="R516" s="0" t="n">
        <f aca="false">PERCENTILE($Q$2:$Q$800,0.75)</f>
        <v>0.667715717403612</v>
      </c>
      <c r="S516" s="1" t="b">
        <f aca="false">OR(Q516&gt;=R516,AND(B516="CW",COUNT(J516:L516)&lt;3))</f>
        <v>1</v>
      </c>
      <c r="T516" s="0" t="n">
        <v>0.36869271411597</v>
      </c>
      <c r="U516" s="0" t="n">
        <v>10.5501038240265</v>
      </c>
      <c r="V516" s="0" t="n">
        <v>0.788600231926356</v>
      </c>
      <c r="W516" s="0" t="n">
        <f aca="false">Q516-V516</f>
        <v>0</v>
      </c>
    </row>
    <row r="517" customFormat="false" ht="15" hidden="false" customHeight="false" outlineLevel="0" collapsed="false">
      <c r="A517" s="0" t="s">
        <v>551</v>
      </c>
      <c r="B517" s="0" t="s">
        <v>3013</v>
      </c>
      <c r="C517" s="0" t="n">
        <v>50.8569761886903</v>
      </c>
      <c r="D517" s="0" t="n">
        <f aca="false">SUMPRODUCT(Risk_Inputs!B517:AJ517,Risk_Coefs!$B$2:$AJ$2)</f>
        <v>-0.492681969846537</v>
      </c>
      <c r="E517" s="0" t="n">
        <f aca="false">1/(1+EXP(-MAX(-25,MIN(25,D517))))</f>
        <v>0.379261967929696</v>
      </c>
      <c r="F517" s="0" t="n">
        <f aca="false">SUMPRODUCT(Risk_Inputs!B517:AJ517,Risk_Coefs!$B$3:$AJ$3)</f>
        <v>11.8755083082817</v>
      </c>
      <c r="G517" s="0" t="n">
        <f aca="false">MAX(0,F517)</f>
        <v>11.8755083082817</v>
      </c>
      <c r="H517" s="0" t="n">
        <f aca="false">(SUMPRODUCT(--ISNUMBER($E$2:$E$800),--($E$2:$E$800&lt;E517))+(SUMPRODUCT(--ISNUMBER($E$2:$E$800),--($E$2:$E$800=E517))+1)/2)/COUNT($E$2:$E$800)</f>
        <v>0.898623279098874</v>
      </c>
      <c r="I517" s="0" t="n">
        <f aca="false">(SUMPRODUCT(--ISNUMBER($G$2:$G$800),--($G$2:$G$800&lt;G517))+(SUMPRODUCT(--ISNUMBER($G$2:$G$800),--($G$2:$G$800=G517))+1)/2)/COUNT($G$2:$G$800)</f>
        <v>0.916145181476846</v>
      </c>
      <c r="J517" s="0" t="n">
        <v>3.53317875676273</v>
      </c>
      <c r="K517" s="0" t="n">
        <v>4.14120841819418</v>
      </c>
      <c r="L517" s="0" t="n">
        <v>0.203665987780048</v>
      </c>
      <c r="M517" s="0" t="n">
        <f aca="false">IF(OR(B517="NW",COUNT(Risk_Rank_Keys!B517)=0),0.5,(SUMPRODUCT(--ISNUMBER(Risk_Rank_Keys!$B$2:$B$800),--(Risk_Rank_Keys!$B$2:$B$800&lt;Risk_Rank_Keys!B517))+(SUMPRODUCT(--ISNUMBER(Risk_Rank_Keys!$B$2:$B$800),--(Risk_Rank_Keys!$B$2:$B$800=Risk_Rank_Keys!B517))+1)/2)/COUNT(Risk_Rank_Keys!$B$2:$B$800))</f>
        <v>0.0446304044630404</v>
      </c>
      <c r="N517" s="0" t="n">
        <f aca="false">IF(OR(B517="NW",COUNT(Risk_Rank_Keys!C517)=0),0.5,(SUMPRODUCT(--ISNUMBER(Risk_Rank_Keys!$C$2:$C$800),--(Risk_Rank_Keys!$C$2:$C$800&lt;Risk_Rank_Keys!C517))+(SUMPRODUCT(--ISNUMBER(Risk_Rank_Keys!$C$2:$C$800),--(Risk_Rank_Keys!$C$2:$C$800=Risk_Rank_Keys!C517))+1)/2)/COUNT(Risk_Rank_Keys!$C$2:$C$800))</f>
        <v>0.609483960948396</v>
      </c>
      <c r="O517" s="0" t="n">
        <f aca="false">IF(OR(B517="NW",COUNT(Risk_Rank_Keys!D517)=0),0.5,(SUMPRODUCT(--ISNUMBER(Risk_Rank_Keys!$D$2:$D$800),--(Risk_Rank_Keys!$D$2:$D$800&lt;Risk_Rank_Keys!D517))+(SUMPRODUCT(--ISNUMBER(Risk_Rank_Keys!$D$2:$D$800),--(Risk_Rank_Keys!$D$2:$D$800=Risk_Rank_Keys!D517))+1)/2)/COUNT(Risk_Rank_Keys!$D$2:$D$800))</f>
        <v>0.336122733612273</v>
      </c>
      <c r="P517" s="0" t="n">
        <f aca="false">AVERAGE(M517:O517)</f>
        <v>0.330079033007903</v>
      </c>
      <c r="Q517" s="0" t="n">
        <f aca="false">0.4*H517+0.4*I517+0.2*P517</f>
        <v>0.791923190831869</v>
      </c>
      <c r="R517" s="0" t="n">
        <f aca="false">PERCENTILE($Q$2:$Q$800,0.75)</f>
        <v>0.667715717403612</v>
      </c>
      <c r="S517" s="1" t="b">
        <f aca="false">OR(Q517&gt;=R517,AND(B517="CW",COUNT(J517:L517)&lt;3))</f>
        <v>1</v>
      </c>
      <c r="T517" s="0" t="n">
        <v>0.379261967929696</v>
      </c>
      <c r="U517" s="0" t="n">
        <v>11.8755083082817</v>
      </c>
      <c r="V517" s="0" t="n">
        <v>0.791923190831869</v>
      </c>
      <c r="W517" s="0" t="n">
        <f aca="false">Q517-V517</f>
        <v>0</v>
      </c>
    </row>
    <row r="518" customFormat="false" ht="15" hidden="false" customHeight="false" outlineLevel="0" collapsed="false">
      <c r="A518" s="0" t="s">
        <v>552</v>
      </c>
      <c r="B518" s="0" t="s">
        <v>3013</v>
      </c>
      <c r="C518" s="0" t="n">
        <v>53.1910588592478</v>
      </c>
      <c r="D518" s="0" t="n">
        <f aca="false">SUMPRODUCT(Risk_Inputs!B518:AJ518,Risk_Coefs!$B$2:$AJ$2)</f>
        <v>-0.286278288007902</v>
      </c>
      <c r="E518" s="0" t="n">
        <f aca="false">1/(1+EXP(-MAX(-25,MIN(25,D518))))</f>
        <v>0.428915246935184</v>
      </c>
      <c r="F518" s="0" t="n">
        <f aca="false">SUMPRODUCT(Risk_Inputs!B518:AJ518,Risk_Coefs!$B$3:$AJ$3)</f>
        <v>16.6765147971416</v>
      </c>
      <c r="G518" s="0" t="n">
        <f aca="false">MAX(0,F518)</f>
        <v>16.6765147971416</v>
      </c>
      <c r="H518" s="0" t="n">
        <f aca="false">(SUMPRODUCT(--ISNUMBER($E$2:$E$800),--($E$2:$E$800&lt;E518))+(SUMPRODUCT(--ISNUMBER($E$2:$E$800),--($E$2:$E$800=E518))+1)/2)/COUNT($E$2:$E$800)</f>
        <v>0.969962453066333</v>
      </c>
      <c r="I518" s="0" t="n">
        <f aca="false">(SUMPRODUCT(--ISNUMBER($G$2:$G$800),--($G$2:$G$800&lt;G518))+(SUMPRODUCT(--ISNUMBER($G$2:$G$800),--($G$2:$G$800=G518))+1)/2)/COUNT($G$2:$G$800)</f>
        <v>0.992490613266583</v>
      </c>
      <c r="J518" s="0" t="n">
        <v>8.50661416870494</v>
      </c>
      <c r="K518" s="0" t="n">
        <v>4.05531567277395</v>
      </c>
      <c r="L518" s="0" t="n">
        <v>0.0991947718520273</v>
      </c>
      <c r="M518" s="0" t="n">
        <f aca="false">IF(OR(B518="NW",COUNT(Risk_Rank_Keys!B518)=0),0.5,(SUMPRODUCT(--ISNUMBER(Risk_Rank_Keys!$B$2:$B$800),--(Risk_Rank_Keys!$B$2:$B$800&lt;Risk_Rank_Keys!B518))+(SUMPRODUCT(--ISNUMBER(Risk_Rank_Keys!$B$2:$B$800),--(Risk_Rank_Keys!$B$2:$B$800=Risk_Rank_Keys!B518))+1)/2)/COUNT(Risk_Rank_Keys!$B$2:$B$800))</f>
        <v>0.417015341701534</v>
      </c>
      <c r="N518" s="0" t="n">
        <f aca="false">IF(OR(B518="NW",COUNT(Risk_Rank_Keys!C518)=0),0.5,(SUMPRODUCT(--ISNUMBER(Risk_Rank_Keys!$C$2:$C$800),--(Risk_Rank_Keys!$C$2:$C$800&lt;Risk_Rank_Keys!C518))+(SUMPRODUCT(--ISNUMBER(Risk_Rank_Keys!$C$2:$C$800),--(Risk_Rank_Keys!$C$2:$C$800=Risk_Rank_Keys!C518))+1)/2)/COUNT(Risk_Rank_Keys!$C$2:$C$800))</f>
        <v>0.605299860529986</v>
      </c>
      <c r="O518" s="0" t="n">
        <f aca="false">IF(OR(B518="NW",COUNT(Risk_Rank_Keys!D518)=0),0.5,(SUMPRODUCT(--ISNUMBER(Risk_Rank_Keys!$D$2:$D$800),--(Risk_Rank_Keys!$D$2:$D$800&lt;Risk_Rank_Keys!D518))+(SUMPRODUCT(--ISNUMBER(Risk_Rank_Keys!$D$2:$D$800),--(Risk_Rank_Keys!$D$2:$D$800=Risk_Rank_Keys!D518))+1)/2)/COUNT(Risk_Rank_Keys!$D$2:$D$800))</f>
        <v>0.0181311018131102</v>
      </c>
      <c r="P518" s="0" t="n">
        <f aca="false">AVERAGE(M518:O518)</f>
        <v>0.346815434681543</v>
      </c>
      <c r="Q518" s="0" t="n">
        <f aca="false">0.4*H518+0.4*I518+0.2*P518</f>
        <v>0.854344313469475</v>
      </c>
      <c r="R518" s="0" t="n">
        <f aca="false">PERCENTILE($Q$2:$Q$800,0.75)</f>
        <v>0.667715717403612</v>
      </c>
      <c r="S518" s="1" t="b">
        <f aca="false">OR(Q518&gt;=R518,AND(B518="CW",COUNT(J518:L518)&lt;3))</f>
        <v>1</v>
      </c>
      <c r="T518" s="0" t="n">
        <v>0.428915246935184</v>
      </c>
      <c r="U518" s="0" t="n">
        <v>16.6765147971416</v>
      </c>
      <c r="V518" s="0" t="n">
        <v>0.854344313469475</v>
      </c>
      <c r="W518" s="0" t="n">
        <f aca="false">Q518-V518</f>
        <v>0</v>
      </c>
    </row>
    <row r="519" customFormat="false" ht="15" hidden="false" customHeight="false" outlineLevel="0" collapsed="false">
      <c r="A519" s="0" t="s">
        <v>553</v>
      </c>
      <c r="B519" s="0" t="s">
        <v>3013</v>
      </c>
      <c r="C519" s="0" t="n">
        <v>-25.1308398225659</v>
      </c>
      <c r="D519" s="0" t="n">
        <f aca="false">SUMPRODUCT(Risk_Inputs!B519:AJ519,Risk_Coefs!$B$2:$AJ$2)</f>
        <v>-0.387669946584613</v>
      </c>
      <c r="E519" s="0" t="n">
        <f aca="false">1/(1+EXP(-MAX(-25,MIN(25,D519))))</f>
        <v>0.404278339239016</v>
      </c>
      <c r="F519" s="0" t="n">
        <f aca="false">SUMPRODUCT(Risk_Inputs!B519:AJ519,Risk_Coefs!$B$3:$AJ$3)</f>
        <v>7.54202660520636</v>
      </c>
      <c r="G519" s="0" t="n">
        <f aca="false">MAX(0,F519)</f>
        <v>7.54202660520636</v>
      </c>
      <c r="H519" s="0" t="n">
        <f aca="false">(SUMPRODUCT(--ISNUMBER($E$2:$E$800),--($E$2:$E$800&lt;E519))+(SUMPRODUCT(--ISNUMBER($E$2:$E$800),--($E$2:$E$800=E519))+1)/2)/COUNT($E$2:$E$800)</f>
        <v>0.951188986232791</v>
      </c>
      <c r="I519" s="0" t="n">
        <f aca="false">(SUMPRODUCT(--ISNUMBER($G$2:$G$800),--($G$2:$G$800&lt;G519))+(SUMPRODUCT(--ISNUMBER($G$2:$G$800),--($G$2:$G$800=G519))+1)/2)/COUNT($G$2:$G$800)</f>
        <v>0.48811013767209</v>
      </c>
      <c r="J519" s="0" t="n">
        <v>21.9616772004214</v>
      </c>
      <c r="K519" s="0" t="n">
        <v>6.50859752821063</v>
      </c>
      <c r="L519" s="0" t="n">
        <v>0.228371843095109</v>
      </c>
      <c r="M519" s="0" t="n">
        <f aca="false">IF(OR(B519="NW",COUNT(Risk_Rank_Keys!B519)=0),0.5,(SUMPRODUCT(--ISNUMBER(Risk_Rank_Keys!$B$2:$B$800),--(Risk_Rank_Keys!$B$2:$B$800&lt;Risk_Rank_Keys!B519))+(SUMPRODUCT(--ISNUMBER(Risk_Rank_Keys!$B$2:$B$800),--(Risk_Rank_Keys!$B$2:$B$800=Risk_Rank_Keys!B519))+1)/2)/COUNT(Risk_Rank_Keys!$B$2:$B$800))</f>
        <v>0.820083682008368</v>
      </c>
      <c r="N519" s="0" t="n">
        <f aca="false">IF(OR(B519="NW",COUNT(Risk_Rank_Keys!C519)=0),0.5,(SUMPRODUCT(--ISNUMBER(Risk_Rank_Keys!$C$2:$C$800),--(Risk_Rank_Keys!$C$2:$C$800&lt;Risk_Rank_Keys!C519))+(SUMPRODUCT(--ISNUMBER(Risk_Rank_Keys!$C$2:$C$800),--(Risk_Rank_Keys!$C$2:$C$800=Risk_Rank_Keys!C519))+1)/2)/COUNT(Risk_Rank_Keys!$C$2:$C$800))</f>
        <v>0.762900976290098</v>
      </c>
      <c r="O519" s="0" t="n">
        <f aca="false">IF(OR(B519="NW",COUNT(Risk_Rank_Keys!D519)=0),0.5,(SUMPRODUCT(--ISNUMBER(Risk_Rank_Keys!$D$2:$D$800),--(Risk_Rank_Keys!$D$2:$D$800&lt;Risk_Rank_Keys!D519))+(SUMPRODUCT(--ISNUMBER(Risk_Rank_Keys!$D$2:$D$800),--(Risk_Rank_Keys!$D$2:$D$800=Risk_Rank_Keys!D519))+1)/2)/COUNT(Risk_Rank_Keys!$D$2:$D$800))</f>
        <v>0.488145048814505</v>
      </c>
      <c r="P519" s="0" t="n">
        <f aca="false">AVERAGE(M519:O519)</f>
        <v>0.690376569037657</v>
      </c>
      <c r="Q519" s="0" t="n">
        <f aca="false">0.4*H519+0.4*I519+0.2*P519</f>
        <v>0.713794963369484</v>
      </c>
      <c r="R519" s="0" t="n">
        <f aca="false">PERCENTILE($Q$2:$Q$800,0.75)</f>
        <v>0.667715717403612</v>
      </c>
      <c r="S519" s="1" t="b">
        <f aca="false">OR(Q519&gt;=R519,AND(B519="CW",COUNT(J519:L519)&lt;3))</f>
        <v>1</v>
      </c>
      <c r="T519" s="0" t="n">
        <v>0.404278339239016</v>
      </c>
      <c r="U519" s="0" t="n">
        <v>7.54202660520636</v>
      </c>
      <c r="V519" s="0" t="n">
        <v>0.713794963369484</v>
      </c>
      <c r="W519" s="0" t="n">
        <f aca="false">Q519-V519</f>
        <v>0</v>
      </c>
    </row>
    <row r="520" customFormat="false" ht="15" hidden="false" customHeight="false" outlineLevel="0" collapsed="false">
      <c r="A520" s="0" t="s">
        <v>554</v>
      </c>
      <c r="B520" s="0" t="s">
        <v>33</v>
      </c>
      <c r="C520" s="0" t="n">
        <v>-50.3691330955296</v>
      </c>
      <c r="D520" s="0" t="n">
        <f aca="false">SUMPRODUCT(Risk_Inputs!B520:AJ520,Risk_Coefs!$B$2:$AJ$2)</f>
        <v>0.0630698413408701</v>
      </c>
      <c r="E520" s="0" t="n">
        <f aca="false">1/(1+EXP(-MAX(-25,MIN(25,D520))))</f>
        <v>0.515762235756712</v>
      </c>
      <c r="F520" s="0" t="n">
        <f aca="false">SUMPRODUCT(Risk_Inputs!B520:AJ520,Risk_Coefs!$B$3:$AJ$3)</f>
        <v>18.6899848039882</v>
      </c>
      <c r="G520" s="0" t="n">
        <f aca="false">MAX(0,F520)</f>
        <v>18.6899848039882</v>
      </c>
      <c r="H520" s="0" t="n">
        <f aca="false">(SUMPRODUCT(--ISNUMBER($E$2:$E$800),--($E$2:$E$800&lt;E520))+(SUMPRODUCT(--ISNUMBER($E$2:$E$800),--($E$2:$E$800=E520))+1)/2)/COUNT($E$2:$E$800)</f>
        <v>0.997496871088861</v>
      </c>
      <c r="I520" s="0" t="n">
        <f aca="false">(SUMPRODUCT(--ISNUMBER($G$2:$G$800),--($G$2:$G$800&lt;G520))+(SUMPRODUCT(--ISNUMBER($G$2:$G$800),--($G$2:$G$800=G520))+1)/2)/COUNT($G$2:$G$800)</f>
        <v>0.998748435544431</v>
      </c>
      <c r="M520" s="0" t="n">
        <f aca="false">IF(OR(B520="NW",COUNT(Risk_Rank_Keys!B520)=0),0.5,(SUMPRODUCT(--ISNUMBER(Risk_Rank_Keys!$B$2:$B$800),--(Risk_Rank_Keys!$B$2:$B$800&lt;Risk_Rank_Keys!B520))+(SUMPRODUCT(--ISNUMBER(Risk_Rank_Keys!$B$2:$B$800),--(Risk_Rank_Keys!$B$2:$B$800=Risk_Rank_Keys!B520))+1)/2)/COUNT(Risk_Rank_Keys!$B$2:$B$800))</f>
        <v>0.5</v>
      </c>
      <c r="N520" s="0" t="n">
        <f aca="false">IF(OR(B520="NW",COUNT(Risk_Rank_Keys!C520)=0),0.5,(SUMPRODUCT(--ISNUMBER(Risk_Rank_Keys!$C$2:$C$800),--(Risk_Rank_Keys!$C$2:$C$800&lt;Risk_Rank_Keys!C520))+(SUMPRODUCT(--ISNUMBER(Risk_Rank_Keys!$C$2:$C$800),--(Risk_Rank_Keys!$C$2:$C$800=Risk_Rank_Keys!C520))+1)/2)/COUNT(Risk_Rank_Keys!$C$2:$C$800))</f>
        <v>0.5</v>
      </c>
      <c r="O520" s="0" t="n">
        <f aca="false">IF(OR(B520="NW",COUNT(Risk_Rank_Keys!D520)=0),0.5,(SUMPRODUCT(--ISNUMBER(Risk_Rank_Keys!$D$2:$D$800),--(Risk_Rank_Keys!$D$2:$D$800&lt;Risk_Rank_Keys!D520))+(SUMPRODUCT(--ISNUMBER(Risk_Rank_Keys!$D$2:$D$800),--(Risk_Rank_Keys!$D$2:$D$800=Risk_Rank_Keys!D520))+1)/2)/COUNT(Risk_Rank_Keys!$D$2:$D$800))</f>
        <v>0.5</v>
      </c>
      <c r="P520" s="0" t="n">
        <f aca="false">AVERAGE(M520:O520)</f>
        <v>0.5</v>
      </c>
      <c r="Q520" s="0" t="n">
        <f aca="false">0.4*H520+0.4*I520+0.2*P520</f>
        <v>0.898498122653317</v>
      </c>
      <c r="R520" s="0" t="n">
        <f aca="false">PERCENTILE($Q$2:$Q$800,0.75)</f>
        <v>0.667715717403612</v>
      </c>
      <c r="S520" s="1" t="b">
        <f aca="false">OR(Q520&gt;=R520,AND(B520="CW",COUNT(J520:L520)&lt;3))</f>
        <v>1</v>
      </c>
      <c r="T520" s="0" t="n">
        <v>0.515762235756712</v>
      </c>
      <c r="U520" s="0" t="n">
        <v>18.6899848039882</v>
      </c>
      <c r="V520" s="0" t="n">
        <v>0.898498122653317</v>
      </c>
      <c r="W520" s="0" t="n">
        <f aca="false">Q520-V520</f>
        <v>0</v>
      </c>
    </row>
    <row r="521" customFormat="false" ht="15" hidden="false" customHeight="false" outlineLevel="0" collapsed="false">
      <c r="A521" s="0" t="s">
        <v>555</v>
      </c>
      <c r="B521" s="0" t="s">
        <v>3013</v>
      </c>
      <c r="C521" s="0" t="n">
        <v>46.2084166310003</v>
      </c>
      <c r="D521" s="0" t="n">
        <f aca="false">SUMPRODUCT(Risk_Inputs!B521:AJ521,Risk_Coefs!$B$2:$AJ$2)</f>
        <v>-0.718708481894215</v>
      </c>
      <c r="E521" s="0" t="n">
        <f aca="false">1/(1+EXP(-MAX(-25,MIN(25,D521))))</f>
        <v>0.327677447398989</v>
      </c>
      <c r="F521" s="0" t="n">
        <f aca="false">SUMPRODUCT(Risk_Inputs!B521:AJ521,Risk_Coefs!$B$3:$AJ$3)</f>
        <v>10.3972018577005</v>
      </c>
      <c r="G521" s="0" t="n">
        <f aca="false">MAX(0,F521)</f>
        <v>10.3972018577005</v>
      </c>
      <c r="H521" s="0" t="n">
        <f aca="false">(SUMPRODUCT(--ISNUMBER($E$2:$E$800),--($E$2:$E$800&lt;E521))+(SUMPRODUCT(--ISNUMBER($E$2:$E$800),--($E$2:$E$800=E521))+1)/2)/COUNT($E$2:$E$800)</f>
        <v>0.719649561952441</v>
      </c>
      <c r="I521" s="0" t="n">
        <f aca="false">(SUMPRODUCT(--ISNUMBER($G$2:$G$800),--($G$2:$G$800&lt;G521))+(SUMPRODUCT(--ISNUMBER($G$2:$G$800),--($G$2:$G$800=G521))+1)/2)/COUNT($G$2:$G$800)</f>
        <v>0.828535669586984</v>
      </c>
      <c r="J521" s="0" t="n">
        <v>20.7799068866448</v>
      </c>
      <c r="K521" s="0" t="n">
        <v>6.06060606060606</v>
      </c>
      <c r="L521" s="0" t="n">
        <v>0.223713646532437</v>
      </c>
      <c r="M521" s="0" t="n">
        <f aca="false">IF(OR(B521="NW",COUNT(Risk_Rank_Keys!B521)=0),0.5,(SUMPRODUCT(--ISNUMBER(Risk_Rank_Keys!$B$2:$B$800),--(Risk_Rank_Keys!$B$2:$B$800&lt;Risk_Rank_Keys!B521))+(SUMPRODUCT(--ISNUMBER(Risk_Rank_Keys!$B$2:$B$800),--(Risk_Rank_Keys!$B$2:$B$800=Risk_Rank_Keys!B521))+1)/2)/COUNT(Risk_Rank_Keys!$B$2:$B$800))</f>
        <v>0.801952580195258</v>
      </c>
      <c r="N521" s="0" t="n">
        <f aca="false">IF(OR(B521="NW",COUNT(Risk_Rank_Keys!C521)=0),0.5,(SUMPRODUCT(--ISNUMBER(Risk_Rank_Keys!$C$2:$C$800),--(Risk_Rank_Keys!$C$2:$C$800&lt;Risk_Rank_Keys!C521))+(SUMPRODUCT(--ISNUMBER(Risk_Rank_Keys!$C$2:$C$800),--(Risk_Rank_Keys!$C$2:$C$800=Risk_Rank_Keys!C521))+1)/2)/COUNT(Risk_Rank_Keys!$C$2:$C$800))</f>
        <v>0.747559274755927</v>
      </c>
      <c r="O521" s="0" t="n">
        <f aca="false">IF(OR(B521="NW",COUNT(Risk_Rank_Keys!D521)=0),0.5,(SUMPRODUCT(--ISNUMBER(Risk_Rank_Keys!$D$2:$D$800),--(Risk_Rank_Keys!$D$2:$D$800&lt;Risk_Rank_Keys!D521))+(SUMPRODUCT(--ISNUMBER(Risk_Rank_Keys!$D$2:$D$800),--(Risk_Rank_Keys!$D$2:$D$800=Risk_Rank_Keys!D521))+1)/2)/COUNT(Risk_Rank_Keys!$D$2:$D$800))</f>
        <v>0.464435146443515</v>
      </c>
      <c r="P521" s="0" t="n">
        <f aca="false">AVERAGE(M521:O521)</f>
        <v>0.671315667131567</v>
      </c>
      <c r="Q521" s="0" t="n">
        <f aca="false">0.4*H521+0.4*I521+0.2*P521</f>
        <v>0.753537226042083</v>
      </c>
      <c r="R521" s="0" t="n">
        <f aca="false">PERCENTILE($Q$2:$Q$800,0.75)</f>
        <v>0.667715717403612</v>
      </c>
      <c r="S521" s="1" t="b">
        <f aca="false">OR(Q521&gt;=R521,AND(B521="CW",COUNT(J521:L521)&lt;3))</f>
        <v>1</v>
      </c>
      <c r="T521" s="0" t="n">
        <v>0.327677447398989</v>
      </c>
      <c r="U521" s="0" t="n">
        <v>10.3972018577005</v>
      </c>
      <c r="V521" s="0" t="n">
        <v>0.753537226042083</v>
      </c>
      <c r="W521" s="0" t="n">
        <f aca="false">Q521-V521</f>
        <v>0</v>
      </c>
    </row>
    <row r="522" customFormat="false" ht="15" hidden="false" customHeight="false" outlineLevel="0" collapsed="false">
      <c r="A522" s="0" t="s">
        <v>556</v>
      </c>
      <c r="B522" s="0" t="s">
        <v>3013</v>
      </c>
      <c r="C522" s="0" t="n">
        <v>53.2886134302097</v>
      </c>
      <c r="D522" s="0" t="n">
        <f aca="false">SUMPRODUCT(Risk_Inputs!B522:AJ522,Risk_Coefs!$B$2:$AJ$2)</f>
        <v>-0.740333341532402</v>
      </c>
      <c r="E522" s="0" t="n">
        <f aca="false">1/(1+EXP(-MAX(-25,MIN(25,D522))))</f>
        <v>0.322931255447366</v>
      </c>
      <c r="F522" s="0" t="n">
        <f aca="false">SUMPRODUCT(Risk_Inputs!B522:AJ522,Risk_Coefs!$B$3:$AJ$3)</f>
        <v>9.85948529594907</v>
      </c>
      <c r="G522" s="0" t="n">
        <f aca="false">MAX(0,F522)</f>
        <v>9.85948529594907</v>
      </c>
      <c r="H522" s="0" t="n">
        <f aca="false">(SUMPRODUCT(--ISNUMBER($E$2:$E$800),--($E$2:$E$800&lt;E522))+(SUMPRODUCT(--ISNUMBER($E$2:$E$800),--($E$2:$E$800=E522))+1)/2)/COUNT($E$2:$E$800)</f>
        <v>0.689612015018773</v>
      </c>
      <c r="I522" s="0" t="n">
        <f aca="false">(SUMPRODUCT(--ISNUMBER($G$2:$G$800),--($G$2:$G$800&lt;G522))+(SUMPRODUCT(--ISNUMBER($G$2:$G$800),--($G$2:$G$800=G522))+1)/2)/COUNT($G$2:$G$800)</f>
        <v>0.778473091364205</v>
      </c>
      <c r="J522" s="0" t="n">
        <v>37.6671989670374</v>
      </c>
      <c r="K522" s="0" t="n">
        <v>5.4525627044711</v>
      </c>
      <c r="L522" s="0" t="n">
        <v>0.181752090149037</v>
      </c>
      <c r="M522" s="0" t="n">
        <f aca="false">IF(OR(B522="NW",COUNT(Risk_Rank_Keys!B522)=0),0.5,(SUMPRODUCT(--ISNUMBER(Risk_Rank_Keys!$B$2:$B$800),--(Risk_Rank_Keys!$B$2:$B$800&lt;Risk_Rank_Keys!B522))+(SUMPRODUCT(--ISNUMBER(Risk_Rank_Keys!$B$2:$B$800),--(Risk_Rank_Keys!$B$2:$B$800=Risk_Rank_Keys!B522))+1)/2)/COUNT(Risk_Rank_Keys!$B$2:$B$800))</f>
        <v>0.942817294281729</v>
      </c>
      <c r="N522" s="0" t="n">
        <f aca="false">IF(OR(B522="NW",COUNT(Risk_Rank_Keys!C522)=0),0.5,(SUMPRODUCT(--ISNUMBER(Risk_Rank_Keys!$C$2:$C$800),--(Risk_Rank_Keys!$C$2:$C$800&lt;Risk_Rank_Keys!C522))+(SUMPRODUCT(--ISNUMBER(Risk_Rank_Keys!$C$2:$C$800),--(Risk_Rank_Keys!$C$2:$C$800=Risk_Rank_Keys!C522))+1)/2)/COUNT(Risk_Rank_Keys!$C$2:$C$800))</f>
        <v>0.716875871687587</v>
      </c>
      <c r="O522" s="0" t="n">
        <f aca="false">IF(OR(B522="NW",COUNT(Risk_Rank_Keys!D522)=0),0.5,(SUMPRODUCT(--ISNUMBER(Risk_Rank_Keys!$D$2:$D$800),--(Risk_Rank_Keys!$D$2:$D$800&lt;Risk_Rank_Keys!D522))+(SUMPRODUCT(--ISNUMBER(Risk_Rank_Keys!$D$2:$D$800),--(Risk_Rank_Keys!$D$2:$D$800=Risk_Rank_Keys!D522))+1)/2)/COUNT(Risk_Rank_Keys!$D$2:$D$800))</f>
        <v>0.216178521617852</v>
      </c>
      <c r="P522" s="0" t="n">
        <f aca="false">AVERAGE(M522:O522)</f>
        <v>0.625290562529056</v>
      </c>
      <c r="Q522" s="0" t="n">
        <f aca="false">0.4*H522+0.4*I522+0.2*P522</f>
        <v>0.712292155059003</v>
      </c>
      <c r="R522" s="0" t="n">
        <f aca="false">PERCENTILE($Q$2:$Q$800,0.75)</f>
        <v>0.667715717403612</v>
      </c>
      <c r="S522" s="1" t="b">
        <f aca="false">OR(Q522&gt;=R522,AND(B522="CW",COUNT(J522:L522)&lt;3))</f>
        <v>1</v>
      </c>
      <c r="T522" s="0" t="n">
        <v>0.322931255447366</v>
      </c>
      <c r="U522" s="0" t="n">
        <v>9.85948529594907</v>
      </c>
      <c r="V522" s="0" t="n">
        <v>0.712292155059003</v>
      </c>
      <c r="W522" s="0" t="n">
        <f aca="false">Q522-V522</f>
        <v>0</v>
      </c>
    </row>
    <row r="523" customFormat="false" ht="15" hidden="false" customHeight="false" outlineLevel="0" collapsed="false">
      <c r="A523" s="0" t="s">
        <v>557</v>
      </c>
      <c r="B523" s="0" t="s">
        <v>3013</v>
      </c>
      <c r="C523" s="0" t="n">
        <v>57.8521284962619</v>
      </c>
      <c r="D523" s="0" t="n">
        <f aca="false">SUMPRODUCT(Risk_Inputs!B523:AJ523,Risk_Coefs!$B$2:$AJ$2)</f>
        <v>-0.620682386645104</v>
      </c>
      <c r="E523" s="0" t="n">
        <f aca="false">1/(1+EXP(-MAX(-25,MIN(25,D523))))</f>
        <v>0.349626269150705</v>
      </c>
      <c r="F523" s="0" t="n">
        <f aca="false">SUMPRODUCT(Risk_Inputs!B523:AJ523,Risk_Coefs!$B$3:$AJ$3)</f>
        <v>8.67280240086534</v>
      </c>
      <c r="G523" s="0" t="n">
        <f aca="false">MAX(0,F523)</f>
        <v>8.67280240086534</v>
      </c>
      <c r="H523" s="0" t="n">
        <f aca="false">(SUMPRODUCT(--ISNUMBER($E$2:$E$800),--($E$2:$E$800&lt;E523))+(SUMPRODUCT(--ISNUMBER($E$2:$E$800),--($E$2:$E$800=E523))+1)/2)/COUNT($E$2:$E$800)</f>
        <v>0.81351689612015</v>
      </c>
      <c r="I523" s="0" t="n">
        <f aca="false">(SUMPRODUCT(--ISNUMBER($G$2:$G$800),--($G$2:$G$800&lt;G523))+(SUMPRODUCT(--ISNUMBER($G$2:$G$800),--($G$2:$G$800=G523))+1)/2)/COUNT($G$2:$G$800)</f>
        <v>0.630788485607009</v>
      </c>
      <c r="J523" s="0" t="n">
        <v>8.73633065505234</v>
      </c>
      <c r="K523" s="0" t="n">
        <v>3.35091529630777</v>
      </c>
      <c r="L523" s="0" t="n">
        <v>0.201675457648164</v>
      </c>
      <c r="M523" s="0" t="n">
        <f aca="false">IF(OR(B523="NW",COUNT(Risk_Rank_Keys!B523)=0),0.5,(SUMPRODUCT(--ISNUMBER(Risk_Rank_Keys!$B$2:$B$800),--(Risk_Rank_Keys!$B$2:$B$800&lt;Risk_Rank_Keys!B523))+(SUMPRODUCT(--ISNUMBER(Risk_Rank_Keys!$B$2:$B$800),--(Risk_Rank_Keys!$B$2:$B$800=Risk_Rank_Keys!B523))+1)/2)/COUNT(Risk_Rank_Keys!$B$2:$B$800))</f>
        <v>0.435146443514644</v>
      </c>
      <c r="N523" s="0" t="n">
        <f aca="false">IF(OR(B523="NW",COUNT(Risk_Rank_Keys!C523)=0),0.5,(SUMPRODUCT(--ISNUMBER(Risk_Rank_Keys!$C$2:$C$800),--(Risk_Rank_Keys!$C$2:$C$800&lt;Risk_Rank_Keys!C523))+(SUMPRODUCT(--ISNUMBER(Risk_Rank_Keys!$C$2:$C$800),--(Risk_Rank_Keys!$C$2:$C$800=Risk_Rank_Keys!C523))+1)/2)/COUNT(Risk_Rank_Keys!$C$2:$C$800))</f>
        <v>0.511854951185495</v>
      </c>
      <c r="O523" s="0" t="n">
        <f aca="false">IF(OR(B523="NW",COUNT(Risk_Rank_Keys!D523)=0),0.5,(SUMPRODUCT(--ISNUMBER(Risk_Rank_Keys!$D$2:$D$800),--(Risk_Rank_Keys!$D$2:$D$800&lt;Risk_Rank_Keys!D523))+(SUMPRODUCT(--ISNUMBER(Risk_Rank_Keys!$D$2:$D$800),--(Risk_Rank_Keys!$D$2:$D$800=Risk_Rank_Keys!D523))+1)/2)/COUNT(Risk_Rank_Keys!$D$2:$D$800))</f>
        <v>0.319386331938633</v>
      </c>
      <c r="P523" s="0" t="n">
        <f aca="false">AVERAGE(M523:O523)</f>
        <v>0.422129242212924</v>
      </c>
      <c r="Q523" s="0" t="n">
        <f aca="false">0.4*H523+0.4*I523+0.2*P523</f>
        <v>0.662148001133448</v>
      </c>
      <c r="R523" s="0" t="n">
        <f aca="false">PERCENTILE($Q$2:$Q$800,0.75)</f>
        <v>0.667715717403612</v>
      </c>
      <c r="S523" s="1" t="b">
        <f aca="false">OR(Q523&gt;=R523,AND(B523="CW",COUNT(J523:L523)&lt;3))</f>
        <v>0</v>
      </c>
      <c r="T523" s="0" t="n">
        <v>0.349626269150705</v>
      </c>
      <c r="U523" s="0" t="n">
        <v>8.67280240086534</v>
      </c>
      <c r="V523" s="0" t="n">
        <v>0.662148001133448</v>
      </c>
      <c r="W523" s="0" t="n">
        <f aca="false">Q523-V523</f>
        <v>0</v>
      </c>
    </row>
    <row r="524" customFormat="false" ht="15" hidden="false" customHeight="false" outlineLevel="0" collapsed="false">
      <c r="A524" s="0" t="s">
        <v>558</v>
      </c>
      <c r="B524" s="0" t="s">
        <v>3013</v>
      </c>
      <c r="C524" s="0" t="n">
        <v>53.8087704194761</v>
      </c>
      <c r="D524" s="0" t="n">
        <f aca="false">SUMPRODUCT(Risk_Inputs!B524:AJ524,Risk_Coefs!$B$2:$AJ$2)</f>
        <v>-1.27836881422564</v>
      </c>
      <c r="E524" s="0" t="n">
        <f aca="false">1/(1+EXP(-MAX(-25,MIN(25,D524))))</f>
        <v>0.217828015408604</v>
      </c>
      <c r="F524" s="0" t="n">
        <f aca="false">SUMPRODUCT(Risk_Inputs!B524:AJ524,Risk_Coefs!$B$3:$AJ$3)</f>
        <v>8.18434769537182</v>
      </c>
      <c r="G524" s="0" t="n">
        <f aca="false">MAX(0,F524)</f>
        <v>8.18434769537182</v>
      </c>
      <c r="H524" s="0" t="n">
        <f aca="false">(SUMPRODUCT(--ISNUMBER($E$2:$E$800),--($E$2:$E$800&lt;E524))+(SUMPRODUCT(--ISNUMBER($E$2:$E$800),--($E$2:$E$800=E524))+1)/2)/COUNT($E$2:$E$800)</f>
        <v>0.14017521902378</v>
      </c>
      <c r="I524" s="0" t="n">
        <f aca="false">(SUMPRODUCT(--ISNUMBER($G$2:$G$800),--($G$2:$G$800&lt;G524))+(SUMPRODUCT(--ISNUMBER($G$2:$G$800),--($G$2:$G$800=G524))+1)/2)/COUNT($G$2:$G$800)</f>
        <v>0.560700876095119</v>
      </c>
      <c r="J524" s="0" t="n">
        <v>13.6611438646507</v>
      </c>
      <c r="K524" s="0" t="n">
        <v>20.4918032786885</v>
      </c>
      <c r="L524" s="0" t="n">
        <v>0.273224043715848</v>
      </c>
      <c r="M524" s="0" t="n">
        <f aca="false">IF(OR(B524="NW",COUNT(Risk_Rank_Keys!B524)=0),0.5,(SUMPRODUCT(--ISNUMBER(Risk_Rank_Keys!$B$2:$B$800),--(Risk_Rank_Keys!$B$2:$B$800&lt;Risk_Rank_Keys!B524))+(SUMPRODUCT(--ISNUMBER(Risk_Rank_Keys!$B$2:$B$800),--(Risk_Rank_Keys!$B$2:$B$800=Risk_Rank_Keys!B524))+1)/2)/COUNT(Risk_Rank_Keys!$B$2:$B$800))</f>
        <v>0.668061366806137</v>
      </c>
      <c r="N524" s="0" t="n">
        <f aca="false">IF(OR(B524="NW",COUNT(Risk_Rank_Keys!C524)=0),0.5,(SUMPRODUCT(--ISNUMBER(Risk_Rank_Keys!$C$2:$C$800),--(Risk_Rank_Keys!$C$2:$C$800&lt;Risk_Rank_Keys!C524))+(SUMPRODUCT(--ISNUMBER(Risk_Rank_Keys!$C$2:$C$800),--(Risk_Rank_Keys!$C$2:$C$800=Risk_Rank_Keys!C524))+1)/2)/COUNT(Risk_Rank_Keys!$C$2:$C$800))</f>
        <v>0.96094839609484</v>
      </c>
      <c r="O524" s="0" t="n">
        <f aca="false">IF(OR(B524="NW",COUNT(Risk_Rank_Keys!D524)=0),0.5,(SUMPRODUCT(--ISNUMBER(Risk_Rank_Keys!$D$2:$D$800),--(Risk_Rank_Keys!$D$2:$D$800&lt;Risk_Rank_Keys!D524))+(SUMPRODUCT(--ISNUMBER(Risk_Rank_Keys!$D$2:$D$800),--(Risk_Rank_Keys!$D$2:$D$800=Risk_Rank_Keys!D524))+1)/2)/COUNT(Risk_Rank_Keys!$D$2:$D$800))</f>
        <v>0.672245467224547</v>
      </c>
      <c r="P524" s="0" t="n">
        <f aca="false">AVERAGE(M524:O524)</f>
        <v>0.767085076708508</v>
      </c>
      <c r="Q524" s="0" t="n">
        <f aca="false">0.4*H524+0.4*I524+0.2*P524</f>
        <v>0.433767453389261</v>
      </c>
      <c r="R524" s="0" t="n">
        <f aca="false">PERCENTILE($Q$2:$Q$800,0.75)</f>
        <v>0.667715717403612</v>
      </c>
      <c r="S524" s="1" t="b">
        <f aca="false">OR(Q524&gt;=R524,AND(B524="CW",COUNT(J524:L524)&lt;3))</f>
        <v>0</v>
      </c>
      <c r="T524" s="0" t="n">
        <v>0.217828015408605</v>
      </c>
      <c r="U524" s="0" t="n">
        <v>8.18434769537182</v>
      </c>
      <c r="V524" s="0" t="n">
        <v>0.433767453389261</v>
      </c>
      <c r="W524" s="0" t="n">
        <f aca="false">Q524-V524</f>
        <v>0</v>
      </c>
    </row>
    <row r="525" customFormat="false" ht="15" hidden="false" customHeight="false" outlineLevel="0" collapsed="false">
      <c r="A525" s="0" t="s">
        <v>559</v>
      </c>
      <c r="B525" s="0" t="s">
        <v>3013</v>
      </c>
      <c r="C525" s="0" t="n">
        <v>12.7309560891606</v>
      </c>
      <c r="D525" s="0" t="n">
        <f aca="false">SUMPRODUCT(Risk_Inputs!B525:AJ525,Risk_Coefs!$B$2:$AJ$2)</f>
        <v>-0.903464986698534</v>
      </c>
      <c r="E525" s="0" t="n">
        <f aca="false">1/(1+EXP(-MAX(-25,MIN(25,D525))))</f>
        <v>0.288338962342848</v>
      </c>
      <c r="F525" s="0" t="n">
        <f aca="false">SUMPRODUCT(Risk_Inputs!B525:AJ525,Risk_Coefs!$B$3:$AJ$3)</f>
        <v>5.98885517315635</v>
      </c>
      <c r="G525" s="0" t="n">
        <f aca="false">MAX(0,F525)</f>
        <v>5.98885517315635</v>
      </c>
      <c r="H525" s="0" t="n">
        <f aca="false">(SUMPRODUCT(--ISNUMBER($E$2:$E$800),--($E$2:$E$800&lt;E525))+(SUMPRODUCT(--ISNUMBER($E$2:$E$800),--($E$2:$E$800=E525))+1)/2)/COUNT($E$2:$E$800)</f>
        <v>0.513141426783479</v>
      </c>
      <c r="I525" s="0" t="n">
        <f aca="false">(SUMPRODUCT(--ISNUMBER($G$2:$G$800),--($G$2:$G$800&lt;G525))+(SUMPRODUCT(--ISNUMBER($G$2:$G$800),--($G$2:$G$800=G525))+1)/2)/COUNT($G$2:$G$800)</f>
        <v>0.264080100125156</v>
      </c>
      <c r="J525" s="0" t="n">
        <v>3.6945185235518</v>
      </c>
      <c r="K525" s="0" t="n">
        <v>2.77357539082199</v>
      </c>
      <c r="L525" s="0" t="n">
        <v>0.226928895612709</v>
      </c>
      <c r="M525" s="0" t="n">
        <f aca="false">IF(OR(B525="NW",COUNT(Risk_Rank_Keys!B525)=0),0.5,(SUMPRODUCT(--ISNUMBER(Risk_Rank_Keys!$B$2:$B$800),--(Risk_Rank_Keys!$B$2:$B$800&lt;Risk_Rank_Keys!B525))+(SUMPRODUCT(--ISNUMBER(Risk_Rank_Keys!$B$2:$B$800),--(Risk_Rank_Keys!$B$2:$B$800=Risk_Rank_Keys!B525))+1)/2)/COUNT(Risk_Rank_Keys!$B$2:$B$800))</f>
        <v>0.0543933054393306</v>
      </c>
      <c r="N525" s="0" t="n">
        <f aca="false">IF(OR(B525="NW",COUNT(Risk_Rank_Keys!C525)=0),0.5,(SUMPRODUCT(--ISNUMBER(Risk_Rank_Keys!$C$2:$C$800),--(Risk_Rank_Keys!$C$2:$C$800&lt;Risk_Rank_Keys!C525))+(SUMPRODUCT(--ISNUMBER(Risk_Rank_Keys!$C$2:$C$800),--(Risk_Rank_Keys!$C$2:$C$800=Risk_Rank_Keys!C525))+1)/2)/COUNT(Risk_Rank_Keys!$C$2:$C$800))</f>
        <v>0.440725244072524</v>
      </c>
      <c r="O525" s="0" t="n">
        <f aca="false">IF(OR(B525="NW",COUNT(Risk_Rank_Keys!D525)=0),0.5,(SUMPRODUCT(--ISNUMBER(Risk_Rank_Keys!$D$2:$D$800),--(Risk_Rank_Keys!$D$2:$D$800&lt;Risk_Rank_Keys!D525))+(SUMPRODUCT(--ISNUMBER(Risk_Rank_Keys!$D$2:$D$800),--(Risk_Rank_Keys!$D$2:$D$800=Risk_Rank_Keys!D525))+1)/2)/COUNT(Risk_Rank_Keys!$D$2:$D$800))</f>
        <v>0.479776847977685</v>
      </c>
      <c r="P525" s="0" t="n">
        <f aca="false">AVERAGE(M525:O525)</f>
        <v>0.324965132496513</v>
      </c>
      <c r="Q525" s="0" t="n">
        <f aca="false">0.4*H525+0.4*I525+0.2*P525</f>
        <v>0.375881637262757</v>
      </c>
      <c r="R525" s="0" t="n">
        <f aca="false">PERCENTILE($Q$2:$Q$800,0.75)</f>
        <v>0.667715717403612</v>
      </c>
      <c r="S525" s="1" t="b">
        <f aca="false">OR(Q525&gt;=R525,AND(B525="CW",COUNT(J525:L525)&lt;3))</f>
        <v>0</v>
      </c>
      <c r="T525" s="0" t="n">
        <v>0.288338962342848</v>
      </c>
      <c r="U525" s="0" t="n">
        <v>5.98885517315635</v>
      </c>
      <c r="V525" s="0" t="n">
        <v>0.375881637262757</v>
      </c>
      <c r="W525" s="0" t="n">
        <f aca="false">Q525-V525</f>
        <v>0</v>
      </c>
    </row>
    <row r="526" customFormat="false" ht="15" hidden="false" customHeight="false" outlineLevel="0" collapsed="false">
      <c r="A526" s="0" t="s">
        <v>560</v>
      </c>
      <c r="B526" s="0" t="s">
        <v>3013</v>
      </c>
      <c r="C526" s="0" t="n">
        <v>-43.7895350103634</v>
      </c>
      <c r="D526" s="0" t="n">
        <f aca="false">SUMPRODUCT(Risk_Inputs!B526:AJ526,Risk_Coefs!$B$2:$AJ$2)</f>
        <v>-0.587029638492621</v>
      </c>
      <c r="E526" s="0" t="n">
        <f aca="false">1/(1+EXP(-MAX(-25,MIN(25,D526))))</f>
        <v>0.357316683017051</v>
      </c>
      <c r="F526" s="0" t="n">
        <f aca="false">SUMPRODUCT(Risk_Inputs!B526:AJ526,Risk_Coefs!$B$3:$AJ$3)</f>
        <v>11.6421923091496</v>
      </c>
      <c r="G526" s="0" t="n">
        <f aca="false">MAX(0,F526)</f>
        <v>11.6421923091496</v>
      </c>
      <c r="H526" s="0" t="n">
        <f aca="false">(SUMPRODUCT(--ISNUMBER($E$2:$E$800),--($E$2:$E$800&lt;E526))+(SUMPRODUCT(--ISNUMBER($E$2:$E$800),--($E$2:$E$800=E526))+1)/2)/COUNT($E$2:$E$800)</f>
        <v>0.836045056320401</v>
      </c>
      <c r="I526" s="0" t="n">
        <f aca="false">(SUMPRODUCT(--ISNUMBER($G$2:$G$800),--($G$2:$G$800&lt;G526))+(SUMPRODUCT(--ISNUMBER($G$2:$G$800),--($G$2:$G$800=G526))+1)/2)/COUNT($G$2:$G$800)</f>
        <v>0.908635794743429</v>
      </c>
      <c r="J526" s="0" t="n">
        <v>11.549697669679</v>
      </c>
      <c r="K526" s="0" t="n">
        <v>4.64716006884683</v>
      </c>
      <c r="L526" s="0" t="n">
        <v>0.200803212851411</v>
      </c>
      <c r="M526" s="0" t="n">
        <f aca="false">IF(OR(B526="NW",COUNT(Risk_Rank_Keys!B526)=0),0.5,(SUMPRODUCT(--ISNUMBER(Risk_Rank_Keys!$B$2:$B$800),--(Risk_Rank_Keys!$B$2:$B$800&lt;Risk_Rank_Keys!B526))+(SUMPRODUCT(--ISNUMBER(Risk_Rank_Keys!$B$2:$B$800),--(Risk_Rank_Keys!$B$2:$B$800=Risk_Rank_Keys!B526))+1)/2)/COUNT(Risk_Rank_Keys!$B$2:$B$800))</f>
        <v>0.576011157601116</v>
      </c>
      <c r="N526" s="0" t="n">
        <f aca="false">IF(OR(B526="NW",COUNT(Risk_Rank_Keys!C526)=0),0.5,(SUMPRODUCT(--ISNUMBER(Risk_Rank_Keys!$C$2:$C$800),--(Risk_Rank_Keys!$C$2:$C$800&lt;Risk_Rank_Keys!C526))+(SUMPRODUCT(--ISNUMBER(Risk_Rank_Keys!$C$2:$C$800),--(Risk_Rank_Keys!$C$2:$C$800=Risk_Rank_Keys!C526))+1)/2)/COUNT(Risk_Rank_Keys!$C$2:$C$800))</f>
        <v>0.658298465829847</v>
      </c>
      <c r="O526" s="0" t="n">
        <f aca="false">IF(OR(B526="NW",COUNT(Risk_Rank_Keys!D526)=0),0.5,(SUMPRODUCT(--ISNUMBER(Risk_Rank_Keys!$D$2:$D$800),--(Risk_Rank_Keys!$D$2:$D$800&lt;Risk_Rank_Keys!D526))+(SUMPRODUCT(--ISNUMBER(Risk_Rank_Keys!$D$2:$D$800),--(Risk_Rank_Keys!$D$2:$D$800=Risk_Rank_Keys!D526))+1)/2)/COUNT(Risk_Rank_Keys!$D$2:$D$800))</f>
        <v>0.315202231520223</v>
      </c>
      <c r="P526" s="0" t="n">
        <f aca="false">AVERAGE(M526:O526)</f>
        <v>0.516503951650395</v>
      </c>
      <c r="Q526" s="0" t="n">
        <f aca="false">0.4*H526+0.4*I526+0.2*P526</f>
        <v>0.801173130755611</v>
      </c>
      <c r="R526" s="0" t="n">
        <f aca="false">PERCENTILE($Q$2:$Q$800,0.75)</f>
        <v>0.667715717403612</v>
      </c>
      <c r="S526" s="1" t="b">
        <f aca="false">OR(Q526&gt;=R526,AND(B526="CW",COUNT(J526:L526)&lt;3))</f>
        <v>1</v>
      </c>
      <c r="T526" s="0" t="n">
        <v>0.357316683017051</v>
      </c>
      <c r="U526" s="0" t="n">
        <v>11.6421923091496</v>
      </c>
      <c r="V526" s="0" t="n">
        <v>0.801173130755611</v>
      </c>
      <c r="W526" s="0" t="n">
        <f aca="false">Q526-V526</f>
        <v>0</v>
      </c>
    </row>
    <row r="527" customFormat="false" ht="15" hidden="false" customHeight="false" outlineLevel="0" collapsed="false">
      <c r="A527" s="0" t="s">
        <v>561</v>
      </c>
      <c r="B527" s="0" t="s">
        <v>3013</v>
      </c>
      <c r="C527" s="0" t="n">
        <v>-49.1216985078469</v>
      </c>
      <c r="D527" s="0" t="n">
        <f aca="false">SUMPRODUCT(Risk_Inputs!B527:AJ527,Risk_Coefs!$B$2:$AJ$2)</f>
        <v>-0.672256448283657</v>
      </c>
      <c r="E527" s="0" t="n">
        <f aca="false">1/(1+EXP(-MAX(-25,MIN(25,D527))))</f>
        <v>0.337991768551442</v>
      </c>
      <c r="F527" s="0" t="n">
        <f aca="false">SUMPRODUCT(Risk_Inputs!B527:AJ527,Risk_Coefs!$B$3:$AJ$3)</f>
        <v>10.4916831286268</v>
      </c>
      <c r="G527" s="0" t="n">
        <f aca="false">MAX(0,F527)</f>
        <v>10.4916831286268</v>
      </c>
      <c r="H527" s="0" t="n">
        <f aca="false">(SUMPRODUCT(--ISNUMBER($E$2:$E$800),--($E$2:$E$800&lt;E527))+(SUMPRODUCT(--ISNUMBER($E$2:$E$800),--($E$2:$E$800=E527))+1)/2)/COUNT($E$2:$E$800)</f>
        <v>0.777221526908636</v>
      </c>
      <c r="I527" s="0" t="n">
        <f aca="false">(SUMPRODUCT(--ISNUMBER($G$2:$G$800),--($G$2:$G$800&lt;G527))+(SUMPRODUCT(--ISNUMBER($G$2:$G$800),--($G$2:$G$800=G527))+1)/2)/COUNT($G$2:$G$800)</f>
        <v>0.841051314142678</v>
      </c>
      <c r="J527" s="0" t="n">
        <v>7.54352935176801</v>
      </c>
      <c r="K527" s="0" t="n">
        <v>4.88587731811697</v>
      </c>
      <c r="L527" s="0" t="n">
        <v>0.106990014265339</v>
      </c>
      <c r="M527" s="0" t="n">
        <f aca="false">IF(OR(B527="NW",COUNT(Risk_Rank_Keys!B527)=0),0.5,(SUMPRODUCT(--ISNUMBER(Risk_Rank_Keys!$B$2:$B$800),--(Risk_Rank_Keys!$B$2:$B$800&lt;Risk_Rank_Keys!B527))+(SUMPRODUCT(--ISNUMBER(Risk_Rank_Keys!$B$2:$B$800),--(Risk_Rank_Keys!$B$2:$B$800=Risk_Rank_Keys!B527))+1)/2)/COUNT(Risk_Rank_Keys!$B$2:$B$800))</f>
        <v>0.357043235704324</v>
      </c>
      <c r="N527" s="0" t="n">
        <f aca="false">IF(OR(B527="NW",COUNT(Risk_Rank_Keys!C527)=0),0.5,(SUMPRODUCT(--ISNUMBER(Risk_Rank_Keys!$C$2:$C$800),--(Risk_Rank_Keys!$C$2:$C$800&lt;Risk_Rank_Keys!C527))+(SUMPRODUCT(--ISNUMBER(Risk_Rank_Keys!$C$2:$C$800),--(Risk_Rank_Keys!$C$2:$C$800=Risk_Rank_Keys!C527))+1)/2)/COUNT(Risk_Rank_Keys!$C$2:$C$800))</f>
        <v>0.684797768479777</v>
      </c>
      <c r="O527" s="0" t="n">
        <f aca="false">IF(OR(B527="NW",COUNT(Risk_Rank_Keys!D527)=0),0.5,(SUMPRODUCT(--ISNUMBER(Risk_Rank_Keys!$D$2:$D$800),--(Risk_Rank_Keys!$D$2:$D$800&lt;Risk_Rank_Keys!D527))+(SUMPRODUCT(--ISNUMBER(Risk_Rank_Keys!$D$2:$D$800),--(Risk_Rank_Keys!$D$2:$D$800=Risk_Rank_Keys!D527))+1)/2)/COUNT(Risk_Rank_Keys!$D$2:$D$800))</f>
        <v>0.0251046025104603</v>
      </c>
      <c r="P527" s="0" t="n">
        <f aca="false">AVERAGE(M527:O527)</f>
        <v>0.355648535564854</v>
      </c>
      <c r="Q527" s="0" t="n">
        <f aca="false">0.4*H527+0.4*I527+0.2*P527</f>
        <v>0.718438843533496</v>
      </c>
      <c r="R527" s="0" t="n">
        <f aca="false">PERCENTILE($Q$2:$Q$800,0.75)</f>
        <v>0.667715717403612</v>
      </c>
      <c r="S527" s="1" t="b">
        <f aca="false">OR(Q527&gt;=R527,AND(B527="CW",COUNT(J527:L527)&lt;3))</f>
        <v>1</v>
      </c>
      <c r="T527" s="0" t="n">
        <v>0.337991768551442</v>
      </c>
      <c r="U527" s="0" t="n">
        <v>10.4916831286268</v>
      </c>
      <c r="V527" s="0" t="n">
        <v>0.718438843533496</v>
      </c>
      <c r="W527" s="0" t="n">
        <f aca="false">Q527-V527</f>
        <v>0</v>
      </c>
    </row>
    <row r="528" customFormat="false" ht="15" hidden="false" customHeight="false" outlineLevel="0" collapsed="false">
      <c r="A528" s="0" t="s">
        <v>562</v>
      </c>
      <c r="B528" s="0" t="s">
        <v>3013</v>
      </c>
      <c r="C528" s="0" t="n">
        <v>-7.28909653740275</v>
      </c>
      <c r="D528" s="0" t="n">
        <f aca="false">SUMPRODUCT(Risk_Inputs!B528:AJ528,Risk_Coefs!$B$2:$AJ$2)</f>
        <v>-0.897796856517665</v>
      </c>
      <c r="E528" s="0" t="n">
        <f aca="false">1/(1+EXP(-MAX(-25,MIN(25,D528))))</f>
        <v>0.289503454367198</v>
      </c>
      <c r="F528" s="0" t="n">
        <f aca="false">SUMPRODUCT(Risk_Inputs!B528:AJ528,Risk_Coefs!$B$3:$AJ$3)</f>
        <v>4.02998396442075</v>
      </c>
      <c r="G528" s="0" t="n">
        <f aca="false">MAX(0,F528)</f>
        <v>4.02998396442075</v>
      </c>
      <c r="H528" s="0" t="n">
        <f aca="false">(SUMPRODUCT(--ISNUMBER($E$2:$E$800),--($E$2:$E$800&lt;E528))+(SUMPRODUCT(--ISNUMBER($E$2:$E$800),--($E$2:$E$800=E528))+1)/2)/COUNT($E$2:$E$800)</f>
        <v>0.521902377972466</v>
      </c>
      <c r="I528" s="0" t="n">
        <f aca="false">(SUMPRODUCT(--ISNUMBER($G$2:$G$800),--($G$2:$G$800&lt;G528))+(SUMPRODUCT(--ISNUMBER($G$2:$G$800),--($G$2:$G$800=G528))+1)/2)/COUNT($G$2:$G$800)</f>
        <v>0.0538172715894869</v>
      </c>
      <c r="J528" s="0" t="n">
        <v>9.79848914999083</v>
      </c>
      <c r="K528" s="0" t="n">
        <v>2.26879446260334</v>
      </c>
      <c r="L528" s="0" t="n">
        <v>0.173043645452799</v>
      </c>
      <c r="M528" s="0" t="n">
        <f aca="false">IF(OR(B528="NW",COUNT(Risk_Rank_Keys!B528)=0),0.5,(SUMPRODUCT(--ISNUMBER(Risk_Rank_Keys!$B$2:$B$800),--(Risk_Rank_Keys!$B$2:$B$800&lt;Risk_Rank_Keys!B528))+(SUMPRODUCT(--ISNUMBER(Risk_Rank_Keys!$B$2:$B$800),--(Risk_Rank_Keys!$B$2:$B$800=Risk_Rank_Keys!B528))+1)/2)/COUNT(Risk_Rank_Keys!$B$2:$B$800))</f>
        <v>0.495118549511855</v>
      </c>
      <c r="N528" s="0" t="n">
        <f aca="false">IF(OR(B528="NW",COUNT(Risk_Rank_Keys!C528)=0),0.5,(SUMPRODUCT(--ISNUMBER(Risk_Rank_Keys!$C$2:$C$800),--(Risk_Rank_Keys!$C$2:$C$800&lt;Risk_Rank_Keys!C528))+(SUMPRODUCT(--ISNUMBER(Risk_Rank_Keys!$C$2:$C$800),--(Risk_Rank_Keys!$C$2:$C$800=Risk_Rank_Keys!C528))+1)/2)/COUNT(Risk_Rank_Keys!$C$2:$C$800))</f>
        <v>0.329149232914923</v>
      </c>
      <c r="O528" s="0" t="n">
        <f aca="false">IF(OR(B528="NW",COUNT(Risk_Rank_Keys!D528)=0),0.5,(SUMPRODUCT(--ISNUMBER(Risk_Rank_Keys!$D$2:$D$800),--(Risk_Rank_Keys!$D$2:$D$800&lt;Risk_Rank_Keys!D528))+(SUMPRODUCT(--ISNUMBER(Risk_Rank_Keys!$D$2:$D$800),--(Risk_Rank_Keys!$D$2:$D$800=Risk_Rank_Keys!D528))+1)/2)/COUNT(Risk_Rank_Keys!$D$2:$D$800))</f>
        <v>0.182705718270572</v>
      </c>
      <c r="P528" s="0" t="n">
        <f aca="false">AVERAGE(M528:O528)</f>
        <v>0.335657833565783</v>
      </c>
      <c r="Q528" s="0" t="n">
        <f aca="false">0.4*H528+0.4*I528+0.2*P528</f>
        <v>0.297419426537938</v>
      </c>
      <c r="R528" s="0" t="n">
        <f aca="false">PERCENTILE($Q$2:$Q$800,0.75)</f>
        <v>0.667715717403612</v>
      </c>
      <c r="S528" s="1" t="b">
        <f aca="false">OR(Q528&gt;=R528,AND(B528="CW",COUNT(J528:L528)&lt;3))</f>
        <v>0</v>
      </c>
      <c r="T528" s="0" t="n">
        <v>0.289503454367198</v>
      </c>
      <c r="U528" s="0" t="n">
        <v>4.02998396442075</v>
      </c>
      <c r="V528" s="0" t="n">
        <v>0.297419426537938</v>
      </c>
      <c r="W528" s="0" t="n">
        <f aca="false">Q528-V528</f>
        <v>0</v>
      </c>
    </row>
    <row r="529" customFormat="false" ht="15" hidden="false" customHeight="false" outlineLevel="0" collapsed="false">
      <c r="A529" s="0" t="s">
        <v>563</v>
      </c>
      <c r="B529" s="0" t="s">
        <v>3013</v>
      </c>
      <c r="C529" s="0" t="n">
        <v>-8.89004285209262</v>
      </c>
      <c r="D529" s="0" t="n">
        <f aca="false">SUMPRODUCT(Risk_Inputs!B529:AJ529,Risk_Coefs!$B$2:$AJ$2)</f>
        <v>-0.741085039146646</v>
      </c>
      <c r="E529" s="0" t="n">
        <f aca="false">1/(1+EXP(-MAX(-25,MIN(25,D529))))</f>
        <v>0.322766921155891</v>
      </c>
      <c r="F529" s="0" t="n">
        <f aca="false">SUMPRODUCT(Risk_Inputs!B529:AJ529,Risk_Coefs!$B$3:$AJ$3)</f>
        <v>5.1468249853113</v>
      </c>
      <c r="G529" s="0" t="n">
        <f aca="false">MAX(0,F529)</f>
        <v>5.1468249853113</v>
      </c>
      <c r="H529" s="0" t="n">
        <f aca="false">(SUMPRODUCT(--ISNUMBER($E$2:$E$800),--($E$2:$E$800&lt;E529))+(SUMPRODUCT(--ISNUMBER($E$2:$E$800),--($E$2:$E$800=E529))+1)/2)/COUNT($E$2:$E$800)</f>
        <v>0.688360450563204</v>
      </c>
      <c r="I529" s="0" t="n">
        <f aca="false">(SUMPRODUCT(--ISNUMBER($G$2:$G$800),--($G$2:$G$800&lt;G529))+(SUMPRODUCT(--ISNUMBER($G$2:$G$800),--($G$2:$G$800=G529))+1)/2)/COUNT($G$2:$G$800)</f>
        <v>0.151439299123905</v>
      </c>
      <c r="J529" s="0" t="n">
        <v>7.37683546477305</v>
      </c>
      <c r="K529" s="0" t="n">
        <v>1.14757860913473</v>
      </c>
      <c r="L529" s="0" t="n">
        <v>0.229515721826945</v>
      </c>
      <c r="M529" s="0" t="n">
        <f aca="false">IF(OR(B529="NW",COUNT(Risk_Rank_Keys!B529)=0),0.5,(SUMPRODUCT(--ISNUMBER(Risk_Rank_Keys!$B$2:$B$800),--(Risk_Rank_Keys!$B$2:$B$800&lt;Risk_Rank_Keys!B529))+(SUMPRODUCT(--ISNUMBER(Risk_Rank_Keys!$B$2:$B$800),--(Risk_Rank_Keys!$B$2:$B$800=Risk_Rank_Keys!B529))+1)/2)/COUNT(Risk_Rank_Keys!$B$2:$B$800))</f>
        <v>0.345885634588564</v>
      </c>
      <c r="N529" s="0" t="n">
        <f aca="false">IF(OR(B529="NW",COUNT(Risk_Rank_Keys!C529)=0),0.5,(SUMPRODUCT(--ISNUMBER(Risk_Rank_Keys!$C$2:$C$800),--(Risk_Rank_Keys!$C$2:$C$800&lt;Risk_Rank_Keys!C529))+(SUMPRODUCT(--ISNUMBER(Risk_Rank_Keys!$C$2:$C$800),--(Risk_Rank_Keys!$C$2:$C$800=Risk_Rank_Keys!C529))+1)/2)/COUNT(Risk_Rank_Keys!$C$2:$C$800))</f>
        <v>0.0516039051603905</v>
      </c>
      <c r="O529" s="0" t="n">
        <f aca="false">IF(OR(B529="NW",COUNT(Risk_Rank_Keys!D529)=0),0.5,(SUMPRODUCT(--ISNUMBER(Risk_Rank_Keys!$D$2:$D$800),--(Risk_Rank_Keys!$D$2:$D$800&lt;Risk_Rank_Keys!D529))+(SUMPRODUCT(--ISNUMBER(Risk_Rank_Keys!$D$2:$D$800),--(Risk_Rank_Keys!$D$2:$D$800=Risk_Rank_Keys!D529))+1)/2)/COUNT(Risk_Rank_Keys!$D$2:$D$800))</f>
        <v>0.499302649930265</v>
      </c>
      <c r="P529" s="0" t="n">
        <f aca="false">AVERAGE(M529:O529)</f>
        <v>0.298930729893073</v>
      </c>
      <c r="Q529" s="0" t="n">
        <f aca="false">0.4*H529+0.4*I529+0.2*P529</f>
        <v>0.395706045853458</v>
      </c>
      <c r="R529" s="0" t="n">
        <f aca="false">PERCENTILE($Q$2:$Q$800,0.75)</f>
        <v>0.667715717403612</v>
      </c>
      <c r="S529" s="1" t="b">
        <f aca="false">OR(Q529&gt;=R529,AND(B529="CW",COUNT(J529:L529)&lt;3))</f>
        <v>0</v>
      </c>
      <c r="T529" s="0" t="n">
        <v>0.322766921155891</v>
      </c>
      <c r="U529" s="0" t="n">
        <v>5.1468249853113</v>
      </c>
      <c r="V529" s="0" t="n">
        <v>0.395706045853458</v>
      </c>
      <c r="W529" s="0" t="n">
        <f aca="false">Q529-V529</f>
        <v>0</v>
      </c>
    </row>
    <row r="530" customFormat="false" ht="15" hidden="false" customHeight="false" outlineLevel="0" collapsed="false">
      <c r="A530" s="0" t="s">
        <v>564</v>
      </c>
      <c r="B530" s="0" t="s">
        <v>3013</v>
      </c>
      <c r="C530" s="0" t="n">
        <v>20.4119928222362</v>
      </c>
      <c r="D530" s="0" t="n">
        <f aca="false">SUMPRODUCT(Risk_Inputs!B530:AJ530,Risk_Coefs!$B$2:$AJ$2)</f>
        <v>-0.833825257429502</v>
      </c>
      <c r="E530" s="0" t="n">
        <f aca="false">1/(1+EXP(-MAX(-25,MIN(25,D530))))</f>
        <v>0.302836847655742</v>
      </c>
      <c r="F530" s="0" t="n">
        <f aca="false">SUMPRODUCT(Risk_Inputs!B530:AJ530,Risk_Coefs!$B$3:$AJ$3)</f>
        <v>6.906464692159</v>
      </c>
      <c r="G530" s="0" t="n">
        <f aca="false">MAX(0,F530)</f>
        <v>6.906464692159</v>
      </c>
      <c r="H530" s="0" t="n">
        <f aca="false">(SUMPRODUCT(--ISNUMBER($E$2:$E$800),--($E$2:$E$800&lt;E530))+(SUMPRODUCT(--ISNUMBER($E$2:$E$800),--($E$2:$E$800=E530))+1)/2)/COUNT($E$2:$E$800)</f>
        <v>0.5819774718398</v>
      </c>
      <c r="I530" s="0" t="n">
        <f aca="false">(SUMPRODUCT(--ISNUMBER($G$2:$G$800),--($G$2:$G$800&lt;G530))+(SUMPRODUCT(--ISNUMBER($G$2:$G$800),--($G$2:$G$800=G530))+1)/2)/COUNT($G$2:$G$800)</f>
        <v>0.408010012515645</v>
      </c>
      <c r="J530" s="0" t="n">
        <v>11.0473475824428</v>
      </c>
      <c r="K530" s="0" t="n">
        <v>10.2255639097744</v>
      </c>
      <c r="L530" s="0" t="n">
        <v>0.25062656641604</v>
      </c>
      <c r="M530" s="0" t="n">
        <f aca="false">IF(OR(B530="NW",COUNT(Risk_Rank_Keys!B530)=0),0.5,(SUMPRODUCT(--ISNUMBER(Risk_Rank_Keys!$B$2:$B$800),--(Risk_Rank_Keys!$B$2:$B$800&lt;Risk_Rank_Keys!B530))+(SUMPRODUCT(--ISNUMBER(Risk_Rank_Keys!$B$2:$B$800),--(Risk_Rank_Keys!$B$2:$B$800=Risk_Rank_Keys!B530))+1)/2)/COUNT(Risk_Rank_Keys!$B$2:$B$800))</f>
        <v>0.545327754532776</v>
      </c>
      <c r="N530" s="0" t="n">
        <f aca="false">IF(OR(B530="NW",COUNT(Risk_Rank_Keys!C530)=0),0.5,(SUMPRODUCT(--ISNUMBER(Risk_Rank_Keys!$C$2:$C$800),--(Risk_Rank_Keys!$C$2:$C$800&lt;Risk_Rank_Keys!C530))+(SUMPRODUCT(--ISNUMBER(Risk_Rank_Keys!$C$2:$C$800),--(Risk_Rank_Keys!$C$2:$C$800=Risk_Rank_Keys!C530))+1)/2)/COUNT(Risk_Rank_Keys!$C$2:$C$800))</f>
        <v>0.888423988842399</v>
      </c>
      <c r="O530" s="0" t="n">
        <f aca="false">IF(OR(B530="NW",COUNT(Risk_Rank_Keys!D530)=0),0.5,(SUMPRODUCT(--ISNUMBER(Risk_Rank_Keys!$D$2:$D$800),--(Risk_Rank_Keys!$D$2:$D$800&lt;Risk_Rank_Keys!D530))+(SUMPRODUCT(--ISNUMBER(Risk_Rank_Keys!$D$2:$D$800),--(Risk_Rank_Keys!$D$2:$D$800=Risk_Rank_Keys!D530))+1)/2)/COUNT(Risk_Rank_Keys!$D$2:$D$800))</f>
        <v>0.592747559274756</v>
      </c>
      <c r="P530" s="0" t="n">
        <f aca="false">AVERAGE(M530:O530)</f>
        <v>0.675499767549977</v>
      </c>
      <c r="Q530" s="0" t="n">
        <f aca="false">0.4*H530+0.4*I530+0.2*P530</f>
        <v>0.531094947252173</v>
      </c>
      <c r="R530" s="0" t="n">
        <f aca="false">PERCENTILE($Q$2:$Q$800,0.75)</f>
        <v>0.667715717403612</v>
      </c>
      <c r="S530" s="1" t="b">
        <f aca="false">OR(Q530&gt;=R530,AND(B530="CW",COUNT(J530:L530)&lt;3))</f>
        <v>0</v>
      </c>
      <c r="T530" s="0" t="n">
        <v>0.302836847655742</v>
      </c>
      <c r="U530" s="0" t="n">
        <v>6.906464692159</v>
      </c>
      <c r="V530" s="0" t="n">
        <v>0.531094947252173</v>
      </c>
      <c r="W530" s="0" t="n">
        <f aca="false">Q530-V530</f>
        <v>0</v>
      </c>
    </row>
    <row r="531" customFormat="false" ht="15" hidden="false" customHeight="false" outlineLevel="0" collapsed="false">
      <c r="A531" s="0" t="s">
        <v>565</v>
      </c>
      <c r="B531" s="0" t="s">
        <v>3013</v>
      </c>
      <c r="C531" s="0" t="n">
        <v>11.2661225579716</v>
      </c>
      <c r="D531" s="0" t="n">
        <f aca="false">SUMPRODUCT(Risk_Inputs!B531:AJ531,Risk_Coefs!$B$2:$AJ$2)</f>
        <v>-0.440384469614693</v>
      </c>
      <c r="E531" s="0" t="n">
        <f aca="false">1/(1+EXP(-MAX(-25,MIN(25,D531))))</f>
        <v>0.391649361654564</v>
      </c>
      <c r="F531" s="0" t="n">
        <f aca="false">SUMPRODUCT(Risk_Inputs!B531:AJ531,Risk_Coefs!$B$3:$AJ$3)</f>
        <v>9.97866816972012</v>
      </c>
      <c r="G531" s="0" t="n">
        <f aca="false">MAX(0,F531)</f>
        <v>9.97866816972012</v>
      </c>
      <c r="H531" s="0" t="n">
        <f aca="false">(SUMPRODUCT(--ISNUMBER($E$2:$E$800),--($E$2:$E$800&lt;E531))+(SUMPRODUCT(--ISNUMBER($E$2:$E$800),--($E$2:$E$800=E531))+1)/2)/COUNT($E$2:$E$800)</f>
        <v>0.926157697121402</v>
      </c>
      <c r="I531" s="0" t="n">
        <f aca="false">(SUMPRODUCT(--ISNUMBER($G$2:$G$800),--($G$2:$G$800&lt;G531))+(SUMPRODUCT(--ISNUMBER($G$2:$G$800),--($G$2:$G$800=G531))+1)/2)/COUNT($G$2:$G$800)</f>
        <v>0.788485607008761</v>
      </c>
      <c r="J531" s="0" t="n">
        <v>15.8286309283879</v>
      </c>
      <c r="K531" s="0" t="n">
        <v>8.20945945945944</v>
      </c>
      <c r="L531" s="0" t="n">
        <v>0.236486486486492</v>
      </c>
      <c r="M531" s="0" t="n">
        <f aca="false">IF(OR(B531="NW",COUNT(Risk_Rank_Keys!B531)=0),0.5,(SUMPRODUCT(--ISNUMBER(Risk_Rank_Keys!$B$2:$B$800),--(Risk_Rank_Keys!$B$2:$B$800&lt;Risk_Rank_Keys!B531))+(SUMPRODUCT(--ISNUMBER(Risk_Rank_Keys!$B$2:$B$800),--(Risk_Rank_Keys!$B$2:$B$800=Risk_Rank_Keys!B531))+1)/2)/COUNT(Risk_Rank_Keys!$B$2:$B$800))</f>
        <v>0.725244072524407</v>
      </c>
      <c r="N531" s="0" t="n">
        <f aca="false">IF(OR(B531="NW",COUNT(Risk_Rank_Keys!C531)=0),0.5,(SUMPRODUCT(--ISNUMBER(Risk_Rank_Keys!$C$2:$C$800),--(Risk_Rank_Keys!$C$2:$C$800&lt;Risk_Rank_Keys!C531))+(SUMPRODUCT(--ISNUMBER(Risk_Rank_Keys!$C$2:$C$800),--(Risk_Rank_Keys!$C$2:$C$800=Risk_Rank_Keys!C531))+1)/2)/COUNT(Risk_Rank_Keys!$C$2:$C$800))</f>
        <v>0.828451882845188</v>
      </c>
      <c r="O531" s="0" t="n">
        <f aca="false">IF(OR(B531="NW",COUNT(Risk_Rank_Keys!D531)=0),0.5,(SUMPRODUCT(--ISNUMBER(Risk_Rank_Keys!$D$2:$D$800),--(Risk_Rank_Keys!$D$2:$D$800&lt;Risk_Rank_Keys!D531))+(SUMPRODUCT(--ISNUMBER(Risk_Rank_Keys!$D$2:$D$800),--(Risk_Rank_Keys!$D$2:$D$800=Risk_Rank_Keys!D531))+1)/2)/COUNT(Risk_Rank_Keys!$D$2:$D$800))</f>
        <v>0.525801952580195</v>
      </c>
      <c r="P531" s="0" t="n">
        <f aca="false">AVERAGE(M531:O531)</f>
        <v>0.693165969316597</v>
      </c>
      <c r="Q531" s="0" t="n">
        <f aca="false">0.4*H531+0.4*I531+0.2*P531</f>
        <v>0.824490515515385</v>
      </c>
      <c r="R531" s="0" t="n">
        <f aca="false">PERCENTILE($Q$2:$Q$800,0.75)</f>
        <v>0.667715717403612</v>
      </c>
      <c r="S531" s="1" t="b">
        <f aca="false">OR(Q531&gt;=R531,AND(B531="CW",COUNT(J531:L531)&lt;3))</f>
        <v>1</v>
      </c>
      <c r="T531" s="0" t="n">
        <v>0.391649361654564</v>
      </c>
      <c r="U531" s="0" t="n">
        <v>9.97866816972012</v>
      </c>
      <c r="V531" s="0" t="n">
        <v>0.824490515515385</v>
      </c>
      <c r="W531" s="0" t="n">
        <f aca="false">Q531-V531</f>
        <v>0</v>
      </c>
    </row>
    <row r="532" customFormat="false" ht="15" hidden="false" customHeight="false" outlineLevel="0" collapsed="false">
      <c r="A532" s="0" t="s">
        <v>566</v>
      </c>
      <c r="B532" s="0" t="s">
        <v>3013</v>
      </c>
      <c r="C532" s="0" t="n">
        <v>20.4384935017432</v>
      </c>
      <c r="D532" s="0" t="n">
        <f aca="false">SUMPRODUCT(Risk_Inputs!B532:AJ532,Risk_Coefs!$B$2:$AJ$2)</f>
        <v>-1.21019879845275</v>
      </c>
      <c r="E532" s="0" t="n">
        <f aca="false">1/(1+EXP(-MAX(-25,MIN(25,D532))))</f>
        <v>0.22966587774786</v>
      </c>
      <c r="F532" s="0" t="n">
        <f aca="false">SUMPRODUCT(Risk_Inputs!B532:AJ532,Risk_Coefs!$B$3:$AJ$3)</f>
        <v>5.58166073183521</v>
      </c>
      <c r="G532" s="0" t="n">
        <f aca="false">MAX(0,F532)</f>
        <v>5.58166073183521</v>
      </c>
      <c r="H532" s="0" t="n">
        <f aca="false">(SUMPRODUCT(--ISNUMBER($E$2:$E$800),--($E$2:$E$800&lt;E532))+(SUMPRODUCT(--ISNUMBER($E$2:$E$800),--($E$2:$E$800=E532))+1)/2)/COUNT($E$2:$E$800)</f>
        <v>0.172715894868586</v>
      </c>
      <c r="I532" s="0" t="n">
        <f aca="false">(SUMPRODUCT(--ISNUMBER($G$2:$G$800),--($G$2:$G$800&lt;G532))+(SUMPRODUCT(--ISNUMBER($G$2:$G$800),--($G$2:$G$800=G532))+1)/2)/COUNT($G$2:$G$800)</f>
        <v>0.214017521902378</v>
      </c>
      <c r="J532" s="0" t="n">
        <v>25.4229204424347</v>
      </c>
      <c r="K532" s="0" t="n">
        <v>6.34139062966279</v>
      </c>
      <c r="L532" s="0" t="n">
        <v>0.223813786929275</v>
      </c>
      <c r="M532" s="0" t="n">
        <f aca="false">IF(OR(B532="NW",COUNT(Risk_Rank_Keys!B532)=0),0.5,(SUMPRODUCT(--ISNUMBER(Risk_Rank_Keys!$B$2:$B$800),--(Risk_Rank_Keys!$B$2:$B$800&lt;Risk_Rank_Keys!B532))+(SUMPRODUCT(--ISNUMBER(Risk_Rank_Keys!$B$2:$B$800),--(Risk_Rank_Keys!$B$2:$B$800=Risk_Rank_Keys!B532))+1)/2)/COUNT(Risk_Rank_Keys!$B$2:$B$800))</f>
        <v>0.861924686192469</v>
      </c>
      <c r="N532" s="0" t="n">
        <f aca="false">IF(OR(B532="NW",COUNT(Risk_Rank_Keys!C532)=0),0.5,(SUMPRODUCT(--ISNUMBER(Risk_Rank_Keys!$C$2:$C$800),--(Risk_Rank_Keys!$C$2:$C$800&lt;Risk_Rank_Keys!C532))+(SUMPRODUCT(--ISNUMBER(Risk_Rank_Keys!$C$2:$C$800),--(Risk_Rank_Keys!$C$2:$C$800=Risk_Rank_Keys!C532))+1)/2)/COUNT(Risk_Rank_Keys!$C$2:$C$800))</f>
        <v>0.757322175732218</v>
      </c>
      <c r="O532" s="0" t="n">
        <f aca="false">IF(OR(B532="NW",COUNT(Risk_Rank_Keys!D532)=0),0.5,(SUMPRODUCT(--ISNUMBER(Risk_Rank_Keys!$D$2:$D$800),--(Risk_Rank_Keys!$D$2:$D$800&lt;Risk_Rank_Keys!D532))+(SUMPRODUCT(--ISNUMBER(Risk_Rank_Keys!$D$2:$D$800),--(Risk_Rank_Keys!$D$2:$D$800=Risk_Rank_Keys!D532))+1)/2)/COUNT(Risk_Rank_Keys!$D$2:$D$800))</f>
        <v>0.465829846582985</v>
      </c>
      <c r="P532" s="0" t="n">
        <f aca="false">AVERAGE(M532:O532)</f>
        <v>0.695025569502557</v>
      </c>
      <c r="Q532" s="0" t="n">
        <f aca="false">0.4*H532+0.4*I532+0.2*P532</f>
        <v>0.293698480608897</v>
      </c>
      <c r="R532" s="0" t="n">
        <f aca="false">PERCENTILE($Q$2:$Q$800,0.75)</f>
        <v>0.667715717403612</v>
      </c>
      <c r="S532" s="1" t="b">
        <f aca="false">OR(Q532&gt;=R532,AND(B532="CW",COUNT(J532:L532)&lt;3))</f>
        <v>0</v>
      </c>
      <c r="T532" s="0" t="n">
        <v>0.22966587774786</v>
      </c>
      <c r="U532" s="0" t="n">
        <v>5.58166073183521</v>
      </c>
      <c r="V532" s="0" t="n">
        <v>0.293698480608897</v>
      </c>
      <c r="W532" s="0" t="n">
        <f aca="false">Q532-V532</f>
        <v>0</v>
      </c>
    </row>
    <row r="533" customFormat="false" ht="15" hidden="false" customHeight="false" outlineLevel="0" collapsed="false">
      <c r="A533" s="0" t="s">
        <v>567</v>
      </c>
      <c r="B533" s="0" t="s">
        <v>3013</v>
      </c>
      <c r="C533" s="0" t="n">
        <v>15.767372365801</v>
      </c>
      <c r="D533" s="0" t="n">
        <f aca="false">SUMPRODUCT(Risk_Inputs!B533:AJ533,Risk_Coefs!$B$2:$AJ$2)</f>
        <v>-0.622163338669304</v>
      </c>
      <c r="E533" s="0" t="n">
        <f aca="false">1/(1+EXP(-MAX(-25,MIN(25,D533))))</f>
        <v>0.349289593853159</v>
      </c>
      <c r="F533" s="0" t="n">
        <f aca="false">SUMPRODUCT(Risk_Inputs!B533:AJ533,Risk_Coefs!$B$3:$AJ$3)</f>
        <v>6.63319369556517</v>
      </c>
      <c r="G533" s="0" t="n">
        <f aca="false">MAX(0,F533)</f>
        <v>6.63319369556517</v>
      </c>
      <c r="H533" s="0" t="n">
        <f aca="false">(SUMPRODUCT(--ISNUMBER($E$2:$E$800),--($E$2:$E$800&lt;E533))+(SUMPRODUCT(--ISNUMBER($E$2:$E$800),--($E$2:$E$800=E533))+1)/2)/COUNT($E$2:$E$800)</f>
        <v>0.812265331664581</v>
      </c>
      <c r="I533" s="0" t="n">
        <f aca="false">(SUMPRODUCT(--ISNUMBER($G$2:$G$800),--($G$2:$G$800&lt;G533))+(SUMPRODUCT(--ISNUMBER($G$2:$G$800),--($G$2:$G$800=G533))+1)/2)/COUNT($G$2:$G$800)</f>
        <v>0.366708385481852</v>
      </c>
      <c r="J533" s="0" t="n">
        <v>5.46950387648548</v>
      </c>
      <c r="K533" s="0" t="n">
        <v>2.38179251940722</v>
      </c>
      <c r="L533" s="0" t="n">
        <v>0.211714890613971</v>
      </c>
      <c r="M533" s="0" t="n">
        <f aca="false">IF(OR(B533="NW",COUNT(Risk_Rank_Keys!B533)=0),0.5,(SUMPRODUCT(--ISNUMBER(Risk_Rank_Keys!$B$2:$B$800),--(Risk_Rank_Keys!$B$2:$B$800&lt;Risk_Rank_Keys!B533))+(SUMPRODUCT(--ISNUMBER(Risk_Rank_Keys!$B$2:$B$800),--(Risk_Rank_Keys!$B$2:$B$800=Risk_Rank_Keys!B533))+1)/2)/COUNT(Risk_Rank_Keys!$B$2:$B$800))</f>
        <v>0.165969316596932</v>
      </c>
      <c r="N533" s="0" t="n">
        <f aca="false">IF(OR(B533="NW",COUNT(Risk_Rank_Keys!C533)=0),0.5,(SUMPRODUCT(--ISNUMBER(Risk_Rank_Keys!$C$2:$C$800),--(Risk_Rank_Keys!$C$2:$C$800&lt;Risk_Rank_Keys!C533))+(SUMPRODUCT(--ISNUMBER(Risk_Rank_Keys!$C$2:$C$800),--(Risk_Rank_Keys!$C$2:$C$800=Risk_Rank_Keys!C533))+1)/2)/COUNT(Risk_Rank_Keys!$C$2:$C$800))</f>
        <v>0.362622036262204</v>
      </c>
      <c r="O533" s="0" t="n">
        <f aca="false">IF(OR(B533="NW",COUNT(Risk_Rank_Keys!D533)=0),0.5,(SUMPRODUCT(--ISNUMBER(Risk_Rank_Keys!$D$2:$D$800),--(Risk_Rank_Keys!$D$2:$D$800&lt;Risk_Rank_Keys!D533))+(SUMPRODUCT(--ISNUMBER(Risk_Rank_Keys!$D$2:$D$800),--(Risk_Rank_Keys!$D$2:$D$800=Risk_Rank_Keys!D533))+1)/2)/COUNT(Risk_Rank_Keys!$D$2:$D$800))</f>
        <v>0.389121338912134</v>
      </c>
      <c r="P533" s="0" t="n">
        <f aca="false">AVERAGE(M533:O533)</f>
        <v>0.305904230590423</v>
      </c>
      <c r="Q533" s="0" t="n">
        <f aca="false">0.4*H533+0.4*I533+0.2*P533</f>
        <v>0.532770332976658</v>
      </c>
      <c r="R533" s="0" t="n">
        <f aca="false">PERCENTILE($Q$2:$Q$800,0.75)</f>
        <v>0.667715717403612</v>
      </c>
      <c r="S533" s="1" t="b">
        <f aca="false">OR(Q533&gt;=R533,AND(B533="CW",COUNT(J533:L533)&lt;3))</f>
        <v>0</v>
      </c>
      <c r="T533" s="0" t="n">
        <v>0.349289593853159</v>
      </c>
      <c r="U533" s="0" t="n">
        <v>6.63319369556517</v>
      </c>
      <c r="V533" s="0" t="n">
        <v>0.532770332976658</v>
      </c>
      <c r="W533" s="0" t="n">
        <f aca="false">Q533-V533</f>
        <v>0</v>
      </c>
    </row>
    <row r="534" customFormat="false" ht="15" hidden="false" customHeight="false" outlineLevel="0" collapsed="false">
      <c r="A534" s="0" t="s">
        <v>568</v>
      </c>
      <c r="B534" s="0" t="s">
        <v>3013</v>
      </c>
      <c r="C534" s="0" t="n">
        <v>-1.122454164116</v>
      </c>
      <c r="D534" s="0" t="n">
        <f aca="false">SUMPRODUCT(Risk_Inputs!B534:AJ534,Risk_Coefs!$B$2:$AJ$2)</f>
        <v>-0.688942986422211</v>
      </c>
      <c r="E534" s="0" t="n">
        <f aca="false">1/(1+EXP(-MAX(-25,MIN(25,D534))))</f>
        <v>0.334268252417086</v>
      </c>
      <c r="F534" s="0" t="n">
        <f aca="false">SUMPRODUCT(Risk_Inputs!B534:AJ534,Risk_Coefs!$B$3:$AJ$3)</f>
        <v>6.30219772453008</v>
      </c>
      <c r="G534" s="0" t="n">
        <f aca="false">MAX(0,F534)</f>
        <v>6.30219772453008</v>
      </c>
      <c r="H534" s="0" t="n">
        <f aca="false">(SUMPRODUCT(--ISNUMBER($E$2:$E$800),--($E$2:$E$800&lt;E534))+(SUMPRODUCT(--ISNUMBER($E$2:$E$800),--($E$2:$E$800=E534))+1)/2)/COUNT($E$2:$E$800)</f>
        <v>0.757196495619524</v>
      </c>
      <c r="I534" s="0" t="n">
        <f aca="false">(SUMPRODUCT(--ISNUMBER($G$2:$G$800),--($G$2:$G$800&lt;G534))+(SUMPRODUCT(--ISNUMBER($G$2:$G$800),--($G$2:$G$800=G534))+1)/2)/COUNT($G$2:$G$800)</f>
        <v>0.312891113892365</v>
      </c>
      <c r="J534" s="0" t="n">
        <v>9.37927387066398</v>
      </c>
      <c r="K534" s="0" t="n">
        <v>2.98313878080414</v>
      </c>
      <c r="L534" s="0" t="n">
        <v>0.0432338953739707</v>
      </c>
      <c r="M534" s="0" t="n">
        <f aca="false">IF(OR(B534="NW",COUNT(Risk_Rank_Keys!B534)=0),0.5,(SUMPRODUCT(--ISNUMBER(Risk_Rank_Keys!$B$2:$B$800),--(Risk_Rank_Keys!$B$2:$B$800&lt;Risk_Rank_Keys!B534))+(SUMPRODUCT(--ISNUMBER(Risk_Rank_Keys!$B$2:$B$800),--(Risk_Rank_Keys!$B$2:$B$800=Risk_Rank_Keys!B534))+1)/2)/COUNT(Risk_Rank_Keys!$B$2:$B$800))</f>
        <v>0.465829846582985</v>
      </c>
      <c r="N534" s="0" t="n">
        <f aca="false">IF(OR(B534="NW",COUNT(Risk_Rank_Keys!C534)=0),0.5,(SUMPRODUCT(--ISNUMBER(Risk_Rank_Keys!$C$2:$C$800),--(Risk_Rank_Keys!$C$2:$C$800&lt;Risk_Rank_Keys!C534))+(SUMPRODUCT(--ISNUMBER(Risk_Rank_Keys!$C$2:$C$800),--(Risk_Rank_Keys!$C$2:$C$800=Risk_Rank_Keys!C534))+1)/2)/COUNT(Risk_Rank_Keys!$C$2:$C$800))</f>
        <v>0.468619246861925</v>
      </c>
      <c r="O534" s="0" t="n">
        <f aca="false">IF(OR(B534="NW",COUNT(Risk_Rank_Keys!D534)=0),0.5,(SUMPRODUCT(--ISNUMBER(Risk_Rank_Keys!$D$2:$D$800),--(Risk_Rank_Keys!$D$2:$D$800&lt;Risk_Rank_Keys!D534))+(SUMPRODUCT(--ISNUMBER(Risk_Rank_Keys!$D$2:$D$800),--(Risk_Rank_Keys!$D$2:$D$800=Risk_Rank_Keys!D534))+1)/2)/COUNT(Risk_Rank_Keys!$D$2:$D$800))</f>
        <v>0.00139470013947001</v>
      </c>
      <c r="P534" s="0" t="n">
        <f aca="false">AVERAGE(M534:O534)</f>
        <v>0.311947931194793</v>
      </c>
      <c r="Q534" s="0" t="n">
        <f aca="false">0.4*H534+0.4*I534+0.2*P534</f>
        <v>0.490424630043715</v>
      </c>
      <c r="R534" s="0" t="n">
        <f aca="false">PERCENTILE($Q$2:$Q$800,0.75)</f>
        <v>0.667715717403612</v>
      </c>
      <c r="S534" s="1" t="b">
        <f aca="false">OR(Q534&gt;=R534,AND(B534="CW",COUNT(J534:L534)&lt;3))</f>
        <v>0</v>
      </c>
      <c r="T534" s="0" t="n">
        <v>0.334268252417086</v>
      </c>
      <c r="U534" s="0" t="n">
        <v>6.30219772453008</v>
      </c>
      <c r="V534" s="0" t="n">
        <v>0.490424630043715</v>
      </c>
      <c r="W534" s="0" t="n">
        <f aca="false">Q534-V534</f>
        <v>0</v>
      </c>
    </row>
    <row r="535" customFormat="false" ht="15" hidden="false" customHeight="false" outlineLevel="0" collapsed="false">
      <c r="A535" s="0" t="s">
        <v>569</v>
      </c>
      <c r="B535" s="0" t="s">
        <v>3013</v>
      </c>
      <c r="C535" s="0" t="n">
        <v>-1.04154663080242</v>
      </c>
      <c r="D535" s="0" t="n">
        <f aca="false">SUMPRODUCT(Risk_Inputs!B535:AJ535,Risk_Coefs!$B$2:$AJ$2)</f>
        <v>-0.769678430171894</v>
      </c>
      <c r="E535" s="0" t="n">
        <f aca="false">1/(1+EXP(-MAX(-25,MIN(25,D535))))</f>
        <v>0.316548672379958</v>
      </c>
      <c r="F535" s="0" t="n">
        <f aca="false">SUMPRODUCT(Risk_Inputs!B535:AJ535,Risk_Coefs!$B$3:$AJ$3)</f>
        <v>8.13184580276295</v>
      </c>
      <c r="G535" s="0" t="n">
        <f aca="false">MAX(0,F535)</f>
        <v>8.13184580276295</v>
      </c>
      <c r="H535" s="0" t="n">
        <f aca="false">(SUMPRODUCT(--ISNUMBER($E$2:$E$800),--($E$2:$E$800&lt;E535))+(SUMPRODUCT(--ISNUMBER($E$2:$E$800),--($E$2:$E$800=E535))+1)/2)/COUNT($E$2:$E$800)</f>
        <v>0.648310387984981</v>
      </c>
      <c r="I535" s="0" t="n">
        <f aca="false">(SUMPRODUCT(--ISNUMBER($G$2:$G$800),--($G$2:$G$800&lt;G535))+(SUMPRODUCT(--ISNUMBER($G$2:$G$800),--($G$2:$G$800=G535))+1)/2)/COUNT($G$2:$G$800)</f>
        <v>0.556946182728411</v>
      </c>
      <c r="J535" s="0" t="n">
        <v>7.63476915140573</v>
      </c>
      <c r="K535" s="0" t="n">
        <v>4.58970792767733</v>
      </c>
      <c r="L535" s="0" t="n">
        <v>0.222531293463146</v>
      </c>
      <c r="M535" s="0" t="n">
        <f aca="false">IF(OR(B535="NW",COUNT(Risk_Rank_Keys!B535)=0),0.5,(SUMPRODUCT(--ISNUMBER(Risk_Rank_Keys!$B$2:$B$800),--(Risk_Rank_Keys!$B$2:$B$800&lt;Risk_Rank_Keys!B535))+(SUMPRODUCT(--ISNUMBER(Risk_Rank_Keys!$B$2:$B$800),--(Risk_Rank_Keys!$B$2:$B$800=Risk_Rank_Keys!B535))+1)/2)/COUNT(Risk_Rank_Keys!$B$2:$B$800))</f>
        <v>0.364016736401674</v>
      </c>
      <c r="N535" s="0" t="n">
        <f aca="false">IF(OR(B535="NW",COUNT(Risk_Rank_Keys!C535)=0),0.5,(SUMPRODUCT(--ISNUMBER(Risk_Rank_Keys!$C$2:$C$800),--(Risk_Rank_Keys!$C$2:$C$800&lt;Risk_Rank_Keys!C535))+(SUMPRODUCT(--ISNUMBER(Risk_Rank_Keys!$C$2:$C$800),--(Risk_Rank_Keys!$C$2:$C$800=Risk_Rank_Keys!C535))+1)/2)/COUNT(Risk_Rank_Keys!$C$2:$C$800))</f>
        <v>0.649930264993027</v>
      </c>
      <c r="O535" s="0" t="n">
        <f aca="false">IF(OR(B535="NW",COUNT(Risk_Rank_Keys!D535)=0),0.5,(SUMPRODUCT(--ISNUMBER(Risk_Rank_Keys!$D$2:$D$800),--(Risk_Rank_Keys!$D$2:$D$800&lt;Risk_Rank_Keys!D535))+(SUMPRODUCT(--ISNUMBER(Risk_Rank_Keys!$D$2:$D$800),--(Risk_Rank_Keys!$D$2:$D$800=Risk_Rank_Keys!D535))+1)/2)/COUNT(Risk_Rank_Keys!$D$2:$D$800))</f>
        <v>0.457461645746165</v>
      </c>
      <c r="P535" s="0" t="n">
        <f aca="false">AVERAGE(M535:O535)</f>
        <v>0.490469549046955</v>
      </c>
      <c r="Q535" s="0" t="n">
        <f aca="false">0.4*H535+0.4*I535+0.2*P535</f>
        <v>0.580196538094748</v>
      </c>
      <c r="R535" s="0" t="n">
        <f aca="false">PERCENTILE($Q$2:$Q$800,0.75)</f>
        <v>0.667715717403612</v>
      </c>
      <c r="S535" s="1" t="b">
        <f aca="false">OR(Q535&gt;=R535,AND(B535="CW",COUNT(J535:L535)&lt;3))</f>
        <v>0</v>
      </c>
      <c r="T535" s="0" t="n">
        <v>0.316548672379958</v>
      </c>
      <c r="U535" s="0" t="n">
        <v>8.13184580276295</v>
      </c>
      <c r="V535" s="0" t="n">
        <v>0.580196538094748</v>
      </c>
      <c r="W535" s="0" t="n">
        <f aca="false">Q535-V535</f>
        <v>0</v>
      </c>
    </row>
    <row r="536" customFormat="false" ht="15" hidden="false" customHeight="false" outlineLevel="0" collapsed="false">
      <c r="A536" s="0" t="s">
        <v>570</v>
      </c>
      <c r="B536" s="0" t="s">
        <v>3013</v>
      </c>
      <c r="C536" s="0" t="n">
        <v>50.3453958618709</v>
      </c>
      <c r="D536" s="0" t="n">
        <f aca="false">SUMPRODUCT(Risk_Inputs!B536:AJ536,Risk_Coefs!$B$2:$AJ$2)</f>
        <v>-1.03101636739646</v>
      </c>
      <c r="E536" s="0" t="n">
        <f aca="false">1/(1+EXP(-MAX(-25,MIN(25,D536))))</f>
        <v>0.262887107599548</v>
      </c>
      <c r="F536" s="0" t="n">
        <f aca="false">SUMPRODUCT(Risk_Inputs!B536:AJ536,Risk_Coefs!$B$3:$AJ$3)</f>
        <v>8.60204848821651</v>
      </c>
      <c r="G536" s="0" t="n">
        <f aca="false">MAX(0,F536)</f>
        <v>8.60204848821651</v>
      </c>
      <c r="H536" s="0" t="n">
        <f aca="false">(SUMPRODUCT(--ISNUMBER($E$2:$E$800),--($E$2:$E$800&lt;E536))+(SUMPRODUCT(--ISNUMBER($E$2:$E$800),--($E$2:$E$800=E536))+1)/2)/COUNT($E$2:$E$800)</f>
        <v>0.352941176470588</v>
      </c>
      <c r="I536" s="0" t="n">
        <f aca="false">(SUMPRODUCT(--ISNUMBER($G$2:$G$800),--($G$2:$G$800&lt;G536))+(SUMPRODUCT(--ISNUMBER($G$2:$G$800),--($G$2:$G$800=G536))+1)/2)/COUNT($G$2:$G$800)</f>
        <v>0.622027534418023</v>
      </c>
      <c r="J536" s="0" t="n">
        <v>14.012825228016</v>
      </c>
      <c r="K536" s="0" t="n">
        <v>14.2462509865825</v>
      </c>
      <c r="L536" s="0" t="n">
        <v>0.197316495659037</v>
      </c>
      <c r="M536" s="0" t="n">
        <f aca="false">IF(OR(B536="NW",COUNT(Risk_Rank_Keys!B536)=0),0.5,(SUMPRODUCT(--ISNUMBER(Risk_Rank_Keys!$B$2:$B$800),--(Risk_Rank_Keys!$B$2:$B$800&lt;Risk_Rank_Keys!B536))+(SUMPRODUCT(--ISNUMBER(Risk_Rank_Keys!$B$2:$B$800),--(Risk_Rank_Keys!$B$2:$B$800=Risk_Rank_Keys!B536))+1)/2)/COUNT(Risk_Rank_Keys!$B$2:$B$800))</f>
        <v>0.677824267782427</v>
      </c>
      <c r="N536" s="0" t="n">
        <f aca="false">IF(OR(B536="NW",COUNT(Risk_Rank_Keys!C536)=0),0.5,(SUMPRODUCT(--ISNUMBER(Risk_Rank_Keys!$C$2:$C$800),--(Risk_Rank_Keys!$C$2:$C$800&lt;Risk_Rank_Keys!C536))+(SUMPRODUCT(--ISNUMBER(Risk_Rank_Keys!$C$2:$C$800),--(Risk_Rank_Keys!$C$2:$C$800=Risk_Rank_Keys!C536))+1)/2)/COUNT(Risk_Rank_Keys!$C$2:$C$800))</f>
        <v>0.923291492329149</v>
      </c>
      <c r="O536" s="0" t="n">
        <f aca="false">IF(OR(B536="NW",COUNT(Risk_Rank_Keys!D536)=0),0.5,(SUMPRODUCT(--ISNUMBER(Risk_Rank_Keys!$D$2:$D$800),--(Risk_Rank_Keys!$D$2:$D$800&lt;Risk_Rank_Keys!D536))+(SUMPRODUCT(--ISNUMBER(Risk_Rank_Keys!$D$2:$D$800),--(Risk_Rank_Keys!$D$2:$D$800=Risk_Rank_Keys!D536))+1)/2)/COUNT(Risk_Rank_Keys!$D$2:$D$800))</f>
        <v>0.299860529986053</v>
      </c>
      <c r="P536" s="0" t="n">
        <f aca="false">AVERAGE(M536:O536)</f>
        <v>0.633658763365876</v>
      </c>
      <c r="Q536" s="0" t="n">
        <f aca="false">0.4*H536+0.4*I536+0.2*P536</f>
        <v>0.51671923702862</v>
      </c>
      <c r="R536" s="0" t="n">
        <f aca="false">PERCENTILE($Q$2:$Q$800,0.75)</f>
        <v>0.667715717403612</v>
      </c>
      <c r="S536" s="1" t="b">
        <f aca="false">OR(Q536&gt;=R536,AND(B536="CW",COUNT(J536:L536)&lt;3))</f>
        <v>0</v>
      </c>
      <c r="T536" s="0" t="n">
        <v>0.262887107599548</v>
      </c>
      <c r="U536" s="0" t="n">
        <v>8.60204848821651</v>
      </c>
      <c r="V536" s="0" t="n">
        <v>0.51671923702862</v>
      </c>
      <c r="W536" s="0" t="n">
        <f aca="false">Q536-V536</f>
        <v>0</v>
      </c>
    </row>
    <row r="537" customFormat="false" ht="15" hidden="false" customHeight="false" outlineLevel="0" collapsed="false">
      <c r="A537" s="0" t="s">
        <v>571</v>
      </c>
      <c r="B537" s="0" t="s">
        <v>3013</v>
      </c>
      <c r="C537" s="0" t="n">
        <v>-36.6482231896513</v>
      </c>
      <c r="D537" s="0" t="n">
        <f aca="false">SUMPRODUCT(Risk_Inputs!B537:AJ537,Risk_Coefs!$B$2:$AJ$2)</f>
        <v>-0.48406879500404</v>
      </c>
      <c r="E537" s="0" t="n">
        <f aca="false">1/(1+EXP(-MAX(-25,MIN(25,D537))))</f>
        <v>0.381291799949373</v>
      </c>
      <c r="F537" s="0" t="n">
        <f aca="false">SUMPRODUCT(Risk_Inputs!B537:AJ537,Risk_Coefs!$B$3:$AJ$3)</f>
        <v>13.2166585036704</v>
      </c>
      <c r="G537" s="0" t="n">
        <f aca="false">MAX(0,F537)</f>
        <v>13.2166585036704</v>
      </c>
      <c r="H537" s="0" t="n">
        <f aca="false">(SUMPRODUCT(--ISNUMBER($E$2:$E$800),--($E$2:$E$800&lt;E537))+(SUMPRODUCT(--ISNUMBER($E$2:$E$800),--($E$2:$E$800=E537))+1)/2)/COUNT($E$2:$E$800)</f>
        <v>0.903629536921151</v>
      </c>
      <c r="I537" s="0" t="n">
        <f aca="false">(SUMPRODUCT(--ISNUMBER($G$2:$G$800),--($G$2:$G$800&lt;G537))+(SUMPRODUCT(--ISNUMBER($G$2:$G$800),--($G$2:$G$800=G537))+1)/2)/COUNT($G$2:$G$800)</f>
        <v>0.957446808510638</v>
      </c>
      <c r="J537" s="0" t="n">
        <v>16.4914365850794</v>
      </c>
      <c r="K537" s="0" t="n">
        <v>4.66571834992887</v>
      </c>
      <c r="L537" s="0" t="n">
        <v>0.341394025604557</v>
      </c>
      <c r="M537" s="0" t="n">
        <f aca="false">IF(OR(B537="NW",COUNT(Risk_Rank_Keys!B537)=0),0.5,(SUMPRODUCT(--ISNUMBER(Risk_Rank_Keys!$B$2:$B$800),--(Risk_Rank_Keys!$B$2:$B$800&lt;Risk_Rank_Keys!B537))+(SUMPRODUCT(--ISNUMBER(Risk_Rank_Keys!$B$2:$B$800),--(Risk_Rank_Keys!$B$2:$B$800=Risk_Rank_Keys!B537))+1)/2)/COUNT(Risk_Rank_Keys!$B$2:$B$800))</f>
        <v>0.736401673640167</v>
      </c>
      <c r="N537" s="0" t="n">
        <f aca="false">IF(OR(B537="NW",COUNT(Risk_Rank_Keys!C537)=0),0.5,(SUMPRODUCT(--ISNUMBER(Risk_Rank_Keys!$C$2:$C$800),--(Risk_Rank_Keys!$C$2:$C$800&lt;Risk_Rank_Keys!C537))+(SUMPRODUCT(--ISNUMBER(Risk_Rank_Keys!$C$2:$C$800),--(Risk_Rank_Keys!$C$2:$C$800=Risk_Rank_Keys!C537))+1)/2)/COUNT(Risk_Rank_Keys!$C$2:$C$800))</f>
        <v>0.659693165969317</v>
      </c>
      <c r="O537" s="0" t="n">
        <f aca="false">IF(OR(B537="NW",COUNT(Risk_Rank_Keys!D537)=0),0.5,(SUMPRODUCT(--ISNUMBER(Risk_Rank_Keys!$D$2:$D$800),--(Risk_Rank_Keys!$D$2:$D$800&lt;Risk_Rank_Keys!D537))+(SUMPRODUCT(--ISNUMBER(Risk_Rank_Keys!$D$2:$D$800),--(Risk_Rank_Keys!$D$2:$D$800=Risk_Rank_Keys!D537))+1)/2)/COUNT(Risk_Rank_Keys!$D$2:$D$800))</f>
        <v>0.814504881450488</v>
      </c>
      <c r="P537" s="0" t="n">
        <f aca="false">AVERAGE(M537:O537)</f>
        <v>0.736866573686657</v>
      </c>
      <c r="Q537" s="0" t="n">
        <f aca="false">0.4*H537+0.4*I537+0.2*P537</f>
        <v>0.891803852910048</v>
      </c>
      <c r="R537" s="0" t="n">
        <f aca="false">PERCENTILE($Q$2:$Q$800,0.75)</f>
        <v>0.667715717403612</v>
      </c>
      <c r="S537" s="1" t="b">
        <f aca="false">OR(Q537&gt;=R537,AND(B537="CW",COUNT(J537:L537)&lt;3))</f>
        <v>1</v>
      </c>
      <c r="T537" s="0" t="n">
        <v>0.381291799949373</v>
      </c>
      <c r="U537" s="0" t="n">
        <v>13.2166585036704</v>
      </c>
      <c r="V537" s="0" t="n">
        <v>0.891803852910048</v>
      </c>
      <c r="W537" s="0" t="n">
        <f aca="false">Q537-V537</f>
        <v>0</v>
      </c>
    </row>
    <row r="538" customFormat="false" ht="15" hidden="false" customHeight="false" outlineLevel="0" collapsed="false">
      <c r="A538" s="0" t="s">
        <v>572</v>
      </c>
      <c r="B538" s="0" t="s">
        <v>3013</v>
      </c>
      <c r="C538" s="0" t="n">
        <v>20.7461745670705</v>
      </c>
      <c r="D538" s="0" t="n">
        <f aca="false">SUMPRODUCT(Risk_Inputs!B538:AJ538,Risk_Coefs!$B$2:$AJ$2)</f>
        <v>-0.47695286945222</v>
      </c>
      <c r="E538" s="0" t="n">
        <f aca="false">1/(1+EXP(-MAX(-25,MIN(25,D538))))</f>
        <v>0.382971918437185</v>
      </c>
      <c r="F538" s="0" t="n">
        <f aca="false">SUMPRODUCT(Risk_Inputs!B538:AJ538,Risk_Coefs!$B$3:$AJ$3)</f>
        <v>10.2797022765136</v>
      </c>
      <c r="G538" s="0" t="n">
        <f aca="false">MAX(0,F538)</f>
        <v>10.2797022765136</v>
      </c>
      <c r="H538" s="0" t="n">
        <f aca="false">(SUMPRODUCT(--ISNUMBER($E$2:$E$800),--($E$2:$E$800&lt;E538))+(SUMPRODUCT(--ISNUMBER($E$2:$E$800),--($E$2:$E$800=E538))+1)/2)/COUNT($E$2:$E$800)</f>
        <v>0.909887359198999</v>
      </c>
      <c r="I538" s="0" t="n">
        <f aca="false">(SUMPRODUCT(--ISNUMBER($G$2:$G$800),--($G$2:$G$800&lt;G538))+(SUMPRODUCT(--ISNUMBER($G$2:$G$800),--($G$2:$G$800=G538))+1)/2)/COUNT($G$2:$G$800)</f>
        <v>0.821026282853567</v>
      </c>
      <c r="J538" s="0" t="n">
        <v>4.5363836275193</v>
      </c>
      <c r="K538" s="0" t="n">
        <v>2.04908804323351</v>
      </c>
      <c r="L538" s="0" t="n">
        <v>0.157622157171806</v>
      </c>
      <c r="M538" s="0" t="n">
        <f aca="false">IF(OR(B538="NW",COUNT(Risk_Rank_Keys!B538)=0),0.5,(SUMPRODUCT(--ISNUMBER(Risk_Rank_Keys!$B$2:$B$800),--(Risk_Rank_Keys!$B$2:$B$800&lt;Risk_Rank_Keys!B538))+(SUMPRODUCT(--ISNUMBER(Risk_Rank_Keys!$B$2:$B$800),--(Risk_Rank_Keys!$B$2:$B$800=Risk_Rank_Keys!B538))+1)/2)/COUNT(Risk_Rank_Keys!$B$2:$B$800))</f>
        <v>0.101813110181311</v>
      </c>
      <c r="N538" s="0" t="n">
        <f aca="false">IF(OR(B538="NW",COUNT(Risk_Rank_Keys!C538)=0),0.5,(SUMPRODUCT(--ISNUMBER(Risk_Rank_Keys!$C$2:$C$800),--(Risk_Rank_Keys!$C$2:$C$800&lt;Risk_Rank_Keys!C538))+(SUMPRODUCT(--ISNUMBER(Risk_Rank_Keys!$C$2:$C$800),--(Risk_Rank_Keys!$C$2:$C$800=Risk_Rank_Keys!C538))+1)/2)/COUNT(Risk_Rank_Keys!$C$2:$C$800))</f>
        <v>0.287308228730823</v>
      </c>
      <c r="O538" s="0" t="n">
        <f aca="false">IF(OR(B538="NW",COUNT(Risk_Rank_Keys!D538)=0),0.5,(SUMPRODUCT(--ISNUMBER(Risk_Rank_Keys!$D$2:$D$800),--(Risk_Rank_Keys!$D$2:$D$800&lt;Risk_Rank_Keys!D538))+(SUMPRODUCT(--ISNUMBER(Risk_Rank_Keys!$D$2:$D$800),--(Risk_Rank_Keys!$D$2:$D$800=Risk_Rank_Keys!D538))+1)/2)/COUNT(Risk_Rank_Keys!$D$2:$D$800))</f>
        <v>0.125523012552301</v>
      </c>
      <c r="P538" s="0" t="n">
        <f aca="false">AVERAGE(M538:O538)</f>
        <v>0.171548117154812</v>
      </c>
      <c r="Q538" s="0" t="n">
        <f aca="false">0.4*H538+0.4*I538+0.2*P538</f>
        <v>0.726675080251989</v>
      </c>
      <c r="R538" s="0" t="n">
        <f aca="false">PERCENTILE($Q$2:$Q$800,0.75)</f>
        <v>0.667715717403612</v>
      </c>
      <c r="S538" s="1" t="b">
        <f aca="false">OR(Q538&gt;=R538,AND(B538="CW",COUNT(J538:L538)&lt;3))</f>
        <v>1</v>
      </c>
      <c r="T538" s="0" t="n">
        <v>0.382971918437185</v>
      </c>
      <c r="U538" s="0" t="n">
        <v>10.2797022765136</v>
      </c>
      <c r="V538" s="0" t="n">
        <v>0.726675080251989</v>
      </c>
      <c r="W538" s="0" t="n">
        <f aca="false">Q538-V538</f>
        <v>0</v>
      </c>
    </row>
    <row r="539" customFormat="false" ht="15" hidden="false" customHeight="false" outlineLevel="0" collapsed="false">
      <c r="A539" s="0" t="s">
        <v>573</v>
      </c>
      <c r="B539" s="0" t="s">
        <v>3013</v>
      </c>
      <c r="C539" s="0" t="n">
        <v>37.8793776161743</v>
      </c>
      <c r="D539" s="0" t="n">
        <f aca="false">SUMPRODUCT(Risk_Inputs!B539:AJ539,Risk_Coefs!$B$2:$AJ$2)</f>
        <v>-0.902243106444108</v>
      </c>
      <c r="E539" s="0" t="n">
        <f aca="false">1/(1+EXP(-MAX(-25,MIN(25,D539))))</f>
        <v>0.288589756518883</v>
      </c>
      <c r="F539" s="0" t="n">
        <f aca="false">SUMPRODUCT(Risk_Inputs!B539:AJ539,Risk_Coefs!$B$3:$AJ$3)</f>
        <v>7.75948521985156</v>
      </c>
      <c r="G539" s="0" t="n">
        <f aca="false">MAX(0,F539)</f>
        <v>7.75948521985156</v>
      </c>
      <c r="H539" s="0" t="n">
        <f aca="false">(SUMPRODUCT(--ISNUMBER($E$2:$E$800),--($E$2:$E$800&lt;E539))+(SUMPRODUCT(--ISNUMBER($E$2:$E$800),--($E$2:$E$800=E539))+1)/2)/COUNT($E$2:$E$800)</f>
        <v>0.515644555694618</v>
      </c>
      <c r="I539" s="0" t="n">
        <f aca="false">(SUMPRODUCT(--ISNUMBER($G$2:$G$800),--($G$2:$G$800&lt;G539))+(SUMPRODUCT(--ISNUMBER($G$2:$G$800),--($G$2:$G$800=G539))+1)/2)/COUNT($G$2:$G$800)</f>
        <v>0.518147684605757</v>
      </c>
      <c r="J539" s="0" t="n">
        <v>3.53277972915385</v>
      </c>
      <c r="K539" s="0" t="n">
        <v>2.6228602981778</v>
      </c>
      <c r="L539" s="0" t="n">
        <v>0.248481501932636</v>
      </c>
      <c r="M539" s="0" t="n">
        <f aca="false">IF(OR(B539="NW",COUNT(Risk_Rank_Keys!B539)=0),0.5,(SUMPRODUCT(--ISNUMBER(Risk_Rank_Keys!$B$2:$B$800),--(Risk_Rank_Keys!$B$2:$B$800&lt;Risk_Rank_Keys!B539))+(SUMPRODUCT(--ISNUMBER(Risk_Rank_Keys!$B$2:$B$800),--(Risk_Rank_Keys!$B$2:$B$800=Risk_Rank_Keys!B539))+1)/2)/COUNT(Risk_Rank_Keys!$B$2:$B$800))</f>
        <v>0.0432357043235704</v>
      </c>
      <c r="N539" s="0" t="n">
        <f aca="false">IF(OR(B539="NW",COUNT(Risk_Rank_Keys!C539)=0),0.5,(SUMPRODUCT(--ISNUMBER(Risk_Rank_Keys!$C$2:$C$800),--(Risk_Rank_Keys!$C$2:$C$800&lt;Risk_Rank_Keys!C539))+(SUMPRODUCT(--ISNUMBER(Risk_Rank_Keys!$C$2:$C$800),--(Risk_Rank_Keys!$C$2:$C$800=Risk_Rank_Keys!C539))+1)/2)/COUNT(Risk_Rank_Keys!$C$2:$C$800))</f>
        <v>0.412831241283124</v>
      </c>
      <c r="O539" s="0" t="n">
        <f aca="false">IF(OR(B539="NW",COUNT(Risk_Rank_Keys!D539)=0),0.5,(SUMPRODUCT(--ISNUMBER(Risk_Rank_Keys!$D$2:$D$800),--(Risk_Rank_Keys!$D$2:$D$800&lt;Risk_Rank_Keys!D539))+(SUMPRODUCT(--ISNUMBER(Risk_Rank_Keys!$D$2:$D$800),--(Risk_Rank_Keys!$D$2:$D$800=Risk_Rank_Keys!D539))+1)/2)/COUNT(Risk_Rank_Keys!$D$2:$D$800))</f>
        <v>0.580195258019526</v>
      </c>
      <c r="P539" s="0" t="n">
        <f aca="false">AVERAGE(M539:O539)</f>
        <v>0.345420734542073</v>
      </c>
      <c r="Q539" s="0" t="n">
        <f aca="false">0.4*H539+0.4*I539+0.2*P539</f>
        <v>0.482601043028565</v>
      </c>
      <c r="R539" s="0" t="n">
        <f aca="false">PERCENTILE($Q$2:$Q$800,0.75)</f>
        <v>0.667715717403612</v>
      </c>
      <c r="S539" s="1" t="b">
        <f aca="false">OR(Q539&gt;=R539,AND(B539="CW",COUNT(J539:L539)&lt;3))</f>
        <v>0</v>
      </c>
      <c r="T539" s="0" t="n">
        <v>0.288589756518883</v>
      </c>
      <c r="U539" s="0" t="n">
        <v>7.75948521985156</v>
      </c>
      <c r="V539" s="0" t="n">
        <v>0.482601043028565</v>
      </c>
      <c r="W539" s="0" t="n">
        <f aca="false">Q539-V539</f>
        <v>0</v>
      </c>
    </row>
    <row r="540" customFormat="false" ht="15" hidden="false" customHeight="false" outlineLevel="0" collapsed="false">
      <c r="A540" s="0" t="s">
        <v>574</v>
      </c>
      <c r="B540" s="0" t="s">
        <v>33</v>
      </c>
      <c r="C540" s="0" t="n">
        <v>-27.7154599937447</v>
      </c>
      <c r="D540" s="0" t="n">
        <f aca="false">SUMPRODUCT(Risk_Inputs!B540:AJ540,Risk_Coefs!$B$2:$AJ$2)</f>
        <v>-0.140504749380942</v>
      </c>
      <c r="E540" s="0" t="n">
        <f aca="false">1/(1+EXP(-MAX(-25,MIN(25,D540))))</f>
        <v>0.464931486017674</v>
      </c>
      <c r="F540" s="0" t="n">
        <f aca="false">SUMPRODUCT(Risk_Inputs!B540:AJ540,Risk_Coefs!$B$3:$AJ$3)</f>
        <v>16.2771640040049</v>
      </c>
      <c r="G540" s="0" t="n">
        <f aca="false">MAX(0,F540)</f>
        <v>16.2771640040049</v>
      </c>
      <c r="H540" s="0" t="n">
        <f aca="false">(SUMPRODUCT(--ISNUMBER($E$2:$E$800),--($E$2:$E$800&lt;E540))+(SUMPRODUCT(--ISNUMBER($E$2:$E$800),--($E$2:$E$800=E540))+1)/2)/COUNT($E$2:$E$800)</f>
        <v>0.986232790988736</v>
      </c>
      <c r="I540" s="0" t="n">
        <f aca="false">(SUMPRODUCT(--ISNUMBER($G$2:$G$800),--($G$2:$G$800&lt;G540))+(SUMPRODUCT(--ISNUMBER($G$2:$G$800),--($G$2:$G$800=G540))+1)/2)/COUNT($G$2:$G$800)</f>
        <v>0.989987484355444</v>
      </c>
      <c r="M540" s="0" t="n">
        <f aca="false">IF(OR(B540="NW",COUNT(Risk_Rank_Keys!B540)=0),0.5,(SUMPRODUCT(--ISNUMBER(Risk_Rank_Keys!$B$2:$B$800),--(Risk_Rank_Keys!$B$2:$B$800&lt;Risk_Rank_Keys!B540))+(SUMPRODUCT(--ISNUMBER(Risk_Rank_Keys!$B$2:$B$800),--(Risk_Rank_Keys!$B$2:$B$800=Risk_Rank_Keys!B540))+1)/2)/COUNT(Risk_Rank_Keys!$B$2:$B$800))</f>
        <v>0.5</v>
      </c>
      <c r="N540" s="0" t="n">
        <f aca="false">IF(OR(B540="NW",COUNT(Risk_Rank_Keys!C540)=0),0.5,(SUMPRODUCT(--ISNUMBER(Risk_Rank_Keys!$C$2:$C$800),--(Risk_Rank_Keys!$C$2:$C$800&lt;Risk_Rank_Keys!C540))+(SUMPRODUCT(--ISNUMBER(Risk_Rank_Keys!$C$2:$C$800),--(Risk_Rank_Keys!$C$2:$C$800=Risk_Rank_Keys!C540))+1)/2)/COUNT(Risk_Rank_Keys!$C$2:$C$800))</f>
        <v>0.5</v>
      </c>
      <c r="O540" s="0" t="n">
        <f aca="false">IF(OR(B540="NW",COUNT(Risk_Rank_Keys!D540)=0),0.5,(SUMPRODUCT(--ISNUMBER(Risk_Rank_Keys!$D$2:$D$800),--(Risk_Rank_Keys!$D$2:$D$800&lt;Risk_Rank_Keys!D540))+(SUMPRODUCT(--ISNUMBER(Risk_Rank_Keys!$D$2:$D$800),--(Risk_Rank_Keys!$D$2:$D$800=Risk_Rank_Keys!D540))+1)/2)/COUNT(Risk_Rank_Keys!$D$2:$D$800))</f>
        <v>0.5</v>
      </c>
      <c r="P540" s="0" t="n">
        <f aca="false">AVERAGE(M540:O540)</f>
        <v>0.5</v>
      </c>
      <c r="Q540" s="0" t="n">
        <f aca="false">0.4*H540+0.4*I540+0.2*P540</f>
        <v>0.890488110137672</v>
      </c>
      <c r="R540" s="0" t="n">
        <f aca="false">PERCENTILE($Q$2:$Q$800,0.75)</f>
        <v>0.667715717403612</v>
      </c>
      <c r="S540" s="1" t="b">
        <f aca="false">OR(Q540&gt;=R540,AND(B540="CW",COUNT(J540:L540)&lt;3))</f>
        <v>1</v>
      </c>
      <c r="T540" s="0" t="n">
        <v>0.464931486017674</v>
      </c>
      <c r="U540" s="0" t="n">
        <v>16.2771640040049</v>
      </c>
      <c r="V540" s="0" t="n">
        <v>0.890488110137672</v>
      </c>
      <c r="W540" s="0" t="n">
        <f aca="false">Q540-V540</f>
        <v>0</v>
      </c>
    </row>
    <row r="541" customFormat="false" ht="15" hidden="false" customHeight="false" outlineLevel="0" collapsed="false">
      <c r="A541" s="0" t="s">
        <v>575</v>
      </c>
      <c r="B541" s="0" t="s">
        <v>3013</v>
      </c>
      <c r="C541" s="0" t="n">
        <v>-41.0896478055129</v>
      </c>
      <c r="D541" s="0" t="n">
        <f aca="false">SUMPRODUCT(Risk_Inputs!B541:AJ541,Risk_Coefs!$B$2:$AJ$2)</f>
        <v>-0.641297648835351</v>
      </c>
      <c r="E541" s="0" t="n">
        <f aca="false">1/(1+EXP(-MAX(-25,MIN(25,D541))))</f>
        <v>0.344953263036938</v>
      </c>
      <c r="F541" s="0" t="n">
        <f aca="false">SUMPRODUCT(Risk_Inputs!B541:AJ541,Risk_Coefs!$B$3:$AJ$3)</f>
        <v>13.1625868995218</v>
      </c>
      <c r="G541" s="0" t="n">
        <f aca="false">MAX(0,F541)</f>
        <v>13.1625868995218</v>
      </c>
      <c r="H541" s="0" t="n">
        <f aca="false">(SUMPRODUCT(--ISNUMBER($E$2:$E$800),--($E$2:$E$800&lt;E541))+(SUMPRODUCT(--ISNUMBER($E$2:$E$800),--($E$2:$E$800=E541))+1)/2)/COUNT($E$2:$E$800)</f>
        <v>0.802252816020025</v>
      </c>
      <c r="I541" s="0" t="n">
        <f aca="false">(SUMPRODUCT(--ISNUMBER($G$2:$G$800),--($G$2:$G$800&lt;G541))+(SUMPRODUCT(--ISNUMBER($G$2:$G$800),--($G$2:$G$800=G541))+1)/2)/COUNT($G$2:$G$800)</f>
        <v>0.956195244055069</v>
      </c>
      <c r="J541" s="0" t="n">
        <v>4.46008726433299</v>
      </c>
      <c r="K541" s="0" t="n">
        <v>0.743410678080639</v>
      </c>
      <c r="L541" s="0" t="n">
        <v>0.135165577832838</v>
      </c>
      <c r="M541" s="0" t="n">
        <f aca="false">IF(OR(B541="NW",COUNT(Risk_Rank_Keys!B541)=0),0.5,(SUMPRODUCT(--ISNUMBER(Risk_Rank_Keys!$B$2:$B$800),--(Risk_Rank_Keys!$B$2:$B$800&lt;Risk_Rank_Keys!B541))+(SUMPRODUCT(--ISNUMBER(Risk_Rank_Keys!$B$2:$B$800),--(Risk_Rank_Keys!$B$2:$B$800=Risk_Rank_Keys!B541))+1)/2)/COUNT(Risk_Rank_Keys!$B$2:$B$800))</f>
        <v>0.096234309623431</v>
      </c>
      <c r="N541" s="0" t="n">
        <f aca="false">IF(OR(B541="NW",COUNT(Risk_Rank_Keys!C541)=0),0.5,(SUMPRODUCT(--ISNUMBER(Risk_Rank_Keys!$C$2:$C$800),--(Risk_Rank_Keys!$C$2:$C$800&lt;Risk_Rank_Keys!C541))+(SUMPRODUCT(--ISNUMBER(Risk_Rank_Keys!$C$2:$C$800),--(Risk_Rank_Keys!$C$2:$C$800=Risk_Rank_Keys!C541))+1)/2)/COUNT(Risk_Rank_Keys!$C$2:$C$800))</f>
        <v>0.00697350069735007</v>
      </c>
      <c r="O541" s="0" t="n">
        <f aca="false">IF(OR(B541="NW",COUNT(Risk_Rank_Keys!D541)=0),0.5,(SUMPRODUCT(--ISNUMBER(Risk_Rank_Keys!$D$2:$D$800),--(Risk_Rank_Keys!$D$2:$D$800&lt;Risk_Rank_Keys!D541))+(SUMPRODUCT(--ISNUMBER(Risk_Rank_Keys!$D$2:$D$800),--(Risk_Rank_Keys!$D$2:$D$800=Risk_Rank_Keys!D541))+1)/2)/COUNT(Risk_Rank_Keys!$D$2:$D$800))</f>
        <v>0.0781032078103208</v>
      </c>
      <c r="P541" s="0" t="n">
        <f aca="false">AVERAGE(M541:O541)</f>
        <v>0.0604370060437006</v>
      </c>
      <c r="Q541" s="0" t="n">
        <f aca="false">0.4*H541+0.4*I541+0.2*P541</f>
        <v>0.715466625238778</v>
      </c>
      <c r="R541" s="0" t="n">
        <f aca="false">PERCENTILE($Q$2:$Q$800,0.75)</f>
        <v>0.667715717403612</v>
      </c>
      <c r="S541" s="1" t="b">
        <f aca="false">OR(Q541&gt;=R541,AND(B541="CW",COUNT(J541:L541)&lt;3))</f>
        <v>1</v>
      </c>
      <c r="T541" s="0" t="n">
        <v>0.344953263036938</v>
      </c>
      <c r="U541" s="0" t="n">
        <v>13.1625868995218</v>
      </c>
      <c r="V541" s="0" t="n">
        <v>0.715466625238778</v>
      </c>
      <c r="W541" s="0" t="n">
        <f aca="false">Q541-V541</f>
        <v>0</v>
      </c>
    </row>
    <row r="542" customFormat="false" ht="15" hidden="false" customHeight="false" outlineLevel="0" collapsed="false">
      <c r="A542" s="0" t="s">
        <v>576</v>
      </c>
      <c r="B542" s="0" t="s">
        <v>3013</v>
      </c>
      <c r="C542" s="0" t="n">
        <v>16.4812254699999</v>
      </c>
      <c r="D542" s="0" t="n">
        <f aca="false">SUMPRODUCT(Risk_Inputs!B542:AJ542,Risk_Coefs!$B$2:$AJ$2)</f>
        <v>-0.536519962784567</v>
      </c>
      <c r="E542" s="0" t="n">
        <f aca="false">1/(1+EXP(-MAX(-25,MIN(25,D542))))</f>
        <v>0.368997498315207</v>
      </c>
      <c r="F542" s="0" t="n">
        <f aca="false">SUMPRODUCT(Risk_Inputs!B542:AJ542,Risk_Coefs!$B$3:$AJ$3)</f>
        <v>12.8034302243308</v>
      </c>
      <c r="G542" s="0" t="n">
        <f aca="false">MAX(0,F542)</f>
        <v>12.8034302243308</v>
      </c>
      <c r="H542" s="0" t="n">
        <f aca="false">(SUMPRODUCT(--ISNUMBER($E$2:$E$800),--($E$2:$E$800&lt;E542))+(SUMPRODUCT(--ISNUMBER($E$2:$E$800),--($E$2:$E$800=E542))+1)/2)/COUNT($E$2:$E$800)</f>
        <v>0.869837296620776</v>
      </c>
      <c r="I542" s="0" t="n">
        <f aca="false">(SUMPRODUCT(--ISNUMBER($G$2:$G$800),--($G$2:$G$800&lt;G542))+(SUMPRODUCT(--ISNUMBER($G$2:$G$800),--($G$2:$G$800=G542))+1)/2)/COUNT($G$2:$G$800)</f>
        <v>0.947434292866083</v>
      </c>
      <c r="J542" s="0" t="n">
        <v>26.8344743105983</v>
      </c>
      <c r="K542" s="0" t="n">
        <v>7.24573941726223</v>
      </c>
      <c r="L542" s="0" t="n">
        <v>0.197910940076967</v>
      </c>
      <c r="M542" s="0" t="n">
        <f aca="false">IF(OR(B542="NW",COUNT(Risk_Rank_Keys!B542)=0),0.5,(SUMPRODUCT(--ISNUMBER(Risk_Rank_Keys!$B$2:$B$800),--(Risk_Rank_Keys!$B$2:$B$800&lt;Risk_Rank_Keys!B542))+(SUMPRODUCT(--ISNUMBER(Risk_Rank_Keys!$B$2:$B$800),--(Risk_Rank_Keys!$B$2:$B$800=Risk_Rank_Keys!B542))+1)/2)/COUNT(Risk_Rank_Keys!$B$2:$B$800))</f>
        <v>0.878661087866109</v>
      </c>
      <c r="N542" s="0" t="n">
        <f aca="false">IF(OR(B542="NW",COUNT(Risk_Rank_Keys!C542)=0),0.5,(SUMPRODUCT(--ISNUMBER(Risk_Rank_Keys!$C$2:$C$800),--(Risk_Rank_Keys!$C$2:$C$800&lt;Risk_Rank_Keys!C542))+(SUMPRODUCT(--ISNUMBER(Risk_Rank_Keys!$C$2:$C$800),--(Risk_Rank_Keys!$C$2:$C$800=Risk_Rank_Keys!C542))+1)/2)/COUNT(Risk_Rank_Keys!$C$2:$C$800))</f>
        <v>0.796373779637378</v>
      </c>
      <c r="O542" s="0" t="n">
        <f aca="false">IF(OR(B542="NW",COUNT(Risk_Rank_Keys!D542)=0),0.5,(SUMPRODUCT(--ISNUMBER(Risk_Rank_Keys!$D$2:$D$800),--(Risk_Rank_Keys!$D$2:$D$800&lt;Risk_Rank_Keys!D542))+(SUMPRODUCT(--ISNUMBER(Risk_Rank_Keys!$D$2:$D$800),--(Risk_Rank_Keys!$D$2:$D$800=Risk_Rank_Keys!D542))+1)/2)/COUNT(Risk_Rank_Keys!$D$2:$D$800))</f>
        <v>0.304044630404463</v>
      </c>
      <c r="P542" s="0" t="n">
        <f aca="false">AVERAGE(M542:O542)</f>
        <v>0.659693165969317</v>
      </c>
      <c r="Q542" s="0" t="n">
        <f aca="false">0.4*H542+0.4*I542+0.2*P542</f>
        <v>0.858847268988607</v>
      </c>
      <c r="R542" s="0" t="n">
        <f aca="false">PERCENTILE($Q$2:$Q$800,0.75)</f>
        <v>0.667715717403612</v>
      </c>
      <c r="S542" s="1" t="b">
        <f aca="false">OR(Q542&gt;=R542,AND(B542="CW",COUNT(J542:L542)&lt;3))</f>
        <v>1</v>
      </c>
      <c r="T542" s="0" t="n">
        <v>0.368997498315207</v>
      </c>
      <c r="U542" s="0" t="n">
        <v>12.8034302243308</v>
      </c>
      <c r="V542" s="0" t="n">
        <v>0.858847268988607</v>
      </c>
      <c r="W542" s="0" t="n">
        <f aca="false">Q542-V542</f>
        <v>0</v>
      </c>
    </row>
    <row r="543" customFormat="false" ht="15" hidden="false" customHeight="false" outlineLevel="0" collapsed="false">
      <c r="A543" s="0" t="s">
        <v>577</v>
      </c>
      <c r="B543" s="0" t="s">
        <v>3013</v>
      </c>
      <c r="C543" s="0" t="n">
        <v>-13.2643172495948</v>
      </c>
      <c r="D543" s="0" t="n">
        <f aca="false">SUMPRODUCT(Risk_Inputs!B543:AJ543,Risk_Coefs!$B$2:$AJ$2)</f>
        <v>-0.253764357695358</v>
      </c>
      <c r="E543" s="0" t="n">
        <f aca="false">1/(1+EXP(-MAX(-25,MIN(25,D543))))</f>
        <v>0.436897180288789</v>
      </c>
      <c r="F543" s="0" t="n">
        <f aca="false">SUMPRODUCT(Risk_Inputs!B543:AJ543,Risk_Coefs!$B$3:$AJ$3)</f>
        <v>10.1566387850421</v>
      </c>
      <c r="G543" s="0" t="n">
        <f aca="false">MAX(0,F543)</f>
        <v>10.1566387850421</v>
      </c>
      <c r="H543" s="0" t="n">
        <f aca="false">(SUMPRODUCT(--ISNUMBER($E$2:$E$800),--($E$2:$E$800&lt;E543))+(SUMPRODUCT(--ISNUMBER($E$2:$E$800),--($E$2:$E$800=E543))+1)/2)/COUNT($E$2:$E$800)</f>
        <v>0.97622027534418</v>
      </c>
      <c r="I543" s="0" t="n">
        <f aca="false">(SUMPRODUCT(--ISNUMBER($G$2:$G$800),--($G$2:$G$800&lt;G543))+(SUMPRODUCT(--ISNUMBER($G$2:$G$800),--($G$2:$G$800=G543))+1)/2)/COUNT($G$2:$G$800)</f>
        <v>0.806007509386733</v>
      </c>
      <c r="J543" s="0" t="n">
        <v>5.07388720891404</v>
      </c>
      <c r="K543" s="0" t="n">
        <v>2.27985524728588</v>
      </c>
      <c r="L543" s="0" t="n">
        <v>0.180940892641737</v>
      </c>
      <c r="M543" s="0" t="n">
        <f aca="false">IF(OR(B543="NW",COUNT(Risk_Rank_Keys!B543)=0),0.5,(SUMPRODUCT(--ISNUMBER(Risk_Rank_Keys!$B$2:$B$800),--(Risk_Rank_Keys!$B$2:$B$800&lt;Risk_Rank_Keys!B543))+(SUMPRODUCT(--ISNUMBER(Risk_Rank_Keys!$B$2:$B$800),--(Risk_Rank_Keys!$B$2:$B$800=Risk_Rank_Keys!B543))+1)/2)/COUNT(Risk_Rank_Keys!$B$2:$B$800))</f>
        <v>0.132496513249651</v>
      </c>
      <c r="N543" s="0" t="n">
        <f aca="false">IF(OR(B543="NW",COUNT(Risk_Rank_Keys!C543)=0),0.5,(SUMPRODUCT(--ISNUMBER(Risk_Rank_Keys!$C$2:$C$800),--(Risk_Rank_Keys!$C$2:$C$800&lt;Risk_Rank_Keys!C543))+(SUMPRODUCT(--ISNUMBER(Risk_Rank_Keys!$C$2:$C$800),--(Risk_Rank_Keys!$C$2:$C$800=Risk_Rank_Keys!C543))+1)/2)/COUNT(Risk_Rank_Keys!$C$2:$C$800))</f>
        <v>0.334728033472803</v>
      </c>
      <c r="O543" s="0" t="n">
        <f aca="false">IF(OR(B543="NW",COUNT(Risk_Rank_Keys!D543)=0),0.5,(SUMPRODUCT(--ISNUMBER(Risk_Rank_Keys!$D$2:$D$800),--(Risk_Rank_Keys!$D$2:$D$800&lt;Risk_Rank_Keys!D543))+(SUMPRODUCT(--ISNUMBER(Risk_Rank_Keys!$D$2:$D$800),--(Risk_Rank_Keys!$D$2:$D$800=Risk_Rank_Keys!D543))+1)/2)/COUNT(Risk_Rank_Keys!$D$2:$D$800))</f>
        <v>0.210599721059972</v>
      </c>
      <c r="P543" s="0" t="n">
        <f aca="false">AVERAGE(M543:O543)</f>
        <v>0.225941422594142</v>
      </c>
      <c r="Q543" s="0" t="n">
        <f aca="false">0.4*H543+0.4*I543+0.2*P543</f>
        <v>0.758079398411194</v>
      </c>
      <c r="R543" s="0" t="n">
        <f aca="false">PERCENTILE($Q$2:$Q$800,0.75)</f>
        <v>0.667715717403612</v>
      </c>
      <c r="S543" s="1" t="b">
        <f aca="false">OR(Q543&gt;=R543,AND(B543="CW",COUNT(J543:L543)&lt;3))</f>
        <v>1</v>
      </c>
      <c r="T543" s="0" t="n">
        <v>0.436897180288789</v>
      </c>
      <c r="U543" s="0" t="n">
        <v>10.1566387850421</v>
      </c>
      <c r="V543" s="0" t="n">
        <v>0.758079398411194</v>
      </c>
      <c r="W543" s="0" t="n">
        <f aca="false">Q543-V543</f>
        <v>0</v>
      </c>
    </row>
    <row r="544" customFormat="false" ht="15" hidden="false" customHeight="false" outlineLevel="0" collapsed="false">
      <c r="A544" s="0" t="s">
        <v>578</v>
      </c>
      <c r="B544" s="0" t="s">
        <v>33</v>
      </c>
      <c r="C544" s="0" t="n">
        <v>-43.8797321907479</v>
      </c>
      <c r="D544" s="0" t="n">
        <f aca="false">SUMPRODUCT(Risk_Inputs!B544:AJ544,Risk_Coefs!$B$2:$AJ$2)</f>
        <v>-0.542367672597531</v>
      </c>
      <c r="E544" s="0" t="n">
        <f aca="false">1/(1+EXP(-MAX(-25,MIN(25,D544))))</f>
        <v>0.367636973369959</v>
      </c>
      <c r="F544" s="0" t="n">
        <f aca="false">SUMPRODUCT(Risk_Inputs!B544:AJ544,Risk_Coefs!$B$3:$AJ$3)</f>
        <v>11.3560957542829</v>
      </c>
      <c r="G544" s="0" t="n">
        <f aca="false">MAX(0,F544)</f>
        <v>11.3560957542829</v>
      </c>
      <c r="H544" s="0" t="n">
        <f aca="false">(SUMPRODUCT(--ISNUMBER($E$2:$E$800),--($E$2:$E$800&lt;E544))+(SUMPRODUCT(--ISNUMBER($E$2:$E$800),--($E$2:$E$800=E544))+1)/2)/COUNT($E$2:$E$800)</f>
        <v>0.863579474342929</v>
      </c>
      <c r="I544" s="0" t="n">
        <f aca="false">(SUMPRODUCT(--ISNUMBER($G$2:$G$800),--($G$2:$G$800&lt;G544))+(SUMPRODUCT(--ISNUMBER($G$2:$G$800),--($G$2:$G$800=G544))+1)/2)/COUNT($G$2:$G$800)</f>
        <v>0.901126408010013</v>
      </c>
      <c r="M544" s="0" t="n">
        <f aca="false">IF(OR(B544="NW",COUNT(Risk_Rank_Keys!B544)=0),0.5,(SUMPRODUCT(--ISNUMBER(Risk_Rank_Keys!$B$2:$B$800),--(Risk_Rank_Keys!$B$2:$B$800&lt;Risk_Rank_Keys!B544))+(SUMPRODUCT(--ISNUMBER(Risk_Rank_Keys!$B$2:$B$800),--(Risk_Rank_Keys!$B$2:$B$800=Risk_Rank_Keys!B544))+1)/2)/COUNT(Risk_Rank_Keys!$B$2:$B$800))</f>
        <v>0.5</v>
      </c>
      <c r="N544" s="0" t="n">
        <f aca="false">IF(OR(B544="NW",COUNT(Risk_Rank_Keys!C544)=0),0.5,(SUMPRODUCT(--ISNUMBER(Risk_Rank_Keys!$C$2:$C$800),--(Risk_Rank_Keys!$C$2:$C$800&lt;Risk_Rank_Keys!C544))+(SUMPRODUCT(--ISNUMBER(Risk_Rank_Keys!$C$2:$C$800),--(Risk_Rank_Keys!$C$2:$C$800=Risk_Rank_Keys!C544))+1)/2)/COUNT(Risk_Rank_Keys!$C$2:$C$800))</f>
        <v>0.5</v>
      </c>
      <c r="O544" s="0" t="n">
        <f aca="false">IF(OR(B544="NW",COUNT(Risk_Rank_Keys!D544)=0),0.5,(SUMPRODUCT(--ISNUMBER(Risk_Rank_Keys!$D$2:$D$800),--(Risk_Rank_Keys!$D$2:$D$800&lt;Risk_Rank_Keys!D544))+(SUMPRODUCT(--ISNUMBER(Risk_Rank_Keys!$D$2:$D$800),--(Risk_Rank_Keys!$D$2:$D$800=Risk_Rank_Keys!D544))+1)/2)/COUNT(Risk_Rank_Keys!$D$2:$D$800))</f>
        <v>0.5</v>
      </c>
      <c r="P544" s="0" t="n">
        <f aca="false">AVERAGE(M544:O544)</f>
        <v>0.5</v>
      </c>
      <c r="Q544" s="0" t="n">
        <f aca="false">0.4*H544+0.4*I544+0.2*P544</f>
        <v>0.805882352941177</v>
      </c>
      <c r="R544" s="0" t="n">
        <f aca="false">PERCENTILE($Q$2:$Q$800,0.75)</f>
        <v>0.667715717403612</v>
      </c>
      <c r="S544" s="1" t="b">
        <f aca="false">OR(Q544&gt;=R544,AND(B544="CW",COUNT(J544:L544)&lt;3))</f>
        <v>1</v>
      </c>
      <c r="T544" s="0" t="n">
        <v>0.367636973369959</v>
      </c>
      <c r="U544" s="0" t="n">
        <v>11.3560957542829</v>
      </c>
      <c r="V544" s="0" t="n">
        <v>0.805882352941177</v>
      </c>
      <c r="W544" s="0" t="n">
        <f aca="false">Q544-V544</f>
        <v>0</v>
      </c>
    </row>
    <row r="545" customFormat="false" ht="15" hidden="false" customHeight="false" outlineLevel="0" collapsed="false">
      <c r="A545" s="0" t="s">
        <v>579</v>
      </c>
      <c r="B545" s="0" t="s">
        <v>3013</v>
      </c>
      <c r="C545" s="0" t="n">
        <v>39.2487366234622</v>
      </c>
      <c r="D545" s="0" t="n">
        <f aca="false">SUMPRODUCT(Risk_Inputs!B545:AJ545,Risk_Coefs!$B$2:$AJ$2)</f>
        <v>-1.02273506844952</v>
      </c>
      <c r="E545" s="0" t="n">
        <f aca="false">1/(1+EXP(-MAX(-25,MIN(25,D545))))</f>
        <v>0.264494984852814</v>
      </c>
      <c r="F545" s="0" t="n">
        <f aca="false">SUMPRODUCT(Risk_Inputs!B545:AJ545,Risk_Coefs!$B$3:$AJ$3)</f>
        <v>8.31052445149371</v>
      </c>
      <c r="G545" s="0" t="n">
        <f aca="false">MAX(0,F545)</f>
        <v>8.31052445149371</v>
      </c>
      <c r="H545" s="0" t="n">
        <f aca="false">(SUMPRODUCT(--ISNUMBER($E$2:$E$800),--($E$2:$E$800&lt;E545))+(SUMPRODUCT(--ISNUMBER($E$2:$E$800),--($E$2:$E$800=E545))+1)/2)/COUNT($E$2:$E$800)</f>
        <v>0.364205256570713</v>
      </c>
      <c r="I545" s="0" t="n">
        <f aca="false">(SUMPRODUCT(--ISNUMBER($G$2:$G$800),--($G$2:$G$800&lt;G545))+(SUMPRODUCT(--ISNUMBER($G$2:$G$800),--($G$2:$G$800=G545))+1)/2)/COUNT($G$2:$G$800)</f>
        <v>0.58072590738423</v>
      </c>
      <c r="J545" s="0" t="n">
        <v>22.7760826375697</v>
      </c>
      <c r="K545" s="0" t="n">
        <v>13.2263242375602</v>
      </c>
      <c r="L545" s="0" t="n">
        <v>0.321027287319422</v>
      </c>
      <c r="M545" s="0" t="n">
        <f aca="false">IF(OR(B545="NW",COUNT(Risk_Rank_Keys!B545)=0),0.5,(SUMPRODUCT(--ISNUMBER(Risk_Rank_Keys!$B$2:$B$800),--(Risk_Rank_Keys!$B$2:$B$800&lt;Risk_Rank_Keys!B545))+(SUMPRODUCT(--ISNUMBER(Risk_Rank_Keys!$B$2:$B$800),--(Risk_Rank_Keys!$B$2:$B$800=Risk_Rank_Keys!B545))+1)/2)/COUNT(Risk_Rank_Keys!$B$2:$B$800))</f>
        <v>0.834030683403068</v>
      </c>
      <c r="N545" s="0" t="n">
        <f aca="false">IF(OR(B545="NW",COUNT(Risk_Rank_Keys!C545)=0),0.5,(SUMPRODUCT(--ISNUMBER(Risk_Rank_Keys!$C$2:$C$800),--(Risk_Rank_Keys!$C$2:$C$800&lt;Risk_Rank_Keys!C545))+(SUMPRODUCT(--ISNUMBER(Risk_Rank_Keys!$C$2:$C$800),--(Risk_Rank_Keys!$C$2:$C$800=Risk_Rank_Keys!C545))+1)/2)/COUNT(Risk_Rank_Keys!$C$2:$C$800))</f>
        <v>0.913528591352859</v>
      </c>
      <c r="O545" s="0" t="n">
        <f aca="false">IF(OR(B545="NW",COUNT(Risk_Rank_Keys!D545)=0),0.5,(SUMPRODUCT(--ISNUMBER(Risk_Rank_Keys!$D$2:$D$800),--(Risk_Rank_Keys!$D$2:$D$800&lt;Risk_Rank_Keys!D545))+(SUMPRODUCT(--ISNUMBER(Risk_Rank_Keys!$D$2:$D$800),--(Risk_Rank_Keys!$D$2:$D$800=Risk_Rank_Keys!D545))+1)/2)/COUNT(Risk_Rank_Keys!$D$2:$D$800))</f>
        <v>0.775453277545328</v>
      </c>
      <c r="P545" s="0" t="n">
        <f aca="false">AVERAGE(M545:O545)</f>
        <v>0.841004184100418</v>
      </c>
      <c r="Q545" s="0" t="n">
        <f aca="false">0.4*H545+0.4*I545+0.2*P545</f>
        <v>0.546173302402061</v>
      </c>
      <c r="R545" s="0" t="n">
        <f aca="false">PERCENTILE($Q$2:$Q$800,0.75)</f>
        <v>0.667715717403612</v>
      </c>
      <c r="S545" s="1" t="b">
        <f aca="false">OR(Q545&gt;=R545,AND(B545="CW",COUNT(J545:L545)&lt;3))</f>
        <v>0</v>
      </c>
      <c r="T545" s="0" t="n">
        <v>0.264494984852814</v>
      </c>
      <c r="U545" s="0" t="n">
        <v>8.31052445149371</v>
      </c>
      <c r="V545" s="0" t="n">
        <v>0.546173302402061</v>
      </c>
      <c r="W545" s="0" t="n">
        <f aca="false">Q545-V545</f>
        <v>0</v>
      </c>
    </row>
    <row r="546" customFormat="false" ht="15" hidden="false" customHeight="false" outlineLevel="0" collapsed="false">
      <c r="A546" s="0" t="s">
        <v>580</v>
      </c>
      <c r="B546" s="0" t="s">
        <v>3013</v>
      </c>
      <c r="C546" s="0" t="n">
        <v>-39.4292167460195</v>
      </c>
      <c r="D546" s="0" t="n">
        <f aca="false">SUMPRODUCT(Risk_Inputs!B546:AJ546,Risk_Coefs!$B$2:$AJ$2)</f>
        <v>-1.13375037049437</v>
      </c>
      <c r="E546" s="0" t="n">
        <f aca="false">1/(1+EXP(-MAX(-25,MIN(25,D546))))</f>
        <v>0.243469647568841</v>
      </c>
      <c r="F546" s="0" t="n">
        <f aca="false">SUMPRODUCT(Risk_Inputs!B546:AJ546,Risk_Coefs!$B$3:$AJ$3)</f>
        <v>6.13411238450128</v>
      </c>
      <c r="G546" s="0" t="n">
        <f aca="false">MAX(0,F546)</f>
        <v>6.13411238450128</v>
      </c>
      <c r="H546" s="0" t="n">
        <f aca="false">(SUMPRODUCT(--ISNUMBER($E$2:$E$800),--($E$2:$E$800&lt;E546))+(SUMPRODUCT(--ISNUMBER($E$2:$E$800),--($E$2:$E$800=E546))+1)/2)/COUNT($E$2:$E$800)</f>
        <v>0.236545682102628</v>
      </c>
      <c r="I546" s="0" t="n">
        <f aca="false">(SUMPRODUCT(--ISNUMBER($G$2:$G$800),--($G$2:$G$800&lt;G546))+(SUMPRODUCT(--ISNUMBER($G$2:$G$800),--($G$2:$G$800=G546))+1)/2)/COUNT($G$2:$G$800)</f>
        <v>0.282853566958698</v>
      </c>
      <c r="J546" s="0" t="n">
        <v>3.88402704100511</v>
      </c>
      <c r="K546" s="0" t="n">
        <v>2.09337099185914</v>
      </c>
      <c r="L546" s="0" t="n">
        <v>0.182754610400393</v>
      </c>
      <c r="M546" s="0" t="n">
        <f aca="false">IF(OR(B546="NW",COUNT(Risk_Rank_Keys!B546)=0),0.5,(SUMPRODUCT(--ISNUMBER(Risk_Rank_Keys!$B$2:$B$800),--(Risk_Rank_Keys!$B$2:$B$800&lt;Risk_Rank_Keys!B546))+(SUMPRODUCT(--ISNUMBER(Risk_Rank_Keys!$B$2:$B$800),--(Risk_Rank_Keys!$B$2:$B$800=Risk_Rank_Keys!B546))+1)/2)/COUNT(Risk_Rank_Keys!$B$2:$B$800))</f>
        <v>0.0683403068340307</v>
      </c>
      <c r="N546" s="0" t="n">
        <f aca="false">IF(OR(B546="NW",COUNT(Risk_Rank_Keys!C546)=0),0.5,(SUMPRODUCT(--ISNUMBER(Risk_Rank_Keys!$C$2:$C$800),--(Risk_Rank_Keys!$C$2:$C$800&lt;Risk_Rank_Keys!C546))+(SUMPRODUCT(--ISNUMBER(Risk_Rank_Keys!$C$2:$C$800),--(Risk_Rank_Keys!$C$2:$C$800=Risk_Rank_Keys!C546))+1)/2)/COUNT(Risk_Rank_Keys!$C$2:$C$800))</f>
        <v>0.295676429567643</v>
      </c>
      <c r="O546" s="0" t="n">
        <f aca="false">IF(OR(B546="NW",COUNT(Risk_Rank_Keys!D546)=0),0.5,(SUMPRODUCT(--ISNUMBER(Risk_Rank_Keys!$D$2:$D$800),--(Risk_Rank_Keys!$D$2:$D$800&lt;Risk_Rank_Keys!D546))+(SUMPRODUCT(--ISNUMBER(Risk_Rank_Keys!$D$2:$D$800),--(Risk_Rank_Keys!$D$2:$D$800=Risk_Rank_Keys!D546))+1)/2)/COUNT(Risk_Rank_Keys!$D$2:$D$800))</f>
        <v>0.223152022315202</v>
      </c>
      <c r="P546" s="0" t="n">
        <f aca="false">AVERAGE(M546:O546)</f>
        <v>0.195722919572292</v>
      </c>
      <c r="Q546" s="0" t="n">
        <f aca="false">0.4*H546+0.4*I546+0.2*P546</f>
        <v>0.246904283538989</v>
      </c>
      <c r="R546" s="0" t="n">
        <f aca="false">PERCENTILE($Q$2:$Q$800,0.75)</f>
        <v>0.667715717403612</v>
      </c>
      <c r="S546" s="1" t="b">
        <f aca="false">OR(Q546&gt;=R546,AND(B546="CW",COUNT(J546:L546)&lt;3))</f>
        <v>0</v>
      </c>
      <c r="T546" s="0" t="n">
        <v>0.243469647568841</v>
      </c>
      <c r="U546" s="0" t="n">
        <v>6.13411238450128</v>
      </c>
      <c r="V546" s="0" t="n">
        <v>0.246904283538989</v>
      </c>
      <c r="W546" s="0" t="n">
        <f aca="false">Q546-V546</f>
        <v>0</v>
      </c>
    </row>
    <row r="547" customFormat="false" ht="15" hidden="false" customHeight="false" outlineLevel="0" collapsed="false">
      <c r="A547" s="0" t="s">
        <v>581</v>
      </c>
      <c r="B547" s="0" t="s">
        <v>3013</v>
      </c>
      <c r="C547" s="0" t="n">
        <v>-12.4618413484557</v>
      </c>
      <c r="D547" s="0" t="n">
        <f aca="false">SUMPRODUCT(Risk_Inputs!B547:AJ547,Risk_Coefs!$B$2:$AJ$2)</f>
        <v>-0.832300316822795</v>
      </c>
      <c r="E547" s="0" t="n">
        <f aca="false">1/(1+EXP(-MAX(-25,MIN(25,D547))))</f>
        <v>0.303158900087103</v>
      </c>
      <c r="F547" s="0" t="n">
        <f aca="false">SUMPRODUCT(Risk_Inputs!B547:AJ547,Risk_Coefs!$B$3:$AJ$3)</f>
        <v>7.93216810943218</v>
      </c>
      <c r="G547" s="0" t="n">
        <f aca="false">MAX(0,F547)</f>
        <v>7.93216810943218</v>
      </c>
      <c r="H547" s="0" t="n">
        <f aca="false">(SUMPRODUCT(--ISNUMBER($E$2:$E$800),--($E$2:$E$800&lt;E547))+(SUMPRODUCT(--ISNUMBER($E$2:$E$800),--($E$2:$E$800=E547))+1)/2)/COUNT($E$2:$E$800)</f>
        <v>0.584480600750939</v>
      </c>
      <c r="I547" s="0" t="n">
        <f aca="false">(SUMPRODUCT(--ISNUMBER($G$2:$G$800),--($G$2:$G$800&lt;G547))+(SUMPRODUCT(--ISNUMBER($G$2:$G$800),--($G$2:$G$800=G547))+1)/2)/COUNT($G$2:$G$800)</f>
        <v>0.529411764705882</v>
      </c>
      <c r="J547" s="0" t="n">
        <v>2.60887539409216</v>
      </c>
      <c r="K547" s="0" t="n">
        <v>2.24190423470801</v>
      </c>
      <c r="L547" s="0" t="n">
        <v>0.110711320232503</v>
      </c>
      <c r="M547" s="0" t="n">
        <f aca="false">IF(OR(B547="NW",COUNT(Risk_Rank_Keys!B547)=0),0.5,(SUMPRODUCT(--ISNUMBER(Risk_Rank_Keys!$B$2:$B$800),--(Risk_Rank_Keys!$B$2:$B$800&lt;Risk_Rank_Keys!B547))+(SUMPRODUCT(--ISNUMBER(Risk_Rank_Keys!$B$2:$B$800),--(Risk_Rank_Keys!$B$2:$B$800=Risk_Rank_Keys!B547))+1)/2)/COUNT(Risk_Rank_Keys!$B$2:$B$800))</f>
        <v>0.0167364016736402</v>
      </c>
      <c r="N547" s="0" t="n">
        <f aca="false">IF(OR(B547="NW",COUNT(Risk_Rank_Keys!C547)=0),0.5,(SUMPRODUCT(--ISNUMBER(Risk_Rank_Keys!$C$2:$C$800),--(Risk_Rank_Keys!$C$2:$C$800&lt;Risk_Rank_Keys!C547))+(SUMPRODUCT(--ISNUMBER(Risk_Rank_Keys!$C$2:$C$800),--(Risk_Rank_Keys!$C$2:$C$800=Risk_Rank_Keys!C547))+1)/2)/COUNT(Risk_Rank_Keys!$C$2:$C$800))</f>
        <v>0.322175732217573</v>
      </c>
      <c r="O547" s="0" t="n">
        <f aca="false">IF(OR(B547="NW",COUNT(Risk_Rank_Keys!D547)=0),0.5,(SUMPRODUCT(--ISNUMBER(Risk_Rank_Keys!$D$2:$D$800),--(Risk_Rank_Keys!$D$2:$D$800&lt;Risk_Rank_Keys!D547))+(SUMPRODUCT(--ISNUMBER(Risk_Rank_Keys!$D$2:$D$800),--(Risk_Rank_Keys!$D$2:$D$800=Risk_Rank_Keys!D547))+1)/2)/COUNT(Risk_Rank_Keys!$D$2:$D$800))</f>
        <v>0.0334728033472803</v>
      </c>
      <c r="P547" s="0" t="n">
        <f aca="false">AVERAGE(M547:O547)</f>
        <v>0.124128312412831</v>
      </c>
      <c r="Q547" s="0" t="n">
        <f aca="false">0.4*H547+0.4*I547+0.2*P547</f>
        <v>0.470382608665295</v>
      </c>
      <c r="R547" s="0" t="n">
        <f aca="false">PERCENTILE($Q$2:$Q$800,0.75)</f>
        <v>0.667715717403612</v>
      </c>
      <c r="S547" s="1" t="b">
        <f aca="false">OR(Q547&gt;=R547,AND(B547="CW",COUNT(J547:L547)&lt;3))</f>
        <v>0</v>
      </c>
      <c r="T547" s="0" t="n">
        <v>0.303158900087103</v>
      </c>
      <c r="U547" s="0" t="n">
        <v>7.93216810943218</v>
      </c>
      <c r="V547" s="0" t="n">
        <v>0.470382608665295</v>
      </c>
      <c r="W547" s="0" t="n">
        <f aca="false">Q547-V547</f>
        <v>0</v>
      </c>
    </row>
    <row r="548" customFormat="false" ht="15" hidden="false" customHeight="false" outlineLevel="0" collapsed="false">
      <c r="A548" s="0" t="s">
        <v>582</v>
      </c>
      <c r="B548" s="0" t="s">
        <v>3013</v>
      </c>
      <c r="C548" s="0" t="n">
        <v>54.4793984542393</v>
      </c>
      <c r="D548" s="0" t="n">
        <f aca="false">SUMPRODUCT(Risk_Inputs!B548:AJ548,Risk_Coefs!$B$2:$AJ$2)</f>
        <v>-0.884580549971971</v>
      </c>
      <c r="E548" s="0" t="n">
        <f aca="false">1/(1+EXP(-MAX(-25,MIN(25,D548))))</f>
        <v>0.292229476454757</v>
      </c>
      <c r="F548" s="0" t="n">
        <f aca="false">SUMPRODUCT(Risk_Inputs!B548:AJ548,Risk_Coefs!$B$3:$AJ$3)</f>
        <v>10.8430796824605</v>
      </c>
      <c r="G548" s="0" t="n">
        <f aca="false">MAX(0,F548)</f>
        <v>10.8430796824605</v>
      </c>
      <c r="H548" s="0" t="n">
        <f aca="false">(SUMPRODUCT(--ISNUMBER($E$2:$E$800),--($E$2:$E$800&lt;E548))+(SUMPRODUCT(--ISNUMBER($E$2:$E$800),--($E$2:$E$800=E548))+1)/2)/COUNT($E$2:$E$800)</f>
        <v>0.536921151439299</v>
      </c>
      <c r="I548" s="0" t="n">
        <f aca="false">(SUMPRODUCT(--ISNUMBER($G$2:$G$800),--($G$2:$G$800&lt;G548))+(SUMPRODUCT(--ISNUMBER($G$2:$G$800),--($G$2:$G$800=G548))+1)/2)/COUNT($G$2:$G$800)</f>
        <v>0.864831038798498</v>
      </c>
      <c r="J548" s="0" t="n">
        <v>8.52654511181443</v>
      </c>
      <c r="K548" s="0" t="n">
        <v>4.84581497797354</v>
      </c>
      <c r="L548" s="0" t="n">
        <v>0.220264317180615</v>
      </c>
      <c r="M548" s="0" t="n">
        <f aca="false">IF(OR(B548="NW",COUNT(Risk_Rank_Keys!B548)=0),0.5,(SUMPRODUCT(--ISNUMBER(Risk_Rank_Keys!$B$2:$B$800),--(Risk_Rank_Keys!$B$2:$B$800&lt;Risk_Rank_Keys!B548))+(SUMPRODUCT(--ISNUMBER(Risk_Rank_Keys!$B$2:$B$800),--(Risk_Rank_Keys!$B$2:$B$800=Risk_Rank_Keys!B548))+1)/2)/COUNT(Risk_Rank_Keys!$B$2:$B$800))</f>
        <v>0.421199442119944</v>
      </c>
      <c r="N548" s="0" t="n">
        <f aca="false">IF(OR(B548="NW",COUNT(Risk_Rank_Keys!C548)=0),0.5,(SUMPRODUCT(--ISNUMBER(Risk_Rank_Keys!$C$2:$C$800),--(Risk_Rank_Keys!$C$2:$C$800&lt;Risk_Rank_Keys!C548))+(SUMPRODUCT(--ISNUMBER(Risk_Rank_Keys!$C$2:$C$800),--(Risk_Rank_Keys!$C$2:$C$800=Risk_Rank_Keys!C548))+1)/2)/COUNT(Risk_Rank_Keys!$C$2:$C$800))</f>
        <v>0.679218967921897</v>
      </c>
      <c r="O548" s="0" t="n">
        <f aca="false">IF(OR(B548="NW",COUNT(Risk_Rank_Keys!D548)=0),0.5,(SUMPRODUCT(--ISNUMBER(Risk_Rank_Keys!$D$2:$D$800),--(Risk_Rank_Keys!$D$2:$D$800&lt;Risk_Rank_Keys!D548))+(SUMPRODUCT(--ISNUMBER(Risk_Rank_Keys!$D$2:$D$800),--(Risk_Rank_Keys!$D$2:$D$800=Risk_Rank_Keys!D548))+1)/2)/COUNT(Risk_Rank_Keys!$D$2:$D$800))</f>
        <v>0.437935843793584</v>
      </c>
      <c r="P548" s="0" t="n">
        <f aca="false">AVERAGE(M548:O548)</f>
        <v>0.512784751278475</v>
      </c>
      <c r="Q548" s="0" t="n">
        <f aca="false">0.4*H548+0.4*I548+0.2*P548</f>
        <v>0.663257826350814</v>
      </c>
      <c r="R548" s="0" t="n">
        <f aca="false">PERCENTILE($Q$2:$Q$800,0.75)</f>
        <v>0.667715717403612</v>
      </c>
      <c r="S548" s="1" t="b">
        <f aca="false">OR(Q548&gt;=R548,AND(B548="CW",COUNT(J548:L548)&lt;3))</f>
        <v>0</v>
      </c>
      <c r="T548" s="0" t="n">
        <v>0.292229476454757</v>
      </c>
      <c r="U548" s="0" t="n">
        <v>10.8430796824605</v>
      </c>
      <c r="V548" s="0" t="n">
        <v>0.663257826350814</v>
      </c>
      <c r="W548" s="0" t="n">
        <f aca="false">Q548-V548</f>
        <v>0</v>
      </c>
    </row>
    <row r="549" customFormat="false" ht="15" hidden="false" customHeight="false" outlineLevel="0" collapsed="false">
      <c r="A549" s="0" t="s">
        <v>583</v>
      </c>
      <c r="B549" s="0" t="s">
        <v>3013</v>
      </c>
      <c r="C549" s="0" t="n">
        <v>-12.7584991896706</v>
      </c>
      <c r="D549" s="0" t="n">
        <f aca="false">SUMPRODUCT(Risk_Inputs!B549:AJ549,Risk_Coefs!$B$2:$AJ$2)</f>
        <v>-0.76759495477872</v>
      </c>
      <c r="E549" s="0" t="n">
        <f aca="false">1/(1+EXP(-MAX(-25,MIN(25,D549))))</f>
        <v>0.31699959532263</v>
      </c>
      <c r="F549" s="0" t="n">
        <f aca="false">SUMPRODUCT(Risk_Inputs!B549:AJ549,Risk_Coefs!$B$3:$AJ$3)</f>
        <v>1.90102224250338</v>
      </c>
      <c r="G549" s="0" t="n">
        <f aca="false">MAX(0,F549)</f>
        <v>1.90102224250338</v>
      </c>
      <c r="H549" s="0" t="n">
        <f aca="false">(SUMPRODUCT(--ISNUMBER($E$2:$E$800),--($E$2:$E$800&lt;E549))+(SUMPRODUCT(--ISNUMBER($E$2:$E$800),--($E$2:$E$800=E549))+1)/2)/COUNT($E$2:$E$800)</f>
        <v>0.65206508135169</v>
      </c>
      <c r="I549" s="0" t="n">
        <f aca="false">(SUMPRODUCT(--ISNUMBER($G$2:$G$800),--($G$2:$G$800&lt;G549))+(SUMPRODUCT(--ISNUMBER($G$2:$G$800),--($G$2:$G$800=G549))+1)/2)/COUNT($G$2:$G$800)</f>
        <v>0.00876095118898623</v>
      </c>
      <c r="J549" s="0" t="n">
        <v>9.76998373040754</v>
      </c>
      <c r="K549" s="0" t="n">
        <v>5.33863410478488</v>
      </c>
      <c r="L549" s="0" t="n">
        <v>0.170381939514418</v>
      </c>
      <c r="M549" s="0" t="n">
        <f aca="false">IF(OR(B549="NW",COUNT(Risk_Rank_Keys!B549)=0),0.5,(SUMPRODUCT(--ISNUMBER(Risk_Rank_Keys!$B$2:$B$800),--(Risk_Rank_Keys!$B$2:$B$800&lt;Risk_Rank_Keys!B549))+(SUMPRODUCT(--ISNUMBER(Risk_Rank_Keys!$B$2:$B$800),--(Risk_Rank_Keys!$B$2:$B$800=Risk_Rank_Keys!B549))+1)/2)/COUNT(Risk_Rank_Keys!$B$2:$B$800))</f>
        <v>0.492329149232915</v>
      </c>
      <c r="N549" s="0" t="n">
        <f aca="false">IF(OR(B549="NW",COUNT(Risk_Rank_Keys!C549)=0),0.5,(SUMPRODUCT(--ISNUMBER(Risk_Rank_Keys!$C$2:$C$800),--(Risk_Rank_Keys!$C$2:$C$800&lt;Risk_Rank_Keys!C549))+(SUMPRODUCT(--ISNUMBER(Risk_Rank_Keys!$C$2:$C$800),--(Risk_Rank_Keys!$C$2:$C$800=Risk_Rank_Keys!C549))+1)/2)/COUNT(Risk_Rank_Keys!$C$2:$C$800))</f>
        <v>0.711297071129707</v>
      </c>
      <c r="O549" s="0" t="n">
        <f aca="false">IF(OR(B549="NW",COUNT(Risk_Rank_Keys!D549)=0),0.5,(SUMPRODUCT(--ISNUMBER(Risk_Rank_Keys!$D$2:$D$800),--(Risk_Rank_Keys!$D$2:$D$800&lt;Risk_Rank_Keys!D549))+(SUMPRODUCT(--ISNUMBER(Risk_Rank_Keys!$D$2:$D$800),--(Risk_Rank_Keys!$D$2:$D$800=Risk_Rank_Keys!D549))+1)/2)/COUNT(Risk_Rank_Keys!$D$2:$D$800))</f>
        <v>0.167364016736402</v>
      </c>
      <c r="P549" s="0" t="n">
        <f aca="false">AVERAGE(M549:O549)</f>
        <v>0.456996745699675</v>
      </c>
      <c r="Q549" s="0" t="n">
        <f aca="false">0.4*H549+0.4*I549+0.2*P549</f>
        <v>0.355729762156205</v>
      </c>
      <c r="R549" s="0" t="n">
        <f aca="false">PERCENTILE($Q$2:$Q$800,0.75)</f>
        <v>0.667715717403612</v>
      </c>
      <c r="S549" s="1" t="b">
        <f aca="false">OR(Q549&gt;=R549,AND(B549="CW",COUNT(J549:L549)&lt;3))</f>
        <v>0</v>
      </c>
      <c r="T549" s="0" t="n">
        <v>0.31699959532263</v>
      </c>
      <c r="U549" s="0" t="n">
        <v>1.90102224250338</v>
      </c>
      <c r="V549" s="0" t="n">
        <v>0.355729762156205</v>
      </c>
      <c r="W549" s="0" t="n">
        <f aca="false">Q549-V549</f>
        <v>0</v>
      </c>
    </row>
    <row r="550" customFormat="false" ht="15" hidden="false" customHeight="false" outlineLevel="0" collapsed="false">
      <c r="A550" s="0" t="s">
        <v>584</v>
      </c>
      <c r="B550" s="0" t="s">
        <v>3013</v>
      </c>
      <c r="C550" s="0" t="n">
        <v>-45.4007093586676</v>
      </c>
      <c r="D550" s="0" t="n">
        <f aca="false">SUMPRODUCT(Risk_Inputs!B550:AJ550,Risk_Coefs!$B$2:$AJ$2)</f>
        <v>-0.866100949005425</v>
      </c>
      <c r="E550" s="0" t="n">
        <f aca="false">1/(1+EXP(-MAX(-25,MIN(25,D550))))</f>
        <v>0.296066260579487</v>
      </c>
      <c r="F550" s="0" t="n">
        <f aca="false">SUMPRODUCT(Risk_Inputs!B550:AJ550,Risk_Coefs!$B$3:$AJ$3)</f>
        <v>7.05349910464606</v>
      </c>
      <c r="G550" s="0" t="n">
        <f aca="false">MAX(0,F550)</f>
        <v>7.05349910464606</v>
      </c>
      <c r="H550" s="0" t="n">
        <f aca="false">(SUMPRODUCT(--ISNUMBER($E$2:$E$800),--($E$2:$E$800&lt;E550))+(SUMPRODUCT(--ISNUMBER($E$2:$E$800),--($E$2:$E$800=E550))+1)/2)/COUNT($E$2:$E$800)</f>
        <v>0.551939924906133</v>
      </c>
      <c r="I550" s="0" t="n">
        <f aca="false">(SUMPRODUCT(--ISNUMBER($G$2:$G$800),--($G$2:$G$800&lt;G550))+(SUMPRODUCT(--ISNUMBER($G$2:$G$800),--($G$2:$G$800=G550))+1)/2)/COUNT($G$2:$G$800)</f>
        <v>0.421777221526909</v>
      </c>
      <c r="J550" s="0" t="n">
        <v>6.4146592495877</v>
      </c>
      <c r="K550" s="0" t="n">
        <v>6.96260261477654</v>
      </c>
      <c r="L550" s="0" t="n">
        <v>0.121617512921854</v>
      </c>
      <c r="M550" s="0" t="n">
        <f aca="false">IF(OR(B550="NW",COUNT(Risk_Rank_Keys!B550)=0),0.5,(SUMPRODUCT(--ISNUMBER(Risk_Rank_Keys!$B$2:$B$800),--(Risk_Rank_Keys!$B$2:$B$800&lt;Risk_Rank_Keys!B550))+(SUMPRODUCT(--ISNUMBER(Risk_Rank_Keys!$B$2:$B$800),--(Risk_Rank_Keys!$B$2:$B$800=Risk_Rank_Keys!B550))+1)/2)/COUNT(Risk_Rank_Keys!$B$2:$B$800))</f>
        <v>0.266387726638773</v>
      </c>
      <c r="N550" s="0" t="n">
        <f aca="false">IF(OR(B550="NW",COUNT(Risk_Rank_Keys!C550)=0),0.5,(SUMPRODUCT(--ISNUMBER(Risk_Rank_Keys!$C$2:$C$800),--(Risk_Rank_Keys!$C$2:$C$800&lt;Risk_Rank_Keys!C550))+(SUMPRODUCT(--ISNUMBER(Risk_Rank_Keys!$C$2:$C$800),--(Risk_Rank_Keys!$C$2:$C$800=Risk_Rank_Keys!C550))+1)/2)/COUNT(Risk_Rank_Keys!$C$2:$C$800))</f>
        <v>0.785216178521618</v>
      </c>
      <c r="O550" s="0" t="n">
        <f aca="false">IF(OR(B550="NW",COUNT(Risk_Rank_Keys!D550)=0),0.5,(SUMPRODUCT(--ISNUMBER(Risk_Rank_Keys!$D$2:$D$800),--(Risk_Rank_Keys!$D$2:$D$800&lt;Risk_Rank_Keys!D550))+(SUMPRODUCT(--ISNUMBER(Risk_Rank_Keys!$D$2:$D$800),--(Risk_Rank_Keys!$D$2:$D$800=Risk_Rank_Keys!D550))+1)/2)/COUNT(Risk_Rank_Keys!$D$2:$D$800))</f>
        <v>0.0432357043235704</v>
      </c>
      <c r="P550" s="0" t="n">
        <f aca="false">AVERAGE(M550:O550)</f>
        <v>0.364946536494654</v>
      </c>
      <c r="Q550" s="0" t="n">
        <f aca="false">0.4*H550+0.4*I550+0.2*P550</f>
        <v>0.462476165872147</v>
      </c>
      <c r="R550" s="0" t="n">
        <f aca="false">PERCENTILE($Q$2:$Q$800,0.75)</f>
        <v>0.667715717403612</v>
      </c>
      <c r="S550" s="1" t="b">
        <f aca="false">OR(Q550&gt;=R550,AND(B550="CW",COUNT(J550:L550)&lt;3))</f>
        <v>0</v>
      </c>
      <c r="T550" s="0" t="n">
        <v>0.296066260579487</v>
      </c>
      <c r="U550" s="0" t="n">
        <v>7.05349910464606</v>
      </c>
      <c r="V550" s="0" t="n">
        <v>0.462476165872147</v>
      </c>
      <c r="W550" s="0" t="n">
        <f aca="false">Q550-V550</f>
        <v>0</v>
      </c>
    </row>
    <row r="551" customFormat="false" ht="15" hidden="false" customHeight="false" outlineLevel="0" collapsed="false">
      <c r="A551" s="0" t="s">
        <v>585</v>
      </c>
      <c r="B551" s="0" t="s">
        <v>3013</v>
      </c>
      <c r="C551" s="0" t="n">
        <v>18.2447455534813</v>
      </c>
      <c r="D551" s="0" t="n">
        <f aca="false">SUMPRODUCT(Risk_Inputs!B551:AJ551,Risk_Coefs!$B$2:$AJ$2)</f>
        <v>-1.01109421158823</v>
      </c>
      <c r="E551" s="0" t="n">
        <f aca="false">1/(1+EXP(-MAX(-25,MIN(25,D551))))</f>
        <v>0.266765766398759</v>
      </c>
      <c r="F551" s="0" t="n">
        <f aca="false">SUMPRODUCT(Risk_Inputs!B551:AJ551,Risk_Coefs!$B$3:$AJ$3)</f>
        <v>4.79521312267212</v>
      </c>
      <c r="G551" s="0" t="n">
        <f aca="false">MAX(0,F551)</f>
        <v>4.79521312267212</v>
      </c>
      <c r="H551" s="0" t="n">
        <f aca="false">(SUMPRODUCT(--ISNUMBER($E$2:$E$800),--($E$2:$E$800&lt;E551))+(SUMPRODUCT(--ISNUMBER($E$2:$E$800),--($E$2:$E$800=E551))+1)/2)/COUNT($E$2:$E$800)</f>
        <v>0.376720901126408</v>
      </c>
      <c r="I551" s="0" t="n">
        <f aca="false">(SUMPRODUCT(--ISNUMBER($G$2:$G$800),--($G$2:$G$800&lt;G551))+(SUMPRODUCT(--ISNUMBER($G$2:$G$800),--($G$2:$G$800=G551))+1)/2)/COUNT($G$2:$G$800)</f>
        <v>0.112640801001252</v>
      </c>
      <c r="J551" s="0" t="n">
        <v>10.2458383996732</v>
      </c>
      <c r="K551" s="0" t="n">
        <v>2.10705182667799</v>
      </c>
      <c r="L551" s="0" t="n">
        <v>0.0849617672047578</v>
      </c>
      <c r="M551" s="0" t="n">
        <f aca="false">IF(OR(B551="NW",COUNT(Risk_Rank_Keys!B551)=0),0.5,(SUMPRODUCT(--ISNUMBER(Risk_Rank_Keys!$B$2:$B$800),--(Risk_Rank_Keys!$B$2:$B$800&lt;Risk_Rank_Keys!B551))+(SUMPRODUCT(--ISNUMBER(Risk_Rank_Keys!$B$2:$B$800),--(Risk_Rank_Keys!$B$2:$B$800=Risk_Rank_Keys!B551))+1)/2)/COUNT(Risk_Rank_Keys!$B$2:$B$800))</f>
        <v>0.518828451882845</v>
      </c>
      <c r="N551" s="0" t="n">
        <f aca="false">IF(OR(B551="NW",COUNT(Risk_Rank_Keys!C551)=0),0.5,(SUMPRODUCT(--ISNUMBER(Risk_Rank_Keys!$C$2:$C$800),--(Risk_Rank_Keys!$C$2:$C$800&lt;Risk_Rank_Keys!C551))+(SUMPRODUCT(--ISNUMBER(Risk_Rank_Keys!$C$2:$C$800),--(Risk_Rank_Keys!$C$2:$C$800=Risk_Rank_Keys!C551))+1)/2)/COUNT(Risk_Rank_Keys!$C$2:$C$800))</f>
        <v>0.298465829846583</v>
      </c>
      <c r="O551" s="0" t="n">
        <f aca="false">IF(OR(B551="NW",COUNT(Risk_Rank_Keys!D551)=0),0.5,(SUMPRODUCT(--ISNUMBER(Risk_Rank_Keys!$D$2:$D$800),--(Risk_Rank_Keys!$D$2:$D$800&lt;Risk_Rank_Keys!D551))+(SUMPRODUCT(--ISNUMBER(Risk_Rank_Keys!$D$2:$D$800),--(Risk_Rank_Keys!$D$2:$D$800=Risk_Rank_Keys!D551))+1)/2)/COUNT(Risk_Rank_Keys!$D$2:$D$800))</f>
        <v>0.0097629009762901</v>
      </c>
      <c r="P551" s="0" t="n">
        <f aca="false">AVERAGE(M551:O551)</f>
        <v>0.275685727568573</v>
      </c>
      <c r="Q551" s="0" t="n">
        <f aca="false">0.4*H551+0.4*I551+0.2*P551</f>
        <v>0.250881826364778</v>
      </c>
      <c r="R551" s="0" t="n">
        <f aca="false">PERCENTILE($Q$2:$Q$800,0.75)</f>
        <v>0.667715717403612</v>
      </c>
      <c r="S551" s="1" t="b">
        <f aca="false">OR(Q551&gt;=R551,AND(B551="CW",COUNT(J551:L551)&lt;3))</f>
        <v>0</v>
      </c>
      <c r="T551" s="0" t="n">
        <v>0.266765766398759</v>
      </c>
      <c r="U551" s="0" t="n">
        <v>4.79521312267212</v>
      </c>
      <c r="V551" s="0" t="n">
        <v>0.250881826364778</v>
      </c>
      <c r="W551" s="0" t="n">
        <f aca="false">Q551-V551</f>
        <v>0</v>
      </c>
    </row>
    <row r="552" customFormat="false" ht="15" hidden="false" customHeight="false" outlineLevel="0" collapsed="false">
      <c r="A552" s="0" t="s">
        <v>586</v>
      </c>
      <c r="B552" s="0" t="s">
        <v>3013</v>
      </c>
      <c r="C552" s="0" t="n">
        <v>26.5635959178122</v>
      </c>
      <c r="D552" s="0" t="n">
        <f aca="false">SUMPRODUCT(Risk_Inputs!B552:AJ552,Risk_Coefs!$B$2:$AJ$2)</f>
        <v>-1.06464255773777</v>
      </c>
      <c r="E552" s="0" t="n">
        <f aca="false">1/(1+EXP(-MAX(-25,MIN(25,D552))))</f>
        <v>0.256423255958065</v>
      </c>
      <c r="F552" s="0" t="n">
        <f aca="false">SUMPRODUCT(Risk_Inputs!B552:AJ552,Risk_Coefs!$B$3:$AJ$3)</f>
        <v>5.58543266160364</v>
      </c>
      <c r="G552" s="0" t="n">
        <f aca="false">MAX(0,F552)</f>
        <v>5.58543266160364</v>
      </c>
      <c r="H552" s="0" t="n">
        <f aca="false">(SUMPRODUCT(--ISNUMBER($E$2:$E$800),--($E$2:$E$800&lt;E552))+(SUMPRODUCT(--ISNUMBER($E$2:$E$800),--($E$2:$E$800=E552))+1)/2)/COUNT($E$2:$E$800)</f>
        <v>0.30287859824781</v>
      </c>
      <c r="I552" s="0" t="n">
        <f aca="false">(SUMPRODUCT(--ISNUMBER($G$2:$G$800),--($G$2:$G$800&lt;G552))+(SUMPRODUCT(--ISNUMBER($G$2:$G$800),--($G$2:$G$800=G552))+1)/2)/COUNT($G$2:$G$800)</f>
        <v>0.215269086357947</v>
      </c>
      <c r="J552" s="0" t="n">
        <v>11.9640584882111</v>
      </c>
      <c r="K552" s="0" t="n">
        <v>2.35902044484386</v>
      </c>
      <c r="L552" s="0" t="n">
        <v>0.134801168276797</v>
      </c>
      <c r="M552" s="0" t="n">
        <f aca="false">IF(OR(B552="NW",COUNT(Risk_Rank_Keys!B552)=0),0.5,(SUMPRODUCT(--ISNUMBER(Risk_Rank_Keys!$B$2:$B$800),--(Risk_Rank_Keys!$B$2:$B$800&lt;Risk_Rank_Keys!B552))+(SUMPRODUCT(--ISNUMBER(Risk_Rank_Keys!$B$2:$B$800),--(Risk_Rank_Keys!$B$2:$B$800=Risk_Rank_Keys!B552))+1)/2)/COUNT(Risk_Rank_Keys!$B$2:$B$800))</f>
        <v>0.599721059972106</v>
      </c>
      <c r="N552" s="0" t="n">
        <f aca="false">IF(OR(B552="NW",COUNT(Risk_Rank_Keys!C552)=0),0.5,(SUMPRODUCT(--ISNUMBER(Risk_Rank_Keys!$C$2:$C$800),--(Risk_Rank_Keys!$C$2:$C$800&lt;Risk_Rank_Keys!C552))+(SUMPRODUCT(--ISNUMBER(Risk_Rank_Keys!$C$2:$C$800),--(Risk_Rank_Keys!$C$2:$C$800=Risk_Rank_Keys!C552))+1)/2)/COUNT(Risk_Rank_Keys!$C$2:$C$800))</f>
        <v>0.352859135285914</v>
      </c>
      <c r="O552" s="0" t="n">
        <f aca="false">IF(OR(B552="NW",COUNT(Risk_Rank_Keys!D552)=0),0.5,(SUMPRODUCT(--ISNUMBER(Risk_Rank_Keys!$D$2:$D$800),--(Risk_Rank_Keys!$D$2:$D$800&lt;Risk_Rank_Keys!D552))+(SUMPRODUCT(--ISNUMBER(Risk_Rank_Keys!$D$2:$D$800),--(Risk_Rank_Keys!$D$2:$D$800=Risk_Rank_Keys!D552))+1)/2)/COUNT(Risk_Rank_Keys!$D$2:$D$800))</f>
        <v>0.0767085076708508</v>
      </c>
      <c r="P552" s="0" t="n">
        <f aca="false">AVERAGE(M552:O552)</f>
        <v>0.343096234309623</v>
      </c>
      <c r="Q552" s="0" t="n">
        <f aca="false">0.4*H552+0.4*I552+0.2*P552</f>
        <v>0.275878320704228</v>
      </c>
      <c r="R552" s="0" t="n">
        <f aca="false">PERCENTILE($Q$2:$Q$800,0.75)</f>
        <v>0.667715717403612</v>
      </c>
      <c r="S552" s="1" t="b">
        <f aca="false">OR(Q552&gt;=R552,AND(B552="CW",COUNT(J552:L552)&lt;3))</f>
        <v>0</v>
      </c>
      <c r="T552" s="0" t="n">
        <v>0.256423255958065</v>
      </c>
      <c r="U552" s="0" t="n">
        <v>5.58543266160364</v>
      </c>
      <c r="V552" s="0" t="n">
        <v>0.275878320704228</v>
      </c>
      <c r="W552" s="0" t="n">
        <f aca="false">Q552-V552</f>
        <v>0</v>
      </c>
    </row>
    <row r="553" customFormat="false" ht="15" hidden="false" customHeight="false" outlineLevel="0" collapsed="false">
      <c r="A553" s="0" t="s">
        <v>587</v>
      </c>
      <c r="B553" s="0" t="s">
        <v>3013</v>
      </c>
      <c r="C553" s="0" t="n">
        <v>53.8528299133315</v>
      </c>
      <c r="D553" s="0" t="n">
        <f aca="false">SUMPRODUCT(Risk_Inputs!B553:AJ553,Risk_Coefs!$B$2:$AJ$2)</f>
        <v>-1.20945492612401</v>
      </c>
      <c r="E553" s="0" t="n">
        <f aca="false">1/(1+EXP(-MAX(-25,MIN(25,D553))))</f>
        <v>0.229797509704651</v>
      </c>
      <c r="F553" s="0" t="n">
        <f aca="false">SUMPRODUCT(Risk_Inputs!B553:AJ553,Risk_Coefs!$B$3:$AJ$3)</f>
        <v>5.88130282215418</v>
      </c>
      <c r="G553" s="0" t="n">
        <f aca="false">MAX(0,F553)</f>
        <v>5.88130282215418</v>
      </c>
      <c r="H553" s="0" t="n">
        <f aca="false">(SUMPRODUCT(--ISNUMBER($E$2:$E$800),--($E$2:$E$800&lt;E553))+(SUMPRODUCT(--ISNUMBER($E$2:$E$800),--($E$2:$E$800=E553))+1)/2)/COUNT($E$2:$E$800)</f>
        <v>0.173967459324155</v>
      </c>
      <c r="I553" s="0" t="n">
        <f aca="false">(SUMPRODUCT(--ISNUMBER($G$2:$G$800),--($G$2:$G$800&lt;G553))+(SUMPRODUCT(--ISNUMBER($G$2:$G$800),--($G$2:$G$800=G553))+1)/2)/COUNT($G$2:$G$800)</f>
        <v>0.247809762202753</v>
      </c>
      <c r="J553" s="0" t="n">
        <v>6.37663996621269</v>
      </c>
      <c r="K553" s="0" t="n">
        <v>4.61885092001505</v>
      </c>
      <c r="L553" s="0" t="n">
        <v>0.262861434472406</v>
      </c>
      <c r="M553" s="0" t="n">
        <f aca="false">IF(OR(B553="NW",COUNT(Risk_Rank_Keys!B553)=0),0.5,(SUMPRODUCT(--ISNUMBER(Risk_Rank_Keys!$B$2:$B$800),--(Risk_Rank_Keys!$B$2:$B$800&lt;Risk_Rank_Keys!B553))+(SUMPRODUCT(--ISNUMBER(Risk_Rank_Keys!$B$2:$B$800),--(Risk_Rank_Keys!$B$2:$B$800=Risk_Rank_Keys!B553))+1)/2)/COUNT(Risk_Rank_Keys!$B$2:$B$800))</f>
        <v>0.260808926080893</v>
      </c>
      <c r="N553" s="0" t="n">
        <f aca="false">IF(OR(B553="NW",COUNT(Risk_Rank_Keys!C553)=0),0.5,(SUMPRODUCT(--ISNUMBER(Risk_Rank_Keys!$C$2:$C$800),--(Risk_Rank_Keys!$C$2:$C$800&lt;Risk_Rank_Keys!C553))+(SUMPRODUCT(--ISNUMBER(Risk_Rank_Keys!$C$2:$C$800),--(Risk_Rank_Keys!$C$2:$C$800=Risk_Rank_Keys!C553))+1)/2)/COUNT(Risk_Rank_Keys!$C$2:$C$800))</f>
        <v>0.655509065550907</v>
      </c>
      <c r="O553" s="0" t="n">
        <f aca="false">IF(OR(B553="NW",COUNT(Risk_Rank_Keys!D553)=0),0.5,(SUMPRODUCT(--ISNUMBER(Risk_Rank_Keys!$D$2:$D$800),--(Risk_Rank_Keys!$D$2:$D$800&lt;Risk_Rank_Keys!D553))+(SUMPRODUCT(--ISNUMBER(Risk_Rank_Keys!$D$2:$D$800),--(Risk_Rank_Keys!$D$2:$D$800=Risk_Rank_Keys!D553))+1)/2)/COUNT(Risk_Rank_Keys!$D$2:$D$800))</f>
        <v>0.644351464435147</v>
      </c>
      <c r="P553" s="0" t="n">
        <f aca="false">AVERAGE(M553:O553)</f>
        <v>0.520223152022315</v>
      </c>
      <c r="Q553" s="0" t="n">
        <f aca="false">0.4*H553+0.4*I553+0.2*P553</f>
        <v>0.272755519015227</v>
      </c>
      <c r="R553" s="0" t="n">
        <f aca="false">PERCENTILE($Q$2:$Q$800,0.75)</f>
        <v>0.667715717403612</v>
      </c>
      <c r="S553" s="1" t="b">
        <f aca="false">OR(Q553&gt;=R553,AND(B553="CW",COUNT(J553:L553)&lt;3))</f>
        <v>0</v>
      </c>
      <c r="T553" s="0" t="n">
        <v>0.229797509704651</v>
      </c>
      <c r="U553" s="0" t="n">
        <v>5.88130282215418</v>
      </c>
      <c r="V553" s="0" t="n">
        <v>0.272755519015227</v>
      </c>
      <c r="W553" s="0" t="n">
        <f aca="false">Q553-V553</f>
        <v>0</v>
      </c>
    </row>
    <row r="554" customFormat="false" ht="15" hidden="false" customHeight="false" outlineLevel="0" collapsed="false">
      <c r="A554" s="0" t="s">
        <v>588</v>
      </c>
      <c r="B554" s="0" t="s">
        <v>3013</v>
      </c>
      <c r="C554" s="0" t="n">
        <v>24.9139433952085</v>
      </c>
      <c r="D554" s="0" t="n">
        <f aca="false">SUMPRODUCT(Risk_Inputs!B554:AJ554,Risk_Coefs!$B$2:$AJ$2)</f>
        <v>-1.19562521428698</v>
      </c>
      <c r="E554" s="0" t="n">
        <f aca="false">1/(1+EXP(-MAX(-25,MIN(25,D554))))</f>
        <v>0.232254380629676</v>
      </c>
      <c r="F554" s="0" t="n">
        <f aca="false">SUMPRODUCT(Risk_Inputs!B554:AJ554,Risk_Coefs!$B$3:$AJ$3)</f>
        <v>5.06250040955858</v>
      </c>
      <c r="G554" s="0" t="n">
        <f aca="false">MAX(0,F554)</f>
        <v>5.06250040955858</v>
      </c>
      <c r="H554" s="0" t="n">
        <f aca="false">(SUMPRODUCT(--ISNUMBER($E$2:$E$800),--($E$2:$E$800&lt;E554))+(SUMPRODUCT(--ISNUMBER($E$2:$E$800),--($E$2:$E$800=E554))+1)/2)/COUNT($E$2:$E$800)</f>
        <v>0.18648310387985</v>
      </c>
      <c r="I554" s="0" t="n">
        <f aca="false">(SUMPRODUCT(--ISNUMBER($G$2:$G$800),--($G$2:$G$800&lt;G554))+(SUMPRODUCT(--ISNUMBER($G$2:$G$800),--($G$2:$G$800=G554))+1)/2)/COUNT($G$2:$G$800)</f>
        <v>0.145181476846058</v>
      </c>
      <c r="J554" s="0" t="n">
        <v>4.31117844249643</v>
      </c>
      <c r="K554" s="0" t="n">
        <v>2.83968368080521</v>
      </c>
      <c r="L554" s="0" t="n">
        <v>0.161754133716746</v>
      </c>
      <c r="M554" s="0" t="n">
        <f aca="false">IF(OR(B554="NW",COUNT(Risk_Rank_Keys!B554)=0),0.5,(SUMPRODUCT(--ISNUMBER(Risk_Rank_Keys!$B$2:$B$800),--(Risk_Rank_Keys!$B$2:$B$800&lt;Risk_Rank_Keys!B554))+(SUMPRODUCT(--ISNUMBER(Risk_Rank_Keys!$B$2:$B$800),--(Risk_Rank_Keys!$B$2:$B$800=Risk_Rank_Keys!B554))+1)/2)/COUNT(Risk_Rank_Keys!$B$2:$B$800))</f>
        <v>0.0878661087866109</v>
      </c>
      <c r="N554" s="0" t="n">
        <f aca="false">IF(OR(B554="NW",COUNT(Risk_Rank_Keys!C554)=0),0.5,(SUMPRODUCT(--ISNUMBER(Risk_Rank_Keys!$C$2:$C$800),--(Risk_Rank_Keys!$C$2:$C$800&lt;Risk_Rank_Keys!C554))+(SUMPRODUCT(--ISNUMBER(Risk_Rank_Keys!$C$2:$C$800),--(Risk_Rank_Keys!$C$2:$C$800=Risk_Rank_Keys!C554))+1)/2)/COUNT(Risk_Rank_Keys!$C$2:$C$800))</f>
        <v>0.447698744769875</v>
      </c>
      <c r="O554" s="0" t="n">
        <f aca="false">IF(OR(B554="NW",COUNT(Risk_Rank_Keys!D554)=0),0.5,(SUMPRODUCT(--ISNUMBER(Risk_Rank_Keys!$D$2:$D$800),--(Risk_Rank_Keys!$D$2:$D$800&lt;Risk_Rank_Keys!D554))+(SUMPRODUCT(--ISNUMBER(Risk_Rank_Keys!$D$2:$D$800),--(Risk_Rank_Keys!$D$2:$D$800=Risk_Rank_Keys!D554))+1)/2)/COUNT(Risk_Rank_Keys!$D$2:$D$800))</f>
        <v>0.142259414225941</v>
      </c>
      <c r="P554" s="0" t="n">
        <f aca="false">AVERAGE(M554:O554)</f>
        <v>0.225941422594142</v>
      </c>
      <c r="Q554" s="0" t="n">
        <f aca="false">0.4*H554+0.4*I554+0.2*P554</f>
        <v>0.177854116809191</v>
      </c>
      <c r="R554" s="0" t="n">
        <f aca="false">PERCENTILE($Q$2:$Q$800,0.75)</f>
        <v>0.667715717403612</v>
      </c>
      <c r="S554" s="1" t="b">
        <f aca="false">OR(Q554&gt;=R554,AND(B554="CW",COUNT(J554:L554)&lt;3))</f>
        <v>0</v>
      </c>
      <c r="T554" s="0" t="n">
        <v>0.232254380629676</v>
      </c>
      <c r="U554" s="0" t="n">
        <v>5.06250040955859</v>
      </c>
      <c r="V554" s="0" t="n">
        <v>0.177854116809191</v>
      </c>
      <c r="W554" s="0" t="n">
        <f aca="false">Q554-V554</f>
        <v>0</v>
      </c>
    </row>
    <row r="555" customFormat="false" ht="15" hidden="false" customHeight="false" outlineLevel="0" collapsed="false">
      <c r="A555" s="0" t="s">
        <v>589</v>
      </c>
      <c r="B555" s="0" t="s">
        <v>3013</v>
      </c>
      <c r="C555" s="0" t="n">
        <v>1.41665386785501</v>
      </c>
      <c r="D555" s="0" t="n">
        <f aca="false">SUMPRODUCT(Risk_Inputs!B555:AJ555,Risk_Coefs!$B$2:$AJ$2)</f>
        <v>-0.701105162418092</v>
      </c>
      <c r="E555" s="0" t="n">
        <f aca="false">1/(1+EXP(-MAX(-25,MIN(25,D555))))</f>
        <v>0.331567244657798</v>
      </c>
      <c r="F555" s="0" t="n">
        <f aca="false">SUMPRODUCT(Risk_Inputs!B555:AJ555,Risk_Coefs!$B$3:$AJ$3)</f>
        <v>6.7064832606323</v>
      </c>
      <c r="G555" s="0" t="n">
        <f aca="false">MAX(0,F555)</f>
        <v>6.7064832606323</v>
      </c>
      <c r="H555" s="0" t="n">
        <f aca="false">(SUMPRODUCT(--ISNUMBER($E$2:$E$800),--($E$2:$E$800&lt;E555))+(SUMPRODUCT(--ISNUMBER($E$2:$E$800),--($E$2:$E$800=E555))+1)/2)/COUNT($E$2:$E$800)</f>
        <v>0.74342928660826</v>
      </c>
      <c r="I555" s="0" t="n">
        <f aca="false">(SUMPRODUCT(--ISNUMBER($G$2:$G$800),--($G$2:$G$800&lt;G555))+(SUMPRODUCT(--ISNUMBER($G$2:$G$800),--($G$2:$G$800=G555))+1)/2)/COUNT($G$2:$G$800)</f>
        <v>0.377972465581977</v>
      </c>
      <c r="J555" s="0" t="n">
        <v>2.26897606932939</v>
      </c>
      <c r="K555" s="0" t="n">
        <v>1.19279982650184</v>
      </c>
      <c r="L555" s="0" t="n">
        <v>0.195185426154842</v>
      </c>
      <c r="M555" s="0" t="n">
        <f aca="false">IF(OR(B555="NW",COUNT(Risk_Rank_Keys!B555)=0),0.5,(SUMPRODUCT(--ISNUMBER(Risk_Rank_Keys!$B$2:$B$800),--(Risk_Rank_Keys!$B$2:$B$800&lt;Risk_Rank_Keys!B555))+(SUMPRODUCT(--ISNUMBER(Risk_Rank_Keys!$B$2:$B$800),--(Risk_Rank_Keys!$B$2:$B$800=Risk_Rank_Keys!B555))+1)/2)/COUNT(Risk_Rank_Keys!$B$2:$B$800))</f>
        <v>0.0111576011157601</v>
      </c>
      <c r="N555" s="0" t="n">
        <f aca="false">IF(OR(B555="NW",COUNT(Risk_Rank_Keys!C555)=0),0.5,(SUMPRODUCT(--ISNUMBER(Risk_Rank_Keys!$C$2:$C$800),--(Risk_Rank_Keys!$C$2:$C$800&lt;Risk_Rank_Keys!C555))+(SUMPRODUCT(--ISNUMBER(Risk_Rank_Keys!$C$2:$C$800),--(Risk_Rank_Keys!$C$2:$C$800=Risk_Rank_Keys!C555))+1)/2)/COUNT(Risk_Rank_Keys!$C$2:$C$800))</f>
        <v>0.0669456066945607</v>
      </c>
      <c r="O555" s="0" t="n">
        <f aca="false">IF(OR(B555="NW",COUNT(Risk_Rank_Keys!D555)=0),0.5,(SUMPRODUCT(--ISNUMBER(Risk_Rank_Keys!$D$2:$D$800),--(Risk_Rank_Keys!$D$2:$D$800&lt;Risk_Rank_Keys!D555))+(SUMPRODUCT(--ISNUMBER(Risk_Rank_Keys!$D$2:$D$800),--(Risk_Rank_Keys!$D$2:$D$800=Risk_Rank_Keys!D555))+1)/2)/COUNT(Risk_Rank_Keys!$D$2:$D$800))</f>
        <v>0.287308228730823</v>
      </c>
      <c r="P555" s="0" t="n">
        <f aca="false">AVERAGE(M555:O555)</f>
        <v>0.121803812180381</v>
      </c>
      <c r="Q555" s="0" t="n">
        <f aca="false">0.4*H555+0.4*I555+0.2*P555</f>
        <v>0.472921463312171</v>
      </c>
      <c r="R555" s="0" t="n">
        <f aca="false">PERCENTILE($Q$2:$Q$800,0.75)</f>
        <v>0.667715717403612</v>
      </c>
      <c r="S555" s="1" t="b">
        <f aca="false">OR(Q555&gt;=R555,AND(B555="CW",COUNT(J555:L555)&lt;3))</f>
        <v>0</v>
      </c>
      <c r="T555" s="0" t="n">
        <v>0.331567244657798</v>
      </c>
      <c r="U555" s="0" t="n">
        <v>6.7064832606323</v>
      </c>
      <c r="V555" s="0" t="n">
        <v>0.472921463312171</v>
      </c>
      <c r="W555" s="0" t="n">
        <f aca="false">Q555-V555</f>
        <v>0</v>
      </c>
    </row>
    <row r="556" customFormat="false" ht="15" hidden="false" customHeight="false" outlineLevel="0" collapsed="false">
      <c r="A556" s="0" t="s">
        <v>590</v>
      </c>
      <c r="B556" s="0" t="s">
        <v>3013</v>
      </c>
      <c r="C556" s="0" t="n">
        <v>16.823885916612</v>
      </c>
      <c r="D556" s="0" t="n">
        <f aca="false">SUMPRODUCT(Risk_Inputs!B556:AJ556,Risk_Coefs!$B$2:$AJ$2)</f>
        <v>-0.763720676456069</v>
      </c>
      <c r="E556" s="0" t="n">
        <f aca="false">1/(1+EXP(-MAX(-25,MIN(25,D556))))</f>
        <v>0.31783901271506</v>
      </c>
      <c r="F556" s="0" t="n">
        <f aca="false">SUMPRODUCT(Risk_Inputs!B556:AJ556,Risk_Coefs!$B$3:$AJ$3)</f>
        <v>6.76685979162669</v>
      </c>
      <c r="G556" s="0" t="n">
        <f aca="false">MAX(0,F556)</f>
        <v>6.76685979162669</v>
      </c>
      <c r="H556" s="0" t="n">
        <f aca="false">(SUMPRODUCT(--ISNUMBER($E$2:$E$800),--($E$2:$E$800&lt;E556))+(SUMPRODUCT(--ISNUMBER($E$2:$E$800),--($E$2:$E$800=E556))+1)/2)/COUNT($E$2:$E$800)</f>
        <v>0.658322903629537</v>
      </c>
      <c r="I556" s="0" t="n">
        <f aca="false">(SUMPRODUCT(--ISNUMBER($G$2:$G$800),--($G$2:$G$800&lt;G556))+(SUMPRODUCT(--ISNUMBER($G$2:$G$800),--($G$2:$G$800=G556))+1)/2)/COUNT($G$2:$G$800)</f>
        <v>0.387984981226533</v>
      </c>
      <c r="J556" s="0" t="n">
        <v>4.81863944530379</v>
      </c>
      <c r="K556" s="0" t="n">
        <v>1.53380859796933</v>
      </c>
      <c r="L556" s="0" t="n">
        <v>0.0648088139987001</v>
      </c>
      <c r="M556" s="0" t="n">
        <f aca="false">IF(OR(B556="NW",COUNT(Risk_Rank_Keys!B556)=0),0.5,(SUMPRODUCT(--ISNUMBER(Risk_Rank_Keys!$B$2:$B$800),--(Risk_Rank_Keys!$B$2:$B$800&lt;Risk_Rank_Keys!B556))+(SUMPRODUCT(--ISNUMBER(Risk_Rank_Keys!$B$2:$B$800),--(Risk_Rank_Keys!$B$2:$B$800=Risk_Rank_Keys!B556))+1)/2)/COUNT(Risk_Rank_Keys!$B$2:$B$800))</f>
        <v>0.118549511854951</v>
      </c>
      <c r="N556" s="0" t="n">
        <f aca="false">IF(OR(B556="NW",COUNT(Risk_Rank_Keys!C556)=0),0.5,(SUMPRODUCT(--ISNUMBER(Risk_Rank_Keys!$C$2:$C$800),--(Risk_Rank_Keys!$C$2:$C$800&lt;Risk_Rank_Keys!C556))+(SUMPRODUCT(--ISNUMBER(Risk_Rank_Keys!$C$2:$C$800),--(Risk_Rank_Keys!$C$2:$C$800=Risk_Rank_Keys!C556))+1)/2)/COUNT(Risk_Rank_Keys!$C$2:$C$800))</f>
        <v>0.140864714086471</v>
      </c>
      <c r="O556" s="0" t="n">
        <f aca="false">IF(OR(B556="NW",COUNT(Risk_Rank_Keys!D556)=0),0.5,(SUMPRODUCT(--ISNUMBER(Risk_Rank_Keys!$D$2:$D$800),--(Risk_Rank_Keys!$D$2:$D$800&lt;Risk_Rank_Keys!D556))+(SUMPRODUCT(--ISNUMBER(Risk_Rank_Keys!$D$2:$D$800),--(Risk_Rank_Keys!$D$2:$D$800=Risk_Rank_Keys!D556))+1)/2)/COUNT(Risk_Rank_Keys!$D$2:$D$800))</f>
        <v>0.00278940027894003</v>
      </c>
      <c r="P556" s="0" t="n">
        <f aca="false">AVERAGE(M556:O556)</f>
        <v>0.0874012087401209</v>
      </c>
      <c r="Q556" s="0" t="n">
        <f aca="false">0.4*H556+0.4*I556+0.2*P556</f>
        <v>0.436003395690452</v>
      </c>
      <c r="R556" s="0" t="n">
        <f aca="false">PERCENTILE($Q$2:$Q$800,0.75)</f>
        <v>0.667715717403612</v>
      </c>
      <c r="S556" s="1" t="b">
        <f aca="false">OR(Q556&gt;=R556,AND(B556="CW",COUNT(J556:L556)&lt;3))</f>
        <v>0</v>
      </c>
      <c r="T556" s="0" t="n">
        <v>0.31783901271506</v>
      </c>
      <c r="U556" s="0" t="n">
        <v>6.76685979162669</v>
      </c>
      <c r="V556" s="0" t="n">
        <v>0.436003395690452</v>
      </c>
      <c r="W556" s="0" t="n">
        <f aca="false">Q556-V556</f>
        <v>0</v>
      </c>
    </row>
    <row r="557" customFormat="false" ht="15" hidden="false" customHeight="false" outlineLevel="0" collapsed="false">
      <c r="A557" s="0" t="s">
        <v>591</v>
      </c>
      <c r="B557" s="0" t="s">
        <v>3013</v>
      </c>
      <c r="C557" s="0" t="n">
        <v>21.5278392975687</v>
      </c>
      <c r="D557" s="0" t="n">
        <f aca="false">SUMPRODUCT(Risk_Inputs!B557:AJ557,Risk_Coefs!$B$2:$AJ$2)</f>
        <v>-1.12090082421228</v>
      </c>
      <c r="E557" s="0" t="n">
        <f aca="false">1/(1+EXP(-MAX(-25,MIN(25,D557))))</f>
        <v>0.245844228142851</v>
      </c>
      <c r="F557" s="0" t="n">
        <f aca="false">SUMPRODUCT(Risk_Inputs!B557:AJ557,Risk_Coefs!$B$3:$AJ$3)</f>
        <v>4.31305122229947</v>
      </c>
      <c r="G557" s="0" t="n">
        <f aca="false">MAX(0,F557)</f>
        <v>4.31305122229947</v>
      </c>
      <c r="H557" s="0" t="n">
        <f aca="false">(SUMPRODUCT(--ISNUMBER($E$2:$E$800),--($E$2:$E$800&lt;E557))+(SUMPRODUCT(--ISNUMBER($E$2:$E$800),--($E$2:$E$800=E557))+1)/2)/COUNT($E$2:$E$800)</f>
        <v>0.246558197747184</v>
      </c>
      <c r="I557" s="0" t="n">
        <f aca="false">(SUMPRODUCT(--ISNUMBER($G$2:$G$800),--($G$2:$G$800&lt;G557))+(SUMPRODUCT(--ISNUMBER($G$2:$G$800),--($G$2:$G$800=G557))+1)/2)/COUNT($G$2:$G$800)</f>
        <v>0.0750938673341677</v>
      </c>
      <c r="J557" s="0" t="n">
        <v>5.6605528737199</v>
      </c>
      <c r="K557" s="0" t="n">
        <v>1.46353772394652</v>
      </c>
      <c r="L557" s="0" t="n">
        <v>0.201867272268486</v>
      </c>
      <c r="M557" s="0" t="n">
        <f aca="false">IF(OR(B557="NW",COUNT(Risk_Rank_Keys!B557)=0),0.5,(SUMPRODUCT(--ISNUMBER(Risk_Rank_Keys!$B$2:$B$800),--(Risk_Rank_Keys!$B$2:$B$800&lt;Risk_Rank_Keys!B557))+(SUMPRODUCT(--ISNUMBER(Risk_Rank_Keys!$B$2:$B$800),--(Risk_Rank_Keys!$B$2:$B$800=Risk_Rank_Keys!B557))+1)/2)/COUNT(Risk_Rank_Keys!$B$2:$B$800))</f>
        <v>0.186889818688982</v>
      </c>
      <c r="N557" s="0" t="n">
        <f aca="false">IF(OR(B557="NW",COUNT(Risk_Rank_Keys!C557)=0),0.5,(SUMPRODUCT(--ISNUMBER(Risk_Rank_Keys!$C$2:$C$800),--(Risk_Rank_Keys!$C$2:$C$800&lt;Risk_Rank_Keys!C557))+(SUMPRODUCT(--ISNUMBER(Risk_Rank_Keys!$C$2:$C$800),--(Risk_Rank_Keys!$C$2:$C$800=Risk_Rank_Keys!C557))+1)/2)/COUNT(Risk_Rank_Keys!$C$2:$C$800))</f>
        <v>0.124128312412831</v>
      </c>
      <c r="O557" s="0" t="n">
        <f aca="false">IF(OR(B557="NW",COUNT(Risk_Rank_Keys!D557)=0),0.5,(SUMPRODUCT(--ISNUMBER(Risk_Rank_Keys!$D$2:$D$800),--(Risk_Rank_Keys!$D$2:$D$800&lt;Risk_Rank_Keys!D557))+(SUMPRODUCT(--ISNUMBER(Risk_Rank_Keys!$D$2:$D$800),--(Risk_Rank_Keys!$D$2:$D$800=Risk_Rank_Keys!D557))+1)/2)/COUNT(Risk_Rank_Keys!$D$2:$D$800))</f>
        <v>0.322175732217573</v>
      </c>
      <c r="P557" s="0" t="n">
        <f aca="false">AVERAGE(M557:O557)</f>
        <v>0.211064621106462</v>
      </c>
      <c r="Q557" s="0" t="n">
        <f aca="false">0.4*H557+0.4*I557+0.2*P557</f>
        <v>0.170873750253833</v>
      </c>
      <c r="R557" s="0" t="n">
        <f aca="false">PERCENTILE($Q$2:$Q$800,0.75)</f>
        <v>0.667715717403612</v>
      </c>
      <c r="S557" s="1" t="b">
        <f aca="false">OR(Q557&gt;=R557,AND(B557="CW",COUNT(J557:L557)&lt;3))</f>
        <v>0</v>
      </c>
      <c r="T557" s="0" t="n">
        <v>0.245844228142851</v>
      </c>
      <c r="U557" s="0" t="n">
        <v>4.31305122229947</v>
      </c>
      <c r="V557" s="0" t="n">
        <v>0.170873750253833</v>
      </c>
      <c r="W557" s="0" t="n">
        <f aca="false">Q557-V557</f>
        <v>0</v>
      </c>
    </row>
    <row r="558" customFormat="false" ht="15" hidden="false" customHeight="false" outlineLevel="0" collapsed="false">
      <c r="A558" s="0" t="s">
        <v>592</v>
      </c>
      <c r="B558" s="0" t="s">
        <v>3013</v>
      </c>
      <c r="C558" s="0" t="n">
        <v>38.976552829731</v>
      </c>
      <c r="D558" s="0" t="n">
        <f aca="false">SUMPRODUCT(Risk_Inputs!B558:AJ558,Risk_Coefs!$B$2:$AJ$2)</f>
        <v>-0.486742034310901</v>
      </c>
      <c r="E558" s="0" t="n">
        <f aca="false">1/(1+EXP(-MAX(-25,MIN(25,D558))))</f>
        <v>0.38066136087603</v>
      </c>
      <c r="F558" s="0" t="n">
        <f aca="false">SUMPRODUCT(Risk_Inputs!B558:AJ558,Risk_Coefs!$B$3:$AJ$3)</f>
        <v>8.1073937164761</v>
      </c>
      <c r="G558" s="0" t="n">
        <f aca="false">MAX(0,F558)</f>
        <v>8.1073937164761</v>
      </c>
      <c r="H558" s="0" t="n">
        <f aca="false">(SUMPRODUCT(--ISNUMBER($E$2:$E$800),--($E$2:$E$800&lt;E558))+(SUMPRODUCT(--ISNUMBER($E$2:$E$800),--($E$2:$E$800=E558))+1)/2)/COUNT($E$2:$E$800)</f>
        <v>0.901126408010013</v>
      </c>
      <c r="I558" s="0" t="n">
        <f aca="false">(SUMPRODUCT(--ISNUMBER($G$2:$G$800),--($G$2:$G$800&lt;G558))+(SUMPRODUCT(--ISNUMBER($G$2:$G$800),--($G$2:$G$800=G558))+1)/2)/COUNT($G$2:$G$800)</f>
        <v>0.555694618272841</v>
      </c>
      <c r="J558" s="0" t="n">
        <v>7.08806119624941</v>
      </c>
      <c r="K558" s="0" t="n">
        <v>3.51978171896316</v>
      </c>
      <c r="L558" s="0" t="n">
        <v>0.109140518417464</v>
      </c>
      <c r="M558" s="0" t="n">
        <f aca="false">IF(OR(B558="NW",COUNT(Risk_Rank_Keys!B558)=0),0.5,(SUMPRODUCT(--ISNUMBER(Risk_Rank_Keys!$B$2:$B$800),--(Risk_Rank_Keys!$B$2:$B$800&lt;Risk_Rank_Keys!B558))+(SUMPRODUCT(--ISNUMBER(Risk_Rank_Keys!$B$2:$B$800),--(Risk_Rank_Keys!$B$2:$B$800=Risk_Rank_Keys!B558))+1)/2)/COUNT(Risk_Rank_Keys!$B$2:$B$800))</f>
        <v>0.323570432357043</v>
      </c>
      <c r="N558" s="0" t="n">
        <f aca="false">IF(OR(B558="NW",COUNT(Risk_Rank_Keys!C558)=0),0.5,(SUMPRODUCT(--ISNUMBER(Risk_Rank_Keys!$C$2:$C$800),--(Risk_Rank_Keys!$C$2:$C$800&lt;Risk_Rank_Keys!C558))+(SUMPRODUCT(--ISNUMBER(Risk_Rank_Keys!$C$2:$C$800),--(Risk_Rank_Keys!$C$2:$C$800=Risk_Rank_Keys!C558))+1)/2)/COUNT(Risk_Rank_Keys!$C$2:$C$800))</f>
        <v>0.528591352859135</v>
      </c>
      <c r="O558" s="0" t="n">
        <f aca="false">IF(OR(B558="NW",COUNT(Risk_Rank_Keys!D558)=0),0.5,(SUMPRODUCT(--ISNUMBER(Risk_Rank_Keys!$D$2:$D$800),--(Risk_Rank_Keys!$D$2:$D$800&lt;Risk_Rank_Keys!D558))+(SUMPRODUCT(--ISNUMBER(Risk_Rank_Keys!$D$2:$D$800),--(Risk_Rank_Keys!$D$2:$D$800=Risk_Rank_Keys!D558))+1)/2)/COUNT(Risk_Rank_Keys!$D$2:$D$800))</f>
        <v>0.0292887029288703</v>
      </c>
      <c r="P558" s="0" t="n">
        <f aca="false">AVERAGE(M558:O558)</f>
        <v>0.293816829381683</v>
      </c>
      <c r="Q558" s="0" t="n">
        <f aca="false">0.4*H558+0.4*I558+0.2*P558</f>
        <v>0.641491776389478</v>
      </c>
      <c r="R558" s="0" t="n">
        <f aca="false">PERCENTILE($Q$2:$Q$800,0.75)</f>
        <v>0.667715717403612</v>
      </c>
      <c r="S558" s="1" t="b">
        <f aca="false">OR(Q558&gt;=R558,AND(B558="CW",COUNT(J558:L558)&lt;3))</f>
        <v>0</v>
      </c>
      <c r="T558" s="0" t="n">
        <v>0.38066136087603</v>
      </c>
      <c r="U558" s="0" t="n">
        <v>8.10739371647611</v>
      </c>
      <c r="V558" s="0" t="n">
        <v>0.641491776389478</v>
      </c>
      <c r="W558" s="0" t="n">
        <f aca="false">Q558-V558</f>
        <v>0</v>
      </c>
    </row>
    <row r="559" customFormat="false" ht="15" hidden="false" customHeight="false" outlineLevel="0" collapsed="false">
      <c r="A559" s="0" t="s">
        <v>593</v>
      </c>
      <c r="B559" s="0" t="s">
        <v>3013</v>
      </c>
      <c r="C559" s="0" t="n">
        <v>51.5611579335974</v>
      </c>
      <c r="D559" s="0" t="n">
        <f aca="false">SUMPRODUCT(Risk_Inputs!B559:AJ559,Risk_Coefs!$B$2:$AJ$2)</f>
        <v>-0.367431535218451</v>
      </c>
      <c r="E559" s="0" t="n">
        <f aca="false">1/(1+EXP(-MAX(-25,MIN(25,D559))))</f>
        <v>0.40916179869531</v>
      </c>
      <c r="F559" s="0" t="n">
        <f aca="false">SUMPRODUCT(Risk_Inputs!B559:AJ559,Risk_Coefs!$B$3:$AJ$3)</f>
        <v>14.3180957176924</v>
      </c>
      <c r="G559" s="0" t="n">
        <f aca="false">MAX(0,F559)</f>
        <v>14.3180957176924</v>
      </c>
      <c r="H559" s="0" t="n">
        <f aca="false">(SUMPRODUCT(--ISNUMBER($E$2:$E$800),--($E$2:$E$800&lt;E559))+(SUMPRODUCT(--ISNUMBER($E$2:$E$800),--($E$2:$E$800=E559))+1)/2)/COUNT($E$2:$E$800)</f>
        <v>0.956195244055069</v>
      </c>
      <c r="I559" s="0" t="n">
        <f aca="false">(SUMPRODUCT(--ISNUMBER($G$2:$G$800),--($G$2:$G$800&lt;G559))+(SUMPRODUCT(--ISNUMBER($G$2:$G$800),--($G$2:$G$800=G559))+1)/2)/COUNT($G$2:$G$800)</f>
        <v>0.97747183979975</v>
      </c>
      <c r="J559" s="0" t="n">
        <v>6.01115336773293</v>
      </c>
      <c r="K559" s="0" t="n">
        <v>5.52291421856638</v>
      </c>
      <c r="L559" s="0" t="n">
        <v>0.195848021934973</v>
      </c>
      <c r="M559" s="0" t="n">
        <f aca="false">IF(OR(B559="NW",COUNT(Risk_Rank_Keys!B559)=0),0.5,(SUMPRODUCT(--ISNUMBER(Risk_Rank_Keys!$B$2:$B$800),--(Risk_Rank_Keys!$B$2:$B$800&lt;Risk_Rank_Keys!B559))+(SUMPRODUCT(--ISNUMBER(Risk_Rank_Keys!$B$2:$B$800),--(Risk_Rank_Keys!$B$2:$B$800=Risk_Rank_Keys!B559))+1)/2)/COUNT(Risk_Rank_Keys!$B$2:$B$800))</f>
        <v>0.228730822873082</v>
      </c>
      <c r="N559" s="0" t="n">
        <f aca="false">IF(OR(B559="NW",COUNT(Risk_Rank_Keys!C559)=0),0.5,(SUMPRODUCT(--ISNUMBER(Risk_Rank_Keys!$C$2:$C$800),--(Risk_Rank_Keys!$C$2:$C$800&lt;Risk_Rank_Keys!C559))+(SUMPRODUCT(--ISNUMBER(Risk_Rank_Keys!$C$2:$C$800),--(Risk_Rank_Keys!$C$2:$C$800=Risk_Rank_Keys!C559))+1)/2)/COUNT(Risk_Rank_Keys!$C$2:$C$800))</f>
        <v>0.721059972105997</v>
      </c>
      <c r="O559" s="0" t="n">
        <f aca="false">IF(OR(B559="NW",COUNT(Risk_Rank_Keys!D559)=0),0.5,(SUMPRODUCT(--ISNUMBER(Risk_Rank_Keys!$D$2:$D$800),--(Risk_Rank_Keys!$D$2:$D$800&lt;Risk_Rank_Keys!D559))+(SUMPRODUCT(--ISNUMBER(Risk_Rank_Keys!$D$2:$D$800),--(Risk_Rank_Keys!$D$2:$D$800=Risk_Rank_Keys!D559))+1)/2)/COUNT(Risk_Rank_Keys!$D$2:$D$800))</f>
        <v>0.295676429567643</v>
      </c>
      <c r="P559" s="0" t="n">
        <f aca="false">AVERAGE(M559:O559)</f>
        <v>0.415155741515574</v>
      </c>
      <c r="Q559" s="0" t="n">
        <f aca="false">0.4*H559+0.4*I559+0.2*P559</f>
        <v>0.856497981845042</v>
      </c>
      <c r="R559" s="0" t="n">
        <f aca="false">PERCENTILE($Q$2:$Q$800,0.75)</f>
        <v>0.667715717403612</v>
      </c>
      <c r="S559" s="1" t="b">
        <f aca="false">OR(Q559&gt;=R559,AND(B559="CW",COUNT(J559:L559)&lt;3))</f>
        <v>1</v>
      </c>
      <c r="T559" s="0" t="n">
        <v>0.40916179869531</v>
      </c>
      <c r="U559" s="0" t="n">
        <v>14.3180957176924</v>
      </c>
      <c r="V559" s="0" t="n">
        <v>0.856497981845042</v>
      </c>
      <c r="W559" s="0" t="n">
        <f aca="false">Q559-V559</f>
        <v>0</v>
      </c>
    </row>
    <row r="560" customFormat="false" ht="15" hidden="false" customHeight="false" outlineLevel="0" collapsed="false">
      <c r="A560" s="0" t="s">
        <v>594</v>
      </c>
      <c r="B560" s="0" t="s">
        <v>3013</v>
      </c>
      <c r="C560" s="0" t="n">
        <v>7.99069777003608</v>
      </c>
      <c r="D560" s="0" t="n">
        <f aca="false">SUMPRODUCT(Risk_Inputs!B560:AJ560,Risk_Coefs!$B$2:$AJ$2)</f>
        <v>-0.601429603311286</v>
      </c>
      <c r="E560" s="0" t="n">
        <f aca="false">1/(1+EXP(-MAX(-25,MIN(25,D560))))</f>
        <v>0.354016691214155</v>
      </c>
      <c r="F560" s="0" t="n">
        <f aca="false">SUMPRODUCT(Risk_Inputs!B560:AJ560,Risk_Coefs!$B$3:$AJ$3)</f>
        <v>7.30012093106734</v>
      </c>
      <c r="G560" s="0" t="n">
        <f aca="false">MAX(0,F560)</f>
        <v>7.30012093106734</v>
      </c>
      <c r="H560" s="0" t="n">
        <f aca="false">(SUMPRODUCT(--ISNUMBER($E$2:$E$800),--($E$2:$E$800&lt;E560))+(SUMPRODUCT(--ISNUMBER($E$2:$E$800),--($E$2:$E$800=E560))+1)/2)/COUNT($E$2:$E$800)</f>
        <v>0.829787234042553</v>
      </c>
      <c r="I560" s="0" t="n">
        <f aca="false">(SUMPRODUCT(--ISNUMBER($G$2:$G$800),--($G$2:$G$800&lt;G560))+(SUMPRODUCT(--ISNUMBER($G$2:$G$800),--($G$2:$G$800=G560))+1)/2)/COUNT($G$2:$G$800)</f>
        <v>0.450563204005006</v>
      </c>
      <c r="J560" s="0" t="n">
        <v>1.65407078635342</v>
      </c>
      <c r="K560" s="0" t="n">
        <v>0.887949260042281</v>
      </c>
      <c r="L560" s="0" t="n">
        <v>0.12684989429176</v>
      </c>
      <c r="M560" s="0" t="n">
        <f aca="false">IF(OR(B560="NW",COUNT(Risk_Rank_Keys!B560)=0),0.5,(SUMPRODUCT(--ISNUMBER(Risk_Rank_Keys!$B$2:$B$800),--(Risk_Rank_Keys!$B$2:$B$800&lt;Risk_Rank_Keys!B560))+(SUMPRODUCT(--ISNUMBER(Risk_Rank_Keys!$B$2:$B$800),--(Risk_Rank_Keys!$B$2:$B$800=Risk_Rank_Keys!B560))+1)/2)/COUNT(Risk_Rank_Keys!$B$2:$B$800))</f>
        <v>0.00278940027894003</v>
      </c>
      <c r="N560" s="0" t="n">
        <f aca="false">IF(OR(B560="NW",COUNT(Risk_Rank_Keys!C560)=0),0.5,(SUMPRODUCT(--ISNUMBER(Risk_Rank_Keys!$C$2:$C$800),--(Risk_Rank_Keys!$C$2:$C$800&lt;Risk_Rank_Keys!C560))+(SUMPRODUCT(--ISNUMBER(Risk_Rank_Keys!$C$2:$C$800),--(Risk_Rank_Keys!$C$2:$C$800=Risk_Rank_Keys!C560))+1)/2)/COUNT(Risk_Rank_Keys!$C$2:$C$800))</f>
        <v>0.0181311018131102</v>
      </c>
      <c r="O560" s="0" t="n">
        <f aca="false">IF(OR(B560="NW",COUNT(Risk_Rank_Keys!D560)=0),0.5,(SUMPRODUCT(--ISNUMBER(Risk_Rank_Keys!$D$2:$D$800),--(Risk_Rank_Keys!$D$2:$D$800&lt;Risk_Rank_Keys!D560))+(SUMPRODUCT(--ISNUMBER(Risk_Rank_Keys!$D$2:$D$800),--(Risk_Rank_Keys!$D$2:$D$800=Risk_Rank_Keys!D560))+1)/2)/COUNT(Risk_Rank_Keys!$D$2:$D$800))</f>
        <v>0.0585774058577406</v>
      </c>
      <c r="P560" s="0" t="n">
        <f aca="false">AVERAGE(M560:O560)</f>
        <v>0.0264993026499303</v>
      </c>
      <c r="Q560" s="0" t="n">
        <f aca="false">0.4*H560+0.4*I560+0.2*P560</f>
        <v>0.51744003574901</v>
      </c>
      <c r="R560" s="0" t="n">
        <f aca="false">PERCENTILE($Q$2:$Q$800,0.75)</f>
        <v>0.667715717403612</v>
      </c>
      <c r="S560" s="1" t="b">
        <f aca="false">OR(Q560&gt;=R560,AND(B560="CW",COUNT(J560:L560)&lt;3))</f>
        <v>0</v>
      </c>
      <c r="T560" s="0" t="n">
        <v>0.354016691214155</v>
      </c>
      <c r="U560" s="0" t="n">
        <v>7.30012093106734</v>
      </c>
      <c r="V560" s="0" t="n">
        <v>0.51744003574901</v>
      </c>
      <c r="W560" s="0" t="n">
        <f aca="false">Q560-V560</f>
        <v>0</v>
      </c>
    </row>
    <row r="561" customFormat="false" ht="15" hidden="false" customHeight="false" outlineLevel="0" collapsed="false">
      <c r="A561" s="0" t="s">
        <v>595</v>
      </c>
      <c r="B561" s="0" t="s">
        <v>3013</v>
      </c>
      <c r="C561" s="0" t="n">
        <v>11.1574604748941</v>
      </c>
      <c r="D561" s="0" t="n">
        <f aca="false">SUMPRODUCT(Risk_Inputs!B561:AJ561,Risk_Coefs!$B$2:$AJ$2)</f>
        <v>-1.08638955191319</v>
      </c>
      <c r="E561" s="0" t="n">
        <f aca="false">1/(1+EXP(-MAX(-25,MIN(25,D561))))</f>
        <v>0.252298758803904</v>
      </c>
      <c r="F561" s="0" t="n">
        <f aca="false">SUMPRODUCT(Risk_Inputs!B561:AJ561,Risk_Coefs!$B$3:$AJ$3)</f>
        <v>4.91591123435627</v>
      </c>
      <c r="G561" s="0" t="n">
        <f aca="false">MAX(0,F561)</f>
        <v>4.91591123435627</v>
      </c>
      <c r="H561" s="0" t="n">
        <f aca="false">(SUMPRODUCT(--ISNUMBER($E$2:$E$800),--($E$2:$E$800&lt;E561))+(SUMPRODUCT(--ISNUMBER($E$2:$E$800),--($E$2:$E$800=E561))+1)/2)/COUNT($E$2:$E$800)</f>
        <v>0.281602002503129</v>
      </c>
      <c r="I561" s="0" t="n">
        <f aca="false">(SUMPRODUCT(--ISNUMBER($G$2:$G$800),--($G$2:$G$800&lt;G561))+(SUMPRODUCT(--ISNUMBER($G$2:$G$800),--($G$2:$G$800=G561))+1)/2)/COUNT($G$2:$G$800)</f>
        <v>0.130162703379224</v>
      </c>
      <c r="J561" s="0" t="n">
        <v>4.21504613899833</v>
      </c>
      <c r="K561" s="0" t="n">
        <v>3.27678363932141</v>
      </c>
      <c r="L561" s="0" t="n">
        <v>0.209156402509878</v>
      </c>
      <c r="M561" s="0" t="n">
        <f aca="false">IF(OR(B561="NW",COUNT(Risk_Rank_Keys!B561)=0),0.5,(SUMPRODUCT(--ISNUMBER(Risk_Rank_Keys!$B$2:$B$800),--(Risk_Rank_Keys!$B$2:$B$800&lt;Risk_Rank_Keys!B561))+(SUMPRODUCT(--ISNUMBER(Risk_Rank_Keys!$B$2:$B$800),--(Risk_Rank_Keys!$B$2:$B$800=Risk_Rank_Keys!B561))+1)/2)/COUNT(Risk_Rank_Keys!$B$2:$B$800))</f>
        <v>0.0836820083682008</v>
      </c>
      <c r="N561" s="0" t="n">
        <f aca="false">IF(OR(B561="NW",COUNT(Risk_Rank_Keys!C561)=0),0.5,(SUMPRODUCT(--ISNUMBER(Risk_Rank_Keys!$C$2:$C$800),--(Risk_Rank_Keys!$C$2:$C$800&lt;Risk_Rank_Keys!C561))+(SUMPRODUCT(--ISNUMBER(Risk_Rank_Keys!$C$2:$C$800),--(Risk_Rank_Keys!$C$2:$C$800=Risk_Rank_Keys!C561))+1)/2)/COUNT(Risk_Rank_Keys!$C$2:$C$800))</f>
        <v>0.506276150627615</v>
      </c>
      <c r="O561" s="0" t="n">
        <f aca="false">IF(OR(B561="NW",COUNT(Risk_Rank_Keys!D561)=0),0.5,(SUMPRODUCT(--ISNUMBER(Risk_Rank_Keys!$D$2:$D$800),--(Risk_Rank_Keys!$D$2:$D$800&lt;Risk_Rank_Keys!D561))+(SUMPRODUCT(--ISNUMBER(Risk_Rank_Keys!$D$2:$D$800),--(Risk_Rank_Keys!$D$2:$D$800=Risk_Rank_Keys!D561))+1)/2)/COUNT(Risk_Rank_Keys!$D$2:$D$800))</f>
        <v>0.368200836820084</v>
      </c>
      <c r="P561" s="0" t="n">
        <f aca="false">AVERAGE(M561:O561)</f>
        <v>0.319386331938633</v>
      </c>
      <c r="Q561" s="0" t="n">
        <f aca="false">0.4*H561+0.4*I561+0.2*P561</f>
        <v>0.228583148740668</v>
      </c>
      <c r="R561" s="0" t="n">
        <f aca="false">PERCENTILE($Q$2:$Q$800,0.75)</f>
        <v>0.667715717403612</v>
      </c>
      <c r="S561" s="1" t="b">
        <f aca="false">OR(Q561&gt;=R561,AND(B561="CW",COUNT(J561:L561)&lt;3))</f>
        <v>0</v>
      </c>
      <c r="T561" s="0" t="n">
        <v>0.252298758803904</v>
      </c>
      <c r="U561" s="0" t="n">
        <v>4.91591123435627</v>
      </c>
      <c r="V561" s="0" t="n">
        <v>0.228583148740668</v>
      </c>
      <c r="W561" s="0" t="n">
        <f aca="false">Q561-V561</f>
        <v>0</v>
      </c>
    </row>
    <row r="562" customFormat="false" ht="15" hidden="false" customHeight="false" outlineLevel="0" collapsed="false">
      <c r="A562" s="0" t="s">
        <v>596</v>
      </c>
      <c r="B562" s="0" t="s">
        <v>3013</v>
      </c>
      <c r="C562" s="0" t="n">
        <v>-38.6321614897364</v>
      </c>
      <c r="D562" s="0" t="n">
        <f aca="false">SUMPRODUCT(Risk_Inputs!B562:AJ562,Risk_Coefs!$B$2:$AJ$2)</f>
        <v>-0.538934419301422</v>
      </c>
      <c r="E562" s="0" t="n">
        <f aca="false">1/(1+EXP(-MAX(-25,MIN(25,D562))))</f>
        <v>0.368435498290368</v>
      </c>
      <c r="F562" s="0" t="n">
        <f aca="false">SUMPRODUCT(Risk_Inputs!B562:AJ562,Risk_Coefs!$B$3:$AJ$3)</f>
        <v>10.974492091803</v>
      </c>
      <c r="G562" s="0" t="n">
        <f aca="false">MAX(0,F562)</f>
        <v>10.974492091803</v>
      </c>
      <c r="H562" s="0" t="n">
        <f aca="false">(SUMPRODUCT(--ISNUMBER($E$2:$E$800),--($E$2:$E$800&lt;E562))+(SUMPRODUCT(--ISNUMBER($E$2:$E$800),--($E$2:$E$800=E562))+1)/2)/COUNT($E$2:$E$800)</f>
        <v>0.867334167709637</v>
      </c>
      <c r="I562" s="0" t="n">
        <f aca="false">(SUMPRODUCT(--ISNUMBER($G$2:$G$800),--($G$2:$G$800&lt;G562))+(SUMPRODUCT(--ISNUMBER($G$2:$G$800),--($G$2:$G$800=G562))+1)/2)/COUNT($G$2:$G$800)</f>
        <v>0.877346683354193</v>
      </c>
      <c r="J562" s="0" t="n">
        <v>2.97304374705866</v>
      </c>
      <c r="K562" s="0" t="n">
        <v>1.04465917994254</v>
      </c>
      <c r="L562" s="0" t="n">
        <v>0.182815356489942</v>
      </c>
      <c r="M562" s="0" t="n">
        <f aca="false">IF(OR(B562="NW",COUNT(Risk_Rank_Keys!B562)=0),0.5,(SUMPRODUCT(--ISNUMBER(Risk_Rank_Keys!$B$2:$B$800),--(Risk_Rank_Keys!$B$2:$B$800&lt;Risk_Rank_Keys!B562))+(SUMPRODUCT(--ISNUMBER(Risk_Rank_Keys!$B$2:$B$800),--(Risk_Rank_Keys!$B$2:$B$800=Risk_Rank_Keys!B562))+1)/2)/COUNT(Risk_Rank_Keys!$B$2:$B$800))</f>
        <v>0.0251046025104603</v>
      </c>
      <c r="N562" s="0" t="n">
        <f aca="false">IF(OR(B562="NW",COUNT(Risk_Rank_Keys!C562)=0),0.5,(SUMPRODUCT(--ISNUMBER(Risk_Rank_Keys!$C$2:$C$800),--(Risk_Rank_Keys!$C$2:$C$800&lt;Risk_Rank_Keys!C562))+(SUMPRODUCT(--ISNUMBER(Risk_Rank_Keys!$C$2:$C$800),--(Risk_Rank_Keys!$C$2:$C$800=Risk_Rank_Keys!C562))+1)/2)/COUNT(Risk_Rank_Keys!$C$2:$C$800))</f>
        <v>0.0320781032078103</v>
      </c>
      <c r="O562" s="0" t="n">
        <f aca="false">IF(OR(B562="NW",COUNT(Risk_Rank_Keys!D562)=0),0.5,(SUMPRODUCT(--ISNUMBER(Risk_Rank_Keys!$D$2:$D$800),--(Risk_Rank_Keys!$D$2:$D$800&lt;Risk_Rank_Keys!D562))+(SUMPRODUCT(--ISNUMBER(Risk_Rank_Keys!$D$2:$D$800),--(Risk_Rank_Keys!$D$2:$D$800=Risk_Rank_Keys!D562))+1)/2)/COUNT(Risk_Rank_Keys!$D$2:$D$800))</f>
        <v>0.224546722454672</v>
      </c>
      <c r="P562" s="0" t="n">
        <f aca="false">AVERAGE(M562:O562)</f>
        <v>0.0939098093909809</v>
      </c>
      <c r="Q562" s="0" t="n">
        <f aca="false">0.4*H562+0.4*I562+0.2*P562</f>
        <v>0.716654302303728</v>
      </c>
      <c r="R562" s="0" t="n">
        <f aca="false">PERCENTILE($Q$2:$Q$800,0.75)</f>
        <v>0.667715717403612</v>
      </c>
      <c r="S562" s="1" t="b">
        <f aca="false">OR(Q562&gt;=R562,AND(B562="CW",COUNT(J562:L562)&lt;3))</f>
        <v>1</v>
      </c>
      <c r="T562" s="0" t="n">
        <v>0.368435498290368</v>
      </c>
      <c r="U562" s="0" t="n">
        <v>10.974492091803</v>
      </c>
      <c r="V562" s="0" t="n">
        <v>0.716654302303728</v>
      </c>
      <c r="W562" s="0" t="n">
        <f aca="false">Q562-V562</f>
        <v>0</v>
      </c>
    </row>
    <row r="563" customFormat="false" ht="15" hidden="false" customHeight="false" outlineLevel="0" collapsed="false">
      <c r="A563" s="0" t="s">
        <v>597</v>
      </c>
      <c r="B563" s="0" t="s">
        <v>3013</v>
      </c>
      <c r="C563" s="0" t="n">
        <v>34.4843511096038</v>
      </c>
      <c r="D563" s="0" t="n">
        <f aca="false">SUMPRODUCT(Risk_Inputs!B563:AJ563,Risk_Coefs!$B$2:$AJ$2)</f>
        <v>-1.08139897288596</v>
      </c>
      <c r="E563" s="0" t="n">
        <f aca="false">1/(1+EXP(-MAX(-25,MIN(25,D563))))</f>
        <v>0.253241365336587</v>
      </c>
      <c r="F563" s="0" t="n">
        <f aca="false">SUMPRODUCT(Risk_Inputs!B563:AJ563,Risk_Coefs!$B$3:$AJ$3)</f>
        <v>7.11064428743102</v>
      </c>
      <c r="G563" s="0" t="n">
        <f aca="false">MAX(0,F563)</f>
        <v>7.11064428743102</v>
      </c>
      <c r="H563" s="0" t="n">
        <f aca="false">(SUMPRODUCT(--ISNUMBER($E$2:$E$800),--($E$2:$E$800&lt;E563))+(SUMPRODUCT(--ISNUMBER($E$2:$E$800),--($E$2:$E$800=E563))+1)/2)/COUNT($E$2:$E$800)</f>
        <v>0.289111389236546</v>
      </c>
      <c r="I563" s="0" t="n">
        <f aca="false">(SUMPRODUCT(--ISNUMBER($G$2:$G$800),--($G$2:$G$800&lt;G563))+(SUMPRODUCT(--ISNUMBER($G$2:$G$800),--($G$2:$G$800=G563))+1)/2)/COUNT($G$2:$G$800)</f>
        <v>0.430538172715895</v>
      </c>
      <c r="J563" s="0" t="n">
        <v>8.05041062885954</v>
      </c>
      <c r="K563" s="0" t="n">
        <v>5.63130865946519</v>
      </c>
      <c r="L563" s="0" t="n">
        <v>0.159376660173539</v>
      </c>
      <c r="M563" s="0" t="n">
        <f aca="false">IF(OR(B563="NW",COUNT(Risk_Rank_Keys!B563)=0),0.5,(SUMPRODUCT(--ISNUMBER(Risk_Rank_Keys!$B$2:$B$800),--(Risk_Rank_Keys!$B$2:$B$800&lt;Risk_Rank_Keys!B563))+(SUMPRODUCT(--ISNUMBER(Risk_Rank_Keys!$B$2:$B$800),--(Risk_Rank_Keys!$B$2:$B$800=Risk_Rank_Keys!B563))+1)/2)/COUNT(Risk_Rank_Keys!$B$2:$B$800))</f>
        <v>0.389121338912134</v>
      </c>
      <c r="N563" s="0" t="n">
        <f aca="false">IF(OR(B563="NW",COUNT(Risk_Rank_Keys!C563)=0),0.5,(SUMPRODUCT(--ISNUMBER(Risk_Rank_Keys!$C$2:$C$800),--(Risk_Rank_Keys!$C$2:$C$800&lt;Risk_Rank_Keys!C563))+(SUMPRODUCT(--ISNUMBER(Risk_Rank_Keys!$C$2:$C$800),--(Risk_Rank_Keys!$C$2:$C$800=Risk_Rank_Keys!C563))+1)/2)/COUNT(Risk_Rank_Keys!$C$2:$C$800))</f>
        <v>0.728033472803347</v>
      </c>
      <c r="O563" s="0" t="n">
        <f aca="false">IF(OR(B563="NW",COUNT(Risk_Rank_Keys!D563)=0),0.5,(SUMPRODUCT(--ISNUMBER(Risk_Rank_Keys!$D$2:$D$800),--(Risk_Rank_Keys!$D$2:$D$800&lt;Risk_Rank_Keys!D563))+(SUMPRODUCT(--ISNUMBER(Risk_Rank_Keys!$D$2:$D$800),--(Risk_Rank_Keys!$D$2:$D$800=Risk_Rank_Keys!D563))+1)/2)/COUNT(Risk_Rank_Keys!$D$2:$D$800))</f>
        <v>0.131101813110181</v>
      </c>
      <c r="P563" s="0" t="n">
        <f aca="false">AVERAGE(M563:O563)</f>
        <v>0.416085541608554</v>
      </c>
      <c r="Q563" s="0" t="n">
        <f aca="false">0.4*H563+0.4*I563+0.2*P563</f>
        <v>0.371076933102687</v>
      </c>
      <c r="R563" s="0" t="n">
        <f aca="false">PERCENTILE($Q$2:$Q$800,0.75)</f>
        <v>0.667715717403612</v>
      </c>
      <c r="S563" s="1" t="b">
        <f aca="false">OR(Q563&gt;=R563,AND(B563="CW",COUNT(J563:L563)&lt;3))</f>
        <v>0</v>
      </c>
      <c r="T563" s="0" t="n">
        <v>0.253241365336587</v>
      </c>
      <c r="U563" s="0" t="n">
        <v>7.11064428743102</v>
      </c>
      <c r="V563" s="0" t="n">
        <v>0.371076933102687</v>
      </c>
      <c r="W563" s="0" t="n">
        <f aca="false">Q563-V563</f>
        <v>0</v>
      </c>
    </row>
    <row r="564" customFormat="false" ht="15" hidden="false" customHeight="false" outlineLevel="0" collapsed="false">
      <c r="A564" s="0" t="s">
        <v>598</v>
      </c>
      <c r="B564" s="0" t="s">
        <v>3013</v>
      </c>
      <c r="C564" s="0" t="n">
        <v>37.7459687326598</v>
      </c>
      <c r="D564" s="0" t="n">
        <f aca="false">SUMPRODUCT(Risk_Inputs!B564:AJ564,Risk_Coefs!$B$2:$AJ$2)</f>
        <v>-1.03443797524977</v>
      </c>
      <c r="E564" s="0" t="n">
        <f aca="false">1/(1+EXP(-MAX(-25,MIN(25,D564))))</f>
        <v>0.262224615196274</v>
      </c>
      <c r="F564" s="0" t="n">
        <f aca="false">SUMPRODUCT(Risk_Inputs!B564:AJ564,Risk_Coefs!$B$3:$AJ$3)</f>
        <v>6.18390395190822</v>
      </c>
      <c r="G564" s="0" t="n">
        <f aca="false">MAX(0,F564)</f>
        <v>6.18390395190822</v>
      </c>
      <c r="H564" s="0" t="n">
        <f aca="false">(SUMPRODUCT(--ISNUMBER($E$2:$E$800),--($E$2:$E$800&lt;E564))+(SUMPRODUCT(--ISNUMBER($E$2:$E$800),--($E$2:$E$800=E564))+1)/2)/COUNT($E$2:$E$800)</f>
        <v>0.350438047559449</v>
      </c>
      <c r="I564" s="0" t="n">
        <f aca="false">(SUMPRODUCT(--ISNUMBER($G$2:$G$800),--($G$2:$G$800&lt;G564))+(SUMPRODUCT(--ISNUMBER($G$2:$G$800),--($G$2:$G$800=G564))+1)/2)/COUNT($G$2:$G$800)</f>
        <v>0.292866082603254</v>
      </c>
      <c r="J564" s="0" t="n">
        <v>4.68617116674147</v>
      </c>
      <c r="K564" s="0" t="n">
        <v>2.09258084971464</v>
      </c>
      <c r="L564" s="0" t="n">
        <v>0.169097442401186</v>
      </c>
      <c r="M564" s="0" t="n">
        <f aca="false">IF(OR(B564="NW",COUNT(Risk_Rank_Keys!B564)=0),0.5,(SUMPRODUCT(--ISNUMBER(Risk_Rank_Keys!$B$2:$B$800),--(Risk_Rank_Keys!$B$2:$B$800&lt;Risk_Rank_Keys!B564))+(SUMPRODUCT(--ISNUMBER(Risk_Rank_Keys!$B$2:$B$800),--(Risk_Rank_Keys!$B$2:$B$800=Risk_Rank_Keys!B564))+1)/2)/COUNT(Risk_Rank_Keys!$B$2:$B$800))</f>
        <v>0.112970711297071</v>
      </c>
      <c r="N564" s="0" t="n">
        <f aca="false">IF(OR(B564="NW",COUNT(Risk_Rank_Keys!C564)=0),0.5,(SUMPRODUCT(--ISNUMBER(Risk_Rank_Keys!$C$2:$C$800),--(Risk_Rank_Keys!$C$2:$C$800&lt;Risk_Rank_Keys!C564))+(SUMPRODUCT(--ISNUMBER(Risk_Rank_Keys!$C$2:$C$800),--(Risk_Rank_Keys!$C$2:$C$800=Risk_Rank_Keys!C564))+1)/2)/COUNT(Risk_Rank_Keys!$C$2:$C$800))</f>
        <v>0.294281729428173</v>
      </c>
      <c r="O564" s="0" t="n">
        <f aca="false">IF(OR(B564="NW",COUNT(Risk_Rank_Keys!D564)=0),0.5,(SUMPRODUCT(--ISNUMBER(Risk_Rank_Keys!$D$2:$D$800),--(Risk_Rank_Keys!$D$2:$D$800&lt;Risk_Rank_Keys!D564))+(SUMPRODUCT(--ISNUMBER(Risk_Rank_Keys!$D$2:$D$800),--(Risk_Rank_Keys!$D$2:$D$800=Risk_Rank_Keys!D564))+1)/2)/COUNT(Risk_Rank_Keys!$D$2:$D$800))</f>
        <v>0.160390516039052</v>
      </c>
      <c r="P564" s="0" t="n">
        <f aca="false">AVERAGE(M564:O564)</f>
        <v>0.189214318921432</v>
      </c>
      <c r="Q564" s="0" t="n">
        <f aca="false">0.4*H564+0.4*I564+0.2*P564</f>
        <v>0.295164515849368</v>
      </c>
      <c r="R564" s="0" t="n">
        <f aca="false">PERCENTILE($Q$2:$Q$800,0.75)</f>
        <v>0.667715717403612</v>
      </c>
      <c r="S564" s="1" t="b">
        <f aca="false">OR(Q564&gt;=R564,AND(B564="CW",COUNT(J564:L564)&lt;3))</f>
        <v>0</v>
      </c>
      <c r="T564" s="0" t="n">
        <v>0.262224615196274</v>
      </c>
      <c r="U564" s="0" t="n">
        <v>6.18390395190822</v>
      </c>
      <c r="V564" s="0" t="n">
        <v>0.295164515849368</v>
      </c>
      <c r="W564" s="0" t="n">
        <f aca="false">Q564-V564</f>
        <v>0</v>
      </c>
    </row>
    <row r="565" customFormat="false" ht="15" hidden="false" customHeight="false" outlineLevel="0" collapsed="false">
      <c r="A565" s="0" t="s">
        <v>599</v>
      </c>
      <c r="B565" s="0" t="s">
        <v>3013</v>
      </c>
      <c r="C565" s="0" t="n">
        <v>36.5197882863194</v>
      </c>
      <c r="D565" s="0" t="n">
        <f aca="false">SUMPRODUCT(Risk_Inputs!B565:AJ565,Risk_Coefs!$B$2:$AJ$2)</f>
        <v>-0.754197174696384</v>
      </c>
      <c r="E565" s="0" t="n">
        <f aca="false">1/(1+EXP(-MAX(-25,MIN(25,D565))))</f>
        <v>0.319907446071141</v>
      </c>
      <c r="F565" s="0" t="n">
        <f aca="false">SUMPRODUCT(Risk_Inputs!B565:AJ565,Risk_Coefs!$B$3:$AJ$3)</f>
        <v>8.59046571587597</v>
      </c>
      <c r="G565" s="0" t="n">
        <f aca="false">MAX(0,F565)</f>
        <v>8.59046571587597</v>
      </c>
      <c r="H565" s="0" t="n">
        <f aca="false">(SUMPRODUCT(--ISNUMBER($E$2:$E$800),--($E$2:$E$800&lt;E565))+(SUMPRODUCT(--ISNUMBER($E$2:$E$800),--($E$2:$E$800=E565))+1)/2)/COUNT($E$2:$E$800)</f>
        <v>0.669586983729662</v>
      </c>
      <c r="I565" s="0" t="n">
        <f aca="false">(SUMPRODUCT(--ISNUMBER($G$2:$G$800),--($G$2:$G$800&lt;G565))+(SUMPRODUCT(--ISNUMBER($G$2:$G$800),--($G$2:$G$800=G565))+1)/2)/COUNT($G$2:$G$800)</f>
        <v>0.618272841051314</v>
      </c>
      <c r="J565" s="0" t="n">
        <v>3.76142170166718</v>
      </c>
      <c r="K565" s="0" t="n">
        <v>2.19810040705564</v>
      </c>
      <c r="L565" s="0" t="n">
        <v>0.244233378561731</v>
      </c>
      <c r="M565" s="0" t="n">
        <f aca="false">IF(OR(B565="NW",COUNT(Risk_Rank_Keys!B565)=0),0.5,(SUMPRODUCT(--ISNUMBER(Risk_Rank_Keys!$B$2:$B$800),--(Risk_Rank_Keys!$B$2:$B$800&lt;Risk_Rank_Keys!B565))+(SUMPRODUCT(--ISNUMBER(Risk_Rank_Keys!$B$2:$B$800),--(Risk_Rank_Keys!$B$2:$B$800=Risk_Rank_Keys!B565))+1)/2)/COUNT(Risk_Rank_Keys!$B$2:$B$800))</f>
        <v>0.0613668061366806</v>
      </c>
      <c r="N565" s="0" t="n">
        <f aca="false">IF(OR(B565="NW",COUNT(Risk_Rank_Keys!C565)=0),0.5,(SUMPRODUCT(--ISNUMBER(Risk_Rank_Keys!$C$2:$C$800),--(Risk_Rank_Keys!$C$2:$C$800&lt;Risk_Rank_Keys!C565))+(SUMPRODUCT(--ISNUMBER(Risk_Rank_Keys!$C$2:$C$800),--(Risk_Rank_Keys!$C$2:$C$800=Risk_Rank_Keys!C565))+1)/2)/COUNT(Risk_Rank_Keys!$C$2:$C$800))</f>
        <v>0.313807531380753</v>
      </c>
      <c r="O565" s="0" t="n">
        <f aca="false">IF(OR(B565="NW",COUNT(Risk_Rank_Keys!D565)=0),0.5,(SUMPRODUCT(--ISNUMBER(Risk_Rank_Keys!$D$2:$D$800),--(Risk_Rank_Keys!$D$2:$D$800&lt;Risk_Rank_Keys!D565))+(SUMPRODUCT(--ISNUMBER(Risk_Rank_Keys!$D$2:$D$800),--(Risk_Rank_Keys!$D$2:$D$800=Risk_Rank_Keys!D565))+1)/2)/COUNT(Risk_Rank_Keys!$D$2:$D$800))</f>
        <v>0.563458856345886</v>
      </c>
      <c r="P565" s="0" t="n">
        <f aca="false">AVERAGE(M565:O565)</f>
        <v>0.312877731287773</v>
      </c>
      <c r="Q565" s="0" t="n">
        <f aca="false">0.4*H565+0.4*I565+0.2*P565</f>
        <v>0.577719476169945</v>
      </c>
      <c r="R565" s="0" t="n">
        <f aca="false">PERCENTILE($Q$2:$Q$800,0.75)</f>
        <v>0.667715717403612</v>
      </c>
      <c r="S565" s="1" t="b">
        <f aca="false">OR(Q565&gt;=R565,AND(B565="CW",COUNT(J565:L565)&lt;3))</f>
        <v>0</v>
      </c>
      <c r="T565" s="0" t="n">
        <v>0.319907446071141</v>
      </c>
      <c r="U565" s="0" t="n">
        <v>8.59046571587597</v>
      </c>
      <c r="V565" s="0" t="n">
        <v>0.577719476169945</v>
      </c>
      <c r="W565" s="0" t="n">
        <f aca="false">Q565-V565</f>
        <v>0</v>
      </c>
    </row>
    <row r="566" customFormat="false" ht="15" hidden="false" customHeight="false" outlineLevel="0" collapsed="false">
      <c r="A566" s="0" t="s">
        <v>600</v>
      </c>
      <c r="B566" s="0" t="s">
        <v>3013</v>
      </c>
      <c r="C566" s="0" t="n">
        <v>-39.5511183298673</v>
      </c>
      <c r="D566" s="0" t="n">
        <f aca="false">SUMPRODUCT(Risk_Inputs!B566:AJ566,Risk_Coefs!$B$2:$AJ$2)</f>
        <v>-0.690813669228489</v>
      </c>
      <c r="E566" s="0" t="n">
        <f aca="false">1/(1+EXP(-MAX(-25,MIN(25,D566))))</f>
        <v>0.333852092926823</v>
      </c>
      <c r="F566" s="0" t="n">
        <f aca="false">SUMPRODUCT(Risk_Inputs!B566:AJ566,Risk_Coefs!$B$3:$AJ$3)</f>
        <v>9.64433970751536</v>
      </c>
      <c r="G566" s="0" t="n">
        <f aca="false">MAX(0,F566)</f>
        <v>9.64433970751536</v>
      </c>
      <c r="H566" s="0" t="n">
        <f aca="false">(SUMPRODUCT(--ISNUMBER($E$2:$E$800),--($E$2:$E$800&lt;E566))+(SUMPRODUCT(--ISNUMBER($E$2:$E$800),--($E$2:$E$800=E566))+1)/2)/COUNT($E$2:$E$800)</f>
        <v>0.753441802252816</v>
      </c>
      <c r="I566" s="0" t="n">
        <f aca="false">(SUMPRODUCT(--ISNUMBER($G$2:$G$800),--($G$2:$G$800&lt;G566))+(SUMPRODUCT(--ISNUMBER($G$2:$G$800),--($G$2:$G$800=G566))+1)/2)/COUNT($G$2:$G$800)</f>
        <v>0.740926157697121</v>
      </c>
      <c r="J566" s="0" t="n">
        <v>8.29516979175751</v>
      </c>
      <c r="K566" s="0" t="n">
        <v>6.85185185185187</v>
      </c>
      <c r="L566" s="0" t="n">
        <v>0.259259259259266</v>
      </c>
      <c r="M566" s="0" t="n">
        <f aca="false">IF(OR(B566="NW",COUNT(Risk_Rank_Keys!B566)=0),0.5,(SUMPRODUCT(--ISNUMBER(Risk_Rank_Keys!$B$2:$B$800),--(Risk_Rank_Keys!$B$2:$B$800&lt;Risk_Rank_Keys!B566))+(SUMPRODUCT(--ISNUMBER(Risk_Rank_Keys!$B$2:$B$800),--(Risk_Rank_Keys!$B$2:$B$800=Risk_Rank_Keys!B566))+1)/2)/COUNT(Risk_Rank_Keys!$B$2:$B$800))</f>
        <v>0.400278940027894</v>
      </c>
      <c r="N566" s="0" t="n">
        <f aca="false">IF(OR(B566="NW",COUNT(Risk_Rank_Keys!C566)=0),0.5,(SUMPRODUCT(--ISNUMBER(Risk_Rank_Keys!$C$2:$C$800),--(Risk_Rank_Keys!$C$2:$C$800&lt;Risk_Rank_Keys!C566))+(SUMPRODUCT(--ISNUMBER(Risk_Rank_Keys!$C$2:$C$800),--(Risk_Rank_Keys!$C$2:$C$800=Risk_Rank_Keys!C566))+1)/2)/COUNT(Risk_Rank_Keys!$C$2:$C$800))</f>
        <v>0.779637377963738</v>
      </c>
      <c r="O566" s="0" t="n">
        <f aca="false">IF(OR(B566="NW",COUNT(Risk_Rank_Keys!D566)=0),0.5,(SUMPRODUCT(--ISNUMBER(Risk_Rank_Keys!$D$2:$D$800),--(Risk_Rank_Keys!$D$2:$D$800&lt;Risk_Rank_Keys!D566))+(SUMPRODUCT(--ISNUMBER(Risk_Rank_Keys!$D$2:$D$800),--(Risk_Rank_Keys!$D$2:$D$800=Risk_Rank_Keys!D566))+1)/2)/COUNT(Risk_Rank_Keys!$D$2:$D$800))</f>
        <v>0.626220362622036</v>
      </c>
      <c r="P566" s="0" t="n">
        <f aca="false">AVERAGE(M566:O566)</f>
        <v>0.602045560204556</v>
      </c>
      <c r="Q566" s="0" t="n">
        <f aca="false">0.4*H566+0.4*I566+0.2*P566</f>
        <v>0.718156296020886</v>
      </c>
      <c r="R566" s="0" t="n">
        <f aca="false">PERCENTILE($Q$2:$Q$800,0.75)</f>
        <v>0.667715717403612</v>
      </c>
      <c r="S566" s="1" t="b">
        <f aca="false">OR(Q566&gt;=R566,AND(B566="CW",COUNT(J566:L566)&lt;3))</f>
        <v>1</v>
      </c>
      <c r="T566" s="0" t="n">
        <v>0.333852092926823</v>
      </c>
      <c r="U566" s="0" t="n">
        <v>9.64433970751536</v>
      </c>
      <c r="V566" s="0" t="n">
        <v>0.718156296020886</v>
      </c>
      <c r="W566" s="0" t="n">
        <f aca="false">Q566-V566</f>
        <v>0</v>
      </c>
    </row>
    <row r="567" customFormat="false" ht="15" hidden="false" customHeight="false" outlineLevel="0" collapsed="false">
      <c r="A567" s="0" t="s">
        <v>601</v>
      </c>
      <c r="B567" s="0" t="s">
        <v>3013</v>
      </c>
      <c r="C567" s="0" t="n">
        <v>26.2553711649196</v>
      </c>
      <c r="D567" s="0" t="n">
        <f aca="false">SUMPRODUCT(Risk_Inputs!B567:AJ567,Risk_Coefs!$B$2:$AJ$2)</f>
        <v>-0.925050478503072</v>
      </c>
      <c r="E567" s="0" t="n">
        <f aca="false">1/(1+EXP(-MAX(-25,MIN(25,D567))))</f>
        <v>0.283929943099584</v>
      </c>
      <c r="F567" s="0" t="n">
        <f aca="false">SUMPRODUCT(Risk_Inputs!B567:AJ567,Risk_Coefs!$B$3:$AJ$3)</f>
        <v>6.87505985352206</v>
      </c>
      <c r="G567" s="0" t="n">
        <f aca="false">MAX(0,F567)</f>
        <v>6.87505985352206</v>
      </c>
      <c r="H567" s="0" t="n">
        <f aca="false">(SUMPRODUCT(--ISNUMBER($E$2:$E$800),--($E$2:$E$800&lt;E567))+(SUMPRODUCT(--ISNUMBER($E$2:$E$800),--($E$2:$E$800=E567))+1)/2)/COUNT($E$2:$E$800)</f>
        <v>0.481852315394243</v>
      </c>
      <c r="I567" s="0" t="n">
        <f aca="false">(SUMPRODUCT(--ISNUMBER($G$2:$G$800),--($G$2:$G$800&lt;G567))+(SUMPRODUCT(--ISNUMBER($G$2:$G$800),--($G$2:$G$800=G567))+1)/2)/COUNT($G$2:$G$800)</f>
        <v>0.405506883604506</v>
      </c>
      <c r="J567" s="0" t="n">
        <v>2.51601577465731</v>
      </c>
      <c r="K567" s="0" t="n">
        <v>1.11373607829903</v>
      </c>
      <c r="L567" s="0" t="n">
        <v>0.101248734390814</v>
      </c>
      <c r="M567" s="0" t="n">
        <f aca="false">IF(OR(B567="NW",COUNT(Risk_Rank_Keys!B567)=0),0.5,(SUMPRODUCT(--ISNUMBER(Risk_Rank_Keys!$B$2:$B$800),--(Risk_Rank_Keys!$B$2:$B$800&lt;Risk_Rank_Keys!B567))+(SUMPRODUCT(--ISNUMBER(Risk_Rank_Keys!$B$2:$B$800),--(Risk_Rank_Keys!$B$2:$B$800=Risk_Rank_Keys!B567))+1)/2)/COUNT(Risk_Rank_Keys!$B$2:$B$800))</f>
        <v>0.0125523012552301</v>
      </c>
      <c r="N567" s="0" t="n">
        <f aca="false">IF(OR(B567="NW",COUNT(Risk_Rank_Keys!C567)=0),0.5,(SUMPRODUCT(--ISNUMBER(Risk_Rank_Keys!$C$2:$C$800),--(Risk_Rank_Keys!$C$2:$C$800&lt;Risk_Rank_Keys!C567))+(SUMPRODUCT(--ISNUMBER(Risk_Rank_Keys!$C$2:$C$800),--(Risk_Rank_Keys!$C$2:$C$800=Risk_Rank_Keys!C567))+1)/2)/COUNT(Risk_Rank_Keys!$C$2:$C$800))</f>
        <v>0.0446304044630404</v>
      </c>
      <c r="O567" s="0" t="n">
        <f aca="false">IF(OR(B567="NW",COUNT(Risk_Rank_Keys!D567)=0),0.5,(SUMPRODUCT(--ISNUMBER(Risk_Rank_Keys!$D$2:$D$800),--(Risk_Rank_Keys!$D$2:$D$800&lt;Risk_Rank_Keys!D567))+(SUMPRODUCT(--ISNUMBER(Risk_Rank_Keys!$D$2:$D$800),--(Risk_Rank_Keys!$D$2:$D$800=Risk_Rank_Keys!D567))+1)/2)/COUNT(Risk_Rank_Keys!$D$2:$D$800))</f>
        <v>0.0209205020920502</v>
      </c>
      <c r="P567" s="0" t="n">
        <f aca="false">AVERAGE(M567:O567)</f>
        <v>0.0260344026034403</v>
      </c>
      <c r="Q567" s="0" t="n">
        <f aca="false">0.4*H567+0.4*I567+0.2*P567</f>
        <v>0.360150560120187</v>
      </c>
      <c r="R567" s="0" t="n">
        <f aca="false">PERCENTILE($Q$2:$Q$800,0.75)</f>
        <v>0.667715717403612</v>
      </c>
      <c r="S567" s="1" t="b">
        <f aca="false">OR(Q567&gt;=R567,AND(B567="CW",COUNT(J567:L567)&lt;3))</f>
        <v>0</v>
      </c>
      <c r="T567" s="0" t="n">
        <v>0.283929943099584</v>
      </c>
      <c r="U567" s="0" t="n">
        <v>6.87505985352206</v>
      </c>
      <c r="V567" s="0" t="n">
        <v>0.360150560120187</v>
      </c>
      <c r="W567" s="0" t="n">
        <f aca="false">Q567-V567</f>
        <v>0</v>
      </c>
    </row>
    <row r="568" customFormat="false" ht="15" hidden="false" customHeight="false" outlineLevel="0" collapsed="false">
      <c r="A568" s="0" t="s">
        <v>602</v>
      </c>
      <c r="B568" s="0" t="s">
        <v>3013</v>
      </c>
      <c r="C568" s="0" t="n">
        <v>-6.85446570112322</v>
      </c>
      <c r="D568" s="0" t="n">
        <f aca="false">SUMPRODUCT(Risk_Inputs!B568:AJ568,Risk_Coefs!$B$2:$AJ$2)</f>
        <v>-1.06355004161146</v>
      </c>
      <c r="E568" s="0" t="n">
        <f aca="false">1/(1+EXP(-MAX(-25,MIN(25,D568))))</f>
        <v>0.256631621839676</v>
      </c>
      <c r="F568" s="0" t="n">
        <f aca="false">SUMPRODUCT(Risk_Inputs!B568:AJ568,Risk_Coefs!$B$3:$AJ$3)</f>
        <v>5.32194207579145</v>
      </c>
      <c r="G568" s="0" t="n">
        <f aca="false">MAX(0,F568)</f>
        <v>5.32194207579145</v>
      </c>
      <c r="H568" s="0" t="n">
        <f aca="false">(SUMPRODUCT(--ISNUMBER($E$2:$E$800),--($E$2:$E$800&lt;E568))+(SUMPRODUCT(--ISNUMBER($E$2:$E$800),--($E$2:$E$800=E568))+1)/2)/COUNT($E$2:$E$800)</f>
        <v>0.305381727158949</v>
      </c>
      <c r="I568" s="0" t="n">
        <f aca="false">(SUMPRODUCT(--ISNUMBER($G$2:$G$800),--($G$2:$G$800&lt;G568))+(SUMPRODUCT(--ISNUMBER($G$2:$G$800),--($G$2:$G$800=G568))+1)/2)/COUNT($G$2:$G$800)</f>
        <v>0.177722152690864</v>
      </c>
      <c r="J568" s="0" t="n">
        <v>25.5966184283917</v>
      </c>
      <c r="K568" s="0" t="n">
        <v>27.9315263908702</v>
      </c>
      <c r="L568" s="0" t="n">
        <v>0.256776034236806</v>
      </c>
      <c r="M568" s="0" t="n">
        <f aca="false">IF(OR(B568="NW",COUNT(Risk_Rank_Keys!B568)=0),0.5,(SUMPRODUCT(--ISNUMBER(Risk_Rank_Keys!$B$2:$B$800),--(Risk_Rank_Keys!$B$2:$B$800&lt;Risk_Rank_Keys!B568))+(SUMPRODUCT(--ISNUMBER(Risk_Rank_Keys!$B$2:$B$800),--(Risk_Rank_Keys!$B$2:$B$800=Risk_Rank_Keys!B568))+1)/2)/COUNT(Risk_Rank_Keys!$B$2:$B$800))</f>
        <v>0.864714086471409</v>
      </c>
      <c r="N568" s="0" t="n">
        <f aca="false">IF(OR(B568="NW",COUNT(Risk_Rank_Keys!C568)=0),0.5,(SUMPRODUCT(--ISNUMBER(Risk_Rank_Keys!$C$2:$C$800),--(Risk_Rank_Keys!$C$2:$C$800&lt;Risk_Rank_Keys!C568))+(SUMPRODUCT(--ISNUMBER(Risk_Rank_Keys!$C$2:$C$800),--(Risk_Rank_Keys!$C$2:$C$800=Risk_Rank_Keys!C568))+1)/2)/COUNT(Risk_Rank_Keys!$C$2:$C$800))</f>
        <v>0.98186889818689</v>
      </c>
      <c r="O568" s="0" t="n">
        <f aca="false">IF(OR(B568="NW",COUNT(Risk_Rank_Keys!D568)=0),0.5,(SUMPRODUCT(--ISNUMBER(Risk_Rank_Keys!$D$2:$D$800),--(Risk_Rank_Keys!$D$2:$D$800&lt;Risk_Rank_Keys!D568))+(SUMPRODUCT(--ISNUMBER(Risk_Rank_Keys!$D$2:$D$800),--(Risk_Rank_Keys!$D$2:$D$800=Risk_Rank_Keys!D568))+1)/2)/COUNT(Risk_Rank_Keys!$D$2:$D$800))</f>
        <v>0.612273361227336</v>
      </c>
      <c r="P568" s="0" t="n">
        <f aca="false">AVERAGE(M568:O568)</f>
        <v>0.819618781961878</v>
      </c>
      <c r="Q568" s="0" t="n">
        <f aca="false">0.4*H568+0.4*I568+0.2*P568</f>
        <v>0.357165308332301</v>
      </c>
      <c r="R568" s="0" t="n">
        <f aca="false">PERCENTILE($Q$2:$Q$800,0.75)</f>
        <v>0.667715717403612</v>
      </c>
      <c r="S568" s="1" t="b">
        <f aca="false">OR(Q568&gt;=R568,AND(B568="CW",COUNT(J568:L568)&lt;3))</f>
        <v>0</v>
      </c>
      <c r="T568" s="0" t="n">
        <v>0.256631621839676</v>
      </c>
      <c r="U568" s="0" t="n">
        <v>5.32194207579145</v>
      </c>
      <c r="V568" s="0" t="n">
        <v>0.357165308332301</v>
      </c>
      <c r="W568" s="0" t="n">
        <f aca="false">Q568-V568</f>
        <v>0</v>
      </c>
    </row>
    <row r="569" customFormat="false" ht="15" hidden="false" customHeight="false" outlineLevel="0" collapsed="false">
      <c r="A569" s="0" t="s">
        <v>603</v>
      </c>
      <c r="B569" s="0" t="s">
        <v>3013</v>
      </c>
      <c r="C569" s="0" t="n">
        <v>37.8763873494428</v>
      </c>
      <c r="D569" s="0" t="n">
        <f aca="false">SUMPRODUCT(Risk_Inputs!B569:AJ569,Risk_Coefs!$B$2:$AJ$2)</f>
        <v>-0.26652490749785</v>
      </c>
      <c r="E569" s="0" t="n">
        <f aca="false">1/(1+EXP(-MAX(-25,MIN(25,D569))))</f>
        <v>0.433760423275682</v>
      </c>
      <c r="F569" s="0" t="n">
        <f aca="false">SUMPRODUCT(Risk_Inputs!B569:AJ569,Risk_Coefs!$B$3:$AJ$3)</f>
        <v>14.5056068104871</v>
      </c>
      <c r="G569" s="0" t="n">
        <f aca="false">MAX(0,F569)</f>
        <v>14.5056068104871</v>
      </c>
      <c r="H569" s="0" t="n">
        <f aca="false">(SUMPRODUCT(--ISNUMBER($E$2:$E$800),--($E$2:$E$800&lt;E569))+(SUMPRODUCT(--ISNUMBER($E$2:$E$800),--($E$2:$E$800=E569))+1)/2)/COUNT($E$2:$E$800)</f>
        <v>0.973717146433041</v>
      </c>
      <c r="I569" s="0" t="n">
        <f aca="false">(SUMPRODUCT(--ISNUMBER($G$2:$G$800),--($G$2:$G$800&lt;G569))+(SUMPRODUCT(--ISNUMBER($G$2:$G$800),--($G$2:$G$800=G569))+1)/2)/COUNT($G$2:$G$800)</f>
        <v>0.981226533166458</v>
      </c>
      <c r="J569" s="0" t="n">
        <v>5.11676910277282</v>
      </c>
      <c r="K569" s="0" t="n">
        <v>1.16071428571427</v>
      </c>
      <c r="L569" s="0" t="n">
        <v>0.165816326530614</v>
      </c>
      <c r="M569" s="0" t="n">
        <f aca="false">IF(OR(B569="NW",COUNT(Risk_Rank_Keys!B569)=0),0.5,(SUMPRODUCT(--ISNUMBER(Risk_Rank_Keys!$B$2:$B$800),--(Risk_Rank_Keys!$B$2:$B$800&lt;Risk_Rank_Keys!B569))+(SUMPRODUCT(--ISNUMBER(Risk_Rank_Keys!$B$2:$B$800),--(Risk_Rank_Keys!$B$2:$B$800=Risk_Rank_Keys!B569))+1)/2)/COUNT(Risk_Rank_Keys!$B$2:$B$800))</f>
        <v>0.140864714086471</v>
      </c>
      <c r="N569" s="0" t="n">
        <f aca="false">IF(OR(B569="NW",COUNT(Risk_Rank_Keys!C569)=0),0.5,(SUMPRODUCT(--ISNUMBER(Risk_Rank_Keys!$C$2:$C$800),--(Risk_Rank_Keys!$C$2:$C$800&lt;Risk_Rank_Keys!C569))+(SUMPRODUCT(--ISNUMBER(Risk_Rank_Keys!$C$2:$C$800),--(Risk_Rank_Keys!$C$2:$C$800=Risk_Rank_Keys!C569))+1)/2)/COUNT(Risk_Rank_Keys!$C$2:$C$800))</f>
        <v>0.0585774058577406</v>
      </c>
      <c r="O569" s="0" t="n">
        <f aca="false">IF(OR(B569="NW",COUNT(Risk_Rank_Keys!D569)=0),0.5,(SUMPRODUCT(--ISNUMBER(Risk_Rank_Keys!$D$2:$D$800),--(Risk_Rank_Keys!$D$2:$D$800&lt;Risk_Rank_Keys!D569))+(SUMPRODUCT(--ISNUMBER(Risk_Rank_Keys!$D$2:$D$800),--(Risk_Rank_Keys!$D$2:$D$800=Risk_Rank_Keys!D569))+1)/2)/COUNT(Risk_Rank_Keys!$D$2:$D$800))</f>
        <v>0.156206415620642</v>
      </c>
      <c r="P569" s="0" t="n">
        <f aca="false">AVERAGE(M569:O569)</f>
        <v>0.118549511854951</v>
      </c>
      <c r="Q569" s="0" t="n">
        <f aca="false">0.4*H569+0.4*I569+0.2*P569</f>
        <v>0.80568737421079</v>
      </c>
      <c r="R569" s="0" t="n">
        <f aca="false">PERCENTILE($Q$2:$Q$800,0.75)</f>
        <v>0.667715717403612</v>
      </c>
      <c r="S569" s="1" t="b">
        <f aca="false">OR(Q569&gt;=R569,AND(B569="CW",COUNT(J569:L569)&lt;3))</f>
        <v>1</v>
      </c>
      <c r="T569" s="0" t="n">
        <v>0.433760423275682</v>
      </c>
      <c r="U569" s="0" t="n">
        <v>14.5056068104871</v>
      </c>
      <c r="V569" s="0" t="n">
        <v>0.80568737421079</v>
      </c>
      <c r="W569" s="0" t="n">
        <f aca="false">Q569-V569</f>
        <v>0</v>
      </c>
    </row>
    <row r="570" customFormat="false" ht="15" hidden="false" customHeight="false" outlineLevel="0" collapsed="false">
      <c r="A570" s="0" t="s">
        <v>604</v>
      </c>
      <c r="B570" s="0" t="s">
        <v>3013</v>
      </c>
      <c r="C570" s="0" t="n">
        <v>21.3851955739801</v>
      </c>
      <c r="D570" s="0" t="n">
        <f aca="false">SUMPRODUCT(Risk_Inputs!B570:AJ570,Risk_Coefs!$B$2:$AJ$2)</f>
        <v>-0.741370293557058</v>
      </c>
      <c r="E570" s="0" t="n">
        <f aca="false">1/(1+EXP(-MAX(-25,MIN(25,D570))))</f>
        <v>0.322704570993154</v>
      </c>
      <c r="F570" s="0" t="n">
        <f aca="false">SUMPRODUCT(Risk_Inputs!B570:AJ570,Risk_Coefs!$B$3:$AJ$3)</f>
        <v>5.64979396742359</v>
      </c>
      <c r="G570" s="0" t="n">
        <f aca="false">MAX(0,F570)</f>
        <v>5.64979396742359</v>
      </c>
      <c r="H570" s="0" t="n">
        <f aca="false">(SUMPRODUCT(--ISNUMBER($E$2:$E$800),--($E$2:$E$800&lt;E570))+(SUMPRODUCT(--ISNUMBER($E$2:$E$800),--($E$2:$E$800=E570))+1)/2)/COUNT($E$2:$E$800)</f>
        <v>0.687108886107635</v>
      </c>
      <c r="I570" s="0" t="n">
        <f aca="false">(SUMPRODUCT(--ISNUMBER($G$2:$G$800),--($G$2:$G$800&lt;G570))+(SUMPRODUCT(--ISNUMBER($G$2:$G$800),--($G$2:$G$800=G570))+1)/2)/COUNT($G$2:$G$800)</f>
        <v>0.221526908635795</v>
      </c>
      <c r="J570" s="0" t="n">
        <v>14.7600732969525</v>
      </c>
      <c r="K570" s="0" t="n">
        <v>2.13770491803278</v>
      </c>
      <c r="L570" s="0" t="n">
        <v>0.209836065573773</v>
      </c>
      <c r="M570" s="0" t="n">
        <f aca="false">IF(OR(B570="NW",COUNT(Risk_Rank_Keys!B570)=0),0.5,(SUMPRODUCT(--ISNUMBER(Risk_Rank_Keys!$B$2:$B$800),--(Risk_Rank_Keys!$B$2:$B$800&lt;Risk_Rank_Keys!B570))+(SUMPRODUCT(--ISNUMBER(Risk_Rank_Keys!$B$2:$B$800),--(Risk_Rank_Keys!$B$2:$B$800=Risk_Rank_Keys!B570))+1)/2)/COUNT(Risk_Rank_Keys!$B$2:$B$800))</f>
        <v>0.702928870292887</v>
      </c>
      <c r="N570" s="0" t="n">
        <f aca="false">IF(OR(B570="NW",COUNT(Risk_Rank_Keys!C570)=0),0.5,(SUMPRODUCT(--ISNUMBER(Risk_Rank_Keys!$C$2:$C$800),--(Risk_Rank_Keys!$C$2:$C$800&lt;Risk_Rank_Keys!C570))+(SUMPRODUCT(--ISNUMBER(Risk_Rank_Keys!$C$2:$C$800),--(Risk_Rank_Keys!$C$2:$C$800=Risk_Rank_Keys!C570))+1)/2)/COUNT(Risk_Rank_Keys!$C$2:$C$800))</f>
        <v>0.304044630404463</v>
      </c>
      <c r="O570" s="0" t="n">
        <f aca="false">IF(OR(B570="NW",COUNT(Risk_Rank_Keys!D570)=0),0.5,(SUMPRODUCT(--ISNUMBER(Risk_Rank_Keys!$D$2:$D$800),--(Risk_Rank_Keys!$D$2:$D$800&lt;Risk_Rank_Keys!D570))+(SUMPRODUCT(--ISNUMBER(Risk_Rank_Keys!$D$2:$D$800),--(Risk_Rank_Keys!$D$2:$D$800=Risk_Rank_Keys!D570))+1)/2)/COUNT(Risk_Rank_Keys!$D$2:$D$800))</f>
        <v>0.376569037656904</v>
      </c>
      <c r="P570" s="0" t="n">
        <f aca="false">AVERAGE(M570:O570)</f>
        <v>0.461180846118085</v>
      </c>
      <c r="Q570" s="0" t="n">
        <f aca="false">0.4*H570+0.4*I570+0.2*P570</f>
        <v>0.455690487120989</v>
      </c>
      <c r="R570" s="0" t="n">
        <f aca="false">PERCENTILE($Q$2:$Q$800,0.75)</f>
        <v>0.667715717403612</v>
      </c>
      <c r="S570" s="1" t="b">
        <f aca="false">OR(Q570&gt;=R570,AND(B570="CW",COUNT(J570:L570)&lt;3))</f>
        <v>0</v>
      </c>
      <c r="T570" s="0" t="n">
        <v>0.322704570993154</v>
      </c>
      <c r="U570" s="0" t="n">
        <v>5.64979396742359</v>
      </c>
      <c r="V570" s="0" t="n">
        <v>0.455690487120989</v>
      </c>
      <c r="W570" s="0" t="n">
        <f aca="false">Q570-V570</f>
        <v>0</v>
      </c>
    </row>
    <row r="571" customFormat="false" ht="15" hidden="false" customHeight="false" outlineLevel="0" collapsed="false">
      <c r="A571" s="0" t="s">
        <v>605</v>
      </c>
      <c r="B571" s="0" t="s">
        <v>3013</v>
      </c>
      <c r="C571" s="0" t="n">
        <v>11.1287858652988</v>
      </c>
      <c r="D571" s="0" t="n">
        <f aca="false">SUMPRODUCT(Risk_Inputs!B571:AJ571,Risk_Coefs!$B$2:$AJ$2)</f>
        <v>-0.824329942055387</v>
      </c>
      <c r="E571" s="0" t="n">
        <f aca="false">1/(1+EXP(-MAX(-25,MIN(25,D571))))</f>
        <v>0.304845307173613</v>
      </c>
      <c r="F571" s="0" t="n">
        <f aca="false">SUMPRODUCT(Risk_Inputs!B571:AJ571,Risk_Coefs!$B$3:$AJ$3)</f>
        <v>8.82375131886948</v>
      </c>
      <c r="G571" s="0" t="n">
        <f aca="false">MAX(0,F571)</f>
        <v>8.82375131886948</v>
      </c>
      <c r="H571" s="0" t="n">
        <f aca="false">(SUMPRODUCT(--ISNUMBER($E$2:$E$800),--($E$2:$E$800&lt;E571))+(SUMPRODUCT(--ISNUMBER($E$2:$E$800),--($E$2:$E$800=E571))+1)/2)/COUNT($E$2:$E$800)</f>
        <v>0.590738423028786</v>
      </c>
      <c r="I571" s="0" t="n">
        <f aca="false">(SUMPRODUCT(--ISNUMBER($G$2:$G$800),--($G$2:$G$800&lt;G571))+(SUMPRODUCT(--ISNUMBER($G$2:$G$800),--($G$2:$G$800=G571))+1)/2)/COUNT($G$2:$G$800)</f>
        <v>0.655819774718398</v>
      </c>
      <c r="J571" s="0" t="n">
        <v>6.23255832536039</v>
      </c>
      <c r="K571" s="0" t="n">
        <v>3.89689466206616</v>
      </c>
      <c r="L571" s="0" t="n">
        <v>0.223259590014212</v>
      </c>
      <c r="M571" s="0" t="n">
        <f aca="false">IF(OR(B571="NW",COUNT(Risk_Rank_Keys!B571)=0),0.5,(SUMPRODUCT(--ISNUMBER(Risk_Rank_Keys!$B$2:$B$800),--(Risk_Rank_Keys!$B$2:$B$800&lt;Risk_Rank_Keys!B571))+(SUMPRODUCT(--ISNUMBER(Risk_Rank_Keys!$B$2:$B$800),--(Risk_Rank_Keys!$B$2:$B$800=Risk_Rank_Keys!B571))+1)/2)/COUNT(Risk_Rank_Keys!$B$2:$B$800))</f>
        <v>0.242677824267782</v>
      </c>
      <c r="N571" s="0" t="n">
        <f aca="false">IF(OR(B571="NW",COUNT(Risk_Rank_Keys!C571)=0),0.5,(SUMPRODUCT(--ISNUMBER(Risk_Rank_Keys!$C$2:$C$800),--(Risk_Rank_Keys!$C$2:$C$800&lt;Risk_Rank_Keys!C571))+(SUMPRODUCT(--ISNUMBER(Risk_Rank_Keys!$C$2:$C$800),--(Risk_Rank_Keys!$C$2:$C$800=Risk_Rank_Keys!C571))+1)/2)/COUNT(Risk_Rank_Keys!$C$2:$C$800))</f>
        <v>0.582984658298466</v>
      </c>
      <c r="O571" s="0" t="n">
        <f aca="false">IF(OR(B571="NW",COUNT(Risk_Rank_Keys!D571)=0),0.5,(SUMPRODUCT(--ISNUMBER(Risk_Rank_Keys!$D$2:$D$800),--(Risk_Rank_Keys!$D$2:$D$800&lt;Risk_Rank_Keys!D571))+(SUMPRODUCT(--ISNUMBER(Risk_Rank_Keys!$D$2:$D$800),--(Risk_Rank_Keys!$D$2:$D$800=Risk_Rank_Keys!D571))+1)/2)/COUNT(Risk_Rank_Keys!$D$2:$D$800))</f>
        <v>0.461645746164575</v>
      </c>
      <c r="P571" s="0" t="n">
        <f aca="false">AVERAGE(M571:O571)</f>
        <v>0.429102742910274</v>
      </c>
      <c r="Q571" s="0" t="n">
        <f aca="false">0.4*H571+0.4*I571+0.2*P571</f>
        <v>0.584443827680929</v>
      </c>
      <c r="R571" s="0" t="n">
        <f aca="false">PERCENTILE($Q$2:$Q$800,0.75)</f>
        <v>0.667715717403612</v>
      </c>
      <c r="S571" s="1" t="b">
        <f aca="false">OR(Q571&gt;=R571,AND(B571="CW",COUNT(J571:L571)&lt;3))</f>
        <v>0</v>
      </c>
      <c r="T571" s="0" t="n">
        <v>0.304845307173613</v>
      </c>
      <c r="U571" s="0" t="n">
        <v>8.82375131886948</v>
      </c>
      <c r="V571" s="0" t="n">
        <v>0.584443827680929</v>
      </c>
      <c r="W571" s="0" t="n">
        <f aca="false">Q571-V571</f>
        <v>0</v>
      </c>
    </row>
    <row r="572" customFormat="false" ht="15" hidden="false" customHeight="false" outlineLevel="0" collapsed="false">
      <c r="A572" s="0" t="s">
        <v>606</v>
      </c>
      <c r="B572" s="0" t="s">
        <v>3013</v>
      </c>
      <c r="C572" s="0" t="n">
        <v>57.9515661287279</v>
      </c>
      <c r="D572" s="0" t="n">
        <f aca="false">SUMPRODUCT(Risk_Inputs!B572:AJ572,Risk_Coefs!$B$2:$AJ$2)</f>
        <v>-0.848834374953577</v>
      </c>
      <c r="E572" s="0" t="n">
        <f aca="false">1/(1+EXP(-MAX(-25,MIN(25,D572))))</f>
        <v>0.299677431130877</v>
      </c>
      <c r="F572" s="0" t="n">
        <f aca="false">SUMPRODUCT(Risk_Inputs!B572:AJ572,Risk_Coefs!$B$3:$AJ$3)</f>
        <v>10.140429396238</v>
      </c>
      <c r="G572" s="0" t="n">
        <f aca="false">MAX(0,F572)</f>
        <v>10.140429396238</v>
      </c>
      <c r="H572" s="0" t="n">
        <f aca="false">(SUMPRODUCT(--ISNUMBER($E$2:$E$800),--($E$2:$E$800&lt;E572))+(SUMPRODUCT(--ISNUMBER($E$2:$E$800),--($E$2:$E$800=E572))+1)/2)/COUNT($E$2:$E$800)</f>
        <v>0.565707133917397</v>
      </c>
      <c r="I572" s="0" t="n">
        <f aca="false">(SUMPRODUCT(--ISNUMBER($G$2:$G$800),--($G$2:$G$800&lt;G572))+(SUMPRODUCT(--ISNUMBER($G$2:$G$800),--($G$2:$G$800=G572))+1)/2)/COUNT($G$2:$G$800)</f>
        <v>0.804755944931164</v>
      </c>
      <c r="J572" s="0" t="n">
        <v>6.68315844072936</v>
      </c>
      <c r="K572" s="0" t="n">
        <v>5.57355800388854</v>
      </c>
      <c r="L572" s="0" t="n">
        <v>0.324044069993519</v>
      </c>
      <c r="M572" s="0" t="n">
        <f aca="false">IF(OR(B572="NW",COUNT(Risk_Rank_Keys!B572)=0),0.5,(SUMPRODUCT(--ISNUMBER(Risk_Rank_Keys!$B$2:$B$800),--(Risk_Rank_Keys!$B$2:$B$800&lt;Risk_Rank_Keys!B572))+(SUMPRODUCT(--ISNUMBER(Risk_Rank_Keys!$B$2:$B$800),--(Risk_Rank_Keys!$B$2:$B$800=Risk_Rank_Keys!B572))+1)/2)/COUNT(Risk_Rank_Keys!$B$2:$B$800))</f>
        <v>0.288702928870293</v>
      </c>
      <c r="N572" s="0" t="n">
        <f aca="false">IF(OR(B572="NW",COUNT(Risk_Rank_Keys!C572)=0),0.5,(SUMPRODUCT(--ISNUMBER(Risk_Rank_Keys!$C$2:$C$800),--(Risk_Rank_Keys!$C$2:$C$800&lt;Risk_Rank_Keys!C572))+(SUMPRODUCT(--ISNUMBER(Risk_Rank_Keys!$C$2:$C$800),--(Risk_Rank_Keys!$C$2:$C$800=Risk_Rank_Keys!C572))+1)/2)/COUNT(Risk_Rank_Keys!$C$2:$C$800))</f>
        <v>0.725244072524407</v>
      </c>
      <c r="O572" s="0" t="n">
        <f aca="false">IF(OR(B572="NW",COUNT(Risk_Rank_Keys!D572)=0),0.5,(SUMPRODUCT(--ISNUMBER(Risk_Rank_Keys!$D$2:$D$800),--(Risk_Rank_Keys!$D$2:$D$800&lt;Risk_Rank_Keys!D572))+(SUMPRODUCT(--ISNUMBER(Risk_Rank_Keys!$D$2:$D$800),--(Risk_Rank_Keys!$D$2:$D$800=Risk_Rank_Keys!D572))+1)/2)/COUNT(Risk_Rank_Keys!$D$2:$D$800))</f>
        <v>0.786610878661088</v>
      </c>
      <c r="P572" s="0" t="n">
        <f aca="false">AVERAGE(M572:O572)</f>
        <v>0.600185960018596</v>
      </c>
      <c r="Q572" s="0" t="n">
        <f aca="false">0.4*H572+0.4*I572+0.2*P572</f>
        <v>0.668222423543144</v>
      </c>
      <c r="R572" s="0" t="n">
        <f aca="false">PERCENTILE($Q$2:$Q$800,0.75)</f>
        <v>0.667715717403612</v>
      </c>
      <c r="S572" s="1" t="b">
        <f aca="false">OR(Q572&gt;=R572,AND(B572="CW",COUNT(J572:L572)&lt;3))</f>
        <v>1</v>
      </c>
      <c r="T572" s="0" t="n">
        <v>0.299677431130877</v>
      </c>
      <c r="U572" s="0" t="n">
        <v>10.140429396238</v>
      </c>
      <c r="V572" s="0" t="n">
        <v>0.668222423543144</v>
      </c>
      <c r="W572" s="0" t="n">
        <f aca="false">Q572-V572</f>
        <v>0</v>
      </c>
    </row>
    <row r="573" customFormat="false" ht="15" hidden="false" customHeight="false" outlineLevel="0" collapsed="false">
      <c r="A573" s="0" t="s">
        <v>607</v>
      </c>
      <c r="B573" s="0" t="s">
        <v>33</v>
      </c>
      <c r="C573" s="0" t="n">
        <v>5.28609849015674</v>
      </c>
      <c r="D573" s="0" t="n">
        <f aca="false">SUMPRODUCT(Risk_Inputs!B573:AJ573,Risk_Coefs!$B$2:$AJ$2)</f>
        <v>-0.819764672516657</v>
      </c>
      <c r="E573" s="0" t="n">
        <f aca="false">1/(1+EXP(-MAX(-25,MIN(25,D573))))</f>
        <v>0.305813615668182</v>
      </c>
      <c r="F573" s="0" t="n">
        <f aca="false">SUMPRODUCT(Risk_Inputs!B573:AJ573,Risk_Coefs!$B$3:$AJ$3)</f>
        <v>8.05934092753751</v>
      </c>
      <c r="G573" s="0" t="n">
        <f aca="false">MAX(0,F573)</f>
        <v>8.05934092753751</v>
      </c>
      <c r="H573" s="0" t="n">
        <f aca="false">(SUMPRODUCT(--ISNUMBER($E$2:$E$800),--($E$2:$E$800&lt;E573))+(SUMPRODUCT(--ISNUMBER($E$2:$E$800),--($E$2:$E$800=E573))+1)/2)/COUNT($E$2:$E$800)</f>
        <v>0.595744680851064</v>
      </c>
      <c r="I573" s="0" t="n">
        <f aca="false">(SUMPRODUCT(--ISNUMBER($G$2:$G$800),--($G$2:$G$800&lt;G573))+(SUMPRODUCT(--ISNUMBER($G$2:$G$800),--($G$2:$G$800=G573))+1)/2)/COUNT($G$2:$G$800)</f>
        <v>0.550688360450563</v>
      </c>
      <c r="M573" s="0" t="n">
        <f aca="false">IF(OR(B573="NW",COUNT(Risk_Rank_Keys!B573)=0),0.5,(SUMPRODUCT(--ISNUMBER(Risk_Rank_Keys!$B$2:$B$800),--(Risk_Rank_Keys!$B$2:$B$800&lt;Risk_Rank_Keys!B573))+(SUMPRODUCT(--ISNUMBER(Risk_Rank_Keys!$B$2:$B$800),--(Risk_Rank_Keys!$B$2:$B$800=Risk_Rank_Keys!B573))+1)/2)/COUNT(Risk_Rank_Keys!$B$2:$B$800))</f>
        <v>0.5</v>
      </c>
      <c r="N573" s="0" t="n">
        <f aca="false">IF(OR(B573="NW",COUNT(Risk_Rank_Keys!C573)=0),0.5,(SUMPRODUCT(--ISNUMBER(Risk_Rank_Keys!$C$2:$C$800),--(Risk_Rank_Keys!$C$2:$C$800&lt;Risk_Rank_Keys!C573))+(SUMPRODUCT(--ISNUMBER(Risk_Rank_Keys!$C$2:$C$800),--(Risk_Rank_Keys!$C$2:$C$800=Risk_Rank_Keys!C573))+1)/2)/COUNT(Risk_Rank_Keys!$C$2:$C$800))</f>
        <v>0.5</v>
      </c>
      <c r="O573" s="0" t="n">
        <f aca="false">IF(OR(B573="NW",COUNT(Risk_Rank_Keys!D573)=0),0.5,(SUMPRODUCT(--ISNUMBER(Risk_Rank_Keys!$D$2:$D$800),--(Risk_Rank_Keys!$D$2:$D$800&lt;Risk_Rank_Keys!D573))+(SUMPRODUCT(--ISNUMBER(Risk_Rank_Keys!$D$2:$D$800),--(Risk_Rank_Keys!$D$2:$D$800=Risk_Rank_Keys!D573))+1)/2)/COUNT(Risk_Rank_Keys!$D$2:$D$800))</f>
        <v>0.5</v>
      </c>
      <c r="P573" s="0" t="n">
        <f aca="false">AVERAGE(M573:O573)</f>
        <v>0.5</v>
      </c>
      <c r="Q573" s="0" t="n">
        <f aca="false">0.4*H573+0.4*I573+0.2*P573</f>
        <v>0.558573216520651</v>
      </c>
      <c r="R573" s="0" t="n">
        <f aca="false">PERCENTILE($Q$2:$Q$800,0.75)</f>
        <v>0.667715717403612</v>
      </c>
      <c r="S573" s="1" t="b">
        <f aca="false">OR(Q573&gt;=R573,AND(B573="CW",COUNT(J573:L573)&lt;3))</f>
        <v>0</v>
      </c>
      <c r="T573" s="0" t="n">
        <v>0.305813615668182</v>
      </c>
      <c r="U573" s="0" t="n">
        <v>8.05934092753751</v>
      </c>
      <c r="V573" s="0" t="n">
        <v>0.558573216520651</v>
      </c>
      <c r="W573" s="0" t="n">
        <f aca="false">Q573-V573</f>
        <v>0</v>
      </c>
    </row>
    <row r="574" customFormat="false" ht="15" hidden="false" customHeight="false" outlineLevel="0" collapsed="false">
      <c r="A574" s="0" t="s">
        <v>608</v>
      </c>
      <c r="B574" s="0" t="s">
        <v>3013</v>
      </c>
      <c r="C574" s="0" t="n">
        <v>32.7738467504786</v>
      </c>
      <c r="D574" s="0" t="n">
        <f aca="false">SUMPRODUCT(Risk_Inputs!B574:AJ574,Risk_Coefs!$B$2:$AJ$2)</f>
        <v>-1.32096202725873</v>
      </c>
      <c r="E574" s="0" t="n">
        <f aca="false">1/(1+EXP(-MAX(-25,MIN(25,D574))))</f>
        <v>0.210658281739452</v>
      </c>
      <c r="F574" s="0" t="n">
        <f aca="false">SUMPRODUCT(Risk_Inputs!B574:AJ574,Risk_Coefs!$B$3:$AJ$3)</f>
        <v>4.79762548095652</v>
      </c>
      <c r="G574" s="0" t="n">
        <f aca="false">MAX(0,F574)</f>
        <v>4.79762548095652</v>
      </c>
      <c r="H574" s="0" t="n">
        <f aca="false">(SUMPRODUCT(--ISNUMBER($E$2:$E$800),--($E$2:$E$800&lt;E574))+(SUMPRODUCT(--ISNUMBER($E$2:$E$800),--($E$2:$E$800=E574))+1)/2)/COUNT($E$2:$E$800)</f>
        <v>0.122653316645807</v>
      </c>
      <c r="I574" s="0" t="n">
        <f aca="false">(SUMPRODUCT(--ISNUMBER($G$2:$G$800),--($G$2:$G$800&lt;G574))+(SUMPRODUCT(--ISNUMBER($G$2:$G$800),--($G$2:$G$800=G574))+1)/2)/COUNT($G$2:$G$800)</f>
        <v>0.113892365456821</v>
      </c>
      <c r="J574" s="0" t="n">
        <v>11.8043160798321</v>
      </c>
      <c r="K574" s="0" t="n">
        <v>5.25246662797447</v>
      </c>
      <c r="L574" s="0" t="n">
        <v>0.203134068485205</v>
      </c>
      <c r="M574" s="0" t="n">
        <f aca="false">IF(OR(B574="NW",COUNT(Risk_Rank_Keys!B574)=0),0.5,(SUMPRODUCT(--ISNUMBER(Risk_Rank_Keys!$B$2:$B$800),--(Risk_Rank_Keys!$B$2:$B$800&lt;Risk_Rank_Keys!B574))+(SUMPRODUCT(--ISNUMBER(Risk_Rank_Keys!$B$2:$B$800),--(Risk_Rank_Keys!$B$2:$B$800=Risk_Rank_Keys!B574))+1)/2)/COUNT(Risk_Rank_Keys!$B$2:$B$800))</f>
        <v>0.595536959553696</v>
      </c>
      <c r="N574" s="0" t="n">
        <f aca="false">IF(OR(B574="NW",COUNT(Risk_Rank_Keys!C574)=0),0.5,(SUMPRODUCT(--ISNUMBER(Risk_Rank_Keys!$C$2:$C$800),--(Risk_Rank_Keys!$C$2:$C$800&lt;Risk_Rank_Keys!C574))+(SUMPRODUCT(--ISNUMBER(Risk_Rank_Keys!$C$2:$C$800),--(Risk_Rank_Keys!$C$2:$C$800=Risk_Rank_Keys!C574))+1)/2)/COUNT(Risk_Rank_Keys!$C$2:$C$800))</f>
        <v>0.705718270571827</v>
      </c>
      <c r="O574" s="0" t="n">
        <f aca="false">IF(OR(B574="NW",COUNT(Risk_Rank_Keys!D574)=0),0.5,(SUMPRODUCT(--ISNUMBER(Risk_Rank_Keys!$D$2:$D$800),--(Risk_Rank_Keys!$D$2:$D$800&lt;Risk_Rank_Keys!D574))+(SUMPRODUCT(--ISNUMBER(Risk_Rank_Keys!$D$2:$D$800),--(Risk_Rank_Keys!$D$2:$D$800=Risk_Rank_Keys!D574))+1)/2)/COUNT(Risk_Rank_Keys!$D$2:$D$800))</f>
        <v>0.333333333333333</v>
      </c>
      <c r="P574" s="0" t="n">
        <f aca="false">AVERAGE(M574:O574)</f>
        <v>0.544862854486286</v>
      </c>
      <c r="Q574" s="0" t="n">
        <f aca="false">0.4*H574+0.4*I574+0.2*P574</f>
        <v>0.203590843738308</v>
      </c>
      <c r="R574" s="0" t="n">
        <f aca="false">PERCENTILE($Q$2:$Q$800,0.75)</f>
        <v>0.667715717403612</v>
      </c>
      <c r="S574" s="1" t="b">
        <f aca="false">OR(Q574&gt;=R574,AND(B574="CW",COUNT(J574:L574)&lt;3))</f>
        <v>0</v>
      </c>
      <c r="T574" s="0" t="n">
        <v>0.210658281739452</v>
      </c>
      <c r="U574" s="0" t="n">
        <v>4.79762548095653</v>
      </c>
      <c r="V574" s="0" t="n">
        <v>0.203590843738308</v>
      </c>
      <c r="W574" s="0" t="n">
        <f aca="false">Q574-V574</f>
        <v>0</v>
      </c>
    </row>
    <row r="575" customFormat="false" ht="15" hidden="false" customHeight="false" outlineLevel="0" collapsed="false">
      <c r="A575" s="0" t="s">
        <v>609</v>
      </c>
      <c r="B575" s="0" t="s">
        <v>3013</v>
      </c>
      <c r="C575" s="0" t="n">
        <v>-8.09483709831099</v>
      </c>
      <c r="D575" s="0" t="n">
        <f aca="false">SUMPRODUCT(Risk_Inputs!B575:AJ575,Risk_Coefs!$B$2:$AJ$2)</f>
        <v>-0.750645214673067</v>
      </c>
      <c r="E575" s="0" t="n">
        <f aca="false">1/(1+EXP(-MAX(-25,MIN(25,D575))))</f>
        <v>0.320680728033762</v>
      </c>
      <c r="F575" s="0" t="n">
        <f aca="false">SUMPRODUCT(Risk_Inputs!B575:AJ575,Risk_Coefs!$B$3:$AJ$3)</f>
        <v>8.81221879446804</v>
      </c>
      <c r="G575" s="0" t="n">
        <f aca="false">MAX(0,F575)</f>
        <v>8.81221879446804</v>
      </c>
      <c r="H575" s="0" t="n">
        <f aca="false">(SUMPRODUCT(--ISNUMBER($E$2:$E$800),--($E$2:$E$800&lt;E575))+(SUMPRODUCT(--ISNUMBER($E$2:$E$800),--($E$2:$E$800=E575))+1)/2)/COUNT($E$2:$E$800)</f>
        <v>0.67459324155194</v>
      </c>
      <c r="I575" s="0" t="n">
        <f aca="false">(SUMPRODUCT(--ISNUMBER($G$2:$G$800),--($G$2:$G$800&lt;G575))+(SUMPRODUCT(--ISNUMBER($G$2:$G$800),--($G$2:$G$800=G575))+1)/2)/COUNT($G$2:$G$800)</f>
        <v>0.654568210262829</v>
      </c>
      <c r="J575" s="0" t="n">
        <v>5.59889969449305</v>
      </c>
      <c r="K575" s="0" t="n">
        <v>2.33870967741936</v>
      </c>
      <c r="L575" s="0" t="n">
        <v>0.221774193548386</v>
      </c>
      <c r="M575" s="0" t="n">
        <f aca="false">IF(OR(B575="NW",COUNT(Risk_Rank_Keys!B575)=0),0.5,(SUMPRODUCT(--ISNUMBER(Risk_Rank_Keys!$B$2:$B$800),--(Risk_Rank_Keys!$B$2:$B$800&lt;Risk_Rank_Keys!B575))+(SUMPRODUCT(--ISNUMBER(Risk_Rank_Keys!$B$2:$B$800),--(Risk_Rank_Keys!$B$2:$B$800=Risk_Rank_Keys!B575))+1)/2)/COUNT(Risk_Rank_Keys!$B$2:$B$800))</f>
        <v>0.178521617852162</v>
      </c>
      <c r="N575" s="0" t="n">
        <f aca="false">IF(OR(B575="NW",COUNT(Risk_Rank_Keys!C575)=0),0.5,(SUMPRODUCT(--ISNUMBER(Risk_Rank_Keys!$C$2:$C$800),--(Risk_Rank_Keys!$C$2:$C$800&lt;Risk_Rank_Keys!C575))+(SUMPRODUCT(--ISNUMBER(Risk_Rank_Keys!$C$2:$C$800),--(Risk_Rank_Keys!$C$2:$C$800=Risk_Rank_Keys!C575))+1)/2)/COUNT(Risk_Rank_Keys!$C$2:$C$800))</f>
        <v>0.350069735006974</v>
      </c>
      <c r="O575" s="0" t="n">
        <f aca="false">IF(OR(B575="NW",COUNT(Risk_Rank_Keys!D575)=0),0.5,(SUMPRODUCT(--ISNUMBER(Risk_Rank_Keys!$D$2:$D$800),--(Risk_Rank_Keys!$D$2:$D$800&lt;Risk_Rank_Keys!D575))+(SUMPRODUCT(--ISNUMBER(Risk_Rank_Keys!$D$2:$D$800),--(Risk_Rank_Keys!$D$2:$D$800=Risk_Rank_Keys!D575))+1)/2)/COUNT(Risk_Rank_Keys!$D$2:$D$800))</f>
        <v>0.450488145048815</v>
      </c>
      <c r="P575" s="0" t="n">
        <f aca="false">AVERAGE(M575:O575)</f>
        <v>0.326359832635983</v>
      </c>
      <c r="Q575" s="0" t="n">
        <f aca="false">0.4*H575+0.4*I575+0.2*P575</f>
        <v>0.596936547253104</v>
      </c>
      <c r="R575" s="0" t="n">
        <f aca="false">PERCENTILE($Q$2:$Q$800,0.75)</f>
        <v>0.667715717403612</v>
      </c>
      <c r="S575" s="1" t="b">
        <f aca="false">OR(Q575&gt;=R575,AND(B575="CW",COUNT(J575:L575)&lt;3))</f>
        <v>0</v>
      </c>
      <c r="T575" s="0" t="n">
        <v>0.320680728033762</v>
      </c>
      <c r="U575" s="0" t="n">
        <v>8.81221879446804</v>
      </c>
      <c r="V575" s="0" t="n">
        <v>0.596936547253104</v>
      </c>
      <c r="W575" s="0" t="n">
        <f aca="false">Q575-V575</f>
        <v>0</v>
      </c>
    </row>
    <row r="576" customFormat="false" ht="15" hidden="false" customHeight="false" outlineLevel="0" collapsed="false">
      <c r="A576" s="0" t="s">
        <v>610</v>
      </c>
      <c r="B576" s="0" t="s">
        <v>3013</v>
      </c>
      <c r="C576" s="0" t="n">
        <v>30.0620090533326</v>
      </c>
      <c r="D576" s="0" t="n">
        <f aca="false">SUMPRODUCT(Risk_Inputs!B576:AJ576,Risk_Coefs!$B$2:$AJ$2)</f>
        <v>-0.782949578102031</v>
      </c>
      <c r="E576" s="0" t="n">
        <f aca="false">1/(1+EXP(-MAX(-25,MIN(25,D576))))</f>
        <v>0.31368453287891</v>
      </c>
      <c r="F576" s="0" t="n">
        <f aca="false">SUMPRODUCT(Risk_Inputs!B576:AJ576,Risk_Coefs!$B$3:$AJ$3)</f>
        <v>10.4181668262354</v>
      </c>
      <c r="G576" s="0" t="n">
        <f aca="false">MAX(0,F576)</f>
        <v>10.4181668262354</v>
      </c>
      <c r="H576" s="0" t="n">
        <f aca="false">(SUMPRODUCT(--ISNUMBER($E$2:$E$800),--($E$2:$E$800&lt;E576))+(SUMPRODUCT(--ISNUMBER($E$2:$E$800),--($E$2:$E$800=E576))+1)/2)/COUNT($E$2:$E$800)</f>
        <v>0.634543178973717</v>
      </c>
      <c r="I576" s="0" t="n">
        <f aca="false">(SUMPRODUCT(--ISNUMBER($G$2:$G$800),--($G$2:$G$800&lt;G576))+(SUMPRODUCT(--ISNUMBER($G$2:$G$800),--($G$2:$G$800=G576))+1)/2)/COUNT($G$2:$G$800)</f>
        <v>0.831038798498123</v>
      </c>
      <c r="J576" s="0" t="n">
        <v>7.92903108466195</v>
      </c>
      <c r="K576" s="0" t="n">
        <v>3.49260767088064</v>
      </c>
      <c r="L576" s="0" t="n">
        <v>0.214270409256482</v>
      </c>
      <c r="M576" s="0" t="n">
        <f aca="false">IF(OR(B576="NW",COUNT(Risk_Rank_Keys!B576)=0),0.5,(SUMPRODUCT(--ISNUMBER(Risk_Rank_Keys!$B$2:$B$800),--(Risk_Rank_Keys!$B$2:$B$800&lt;Risk_Rank_Keys!B576))+(SUMPRODUCT(--ISNUMBER(Risk_Rank_Keys!$B$2:$B$800),--(Risk_Rank_Keys!$B$2:$B$800=Risk_Rank_Keys!B576))+1)/2)/COUNT(Risk_Rank_Keys!$B$2:$B$800))</f>
        <v>0.382147838214784</v>
      </c>
      <c r="N576" s="0" t="n">
        <f aca="false">IF(OR(B576="NW",COUNT(Risk_Rank_Keys!C576)=0),0.5,(SUMPRODUCT(--ISNUMBER(Risk_Rank_Keys!$C$2:$C$800),--(Risk_Rank_Keys!$C$2:$C$800&lt;Risk_Rank_Keys!C576))+(SUMPRODUCT(--ISNUMBER(Risk_Rank_Keys!$C$2:$C$800),--(Risk_Rank_Keys!$C$2:$C$800=Risk_Rank_Keys!C576))+1)/2)/COUNT(Risk_Rank_Keys!$C$2:$C$800))</f>
        <v>0.527196652719665</v>
      </c>
      <c r="O576" s="0" t="n">
        <f aca="false">IF(OR(B576="NW",COUNT(Risk_Rank_Keys!D576)=0),0.5,(SUMPRODUCT(--ISNUMBER(Risk_Rank_Keys!$D$2:$D$800),--(Risk_Rank_Keys!$D$2:$D$800&lt;Risk_Rank_Keys!D576))+(SUMPRODUCT(--ISNUMBER(Risk_Rank_Keys!$D$2:$D$800),--(Risk_Rank_Keys!$D$2:$D$800=Risk_Rank_Keys!D576))+1)/2)/COUNT(Risk_Rank_Keys!$D$2:$D$800))</f>
        <v>0.408647140864714</v>
      </c>
      <c r="P576" s="0" t="n">
        <f aca="false">AVERAGE(M576:O576)</f>
        <v>0.439330543933054</v>
      </c>
      <c r="Q576" s="0" t="n">
        <f aca="false">0.4*H576+0.4*I576+0.2*P576</f>
        <v>0.674098899775347</v>
      </c>
      <c r="R576" s="0" t="n">
        <f aca="false">PERCENTILE($Q$2:$Q$800,0.75)</f>
        <v>0.667715717403612</v>
      </c>
      <c r="S576" s="1" t="b">
        <f aca="false">OR(Q576&gt;=R576,AND(B576="CW",COUNT(J576:L576)&lt;3))</f>
        <v>1</v>
      </c>
      <c r="T576" s="0" t="n">
        <v>0.31368453287891</v>
      </c>
      <c r="U576" s="0" t="n">
        <v>10.4181668262354</v>
      </c>
      <c r="V576" s="0" t="n">
        <v>0.674098899775347</v>
      </c>
      <c r="W576" s="0" t="n">
        <f aca="false">Q576-V576</f>
        <v>0</v>
      </c>
    </row>
    <row r="577" customFormat="false" ht="15" hidden="false" customHeight="false" outlineLevel="0" collapsed="false">
      <c r="A577" s="0" t="s">
        <v>611</v>
      </c>
      <c r="B577" s="0" t="s">
        <v>3013</v>
      </c>
      <c r="C577" s="0" t="n">
        <v>34.4336956246791</v>
      </c>
      <c r="D577" s="0" t="n">
        <f aca="false">SUMPRODUCT(Risk_Inputs!B577:AJ577,Risk_Coefs!$B$2:$AJ$2)</f>
        <v>-1.14388405339332</v>
      </c>
      <c r="E577" s="0" t="n">
        <f aca="false">1/(1+EXP(-MAX(-25,MIN(25,D577))))</f>
        <v>0.24160795801632</v>
      </c>
      <c r="F577" s="0" t="n">
        <f aca="false">SUMPRODUCT(Risk_Inputs!B577:AJ577,Risk_Coefs!$B$3:$AJ$3)</f>
        <v>8.21464731682195</v>
      </c>
      <c r="G577" s="0" t="n">
        <f aca="false">MAX(0,F577)</f>
        <v>8.21464731682195</v>
      </c>
      <c r="H577" s="0" t="n">
        <f aca="false">(SUMPRODUCT(--ISNUMBER($E$2:$E$800),--($E$2:$E$800&lt;E577))+(SUMPRODUCT(--ISNUMBER($E$2:$E$800),--($E$2:$E$800=E577))+1)/2)/COUNT($E$2:$E$800)</f>
        <v>0.23153942428035</v>
      </c>
      <c r="I577" s="0" t="n">
        <f aca="false">(SUMPRODUCT(--ISNUMBER($G$2:$G$800),--($G$2:$G$800&lt;G577))+(SUMPRODUCT(--ISNUMBER($G$2:$G$800),--($G$2:$G$800=G577))+1)/2)/COUNT($G$2:$G$800)</f>
        <v>0.566958698372966</v>
      </c>
      <c r="J577" s="0" t="n">
        <v>23.452167180448</v>
      </c>
      <c r="K577" s="0" t="n">
        <v>16.9425511197663</v>
      </c>
      <c r="L577" s="0" t="n">
        <v>0.227198961376173</v>
      </c>
      <c r="M577" s="0" t="n">
        <f aca="false">IF(OR(B577="NW",COUNT(Risk_Rank_Keys!B577)=0),0.5,(SUMPRODUCT(--ISNUMBER(Risk_Rank_Keys!$B$2:$B$800),--(Risk_Rank_Keys!$B$2:$B$800&lt;Risk_Rank_Keys!B577))+(SUMPRODUCT(--ISNUMBER(Risk_Rank_Keys!$B$2:$B$800),--(Risk_Rank_Keys!$B$2:$B$800=Risk_Rank_Keys!B577))+1)/2)/COUNT(Risk_Rank_Keys!$B$2:$B$800))</f>
        <v>0.838214783821478</v>
      </c>
      <c r="N577" s="0" t="n">
        <f aca="false">IF(OR(B577="NW",COUNT(Risk_Rank_Keys!C577)=0),0.5,(SUMPRODUCT(--ISNUMBER(Risk_Rank_Keys!$C$2:$C$800),--(Risk_Rank_Keys!$C$2:$C$800&lt;Risk_Rank_Keys!C577))+(SUMPRODUCT(--ISNUMBER(Risk_Rank_Keys!$C$2:$C$800),--(Risk_Rank_Keys!$C$2:$C$800=Risk_Rank_Keys!C577))+1)/2)/COUNT(Risk_Rank_Keys!$C$2:$C$800))</f>
        <v>0.94560669456067</v>
      </c>
      <c r="O577" s="0" t="n">
        <f aca="false">IF(OR(B577="NW",COUNT(Risk_Rank_Keys!D577)=0),0.5,(SUMPRODUCT(--ISNUMBER(Risk_Rank_Keys!$D$2:$D$800),--(Risk_Rank_Keys!$D$2:$D$800&lt;Risk_Rank_Keys!D577))+(SUMPRODUCT(--ISNUMBER(Risk_Rank_Keys!$D$2:$D$800),--(Risk_Rank_Keys!$D$2:$D$800=Risk_Rank_Keys!D577))+1)/2)/COUNT(Risk_Rank_Keys!$D$2:$D$800))</f>
        <v>0.482566248256625</v>
      </c>
      <c r="P577" s="0" t="n">
        <f aca="false">AVERAGE(M577:O577)</f>
        <v>0.755462575546258</v>
      </c>
      <c r="Q577" s="0" t="n">
        <f aca="false">0.4*H577+0.4*I577+0.2*P577</f>
        <v>0.470491764170578</v>
      </c>
      <c r="R577" s="0" t="n">
        <f aca="false">PERCENTILE($Q$2:$Q$800,0.75)</f>
        <v>0.667715717403612</v>
      </c>
      <c r="S577" s="1" t="b">
        <f aca="false">OR(Q577&gt;=R577,AND(B577="CW",COUNT(J577:L577)&lt;3))</f>
        <v>0</v>
      </c>
      <c r="T577" s="0" t="n">
        <v>0.24160795801632</v>
      </c>
      <c r="U577" s="0" t="n">
        <v>8.21464731682195</v>
      </c>
      <c r="V577" s="0" t="n">
        <v>0.470491764170578</v>
      </c>
      <c r="W577" s="0" t="n">
        <f aca="false">Q577-V577</f>
        <v>0</v>
      </c>
    </row>
    <row r="578" customFormat="false" ht="15" hidden="false" customHeight="false" outlineLevel="0" collapsed="false">
      <c r="A578" s="0" t="s">
        <v>612</v>
      </c>
      <c r="B578" s="0" t="s">
        <v>3013</v>
      </c>
      <c r="C578" s="0" t="n">
        <v>27.2076330656666</v>
      </c>
      <c r="D578" s="0" t="n">
        <f aca="false">SUMPRODUCT(Risk_Inputs!B578:AJ578,Risk_Coefs!$B$2:$AJ$2)</f>
        <v>-0.555230402318093</v>
      </c>
      <c r="E578" s="0" t="n">
        <f aca="false">1/(1+EXP(-MAX(-25,MIN(25,D578))))</f>
        <v>0.364651769206375</v>
      </c>
      <c r="F578" s="0" t="n">
        <f aca="false">SUMPRODUCT(Risk_Inputs!B578:AJ578,Risk_Coefs!$B$3:$AJ$3)</f>
        <v>11.6871367739383</v>
      </c>
      <c r="G578" s="0" t="n">
        <f aca="false">MAX(0,F578)</f>
        <v>11.6871367739383</v>
      </c>
      <c r="H578" s="0" t="n">
        <f aca="false">(SUMPRODUCT(--ISNUMBER($E$2:$E$800),--($E$2:$E$800&lt;E578))+(SUMPRODUCT(--ISNUMBER($E$2:$E$800),--($E$2:$E$800=E578))+1)/2)/COUNT($E$2:$E$800)</f>
        <v>0.858573216520651</v>
      </c>
      <c r="I578" s="0" t="n">
        <f aca="false">(SUMPRODUCT(--ISNUMBER($G$2:$G$800),--($G$2:$G$800&lt;G578))+(SUMPRODUCT(--ISNUMBER($G$2:$G$800),--($G$2:$G$800=G578))+1)/2)/COUNT($G$2:$G$800)</f>
        <v>0.909887359198999</v>
      </c>
      <c r="J578" s="0" t="n">
        <v>8.43041395812128</v>
      </c>
      <c r="K578" s="0" t="n">
        <v>3.1157756641522</v>
      </c>
      <c r="L578" s="0" t="n">
        <v>0.229583469990166</v>
      </c>
      <c r="M578" s="0" t="n">
        <f aca="false">IF(OR(B578="NW",COUNT(Risk_Rank_Keys!B578)=0),0.5,(SUMPRODUCT(--ISNUMBER(Risk_Rank_Keys!$B$2:$B$800),--(Risk_Rank_Keys!$B$2:$B$800&lt;Risk_Rank_Keys!B578))+(SUMPRODUCT(--ISNUMBER(Risk_Rank_Keys!$B$2:$B$800),--(Risk_Rank_Keys!$B$2:$B$800=Risk_Rank_Keys!B578))+1)/2)/COUNT(Risk_Rank_Keys!$B$2:$B$800))</f>
        <v>0.412831241283124</v>
      </c>
      <c r="N578" s="0" t="n">
        <f aca="false">IF(OR(B578="NW",COUNT(Risk_Rank_Keys!C578)=0),0.5,(SUMPRODUCT(--ISNUMBER(Risk_Rank_Keys!$C$2:$C$800),--(Risk_Rank_Keys!$C$2:$C$800&lt;Risk_Rank_Keys!C578))+(SUMPRODUCT(--ISNUMBER(Risk_Rank_Keys!$C$2:$C$800),--(Risk_Rank_Keys!$C$2:$C$800=Risk_Rank_Keys!C578))+1)/2)/COUNT(Risk_Rank_Keys!$C$2:$C$800))</f>
        <v>0.479776847977685</v>
      </c>
      <c r="O578" s="0" t="n">
        <f aca="false">IF(OR(B578="NW",COUNT(Risk_Rank_Keys!D578)=0),0.5,(SUMPRODUCT(--ISNUMBER(Risk_Rank_Keys!$D$2:$D$800),--(Risk_Rank_Keys!$D$2:$D$800&lt;Risk_Rank_Keys!D578))+(SUMPRODUCT(--ISNUMBER(Risk_Rank_Keys!$D$2:$D$800),--(Risk_Rank_Keys!$D$2:$D$800=Risk_Rank_Keys!D578))+1)/2)/COUNT(Risk_Rank_Keys!$D$2:$D$800))</f>
        <v>0.500697350069735</v>
      </c>
      <c r="P578" s="0" t="n">
        <f aca="false">AVERAGE(M578:O578)</f>
        <v>0.464435146443515</v>
      </c>
      <c r="Q578" s="0" t="n">
        <f aca="false">0.4*H578+0.4*I578+0.2*P578</f>
        <v>0.800271259576563</v>
      </c>
      <c r="R578" s="0" t="n">
        <f aca="false">PERCENTILE($Q$2:$Q$800,0.75)</f>
        <v>0.667715717403612</v>
      </c>
      <c r="S578" s="1" t="b">
        <f aca="false">OR(Q578&gt;=R578,AND(B578="CW",COUNT(J578:L578)&lt;3))</f>
        <v>1</v>
      </c>
      <c r="T578" s="0" t="n">
        <v>0.364651769206375</v>
      </c>
      <c r="U578" s="0" t="n">
        <v>11.6871367739383</v>
      </c>
      <c r="V578" s="0" t="n">
        <v>0.800271259576563</v>
      </c>
      <c r="W578" s="0" t="n">
        <f aca="false">Q578-V578</f>
        <v>0</v>
      </c>
    </row>
    <row r="579" customFormat="false" ht="15" hidden="false" customHeight="false" outlineLevel="0" collapsed="false">
      <c r="A579" s="0" t="s">
        <v>613</v>
      </c>
      <c r="B579" s="0" t="s">
        <v>3013</v>
      </c>
      <c r="C579" s="0" t="n">
        <v>16.738601091517</v>
      </c>
      <c r="D579" s="0" t="n">
        <f aca="false">SUMPRODUCT(Risk_Inputs!B579:AJ579,Risk_Coefs!$B$2:$AJ$2)</f>
        <v>-1.19525287834138</v>
      </c>
      <c r="E579" s="0" t="n">
        <f aca="false">1/(1+EXP(-MAX(-25,MIN(25,D579))))</f>
        <v>0.232320779320899</v>
      </c>
      <c r="F579" s="0" t="n">
        <f aca="false">SUMPRODUCT(Risk_Inputs!B579:AJ579,Risk_Coefs!$B$3:$AJ$3)</f>
        <v>4.66360901498353</v>
      </c>
      <c r="G579" s="0" t="n">
        <f aca="false">MAX(0,F579)</f>
        <v>4.66360901498353</v>
      </c>
      <c r="H579" s="0" t="n">
        <f aca="false">(SUMPRODUCT(--ISNUMBER($E$2:$E$800),--($E$2:$E$800&lt;E579))+(SUMPRODUCT(--ISNUMBER($E$2:$E$800),--($E$2:$E$800=E579))+1)/2)/COUNT($E$2:$E$800)</f>
        <v>0.187734668335419</v>
      </c>
      <c r="I579" s="0" t="n">
        <f aca="false">(SUMPRODUCT(--ISNUMBER($G$2:$G$800),--($G$2:$G$800&lt;G579))+(SUMPRODUCT(--ISNUMBER($G$2:$G$800),--($G$2:$G$800=G579))+1)/2)/COUNT($G$2:$G$800)</f>
        <v>0.100125156445557</v>
      </c>
      <c r="J579" s="0" t="n">
        <v>9.11493005059298</v>
      </c>
      <c r="K579" s="0" t="n">
        <v>9.22459893048128</v>
      </c>
      <c r="L579" s="0" t="n">
        <v>0.29411764705883</v>
      </c>
      <c r="M579" s="0" t="n">
        <f aca="false">IF(OR(B579="NW",COUNT(Risk_Rank_Keys!B579)=0),0.5,(SUMPRODUCT(--ISNUMBER(Risk_Rank_Keys!$B$2:$B$800),--(Risk_Rank_Keys!$B$2:$B$800&lt;Risk_Rank_Keys!B579))+(SUMPRODUCT(--ISNUMBER(Risk_Rank_Keys!$B$2:$B$800),--(Risk_Rank_Keys!$B$2:$B$800=Risk_Rank_Keys!B579))+1)/2)/COUNT(Risk_Rank_Keys!$B$2:$B$800))</f>
        <v>0.453277545327755</v>
      </c>
      <c r="N579" s="0" t="n">
        <f aca="false">IF(OR(B579="NW",COUNT(Risk_Rank_Keys!C579)=0),0.5,(SUMPRODUCT(--ISNUMBER(Risk_Rank_Keys!$C$2:$C$800),--(Risk_Rank_Keys!$C$2:$C$800&lt;Risk_Rank_Keys!C579))+(SUMPRODUCT(--ISNUMBER(Risk_Rank_Keys!$C$2:$C$800),--(Risk_Rank_Keys!$C$2:$C$800=Risk_Rank_Keys!C579))+1)/2)/COUNT(Risk_Rank_Keys!$C$2:$C$800))</f>
        <v>0.859135285913529</v>
      </c>
      <c r="O579" s="0" t="n">
        <f aca="false">IF(OR(B579="NW",COUNT(Risk_Rank_Keys!D579)=0),0.5,(SUMPRODUCT(--ISNUMBER(Risk_Rank_Keys!$D$2:$D$800),--(Risk_Rank_Keys!$D$2:$D$800&lt;Risk_Rank_Keys!D579))+(SUMPRODUCT(--ISNUMBER(Risk_Rank_Keys!$D$2:$D$800),--(Risk_Rank_Keys!$D$2:$D$800=Risk_Rank_Keys!D579))+1)/2)/COUNT(Risk_Rank_Keys!$D$2:$D$800))</f>
        <v>0.729428172942817</v>
      </c>
      <c r="P579" s="0" t="n">
        <f aca="false">AVERAGE(M579:O579)</f>
        <v>0.680613668061367</v>
      </c>
      <c r="Q579" s="0" t="n">
        <f aca="false">0.4*H579+0.4*I579+0.2*P579</f>
        <v>0.251266663524664</v>
      </c>
      <c r="R579" s="0" t="n">
        <f aca="false">PERCENTILE($Q$2:$Q$800,0.75)</f>
        <v>0.667715717403612</v>
      </c>
      <c r="S579" s="1" t="b">
        <f aca="false">OR(Q579&gt;=R579,AND(B579="CW",COUNT(J579:L579)&lt;3))</f>
        <v>0</v>
      </c>
      <c r="T579" s="0" t="n">
        <v>0.232320779320899</v>
      </c>
      <c r="U579" s="0" t="n">
        <v>4.66360901498353</v>
      </c>
      <c r="V579" s="0" t="n">
        <v>0.251266663524664</v>
      </c>
      <c r="W579" s="0" t="n">
        <f aca="false">Q579-V579</f>
        <v>0</v>
      </c>
    </row>
    <row r="580" customFormat="false" ht="15" hidden="false" customHeight="false" outlineLevel="0" collapsed="false">
      <c r="A580" s="0" t="s">
        <v>614</v>
      </c>
      <c r="B580" s="0" t="s">
        <v>3013</v>
      </c>
      <c r="C580" s="0" t="n">
        <v>48.368908031087</v>
      </c>
      <c r="D580" s="0" t="n">
        <f aca="false">SUMPRODUCT(Risk_Inputs!B580:AJ580,Risk_Coefs!$B$2:$AJ$2)</f>
        <v>-1.47995501471094</v>
      </c>
      <c r="E580" s="0" t="n">
        <f aca="false">1/(1+EXP(-MAX(-25,MIN(25,D580))))</f>
        <v>0.185434214151252</v>
      </c>
      <c r="F580" s="0" t="n">
        <f aca="false">SUMPRODUCT(Risk_Inputs!B580:AJ580,Risk_Coefs!$B$3:$AJ$3)</f>
        <v>5.98212985491167</v>
      </c>
      <c r="G580" s="0" t="n">
        <f aca="false">MAX(0,F580)</f>
        <v>5.98212985491167</v>
      </c>
      <c r="H580" s="0" t="n">
        <f aca="false">(SUMPRODUCT(--ISNUMBER($E$2:$E$800),--($E$2:$E$800&lt;E580))+(SUMPRODUCT(--ISNUMBER($E$2:$E$800),--($E$2:$E$800=E580))+1)/2)/COUNT($E$2:$E$800)</f>
        <v>0.0738423028785983</v>
      </c>
      <c r="I580" s="0" t="n">
        <f aca="false">(SUMPRODUCT(--ISNUMBER($G$2:$G$800),--($G$2:$G$800&lt;G580))+(SUMPRODUCT(--ISNUMBER($G$2:$G$800),--($G$2:$G$800=G580))+1)/2)/COUNT($G$2:$G$800)</f>
        <v>0.262828535669587</v>
      </c>
      <c r="J580" s="0" t="n">
        <v>19.1802303685618</v>
      </c>
      <c r="K580" s="0" t="n">
        <v>20.0700525394046</v>
      </c>
      <c r="L580" s="0" t="n">
        <v>0.420315236427317</v>
      </c>
      <c r="M580" s="0" t="n">
        <f aca="false">IF(OR(B580="NW",COUNT(Risk_Rank_Keys!B580)=0),0.5,(SUMPRODUCT(--ISNUMBER(Risk_Rank_Keys!$B$2:$B$800),--(Risk_Rank_Keys!$B$2:$B$800&lt;Risk_Rank_Keys!B580))+(SUMPRODUCT(--ISNUMBER(Risk_Rank_Keys!$B$2:$B$800),--(Risk_Rank_Keys!$B$2:$B$800=Risk_Rank_Keys!B580))+1)/2)/COUNT(Risk_Rank_Keys!$B$2:$B$800))</f>
        <v>0.776847977684798</v>
      </c>
      <c r="N580" s="0" t="n">
        <f aca="false">IF(OR(B580="NW",COUNT(Risk_Rank_Keys!C580)=0),0.5,(SUMPRODUCT(--ISNUMBER(Risk_Rank_Keys!$C$2:$C$800),--(Risk_Rank_Keys!$C$2:$C$800&lt;Risk_Rank_Keys!C580))+(SUMPRODUCT(--ISNUMBER(Risk_Rank_Keys!$C$2:$C$800),--(Risk_Rank_Keys!$C$2:$C$800=Risk_Rank_Keys!C580))+1)/2)/COUNT(Risk_Rank_Keys!$C$2:$C$800))</f>
        <v>0.95955369595537</v>
      </c>
      <c r="O580" s="0" t="n">
        <f aca="false">IF(OR(B580="NW",COUNT(Risk_Rank_Keys!D580)=0),0.5,(SUMPRODUCT(--ISNUMBER(Risk_Rank_Keys!$D$2:$D$800),--(Risk_Rank_Keys!$D$2:$D$800&lt;Risk_Rank_Keys!D580))+(SUMPRODUCT(--ISNUMBER(Risk_Rank_Keys!$D$2:$D$800),--(Risk_Rank_Keys!$D$2:$D$800=Risk_Rank_Keys!D580))+1)/2)/COUNT(Risk_Rank_Keys!$D$2:$D$800))</f>
        <v>0.896792189679219</v>
      </c>
      <c r="P580" s="0" t="n">
        <f aca="false">AVERAGE(M580:O580)</f>
        <v>0.877731287773129</v>
      </c>
      <c r="Q580" s="0" t="n">
        <f aca="false">0.4*H580+0.4*I580+0.2*P580</f>
        <v>0.3102145929739</v>
      </c>
      <c r="R580" s="0" t="n">
        <f aca="false">PERCENTILE($Q$2:$Q$800,0.75)</f>
        <v>0.667715717403612</v>
      </c>
      <c r="S580" s="1" t="b">
        <f aca="false">OR(Q580&gt;=R580,AND(B580="CW",COUNT(J580:L580)&lt;3))</f>
        <v>0</v>
      </c>
      <c r="T580" s="0" t="n">
        <v>0.185434214151252</v>
      </c>
      <c r="U580" s="0" t="n">
        <v>5.98212985491167</v>
      </c>
      <c r="V580" s="0" t="n">
        <v>0.3102145929739</v>
      </c>
      <c r="W580" s="0" t="n">
        <f aca="false">Q580-V580</f>
        <v>0</v>
      </c>
    </row>
    <row r="581" customFormat="false" ht="15" hidden="false" customHeight="false" outlineLevel="0" collapsed="false">
      <c r="A581" s="0" t="s">
        <v>615</v>
      </c>
      <c r="B581" s="0" t="s">
        <v>3013</v>
      </c>
      <c r="C581" s="0" t="n">
        <v>-36.932595819258</v>
      </c>
      <c r="D581" s="0" t="n">
        <f aca="false">SUMPRODUCT(Risk_Inputs!B581:AJ581,Risk_Coefs!$B$2:$AJ$2)</f>
        <v>-0.644838927961565</v>
      </c>
      <c r="E581" s="0" t="n">
        <f aca="false">1/(1+EXP(-MAX(-25,MIN(25,D581))))</f>
        <v>0.344153513750946</v>
      </c>
      <c r="F581" s="0" t="n">
        <f aca="false">SUMPRODUCT(Risk_Inputs!B581:AJ581,Risk_Coefs!$B$3:$AJ$3)</f>
        <v>12.2520201248542</v>
      </c>
      <c r="G581" s="0" t="n">
        <f aca="false">MAX(0,F581)</f>
        <v>12.2520201248542</v>
      </c>
      <c r="H581" s="0" t="n">
        <f aca="false">(SUMPRODUCT(--ISNUMBER($E$2:$E$800),--($E$2:$E$800&lt;E581))+(SUMPRODUCT(--ISNUMBER($E$2:$E$800),--($E$2:$E$800=E581))+1)/2)/COUNT($E$2:$E$800)</f>
        <v>0.799749687108886</v>
      </c>
      <c r="I581" s="0" t="n">
        <f aca="false">(SUMPRODUCT(--ISNUMBER($G$2:$G$800),--($G$2:$G$800&lt;G581))+(SUMPRODUCT(--ISNUMBER($G$2:$G$800),--($G$2:$G$800=G581))+1)/2)/COUNT($G$2:$G$800)</f>
        <v>0.93116395494368</v>
      </c>
      <c r="J581" s="0" t="n">
        <v>28.4990892682328</v>
      </c>
      <c r="K581" s="0" t="n">
        <v>8.29028290282904</v>
      </c>
      <c r="L581" s="0" t="n">
        <v>0.221402214022142</v>
      </c>
      <c r="M581" s="0" t="n">
        <f aca="false">IF(OR(B581="NW",COUNT(Risk_Rank_Keys!B581)=0),0.5,(SUMPRODUCT(--ISNUMBER(Risk_Rank_Keys!$B$2:$B$800),--(Risk_Rank_Keys!$B$2:$B$800&lt;Risk_Rank_Keys!B581))+(SUMPRODUCT(--ISNUMBER(Risk_Rank_Keys!$B$2:$B$800),--(Risk_Rank_Keys!$B$2:$B$800=Risk_Rank_Keys!B581))+1)/2)/COUNT(Risk_Rank_Keys!$B$2:$B$800))</f>
        <v>0.899581589958159</v>
      </c>
      <c r="N581" s="0" t="n">
        <f aca="false">IF(OR(B581="NW",COUNT(Risk_Rank_Keys!C581)=0),0.5,(SUMPRODUCT(--ISNUMBER(Risk_Rank_Keys!$C$2:$C$800),--(Risk_Rank_Keys!$C$2:$C$800&lt;Risk_Rank_Keys!C581))+(SUMPRODUCT(--ISNUMBER(Risk_Rank_Keys!$C$2:$C$800),--(Risk_Rank_Keys!$C$2:$C$800=Risk_Rank_Keys!C581))+1)/2)/COUNT(Risk_Rank_Keys!$C$2:$C$800))</f>
        <v>0.832635983263598</v>
      </c>
      <c r="O581" s="0" t="n">
        <f aca="false">IF(OR(B581="NW",COUNT(Risk_Rank_Keys!D581)=0),0.5,(SUMPRODUCT(--ISNUMBER(Risk_Rank_Keys!$D$2:$D$800),--(Risk_Rank_Keys!$D$2:$D$800&lt;Risk_Rank_Keys!D581))+(SUMPRODUCT(--ISNUMBER(Risk_Rank_Keys!$D$2:$D$800),--(Risk_Rank_Keys!$D$2:$D$800=Risk_Rank_Keys!D581))+1)/2)/COUNT(Risk_Rank_Keys!$D$2:$D$800))</f>
        <v>0.446304044630404</v>
      </c>
      <c r="P581" s="0" t="n">
        <f aca="false">AVERAGE(M581:O581)</f>
        <v>0.726173872617387</v>
      </c>
      <c r="Q581" s="0" t="n">
        <f aca="false">0.4*H581+0.4*I581+0.2*P581</f>
        <v>0.837600231344504</v>
      </c>
      <c r="R581" s="0" t="n">
        <f aca="false">PERCENTILE($Q$2:$Q$800,0.75)</f>
        <v>0.667715717403612</v>
      </c>
      <c r="S581" s="1" t="b">
        <f aca="false">OR(Q581&gt;=R581,AND(B581="CW",COUNT(J581:L581)&lt;3))</f>
        <v>1</v>
      </c>
      <c r="T581" s="0" t="n">
        <v>0.344153513750945</v>
      </c>
      <c r="U581" s="0" t="n">
        <v>12.2520201248542</v>
      </c>
      <c r="V581" s="0" t="n">
        <v>0.837600231344504</v>
      </c>
      <c r="W581" s="0" t="n">
        <f aca="false">Q581-V581</f>
        <v>0</v>
      </c>
    </row>
    <row r="582" customFormat="false" ht="15" hidden="false" customHeight="false" outlineLevel="0" collapsed="false">
      <c r="A582" s="0" t="s">
        <v>616</v>
      </c>
      <c r="B582" s="0" t="s">
        <v>3013</v>
      </c>
      <c r="C582" s="0" t="n">
        <v>26.0564688366833</v>
      </c>
      <c r="D582" s="0" t="n">
        <f aca="false">SUMPRODUCT(Risk_Inputs!B582:AJ582,Risk_Coefs!$B$2:$AJ$2)</f>
        <v>-0.92394581778544</v>
      </c>
      <c r="E582" s="0" t="n">
        <f aca="false">1/(1+EXP(-MAX(-25,MIN(25,D582))))</f>
        <v>0.284154589387689</v>
      </c>
      <c r="F582" s="0" t="n">
        <f aca="false">SUMPRODUCT(Risk_Inputs!B582:AJ582,Risk_Coefs!$B$3:$AJ$3)</f>
        <v>9.96231323250056</v>
      </c>
      <c r="G582" s="0" t="n">
        <f aca="false">MAX(0,F582)</f>
        <v>9.96231323250056</v>
      </c>
      <c r="H582" s="0" t="n">
        <f aca="false">(SUMPRODUCT(--ISNUMBER($E$2:$E$800),--($E$2:$E$800&lt;E582))+(SUMPRODUCT(--ISNUMBER($E$2:$E$800),--($E$2:$E$800=E582))+1)/2)/COUNT($E$2:$E$800)</f>
        <v>0.483103879849812</v>
      </c>
      <c r="I582" s="0" t="n">
        <f aca="false">(SUMPRODUCT(--ISNUMBER($G$2:$G$800),--($G$2:$G$800&lt;G582))+(SUMPRODUCT(--ISNUMBER($G$2:$G$800),--($G$2:$G$800=G582))+1)/2)/COUNT($G$2:$G$800)</f>
        <v>0.783479349186483</v>
      </c>
      <c r="J582" s="0" t="n">
        <v>20.815369551103</v>
      </c>
      <c r="K582" s="0" t="n">
        <v>13.1601731601732</v>
      </c>
      <c r="L582" s="0" t="n">
        <v>0.210265924551637</v>
      </c>
      <c r="M582" s="0" t="n">
        <f aca="false">IF(OR(B582="NW",COUNT(Risk_Rank_Keys!B582)=0),0.5,(SUMPRODUCT(--ISNUMBER(Risk_Rank_Keys!$B$2:$B$800),--(Risk_Rank_Keys!$B$2:$B$800&lt;Risk_Rank_Keys!B582))+(SUMPRODUCT(--ISNUMBER(Risk_Rank_Keys!$B$2:$B$800),--(Risk_Rank_Keys!$B$2:$B$800=Risk_Rank_Keys!B582))+1)/2)/COUNT(Risk_Rank_Keys!$B$2:$B$800))</f>
        <v>0.807531380753138</v>
      </c>
      <c r="N582" s="0" t="n">
        <f aca="false">IF(OR(B582="NW",COUNT(Risk_Rank_Keys!C582)=0),0.5,(SUMPRODUCT(--ISNUMBER(Risk_Rank_Keys!$C$2:$C$800),--(Risk_Rank_Keys!$C$2:$C$800&lt;Risk_Rank_Keys!C582))+(SUMPRODUCT(--ISNUMBER(Risk_Rank_Keys!$C$2:$C$800),--(Risk_Rank_Keys!$C$2:$C$800=Risk_Rank_Keys!C582))+1)/2)/COUNT(Risk_Rank_Keys!$C$2:$C$800))</f>
        <v>0.912133891213389</v>
      </c>
      <c r="O582" s="0" t="n">
        <f aca="false">IF(OR(B582="NW",COUNT(Risk_Rank_Keys!D582)=0),0.5,(SUMPRODUCT(--ISNUMBER(Risk_Rank_Keys!$D$2:$D$800),--(Risk_Rank_Keys!$D$2:$D$800&lt;Risk_Rank_Keys!D582))+(SUMPRODUCT(--ISNUMBER(Risk_Rank_Keys!$D$2:$D$800),--(Risk_Rank_Keys!$D$2:$D$800=Risk_Rank_Keys!D582))+1)/2)/COUNT(Risk_Rank_Keys!$D$2:$D$800))</f>
        <v>0.379358437935844</v>
      </c>
      <c r="P582" s="0" t="n">
        <f aca="false">AVERAGE(M582:O582)</f>
        <v>0.699674569967457</v>
      </c>
      <c r="Q582" s="0" t="n">
        <f aca="false">0.4*H582+0.4*I582+0.2*P582</f>
        <v>0.64656820560801</v>
      </c>
      <c r="R582" s="0" t="n">
        <f aca="false">PERCENTILE($Q$2:$Q$800,0.75)</f>
        <v>0.667715717403612</v>
      </c>
      <c r="S582" s="1" t="b">
        <f aca="false">OR(Q582&gt;=R582,AND(B582="CW",COUNT(J582:L582)&lt;3))</f>
        <v>0</v>
      </c>
      <c r="T582" s="0" t="n">
        <v>0.284154589387689</v>
      </c>
      <c r="U582" s="0" t="n">
        <v>9.96231323250056</v>
      </c>
      <c r="V582" s="0" t="n">
        <v>0.64656820560801</v>
      </c>
      <c r="W582" s="0" t="n">
        <f aca="false">Q582-V582</f>
        <v>0</v>
      </c>
    </row>
    <row r="583" customFormat="false" ht="15" hidden="false" customHeight="false" outlineLevel="0" collapsed="false">
      <c r="A583" s="0" t="s">
        <v>617</v>
      </c>
      <c r="B583" s="0" t="s">
        <v>3013</v>
      </c>
      <c r="C583" s="0" t="n">
        <v>20.144997161001</v>
      </c>
      <c r="D583" s="0" t="n">
        <f aca="false">SUMPRODUCT(Risk_Inputs!B583:AJ583,Risk_Coefs!$B$2:$AJ$2)</f>
        <v>-0.426544170088552</v>
      </c>
      <c r="E583" s="0" t="n">
        <f aca="false">1/(1+EXP(-MAX(-25,MIN(25,D583))))</f>
        <v>0.394951853062478</v>
      </c>
      <c r="F583" s="0" t="n">
        <f aca="false">SUMPRODUCT(Risk_Inputs!B583:AJ583,Risk_Coefs!$B$3:$AJ$3)</f>
        <v>10.0565949760874</v>
      </c>
      <c r="G583" s="0" t="n">
        <f aca="false">MAX(0,F583)</f>
        <v>10.0565949760874</v>
      </c>
      <c r="H583" s="0" t="n">
        <f aca="false">(SUMPRODUCT(--ISNUMBER($E$2:$E$800),--($E$2:$E$800&lt;E583))+(SUMPRODUCT(--ISNUMBER($E$2:$E$800),--($E$2:$E$800=E583))+1)/2)/COUNT($E$2:$E$800)</f>
        <v>0.93116395494368</v>
      </c>
      <c r="I583" s="0" t="n">
        <f aca="false">(SUMPRODUCT(--ISNUMBER($G$2:$G$800),--($G$2:$G$800&lt;G583))+(SUMPRODUCT(--ISNUMBER($G$2:$G$800),--($G$2:$G$800=G583))+1)/2)/COUNT($G$2:$G$800)</f>
        <v>0.794743429286608</v>
      </c>
      <c r="J583" s="0" t="n">
        <v>10.0927751003605</v>
      </c>
      <c r="K583" s="0" t="n">
        <v>1.53016866631893</v>
      </c>
      <c r="L583" s="0" t="n">
        <v>0.295600765084341</v>
      </c>
      <c r="M583" s="0" t="n">
        <f aca="false">IF(OR(B583="NW",COUNT(Risk_Rank_Keys!B583)=0),0.5,(SUMPRODUCT(--ISNUMBER(Risk_Rank_Keys!$B$2:$B$800),--(Risk_Rank_Keys!$B$2:$B$800&lt;Risk_Rank_Keys!B583))+(SUMPRODUCT(--ISNUMBER(Risk_Rank_Keys!$B$2:$B$800),--(Risk_Rank_Keys!$B$2:$B$800=Risk_Rank_Keys!B583))+1)/2)/COUNT(Risk_Rank_Keys!$B$2:$B$800))</f>
        <v>0.511854951185495</v>
      </c>
      <c r="N583" s="0" t="n">
        <f aca="false">IF(OR(B583="NW",COUNT(Risk_Rank_Keys!C583)=0),0.5,(SUMPRODUCT(--ISNUMBER(Risk_Rank_Keys!$C$2:$C$800),--(Risk_Rank_Keys!$C$2:$C$800&lt;Risk_Rank_Keys!C583))+(SUMPRODUCT(--ISNUMBER(Risk_Rank_Keys!$C$2:$C$800),--(Risk_Rank_Keys!$C$2:$C$800=Risk_Rank_Keys!C583))+1)/2)/COUNT(Risk_Rank_Keys!$C$2:$C$800))</f>
        <v>0.139470013947001</v>
      </c>
      <c r="O583" s="0" t="n">
        <f aca="false">IF(OR(B583="NW",COUNT(Risk_Rank_Keys!D583)=0),0.5,(SUMPRODUCT(--ISNUMBER(Risk_Rank_Keys!$D$2:$D$800),--(Risk_Rank_Keys!$D$2:$D$800&lt;Risk_Rank_Keys!D583))+(SUMPRODUCT(--ISNUMBER(Risk_Rank_Keys!$D$2:$D$800),--(Risk_Rank_Keys!$D$2:$D$800=Risk_Rank_Keys!D583))+1)/2)/COUNT(Risk_Rank_Keys!$D$2:$D$800))</f>
        <v>0.737796373779637</v>
      </c>
      <c r="P583" s="0" t="n">
        <f aca="false">AVERAGE(M583:O583)</f>
        <v>0.463040446304045</v>
      </c>
      <c r="Q583" s="0" t="n">
        <f aca="false">0.4*H583+0.4*I583+0.2*P583</f>
        <v>0.782971042952924</v>
      </c>
      <c r="R583" s="0" t="n">
        <f aca="false">PERCENTILE($Q$2:$Q$800,0.75)</f>
        <v>0.667715717403612</v>
      </c>
      <c r="S583" s="1" t="b">
        <f aca="false">OR(Q583&gt;=R583,AND(B583="CW",COUNT(J583:L583)&lt;3))</f>
        <v>1</v>
      </c>
      <c r="T583" s="0" t="n">
        <v>0.394951853062478</v>
      </c>
      <c r="U583" s="0" t="n">
        <v>10.0565949760874</v>
      </c>
      <c r="V583" s="0" t="n">
        <v>0.782971042952924</v>
      </c>
      <c r="W583" s="0" t="n">
        <f aca="false">Q583-V583</f>
        <v>0</v>
      </c>
    </row>
    <row r="584" customFormat="false" ht="15" hidden="false" customHeight="false" outlineLevel="0" collapsed="false">
      <c r="A584" s="0" t="s">
        <v>618</v>
      </c>
      <c r="B584" s="0" t="s">
        <v>3013</v>
      </c>
      <c r="C584" s="0" t="n">
        <v>-46.8394484598736</v>
      </c>
      <c r="D584" s="0" t="n">
        <f aca="false">SUMPRODUCT(Risk_Inputs!B584:AJ584,Risk_Coefs!$B$2:$AJ$2)</f>
        <v>-0.761014805138505</v>
      </c>
      <c r="E584" s="0" t="n">
        <f aca="false">1/(1+EXP(-MAX(-25,MIN(25,D584))))</f>
        <v>0.318425981591724</v>
      </c>
      <c r="F584" s="0" t="n">
        <f aca="false">SUMPRODUCT(Risk_Inputs!B584:AJ584,Risk_Coefs!$B$3:$AJ$3)</f>
        <v>6.88902687255351</v>
      </c>
      <c r="G584" s="0" t="n">
        <f aca="false">MAX(0,F584)</f>
        <v>6.88902687255351</v>
      </c>
      <c r="H584" s="0" t="n">
        <f aca="false">(SUMPRODUCT(--ISNUMBER($E$2:$E$800),--($E$2:$E$800&lt;E584))+(SUMPRODUCT(--ISNUMBER($E$2:$E$800),--($E$2:$E$800=E584))+1)/2)/COUNT($E$2:$E$800)</f>
        <v>0.660826032540676</v>
      </c>
      <c r="I584" s="0" t="n">
        <f aca="false">(SUMPRODUCT(--ISNUMBER($G$2:$G$800),--($G$2:$G$800&lt;G584))+(SUMPRODUCT(--ISNUMBER($G$2:$G$800),--($G$2:$G$800=G584))+1)/2)/COUNT($G$2:$G$800)</f>
        <v>0.406758448060075</v>
      </c>
      <c r="J584" s="0" t="n">
        <v>6.93983835703963</v>
      </c>
      <c r="K584" s="0" t="n">
        <v>4.26737160120846</v>
      </c>
      <c r="L584" s="0" t="n">
        <v>0.264350453172212</v>
      </c>
      <c r="M584" s="0" t="n">
        <f aca="false">IF(OR(B584="NW",COUNT(Risk_Rank_Keys!B584)=0),0.5,(SUMPRODUCT(--ISNUMBER(Risk_Rank_Keys!$B$2:$B$800),--(Risk_Rank_Keys!$B$2:$B$800&lt;Risk_Rank_Keys!B584))+(SUMPRODUCT(--ISNUMBER(Risk_Rank_Keys!$B$2:$B$800),--(Risk_Rank_Keys!$B$2:$B$800=Risk_Rank_Keys!B584))+1)/2)/COUNT(Risk_Rank_Keys!$B$2:$B$800))</f>
        <v>0.306834030683403</v>
      </c>
      <c r="N584" s="0" t="n">
        <f aca="false">IF(OR(B584="NW",COUNT(Risk_Rank_Keys!C584)=0),0.5,(SUMPRODUCT(--ISNUMBER(Risk_Rank_Keys!$C$2:$C$800),--(Risk_Rank_Keys!$C$2:$C$800&lt;Risk_Rank_Keys!C584))+(SUMPRODUCT(--ISNUMBER(Risk_Rank_Keys!$C$2:$C$800),--(Risk_Rank_Keys!$C$2:$C$800=Risk_Rank_Keys!C584))+1)/2)/COUNT(Risk_Rank_Keys!$C$2:$C$800))</f>
        <v>0.624825662482566</v>
      </c>
      <c r="O584" s="0" t="n">
        <f aca="false">IF(OR(B584="NW",COUNT(Risk_Rank_Keys!D584)=0),0.5,(SUMPRODUCT(--ISNUMBER(Risk_Rank_Keys!$D$2:$D$800),--(Risk_Rank_Keys!$D$2:$D$800&lt;Risk_Rank_Keys!D584))+(SUMPRODUCT(--ISNUMBER(Risk_Rank_Keys!$D$2:$D$800),--(Risk_Rank_Keys!$D$2:$D$800=Risk_Rank_Keys!D584))+1)/2)/COUNT(Risk_Rank_Keys!$D$2:$D$800))</f>
        <v>0.650627615062762</v>
      </c>
      <c r="P584" s="0" t="n">
        <f aca="false">AVERAGE(M584:O584)</f>
        <v>0.52742910274291</v>
      </c>
      <c r="Q584" s="0" t="n">
        <f aca="false">0.4*H584+0.4*I584+0.2*P584</f>
        <v>0.532519612788883</v>
      </c>
      <c r="R584" s="0" t="n">
        <f aca="false">PERCENTILE($Q$2:$Q$800,0.75)</f>
        <v>0.667715717403612</v>
      </c>
      <c r="S584" s="1" t="b">
        <f aca="false">OR(Q584&gt;=R584,AND(B584="CW",COUNT(J584:L584)&lt;3))</f>
        <v>0</v>
      </c>
      <c r="T584" s="0" t="n">
        <v>0.318425981591724</v>
      </c>
      <c r="U584" s="0" t="n">
        <v>6.88902687255351</v>
      </c>
      <c r="V584" s="0" t="n">
        <v>0.532519612788883</v>
      </c>
      <c r="W584" s="0" t="n">
        <f aca="false">Q584-V584</f>
        <v>0</v>
      </c>
    </row>
    <row r="585" customFormat="false" ht="15" hidden="false" customHeight="false" outlineLevel="0" collapsed="false">
      <c r="A585" s="0" t="s">
        <v>619</v>
      </c>
      <c r="B585" s="0" t="s">
        <v>3013</v>
      </c>
      <c r="C585" s="0" t="n">
        <v>29.5697692621691</v>
      </c>
      <c r="D585" s="0" t="n">
        <f aca="false">SUMPRODUCT(Risk_Inputs!B585:AJ585,Risk_Coefs!$B$2:$AJ$2)</f>
        <v>-1.54029175979748</v>
      </c>
      <c r="E585" s="0" t="n">
        <f aca="false">1/(1+EXP(-MAX(-25,MIN(25,D585))))</f>
        <v>0.17649286549324</v>
      </c>
      <c r="F585" s="0" t="n">
        <f aca="false">SUMPRODUCT(Risk_Inputs!B585:AJ585,Risk_Coefs!$B$3:$AJ$3)</f>
        <v>4.85226181329689</v>
      </c>
      <c r="G585" s="0" t="n">
        <f aca="false">MAX(0,F585)</f>
        <v>4.85226181329689</v>
      </c>
      <c r="H585" s="0" t="n">
        <f aca="false">(SUMPRODUCT(--ISNUMBER($E$2:$E$800),--($E$2:$E$800&lt;E585))+(SUMPRODUCT(--ISNUMBER($E$2:$E$800),--($E$2:$E$800=E585))+1)/2)/COUNT($E$2:$E$800)</f>
        <v>0.0575719649561952</v>
      </c>
      <c r="I585" s="0" t="n">
        <f aca="false">(SUMPRODUCT(--ISNUMBER($G$2:$G$800),--($G$2:$G$800&lt;G585))+(SUMPRODUCT(--ISNUMBER($G$2:$G$800),--($G$2:$G$800=G585))+1)/2)/COUNT($G$2:$G$800)</f>
        <v>0.117647058823529</v>
      </c>
      <c r="J585" s="0" t="n">
        <v>37.8072225260611</v>
      </c>
      <c r="K585" s="0" t="n">
        <v>4.84764542936288</v>
      </c>
      <c r="L585" s="0" t="n">
        <v>0.346260387811627</v>
      </c>
      <c r="M585" s="0" t="n">
        <f aca="false">IF(OR(B585="NW",COUNT(Risk_Rank_Keys!B585)=0),0.5,(SUMPRODUCT(--ISNUMBER(Risk_Rank_Keys!$B$2:$B$800),--(Risk_Rank_Keys!$B$2:$B$800&lt;Risk_Rank_Keys!B585))+(SUMPRODUCT(--ISNUMBER(Risk_Rank_Keys!$B$2:$B$800),--(Risk_Rank_Keys!$B$2:$B$800=Risk_Rank_Keys!B585))+1)/2)/COUNT(Risk_Rank_Keys!$B$2:$B$800))</f>
        <v>0.944211994421199</v>
      </c>
      <c r="N585" s="0" t="n">
        <f aca="false">IF(OR(B585="NW",COUNT(Risk_Rank_Keys!C585)=0),0.5,(SUMPRODUCT(--ISNUMBER(Risk_Rank_Keys!$C$2:$C$800),--(Risk_Rank_Keys!$C$2:$C$800&lt;Risk_Rank_Keys!C585))+(SUMPRODUCT(--ISNUMBER(Risk_Rank_Keys!$C$2:$C$800),--(Risk_Rank_Keys!$C$2:$C$800=Risk_Rank_Keys!C585))+1)/2)/COUNT(Risk_Rank_Keys!$C$2:$C$800))</f>
        <v>0.680613668061367</v>
      </c>
      <c r="O585" s="0" t="n">
        <f aca="false">IF(OR(B585="NW",COUNT(Risk_Rank_Keys!D585)=0),0.5,(SUMPRODUCT(--ISNUMBER(Risk_Rank_Keys!$D$2:$D$800),--(Risk_Rank_Keys!$D$2:$D$800&lt;Risk_Rank_Keys!D585))+(SUMPRODUCT(--ISNUMBER(Risk_Rank_Keys!$D$2:$D$800),--(Risk_Rank_Keys!$D$2:$D$800=Risk_Rank_Keys!D585))+1)/2)/COUNT(Risk_Rank_Keys!$D$2:$D$800))</f>
        <v>0.828451882845188</v>
      </c>
      <c r="P585" s="0" t="n">
        <f aca="false">AVERAGE(M585:O585)</f>
        <v>0.817759181775918</v>
      </c>
      <c r="Q585" s="0" t="n">
        <f aca="false">0.4*H585+0.4*I585+0.2*P585</f>
        <v>0.233639445867074</v>
      </c>
      <c r="R585" s="0" t="n">
        <f aca="false">PERCENTILE($Q$2:$Q$800,0.75)</f>
        <v>0.667715717403612</v>
      </c>
      <c r="S585" s="1" t="b">
        <f aca="false">OR(Q585&gt;=R585,AND(B585="CW",COUNT(J585:L585)&lt;3))</f>
        <v>0</v>
      </c>
      <c r="T585" s="0" t="n">
        <v>0.17649286549324</v>
      </c>
      <c r="U585" s="0" t="n">
        <v>4.85226181329689</v>
      </c>
      <c r="V585" s="0" t="n">
        <v>0.233639445867074</v>
      </c>
      <c r="W585" s="0" t="n">
        <f aca="false">Q585-V585</f>
        <v>0</v>
      </c>
    </row>
    <row r="586" customFormat="false" ht="15" hidden="false" customHeight="false" outlineLevel="0" collapsed="false">
      <c r="A586" s="0" t="s">
        <v>620</v>
      </c>
      <c r="B586" s="0" t="s">
        <v>3013</v>
      </c>
      <c r="C586" s="0" t="n">
        <v>4.50074625013835</v>
      </c>
      <c r="D586" s="0" t="n">
        <f aca="false">SUMPRODUCT(Risk_Inputs!B586:AJ586,Risk_Coefs!$B$2:$AJ$2)</f>
        <v>-0.673962256268177</v>
      </c>
      <c r="E586" s="0" t="n">
        <f aca="false">1/(1+EXP(-MAX(-25,MIN(25,D586))))</f>
        <v>0.337610193872116</v>
      </c>
      <c r="F586" s="0" t="n">
        <f aca="false">SUMPRODUCT(Risk_Inputs!B586:AJ586,Risk_Coefs!$B$3:$AJ$3)</f>
        <v>8.29789505077339</v>
      </c>
      <c r="G586" s="0" t="n">
        <f aca="false">MAX(0,F586)</f>
        <v>8.29789505077339</v>
      </c>
      <c r="H586" s="0" t="n">
        <f aca="false">(SUMPRODUCT(--ISNUMBER($E$2:$E$800),--($E$2:$E$800&lt;E586))+(SUMPRODUCT(--ISNUMBER($E$2:$E$800),--($E$2:$E$800=E586))+1)/2)/COUNT($E$2:$E$800)</f>
        <v>0.773466833541927</v>
      </c>
      <c r="I586" s="0" t="n">
        <f aca="false">(SUMPRODUCT(--ISNUMBER($G$2:$G$800),--($G$2:$G$800&lt;G586))+(SUMPRODUCT(--ISNUMBER($G$2:$G$800),--($G$2:$G$800=G586))+1)/2)/COUNT($G$2:$G$800)</f>
        <v>0.578222778473091</v>
      </c>
      <c r="J586" s="0" t="n">
        <v>9.7698221514975</v>
      </c>
      <c r="K586" s="0" t="n">
        <v>1.65420348968954</v>
      </c>
      <c r="L586" s="0" t="n">
        <v>0.24926353954226</v>
      </c>
      <c r="M586" s="0" t="n">
        <f aca="false">IF(OR(B586="NW",COUNT(Risk_Rank_Keys!B586)=0),0.5,(SUMPRODUCT(--ISNUMBER(Risk_Rank_Keys!$B$2:$B$800),--(Risk_Rank_Keys!$B$2:$B$800&lt;Risk_Rank_Keys!B586))+(SUMPRODUCT(--ISNUMBER(Risk_Rank_Keys!$B$2:$B$800),--(Risk_Rank_Keys!$B$2:$B$800=Risk_Rank_Keys!B586))+1)/2)/COUNT(Risk_Rank_Keys!$B$2:$B$800))</f>
        <v>0.490934449093445</v>
      </c>
      <c r="N586" s="0" t="n">
        <f aca="false">IF(OR(B586="NW",COUNT(Risk_Rank_Keys!C586)=0),0.5,(SUMPRODUCT(--ISNUMBER(Risk_Rank_Keys!$C$2:$C$800),--(Risk_Rank_Keys!$C$2:$C$800&lt;Risk_Rank_Keys!C586))+(SUMPRODUCT(--ISNUMBER(Risk_Rank_Keys!$C$2:$C$800),--(Risk_Rank_Keys!$C$2:$C$800=Risk_Rank_Keys!C586))+1)/2)/COUNT(Risk_Rank_Keys!$C$2:$C$800))</f>
        <v>0.175732217573222</v>
      </c>
      <c r="O586" s="0" t="n">
        <f aca="false">IF(OR(B586="NW",COUNT(Risk_Rank_Keys!D586)=0),0.5,(SUMPRODUCT(--ISNUMBER(Risk_Rank_Keys!$D$2:$D$800),--(Risk_Rank_Keys!$D$2:$D$800&lt;Risk_Rank_Keys!D586))+(SUMPRODUCT(--ISNUMBER(Risk_Rank_Keys!$D$2:$D$800),--(Risk_Rank_Keys!$D$2:$D$800=Risk_Rank_Keys!D586))+1)/2)/COUNT(Risk_Rank_Keys!$D$2:$D$800))</f>
        <v>0.584379358437936</v>
      </c>
      <c r="P586" s="0" t="n">
        <f aca="false">AVERAGE(M586:O586)</f>
        <v>0.417015341701534</v>
      </c>
      <c r="Q586" s="0" t="n">
        <f aca="false">0.4*H586+0.4*I586+0.2*P586</f>
        <v>0.624078913146314</v>
      </c>
      <c r="R586" s="0" t="n">
        <f aca="false">PERCENTILE($Q$2:$Q$800,0.75)</f>
        <v>0.667715717403612</v>
      </c>
      <c r="S586" s="1" t="b">
        <f aca="false">OR(Q586&gt;=R586,AND(B586="CW",COUNT(J586:L586)&lt;3))</f>
        <v>0</v>
      </c>
      <c r="T586" s="0" t="n">
        <v>0.337610193872116</v>
      </c>
      <c r="U586" s="0" t="n">
        <v>8.29789505077339</v>
      </c>
      <c r="V586" s="0" t="n">
        <v>0.624078913146314</v>
      </c>
      <c r="W586" s="0" t="n">
        <f aca="false">Q586-V586</f>
        <v>0</v>
      </c>
    </row>
    <row r="587" customFormat="false" ht="15" hidden="false" customHeight="false" outlineLevel="0" collapsed="false">
      <c r="A587" s="0" t="s">
        <v>621</v>
      </c>
      <c r="B587" s="0" t="s">
        <v>3013</v>
      </c>
      <c r="C587" s="0" t="n">
        <v>53.0063874167721</v>
      </c>
      <c r="D587" s="0" t="n">
        <f aca="false">SUMPRODUCT(Risk_Inputs!B587:AJ587,Risk_Coefs!$B$2:$AJ$2)</f>
        <v>-1.52201746584895</v>
      </c>
      <c r="E587" s="0" t="n">
        <f aca="false">1/(1+EXP(-MAX(-25,MIN(25,D587))))</f>
        <v>0.179164629399556</v>
      </c>
      <c r="F587" s="0" t="n">
        <f aca="false">SUMPRODUCT(Risk_Inputs!B587:AJ587,Risk_Coefs!$B$3:$AJ$3)</f>
        <v>8.22151313528183</v>
      </c>
      <c r="G587" s="0" t="n">
        <f aca="false">MAX(0,F587)</f>
        <v>8.22151313528183</v>
      </c>
      <c r="H587" s="0" t="n">
        <f aca="false">(SUMPRODUCT(--ISNUMBER($E$2:$E$800),--($E$2:$E$800&lt;E587))+(SUMPRODUCT(--ISNUMBER($E$2:$E$800),--($E$2:$E$800=E587))+1)/2)/COUNT($E$2:$E$800)</f>
        <v>0.065081351689612</v>
      </c>
      <c r="I587" s="0" t="n">
        <f aca="false">(SUMPRODUCT(--ISNUMBER($G$2:$G$800),--($G$2:$G$800&lt;G587))+(SUMPRODUCT(--ISNUMBER($G$2:$G$800),--($G$2:$G$800=G587))+1)/2)/COUNT($G$2:$G$800)</f>
        <v>0.569461827284105</v>
      </c>
      <c r="J587" s="0" t="n">
        <v>29.9362476652053</v>
      </c>
      <c r="K587" s="0" t="n">
        <v>21.9360086767896</v>
      </c>
      <c r="L587" s="0" t="n">
        <v>0.352494577006511</v>
      </c>
      <c r="M587" s="0" t="n">
        <f aca="false">IF(OR(B587="NW",COUNT(Risk_Rank_Keys!B587)=0),0.5,(SUMPRODUCT(--ISNUMBER(Risk_Rank_Keys!$B$2:$B$800),--(Risk_Rank_Keys!$B$2:$B$800&lt;Risk_Rank_Keys!B587))+(SUMPRODUCT(--ISNUMBER(Risk_Rank_Keys!$B$2:$B$800),--(Risk_Rank_Keys!$B$2:$B$800=Risk_Rank_Keys!B587))+1)/2)/COUNT(Risk_Rank_Keys!$B$2:$B$800))</f>
        <v>0.903765690376569</v>
      </c>
      <c r="N587" s="0" t="n">
        <f aca="false">IF(OR(B587="NW",COUNT(Risk_Rank_Keys!C587)=0),0.5,(SUMPRODUCT(--ISNUMBER(Risk_Rank_Keys!$C$2:$C$800),--(Risk_Rank_Keys!$C$2:$C$800&lt;Risk_Rank_Keys!C587))+(SUMPRODUCT(--ISNUMBER(Risk_Rank_Keys!$C$2:$C$800),--(Risk_Rank_Keys!$C$2:$C$800=Risk_Rank_Keys!C587))+1)/2)/COUNT(Risk_Rank_Keys!$C$2:$C$800))</f>
        <v>0.96931659693166</v>
      </c>
      <c r="O587" s="0" t="n">
        <f aca="false">IF(OR(B587="NW",COUNT(Risk_Rank_Keys!D587)=0),0.5,(SUMPRODUCT(--ISNUMBER(Risk_Rank_Keys!$D$2:$D$800),--(Risk_Rank_Keys!$D$2:$D$800&lt;Risk_Rank_Keys!D587))+(SUMPRODUCT(--ISNUMBER(Risk_Rank_Keys!$D$2:$D$800),--(Risk_Rank_Keys!$D$2:$D$800=Risk_Rank_Keys!D587))+1)/2)/COUNT(Risk_Rank_Keys!$D$2:$D$800))</f>
        <v>0.834030683403068</v>
      </c>
      <c r="P587" s="0" t="n">
        <f aca="false">AVERAGE(M587:O587)</f>
        <v>0.902370990237099</v>
      </c>
      <c r="Q587" s="0" t="n">
        <f aca="false">0.4*H587+0.4*I587+0.2*P587</f>
        <v>0.434291469636907</v>
      </c>
      <c r="R587" s="0" t="n">
        <f aca="false">PERCENTILE($Q$2:$Q$800,0.75)</f>
        <v>0.667715717403612</v>
      </c>
      <c r="S587" s="1" t="b">
        <f aca="false">OR(Q587&gt;=R587,AND(B587="CW",COUNT(J587:L587)&lt;3))</f>
        <v>0</v>
      </c>
      <c r="T587" s="0" t="n">
        <v>0.179164629399556</v>
      </c>
      <c r="U587" s="0" t="n">
        <v>8.22151313528183</v>
      </c>
      <c r="V587" s="0" t="n">
        <v>0.434291469636907</v>
      </c>
      <c r="W587" s="0" t="n">
        <f aca="false">Q587-V587</f>
        <v>0</v>
      </c>
    </row>
    <row r="588" customFormat="false" ht="15" hidden="false" customHeight="false" outlineLevel="0" collapsed="false">
      <c r="A588" s="0" t="s">
        <v>622</v>
      </c>
      <c r="B588" s="0" t="s">
        <v>3013</v>
      </c>
      <c r="C588" s="0" t="n">
        <v>78.2461937567087</v>
      </c>
      <c r="D588" s="0" t="n">
        <f aca="false">SUMPRODUCT(Risk_Inputs!B588:AJ588,Risk_Coefs!$B$2:$AJ$2)</f>
        <v>-1.20863848806037</v>
      </c>
      <c r="E588" s="0" t="n">
        <f aca="false">1/(1+EXP(-MAX(-25,MIN(25,D588))))</f>
        <v>0.229942043455658</v>
      </c>
      <c r="F588" s="0" t="n">
        <f aca="false">SUMPRODUCT(Risk_Inputs!B588:AJ588,Risk_Coefs!$B$3:$AJ$3)</f>
        <v>10.4943452561144</v>
      </c>
      <c r="G588" s="0" t="n">
        <f aca="false">MAX(0,F588)</f>
        <v>10.4943452561144</v>
      </c>
      <c r="H588" s="0" t="n">
        <f aca="false">(SUMPRODUCT(--ISNUMBER($E$2:$E$800),--($E$2:$E$800&lt;E588))+(SUMPRODUCT(--ISNUMBER($E$2:$E$800),--($E$2:$E$800=E588))+1)/2)/COUNT($E$2:$E$800)</f>
        <v>0.175219023779725</v>
      </c>
      <c r="I588" s="0" t="n">
        <f aca="false">(SUMPRODUCT(--ISNUMBER($G$2:$G$800),--($G$2:$G$800&lt;G588))+(SUMPRODUCT(--ISNUMBER($G$2:$G$800),--($G$2:$G$800=G588))+1)/2)/COUNT($G$2:$G$800)</f>
        <v>0.842302878598248</v>
      </c>
      <c r="J588" s="0" t="n">
        <v>79.3288840642082</v>
      </c>
      <c r="K588" s="0" t="n">
        <v>24.1748024174802</v>
      </c>
      <c r="L588" s="0" t="n">
        <v>0.371920037192009</v>
      </c>
      <c r="M588" s="0" t="n">
        <f aca="false">IF(OR(B588="NW",COUNT(Risk_Rank_Keys!B588)=0),0.5,(SUMPRODUCT(--ISNUMBER(Risk_Rank_Keys!$B$2:$B$800),--(Risk_Rank_Keys!$B$2:$B$800&lt;Risk_Rank_Keys!B588))+(SUMPRODUCT(--ISNUMBER(Risk_Rank_Keys!$B$2:$B$800),--(Risk_Rank_Keys!$B$2:$B$800=Risk_Rank_Keys!B588))+1)/2)/COUNT(Risk_Rank_Keys!$B$2:$B$800))</f>
        <v>0.99860529986053</v>
      </c>
      <c r="N588" s="0" t="n">
        <f aca="false">IF(OR(B588="NW",COUNT(Risk_Rank_Keys!C588)=0),0.5,(SUMPRODUCT(--ISNUMBER(Risk_Rank_Keys!$C$2:$C$800),--(Risk_Rank_Keys!$C$2:$C$800&lt;Risk_Rank_Keys!C588))+(SUMPRODUCT(--ISNUMBER(Risk_Rank_Keys!$C$2:$C$800),--(Risk_Rank_Keys!$C$2:$C$800=Risk_Rank_Keys!C588))+1)/2)/COUNT(Risk_Rank_Keys!$C$2:$C$800))</f>
        <v>0.97629009762901</v>
      </c>
      <c r="O588" s="0" t="n">
        <f aca="false">IF(OR(B588="NW",COUNT(Risk_Rank_Keys!D588)=0),0.5,(SUMPRODUCT(--ISNUMBER(Risk_Rank_Keys!$D$2:$D$800),--(Risk_Rank_Keys!$D$2:$D$800&lt;Risk_Rank_Keys!D588))+(SUMPRODUCT(--ISNUMBER(Risk_Rank_Keys!$D$2:$D$800),--(Risk_Rank_Keys!$D$2:$D$800=Risk_Rank_Keys!D588))+1)/2)/COUNT(Risk_Rank_Keys!$D$2:$D$800))</f>
        <v>0.856345885634589</v>
      </c>
      <c r="P588" s="0" t="n">
        <f aca="false">AVERAGE(M588:O588)</f>
        <v>0.94374709437471</v>
      </c>
      <c r="Q588" s="0" t="n">
        <f aca="false">0.4*H588+0.4*I588+0.2*P588</f>
        <v>0.595758179826131</v>
      </c>
      <c r="R588" s="0" t="n">
        <f aca="false">PERCENTILE($Q$2:$Q$800,0.75)</f>
        <v>0.667715717403612</v>
      </c>
      <c r="S588" s="1" t="b">
        <f aca="false">OR(Q588&gt;=R588,AND(B588="CW",COUNT(J588:L588)&lt;3))</f>
        <v>0</v>
      </c>
      <c r="T588" s="0" t="n">
        <v>0.229942043455658</v>
      </c>
      <c r="U588" s="0" t="n">
        <v>10.4943452561144</v>
      </c>
      <c r="V588" s="0" t="n">
        <v>0.595758179826131</v>
      </c>
      <c r="W588" s="0" t="n">
        <f aca="false">Q588-V588</f>
        <v>0</v>
      </c>
    </row>
    <row r="589" customFormat="false" ht="15" hidden="false" customHeight="false" outlineLevel="0" collapsed="false">
      <c r="A589" s="0" t="s">
        <v>623</v>
      </c>
      <c r="B589" s="0" t="s">
        <v>3013</v>
      </c>
      <c r="C589" s="0" t="n">
        <v>-41.4899704822595</v>
      </c>
      <c r="D589" s="0" t="n">
        <f aca="false">SUMPRODUCT(Risk_Inputs!B589:AJ589,Risk_Coefs!$B$2:$AJ$2)</f>
        <v>-0.734794907574292</v>
      </c>
      <c r="E589" s="0" t="n">
        <f aca="false">1/(1+EXP(-MAX(-25,MIN(25,D589))))</f>
        <v>0.324143401165182</v>
      </c>
      <c r="F589" s="0" t="n">
        <f aca="false">SUMPRODUCT(Risk_Inputs!B589:AJ589,Risk_Coefs!$B$3:$AJ$3)</f>
        <v>12.6143059228409</v>
      </c>
      <c r="G589" s="0" t="n">
        <f aca="false">MAX(0,F589)</f>
        <v>12.6143059228409</v>
      </c>
      <c r="H589" s="0" t="n">
        <f aca="false">(SUMPRODUCT(--ISNUMBER($E$2:$E$800),--($E$2:$E$800&lt;E589))+(SUMPRODUCT(--ISNUMBER($E$2:$E$800),--($E$2:$E$800=E589))+1)/2)/COUNT($E$2:$E$800)</f>
        <v>0.700876095118899</v>
      </c>
      <c r="I589" s="0" t="n">
        <f aca="false">(SUMPRODUCT(--ISNUMBER($G$2:$G$800),--($G$2:$G$800&lt;G589))+(SUMPRODUCT(--ISNUMBER($G$2:$G$800),--($G$2:$G$800=G589))+1)/2)/COUNT($G$2:$G$800)</f>
        <v>0.944931163954944</v>
      </c>
      <c r="J589" s="0" t="n">
        <v>5.02394819000718</v>
      </c>
      <c r="K589" s="0" t="n">
        <v>2.39881904293271</v>
      </c>
      <c r="L589" s="0" t="n">
        <v>0.221429450116867</v>
      </c>
      <c r="M589" s="0" t="n">
        <f aca="false">IF(OR(B589="NW",COUNT(Risk_Rank_Keys!B589)=0),0.5,(SUMPRODUCT(--ISNUMBER(Risk_Rank_Keys!$B$2:$B$800),--(Risk_Rank_Keys!$B$2:$B$800&lt;Risk_Rank_Keys!B589))+(SUMPRODUCT(--ISNUMBER(Risk_Rank_Keys!$B$2:$B$800),--(Risk_Rank_Keys!$B$2:$B$800=Risk_Rank_Keys!B589))+1)/2)/COUNT(Risk_Rank_Keys!$B$2:$B$800))</f>
        <v>0.128312412831241</v>
      </c>
      <c r="N589" s="0" t="n">
        <f aca="false">IF(OR(B589="NW",COUNT(Risk_Rank_Keys!C589)=0),0.5,(SUMPRODUCT(--ISNUMBER(Risk_Rank_Keys!$C$2:$C$800),--(Risk_Rank_Keys!$C$2:$C$800&lt;Risk_Rank_Keys!C589))+(SUMPRODUCT(--ISNUMBER(Risk_Rank_Keys!$C$2:$C$800),--(Risk_Rank_Keys!$C$2:$C$800=Risk_Rank_Keys!C589))+1)/2)/COUNT(Risk_Rank_Keys!$C$2:$C$800))</f>
        <v>0.368200836820084</v>
      </c>
      <c r="O589" s="0" t="n">
        <f aca="false">IF(OR(B589="NW",COUNT(Risk_Rank_Keys!D589)=0),0.5,(SUMPRODUCT(--ISNUMBER(Risk_Rank_Keys!$D$2:$D$800),--(Risk_Rank_Keys!$D$2:$D$800&lt;Risk_Rank_Keys!D589))+(SUMPRODUCT(--ISNUMBER(Risk_Rank_Keys!$D$2:$D$800),--(Risk_Rank_Keys!$D$2:$D$800=Risk_Rank_Keys!D589))+1)/2)/COUNT(Risk_Rank_Keys!$D$2:$D$800))</f>
        <v>0.447698744769875</v>
      </c>
      <c r="P589" s="0" t="n">
        <f aca="false">AVERAGE(M589:O589)</f>
        <v>0.314737331473733</v>
      </c>
      <c r="Q589" s="0" t="n">
        <f aca="false">0.4*H589+0.4*I589+0.2*P589</f>
        <v>0.721270369924284</v>
      </c>
      <c r="R589" s="0" t="n">
        <f aca="false">PERCENTILE($Q$2:$Q$800,0.75)</f>
        <v>0.667715717403612</v>
      </c>
      <c r="S589" s="1" t="b">
        <f aca="false">OR(Q589&gt;=R589,AND(B589="CW",COUNT(J589:L589)&lt;3))</f>
        <v>1</v>
      </c>
      <c r="T589" s="0" t="n">
        <v>0.324143401165182</v>
      </c>
      <c r="U589" s="0" t="n">
        <v>12.6143059228409</v>
      </c>
      <c r="V589" s="0" t="n">
        <v>0.721270369924284</v>
      </c>
      <c r="W589" s="0" t="n">
        <f aca="false">Q589-V589</f>
        <v>0</v>
      </c>
    </row>
    <row r="590" customFormat="false" ht="15" hidden="false" customHeight="false" outlineLevel="0" collapsed="false">
      <c r="A590" s="0" t="s">
        <v>624</v>
      </c>
      <c r="B590" s="0" t="s">
        <v>3013</v>
      </c>
      <c r="C590" s="0" t="n">
        <v>47.9997450654315</v>
      </c>
      <c r="D590" s="0" t="n">
        <f aca="false">SUMPRODUCT(Risk_Inputs!B590:AJ590,Risk_Coefs!$B$2:$AJ$2)</f>
        <v>-0.80711479420262</v>
      </c>
      <c r="E590" s="0" t="n">
        <f aca="false">1/(1+EXP(-MAX(-25,MIN(25,D590))))</f>
        <v>0.308505656106124</v>
      </c>
      <c r="F590" s="0" t="n">
        <f aca="false">SUMPRODUCT(Risk_Inputs!B590:AJ590,Risk_Coefs!$B$3:$AJ$3)</f>
        <v>8.0140535292255</v>
      </c>
      <c r="G590" s="0" t="n">
        <f aca="false">MAX(0,F590)</f>
        <v>8.0140535292255</v>
      </c>
      <c r="H590" s="0" t="n">
        <f aca="false">(SUMPRODUCT(--ISNUMBER($E$2:$E$800),--($E$2:$E$800&lt;E590))+(SUMPRODUCT(--ISNUMBER($E$2:$E$800),--($E$2:$E$800=E590))+1)/2)/COUNT($E$2:$E$800)</f>
        <v>0.608260325406759</v>
      </c>
      <c r="I590" s="0" t="n">
        <f aca="false">(SUMPRODUCT(--ISNUMBER($G$2:$G$800),--($G$2:$G$800&lt;G590))+(SUMPRODUCT(--ISNUMBER($G$2:$G$800),--($G$2:$G$800=G590))+1)/2)/COUNT($G$2:$G$800)</f>
        <v>0.545682102628285</v>
      </c>
      <c r="J590" s="0" t="n">
        <v>6.09257408156877</v>
      </c>
      <c r="K590" s="0" t="n">
        <v>1.34704873867255</v>
      </c>
      <c r="L590" s="0" t="n">
        <v>0.171442566740139</v>
      </c>
      <c r="M590" s="0" t="n">
        <f aca="false">IF(OR(B590="NW",COUNT(Risk_Rank_Keys!B590)=0),0.5,(SUMPRODUCT(--ISNUMBER(Risk_Rank_Keys!$B$2:$B$800),--(Risk_Rank_Keys!$B$2:$B$800&lt;Risk_Rank_Keys!B590))+(SUMPRODUCT(--ISNUMBER(Risk_Rank_Keys!$B$2:$B$800),--(Risk_Rank_Keys!$B$2:$B$800=Risk_Rank_Keys!B590))+1)/2)/COUNT(Risk_Rank_Keys!$B$2:$B$800))</f>
        <v>0.231520223152022</v>
      </c>
      <c r="N590" s="0" t="n">
        <f aca="false">IF(OR(B590="NW",COUNT(Risk_Rank_Keys!C590)=0),0.5,(SUMPRODUCT(--ISNUMBER(Risk_Rank_Keys!$C$2:$C$800),--(Risk_Rank_Keys!$C$2:$C$800&lt;Risk_Rank_Keys!C590))+(SUMPRODUCT(--ISNUMBER(Risk_Rank_Keys!$C$2:$C$800),--(Risk_Rank_Keys!$C$2:$C$800=Risk_Rank_Keys!C590))+1)/2)/COUNT(Risk_Rank_Keys!$C$2:$C$800))</f>
        <v>0.096234309623431</v>
      </c>
      <c r="O590" s="0" t="n">
        <f aca="false">IF(OR(B590="NW",COUNT(Risk_Rank_Keys!D590)=0),0.5,(SUMPRODUCT(--ISNUMBER(Risk_Rank_Keys!$D$2:$D$800),--(Risk_Rank_Keys!$D$2:$D$800&lt;Risk_Rank_Keys!D590))+(SUMPRODUCT(--ISNUMBER(Risk_Rank_Keys!$D$2:$D$800),--(Risk_Rank_Keys!$D$2:$D$800=Risk_Rank_Keys!D590))+1)/2)/COUNT(Risk_Rank_Keys!$D$2:$D$800))</f>
        <v>0.175732217573222</v>
      </c>
      <c r="P590" s="0" t="n">
        <f aca="false">AVERAGE(M590:O590)</f>
        <v>0.167828916782892</v>
      </c>
      <c r="Q590" s="0" t="n">
        <f aca="false">0.4*H590+0.4*I590+0.2*P590</f>
        <v>0.495142754570596</v>
      </c>
      <c r="R590" s="0" t="n">
        <f aca="false">PERCENTILE($Q$2:$Q$800,0.75)</f>
        <v>0.667715717403612</v>
      </c>
      <c r="S590" s="1" t="b">
        <f aca="false">OR(Q590&gt;=R590,AND(B590="CW",COUNT(J590:L590)&lt;3))</f>
        <v>0</v>
      </c>
      <c r="T590" s="0" t="n">
        <v>0.308505656106124</v>
      </c>
      <c r="U590" s="0" t="n">
        <v>8.0140535292255</v>
      </c>
      <c r="V590" s="0" t="n">
        <v>0.495142754570596</v>
      </c>
      <c r="W590" s="0" t="n">
        <f aca="false">Q590-V590</f>
        <v>0</v>
      </c>
    </row>
    <row r="591" customFormat="false" ht="15" hidden="false" customHeight="false" outlineLevel="0" collapsed="false">
      <c r="A591" s="0" t="s">
        <v>625</v>
      </c>
      <c r="B591" s="0" t="s">
        <v>3013</v>
      </c>
      <c r="C591" s="0" t="n">
        <v>-48.625349694146</v>
      </c>
      <c r="D591" s="0" t="n">
        <f aca="false">SUMPRODUCT(Risk_Inputs!B591:AJ591,Risk_Coefs!$B$2:$AJ$2)</f>
        <v>-0.752386408606598</v>
      </c>
      <c r="E591" s="0" t="n">
        <f aca="false">1/(1+EXP(-MAX(-25,MIN(25,D591))))</f>
        <v>0.32030153683058</v>
      </c>
      <c r="F591" s="0" t="n">
        <f aca="false">SUMPRODUCT(Risk_Inputs!B591:AJ591,Risk_Coefs!$B$3:$AJ$3)</f>
        <v>9.86475236587999</v>
      </c>
      <c r="G591" s="0" t="n">
        <f aca="false">MAX(0,F591)</f>
        <v>9.86475236587999</v>
      </c>
      <c r="H591" s="0" t="n">
        <f aca="false">(SUMPRODUCT(--ISNUMBER($E$2:$E$800),--($E$2:$E$800&lt;E591))+(SUMPRODUCT(--ISNUMBER($E$2:$E$800),--($E$2:$E$800=E591))+1)/2)/COUNT($E$2:$E$800)</f>
        <v>0.670838548185232</v>
      </c>
      <c r="I591" s="0" t="n">
        <f aca="false">(SUMPRODUCT(--ISNUMBER($G$2:$G$800),--($G$2:$G$800&lt;G591))+(SUMPRODUCT(--ISNUMBER($G$2:$G$800),--($G$2:$G$800=G591))+1)/2)/COUNT($G$2:$G$800)</f>
        <v>0.779724655819775</v>
      </c>
      <c r="J591" s="0" t="n">
        <v>7.38195553965415</v>
      </c>
      <c r="K591" s="0" t="n">
        <v>7.3877695298692</v>
      </c>
      <c r="L591" s="0" t="n">
        <v>0.353481795687522</v>
      </c>
      <c r="M591" s="0" t="n">
        <f aca="false">IF(OR(B591="NW",COUNT(Risk_Rank_Keys!B591)=0),0.5,(SUMPRODUCT(--ISNUMBER(Risk_Rank_Keys!$B$2:$B$800),--(Risk_Rank_Keys!$B$2:$B$800&lt;Risk_Rank_Keys!B591))+(SUMPRODUCT(--ISNUMBER(Risk_Rank_Keys!$B$2:$B$800),--(Risk_Rank_Keys!$B$2:$B$800=Risk_Rank_Keys!B591))+1)/2)/COUNT(Risk_Rank_Keys!$B$2:$B$800))</f>
        <v>0.347280334728034</v>
      </c>
      <c r="N591" s="0" t="n">
        <f aca="false">IF(OR(B591="NW",COUNT(Risk_Rank_Keys!C591)=0),0.5,(SUMPRODUCT(--ISNUMBER(Risk_Rank_Keys!$C$2:$C$800),--(Risk_Rank_Keys!$C$2:$C$800&lt;Risk_Rank_Keys!C591))+(SUMPRODUCT(--ISNUMBER(Risk_Rank_Keys!$C$2:$C$800),--(Risk_Rank_Keys!$C$2:$C$800=Risk_Rank_Keys!C591))+1)/2)/COUNT(Risk_Rank_Keys!$C$2:$C$800))</f>
        <v>0.799163179916318</v>
      </c>
      <c r="O591" s="0" t="n">
        <f aca="false">IF(OR(B591="NW",COUNT(Risk_Rank_Keys!D591)=0),0.5,(SUMPRODUCT(--ISNUMBER(Risk_Rank_Keys!$D$2:$D$800),--(Risk_Rank_Keys!$D$2:$D$800&lt;Risk_Rank_Keys!D591))+(SUMPRODUCT(--ISNUMBER(Risk_Rank_Keys!$D$2:$D$800),--(Risk_Rank_Keys!$D$2:$D$800=Risk_Rank_Keys!D591))+1)/2)/COUNT(Risk_Rank_Keys!$D$2:$D$800))</f>
        <v>0.838214783821478</v>
      </c>
      <c r="P591" s="0" t="n">
        <f aca="false">AVERAGE(M591:O591)</f>
        <v>0.661552766155277</v>
      </c>
      <c r="Q591" s="0" t="n">
        <f aca="false">0.4*H591+0.4*I591+0.2*P591</f>
        <v>0.712535834833058</v>
      </c>
      <c r="R591" s="0" t="n">
        <f aca="false">PERCENTILE($Q$2:$Q$800,0.75)</f>
        <v>0.667715717403612</v>
      </c>
      <c r="S591" s="1" t="b">
        <f aca="false">OR(Q591&gt;=R591,AND(B591="CW",COUNT(J591:L591)&lt;3))</f>
        <v>1</v>
      </c>
      <c r="T591" s="0" t="n">
        <v>0.32030153683058</v>
      </c>
      <c r="U591" s="0" t="n">
        <v>9.86475236587999</v>
      </c>
      <c r="V591" s="0" t="n">
        <v>0.712535834833058</v>
      </c>
      <c r="W591" s="0" t="n">
        <f aca="false">Q591-V591</f>
        <v>0</v>
      </c>
    </row>
    <row r="592" customFormat="false" ht="15" hidden="false" customHeight="false" outlineLevel="0" collapsed="false">
      <c r="A592" s="0" t="s">
        <v>626</v>
      </c>
      <c r="B592" s="0" t="s">
        <v>3013</v>
      </c>
      <c r="C592" s="0" t="n">
        <v>13.4775967827312</v>
      </c>
      <c r="D592" s="0" t="n">
        <f aca="false">SUMPRODUCT(Risk_Inputs!B592:AJ592,Risk_Coefs!$B$2:$AJ$2)</f>
        <v>-0.865388294786906</v>
      </c>
      <c r="E592" s="0" t="n">
        <f aca="false">1/(1+EXP(-MAX(-25,MIN(25,D592))))</f>
        <v>0.296214807161767</v>
      </c>
      <c r="F592" s="0" t="n">
        <f aca="false">SUMPRODUCT(Risk_Inputs!B592:AJ592,Risk_Coefs!$B$3:$AJ$3)</f>
        <v>6.46000665284529</v>
      </c>
      <c r="G592" s="0" t="n">
        <f aca="false">MAX(0,F592)</f>
        <v>6.46000665284529</v>
      </c>
      <c r="H592" s="0" t="n">
        <f aca="false">(SUMPRODUCT(--ISNUMBER($E$2:$E$800),--($E$2:$E$800&lt;E592))+(SUMPRODUCT(--ISNUMBER($E$2:$E$800),--($E$2:$E$800=E592))+1)/2)/COUNT($E$2:$E$800)</f>
        <v>0.553191489361702</v>
      </c>
      <c r="I592" s="0" t="n">
        <f aca="false">(SUMPRODUCT(--ISNUMBER($G$2:$G$800),--($G$2:$G$800&lt;G592))+(SUMPRODUCT(--ISNUMBER($G$2:$G$800),--($G$2:$G$800=G592))+1)/2)/COUNT($G$2:$G$800)</f>
        <v>0.335419274092616</v>
      </c>
      <c r="J592" s="0" t="n">
        <v>3.67869194756969</v>
      </c>
      <c r="K592" s="0" t="n">
        <v>1.75524134568502</v>
      </c>
      <c r="L592" s="0" t="n">
        <v>0.211279050869487</v>
      </c>
      <c r="M592" s="0" t="n">
        <f aca="false">IF(OR(B592="NW",COUNT(Risk_Rank_Keys!B592)=0),0.5,(SUMPRODUCT(--ISNUMBER(Risk_Rank_Keys!$B$2:$B$800),--(Risk_Rank_Keys!$B$2:$B$800&lt;Risk_Rank_Keys!B592))+(SUMPRODUCT(--ISNUMBER(Risk_Rank_Keys!$B$2:$B$800),--(Risk_Rank_Keys!$B$2:$B$800=Risk_Rank_Keys!B592))+1)/2)/COUNT(Risk_Rank_Keys!$B$2:$B$800))</f>
        <v>0.0529986052998605</v>
      </c>
      <c r="N592" s="0" t="n">
        <f aca="false">IF(OR(B592="NW",COUNT(Risk_Rank_Keys!C592)=0),0.5,(SUMPRODUCT(--ISNUMBER(Risk_Rank_Keys!$C$2:$C$800),--(Risk_Rank_Keys!$C$2:$C$800&lt;Risk_Rank_Keys!C592))+(SUMPRODUCT(--ISNUMBER(Risk_Rank_Keys!$C$2:$C$800),--(Risk_Rank_Keys!$C$2:$C$800=Risk_Rank_Keys!C592))+1)/2)/COUNT(Risk_Rank_Keys!$C$2:$C$800))</f>
        <v>0.203626220362622</v>
      </c>
      <c r="O592" s="0" t="n">
        <f aca="false">IF(OR(B592="NW",COUNT(Risk_Rank_Keys!D592)=0),0.5,(SUMPRODUCT(--ISNUMBER(Risk_Rank_Keys!$D$2:$D$800),--(Risk_Rank_Keys!$D$2:$D$800&lt;Risk_Rank_Keys!D592))+(SUMPRODUCT(--ISNUMBER(Risk_Rank_Keys!$D$2:$D$800),--(Risk_Rank_Keys!$D$2:$D$800=Risk_Rank_Keys!D592))+1)/2)/COUNT(Risk_Rank_Keys!$D$2:$D$800))</f>
        <v>0.386331938633194</v>
      </c>
      <c r="P592" s="0" t="n">
        <f aca="false">AVERAGE(M592:O592)</f>
        <v>0.214318921431892</v>
      </c>
      <c r="Q592" s="0" t="n">
        <f aca="false">0.4*H592+0.4*I592+0.2*P592</f>
        <v>0.398308089668106</v>
      </c>
      <c r="R592" s="0" t="n">
        <f aca="false">PERCENTILE($Q$2:$Q$800,0.75)</f>
        <v>0.667715717403612</v>
      </c>
      <c r="S592" s="1" t="b">
        <f aca="false">OR(Q592&gt;=R592,AND(B592="CW",COUNT(J592:L592)&lt;3))</f>
        <v>0</v>
      </c>
      <c r="T592" s="0" t="n">
        <v>0.296214807161767</v>
      </c>
      <c r="U592" s="0" t="n">
        <v>6.46000665284529</v>
      </c>
      <c r="V592" s="0" t="n">
        <v>0.398308089668106</v>
      </c>
      <c r="W592" s="0" t="n">
        <f aca="false">Q592-V592</f>
        <v>0</v>
      </c>
    </row>
    <row r="593" customFormat="false" ht="15" hidden="false" customHeight="false" outlineLevel="0" collapsed="false">
      <c r="A593" s="0" t="s">
        <v>627</v>
      </c>
      <c r="B593" s="0" t="s">
        <v>3013</v>
      </c>
      <c r="C593" s="0" t="n">
        <v>-37.1142518967116</v>
      </c>
      <c r="D593" s="0" t="n">
        <f aca="false">SUMPRODUCT(Risk_Inputs!B593:AJ593,Risk_Coefs!$B$2:$AJ$2)</f>
        <v>-0.915145295767513</v>
      </c>
      <c r="E593" s="0" t="n">
        <f aca="false">1/(1+EXP(-MAX(-25,MIN(25,D593))))</f>
        <v>0.285948105550682</v>
      </c>
      <c r="F593" s="0" t="n">
        <f aca="false">SUMPRODUCT(Risk_Inputs!B593:AJ593,Risk_Coefs!$B$3:$AJ$3)</f>
        <v>8.3167295863499</v>
      </c>
      <c r="G593" s="0" t="n">
        <f aca="false">MAX(0,F593)</f>
        <v>8.3167295863499</v>
      </c>
      <c r="H593" s="0" t="n">
        <f aca="false">(SUMPRODUCT(--ISNUMBER($E$2:$E$800),--($E$2:$E$800&lt;E593))+(SUMPRODUCT(--ISNUMBER($E$2:$E$800),--($E$2:$E$800=E593))+1)/2)/COUNT($E$2:$E$800)</f>
        <v>0.498122653316646</v>
      </c>
      <c r="I593" s="0" t="n">
        <f aca="false">(SUMPRODUCT(--ISNUMBER($G$2:$G$800),--($G$2:$G$800&lt;G593))+(SUMPRODUCT(--ISNUMBER($G$2:$G$800),--($G$2:$G$800=G593))+1)/2)/COUNT($G$2:$G$800)</f>
        <v>0.5819774718398</v>
      </c>
      <c r="J593" s="0" t="n">
        <v>8.99861748513183</v>
      </c>
      <c r="K593" s="0" t="n">
        <v>10.5980317940954</v>
      </c>
      <c r="L593" s="0" t="n">
        <v>0.283875851627544</v>
      </c>
      <c r="M593" s="0" t="n">
        <f aca="false">IF(OR(B593="NW",COUNT(Risk_Rank_Keys!B593)=0),0.5,(SUMPRODUCT(--ISNUMBER(Risk_Rank_Keys!$B$2:$B$800),--(Risk_Rank_Keys!$B$2:$B$800&lt;Risk_Rank_Keys!B593))+(SUMPRODUCT(--ISNUMBER(Risk_Rank_Keys!$B$2:$B$800),--(Risk_Rank_Keys!$B$2:$B$800=Risk_Rank_Keys!B593))+1)/2)/COUNT(Risk_Rank_Keys!$B$2:$B$800))</f>
        <v>0.444909344490934</v>
      </c>
      <c r="N593" s="0" t="n">
        <f aca="false">IF(OR(B593="NW",COUNT(Risk_Rank_Keys!C593)=0),0.5,(SUMPRODUCT(--ISNUMBER(Risk_Rank_Keys!$C$2:$C$800),--(Risk_Rank_Keys!$C$2:$C$800&lt;Risk_Rank_Keys!C593))+(SUMPRODUCT(--ISNUMBER(Risk_Rank_Keys!$C$2:$C$800),--(Risk_Rank_Keys!$C$2:$C$800=Risk_Rank_Keys!C593))+1)/2)/COUNT(Risk_Rank_Keys!$C$2:$C$800))</f>
        <v>0.891213389121339</v>
      </c>
      <c r="O593" s="0" t="n">
        <f aca="false">IF(OR(B593="NW",COUNT(Risk_Rank_Keys!D593)=0),0.5,(SUMPRODUCT(--ISNUMBER(Risk_Rank_Keys!$D$2:$D$800),--(Risk_Rank_Keys!$D$2:$D$800&lt;Risk_Rank_Keys!D593))+(SUMPRODUCT(--ISNUMBER(Risk_Rank_Keys!$D$2:$D$800),--(Risk_Rank_Keys!$D$2:$D$800=Risk_Rank_Keys!D593))+1)/2)/COUNT(Risk_Rank_Keys!$D$2:$D$800))</f>
        <v>0.705718270571827</v>
      </c>
      <c r="P593" s="0" t="n">
        <f aca="false">AVERAGE(M593:O593)</f>
        <v>0.680613668061367</v>
      </c>
      <c r="Q593" s="0" t="n">
        <f aca="false">0.4*H593+0.4*I593+0.2*P593</f>
        <v>0.568162783674852</v>
      </c>
      <c r="R593" s="0" t="n">
        <f aca="false">PERCENTILE($Q$2:$Q$800,0.75)</f>
        <v>0.667715717403612</v>
      </c>
      <c r="S593" s="1" t="b">
        <f aca="false">OR(Q593&gt;=R593,AND(B593="CW",COUNT(J593:L593)&lt;3))</f>
        <v>0</v>
      </c>
      <c r="T593" s="0" t="n">
        <v>0.285948105550682</v>
      </c>
      <c r="U593" s="0" t="n">
        <v>8.3167295863499</v>
      </c>
      <c r="V593" s="0" t="n">
        <v>0.568162783674852</v>
      </c>
      <c r="W593" s="0" t="n">
        <f aca="false">Q593-V593</f>
        <v>0</v>
      </c>
    </row>
    <row r="594" customFormat="false" ht="15" hidden="false" customHeight="false" outlineLevel="0" collapsed="false">
      <c r="A594" s="0" t="s">
        <v>628</v>
      </c>
      <c r="B594" s="0" t="s">
        <v>3013</v>
      </c>
      <c r="C594" s="0" t="n">
        <v>-39.2688907859038</v>
      </c>
      <c r="D594" s="0" t="n">
        <f aca="false">SUMPRODUCT(Risk_Inputs!B594:AJ594,Risk_Coefs!$B$2:$AJ$2)</f>
        <v>-0.94474127910722</v>
      </c>
      <c r="E594" s="0" t="n">
        <f aca="false">1/(1+EXP(-MAX(-25,MIN(25,D594))))</f>
        <v>0.279943621943466</v>
      </c>
      <c r="F594" s="0" t="n">
        <f aca="false">SUMPRODUCT(Risk_Inputs!B594:AJ594,Risk_Coefs!$B$3:$AJ$3)</f>
        <v>11.0398812239685</v>
      </c>
      <c r="G594" s="0" t="n">
        <f aca="false">MAX(0,F594)</f>
        <v>11.0398812239685</v>
      </c>
      <c r="H594" s="0" t="n">
        <f aca="false">(SUMPRODUCT(--ISNUMBER($E$2:$E$800),--($E$2:$E$800&lt;E594))+(SUMPRODUCT(--ISNUMBER($E$2:$E$800),--($E$2:$E$800=E594))+1)/2)/COUNT($E$2:$E$800)</f>
        <v>0.461827284105131</v>
      </c>
      <c r="I594" s="0" t="n">
        <f aca="false">(SUMPRODUCT(--ISNUMBER($G$2:$G$800),--($G$2:$G$800&lt;G594))+(SUMPRODUCT(--ISNUMBER($G$2:$G$800),--($G$2:$G$800=G594))+1)/2)/COUNT($G$2:$G$800)</f>
        <v>0.882352941176471</v>
      </c>
      <c r="J594" s="0" t="n">
        <v>12.6394112770505</v>
      </c>
      <c r="K594" s="0" t="n">
        <v>11.910013233348</v>
      </c>
      <c r="L594" s="0" t="n">
        <v>0.352889280988089</v>
      </c>
      <c r="M594" s="0" t="n">
        <f aca="false">IF(OR(B594="NW",COUNT(Risk_Rank_Keys!B594)=0),0.5,(SUMPRODUCT(--ISNUMBER(Risk_Rank_Keys!$B$2:$B$800),--(Risk_Rank_Keys!$B$2:$B$800&lt;Risk_Rank_Keys!B594))+(SUMPRODUCT(--ISNUMBER(Risk_Rank_Keys!$B$2:$B$800),--(Risk_Rank_Keys!$B$2:$B$800=Risk_Rank_Keys!B594))+1)/2)/COUNT(Risk_Rank_Keys!$B$2:$B$800))</f>
        <v>0.619246861924686</v>
      </c>
      <c r="N594" s="0" t="n">
        <f aca="false">IF(OR(B594="NW",COUNT(Risk_Rank_Keys!C594)=0),0.5,(SUMPRODUCT(--ISNUMBER(Risk_Rank_Keys!$C$2:$C$800),--(Risk_Rank_Keys!$C$2:$C$800&lt;Risk_Rank_Keys!C594))+(SUMPRODUCT(--ISNUMBER(Risk_Rank_Keys!$C$2:$C$800),--(Risk_Rank_Keys!$C$2:$C$800=Risk_Rank_Keys!C594))+1)/2)/COUNT(Risk_Rank_Keys!$C$2:$C$800))</f>
        <v>0.903765690376569</v>
      </c>
      <c r="O594" s="0" t="n">
        <f aca="false">IF(OR(B594="NW",COUNT(Risk_Rank_Keys!D594)=0),0.5,(SUMPRODUCT(--ISNUMBER(Risk_Rank_Keys!$D$2:$D$800),--(Risk_Rank_Keys!$D$2:$D$800&lt;Risk_Rank_Keys!D594))+(SUMPRODUCT(--ISNUMBER(Risk_Rank_Keys!$D$2:$D$800),--(Risk_Rank_Keys!$D$2:$D$800=Risk_Rank_Keys!D594))+1)/2)/COUNT(Risk_Rank_Keys!$D$2:$D$800))</f>
        <v>0.836820083682008</v>
      </c>
      <c r="P594" s="0" t="n">
        <f aca="false">AVERAGE(M594:O594)</f>
        <v>0.786610878661088</v>
      </c>
      <c r="Q594" s="0" t="n">
        <f aca="false">0.4*H594+0.4*I594+0.2*P594</f>
        <v>0.694994265844859</v>
      </c>
      <c r="R594" s="0" t="n">
        <f aca="false">PERCENTILE($Q$2:$Q$800,0.75)</f>
        <v>0.667715717403612</v>
      </c>
      <c r="S594" s="1" t="b">
        <f aca="false">OR(Q594&gt;=R594,AND(B594="CW",COUNT(J594:L594)&lt;3))</f>
        <v>1</v>
      </c>
      <c r="T594" s="0" t="n">
        <v>0.279943621943466</v>
      </c>
      <c r="U594" s="0" t="n">
        <v>11.0398812239685</v>
      </c>
      <c r="V594" s="0" t="n">
        <v>0.694994265844859</v>
      </c>
      <c r="W594" s="0" t="n">
        <f aca="false">Q594-V594</f>
        <v>0</v>
      </c>
    </row>
    <row r="595" customFormat="false" ht="15" hidden="false" customHeight="false" outlineLevel="0" collapsed="false">
      <c r="A595" s="0" t="s">
        <v>629</v>
      </c>
      <c r="B595" s="0" t="s">
        <v>3013</v>
      </c>
      <c r="C595" s="0" t="n">
        <v>38.1371782673783</v>
      </c>
      <c r="D595" s="0" t="n">
        <f aca="false">SUMPRODUCT(Risk_Inputs!B595:AJ595,Risk_Coefs!$B$2:$AJ$2)</f>
        <v>-1.44828054998353</v>
      </c>
      <c r="E595" s="0" t="n">
        <f aca="false">1/(1+EXP(-MAX(-25,MIN(25,D595))))</f>
        <v>0.190266332104502</v>
      </c>
      <c r="F595" s="0" t="n">
        <f aca="false">SUMPRODUCT(Risk_Inputs!B595:AJ595,Risk_Coefs!$B$3:$AJ$3)</f>
        <v>4.98806495113199</v>
      </c>
      <c r="G595" s="0" t="n">
        <f aca="false">MAX(0,F595)</f>
        <v>4.98806495113199</v>
      </c>
      <c r="H595" s="0" t="n">
        <f aca="false">(SUMPRODUCT(--ISNUMBER($E$2:$E$800),--($E$2:$E$800&lt;E595))+(SUMPRODUCT(--ISNUMBER($E$2:$E$800),--($E$2:$E$800=E595))+1)/2)/COUNT($E$2:$E$800)</f>
        <v>0.0888610763454318</v>
      </c>
      <c r="I595" s="0" t="n">
        <f aca="false">(SUMPRODUCT(--ISNUMBER($G$2:$G$800),--($G$2:$G$800&lt;G595))+(SUMPRODUCT(--ISNUMBER($G$2:$G$800),--($G$2:$G$800=G595))+1)/2)/COUNT($G$2:$G$800)</f>
        <v>0.135168961201502</v>
      </c>
      <c r="J595" s="0" t="n">
        <v>8.64347973944147</v>
      </c>
      <c r="K595" s="0" t="n">
        <v>5.8379413015738</v>
      </c>
      <c r="L595" s="0" t="n">
        <v>0.180774138664397</v>
      </c>
      <c r="M595" s="0" t="n">
        <f aca="false">IF(OR(B595="NW",COUNT(Risk_Rank_Keys!B595)=0),0.5,(SUMPRODUCT(--ISNUMBER(Risk_Rank_Keys!$B$2:$B$800),--(Risk_Rank_Keys!$B$2:$B$800&lt;Risk_Rank_Keys!B595))+(SUMPRODUCT(--ISNUMBER(Risk_Rank_Keys!$B$2:$B$800),--(Risk_Rank_Keys!$B$2:$B$800=Risk_Rank_Keys!B595))+1)/2)/COUNT(Risk_Rank_Keys!$B$2:$B$800))</f>
        <v>0.430962343096234</v>
      </c>
      <c r="N595" s="0" t="n">
        <f aca="false">IF(OR(B595="NW",COUNT(Risk_Rank_Keys!C595)=0),0.5,(SUMPRODUCT(--ISNUMBER(Risk_Rank_Keys!$C$2:$C$800),--(Risk_Rank_Keys!$C$2:$C$800&lt;Risk_Rank_Keys!C595))+(SUMPRODUCT(--ISNUMBER(Risk_Rank_Keys!$C$2:$C$800),--(Risk_Rank_Keys!$C$2:$C$800=Risk_Rank_Keys!C595))+1)/2)/COUNT(Risk_Rank_Keys!$C$2:$C$800))</f>
        <v>0.739191073919107</v>
      </c>
      <c r="O595" s="0" t="n">
        <f aca="false">IF(OR(B595="NW",COUNT(Risk_Rank_Keys!D595)=0),0.5,(SUMPRODUCT(--ISNUMBER(Risk_Rank_Keys!$D$2:$D$800),--(Risk_Rank_Keys!$D$2:$D$800&lt;Risk_Rank_Keys!D595))+(SUMPRODUCT(--ISNUMBER(Risk_Rank_Keys!$D$2:$D$800),--(Risk_Rank_Keys!$D$2:$D$800=Risk_Rank_Keys!D595))+1)/2)/COUNT(Risk_Rank_Keys!$D$2:$D$800))</f>
        <v>0.209205020920502</v>
      </c>
      <c r="P595" s="0" t="n">
        <f aca="false">AVERAGE(M595:O595)</f>
        <v>0.459786145978615</v>
      </c>
      <c r="Q595" s="0" t="n">
        <f aca="false">0.4*H595+0.4*I595+0.2*P595</f>
        <v>0.181569244214496</v>
      </c>
      <c r="R595" s="0" t="n">
        <f aca="false">PERCENTILE($Q$2:$Q$800,0.75)</f>
        <v>0.667715717403612</v>
      </c>
      <c r="S595" s="1" t="b">
        <f aca="false">OR(Q595&gt;=R595,AND(B595="CW",COUNT(J595:L595)&lt;3))</f>
        <v>0</v>
      </c>
      <c r="T595" s="0" t="n">
        <v>0.190266332104502</v>
      </c>
      <c r="U595" s="0" t="n">
        <v>4.98806495113199</v>
      </c>
      <c r="V595" s="0" t="n">
        <v>0.181569244214496</v>
      </c>
      <c r="W595" s="0" t="n">
        <f aca="false">Q595-V595</f>
        <v>0</v>
      </c>
    </row>
    <row r="596" customFormat="false" ht="15" hidden="false" customHeight="false" outlineLevel="0" collapsed="false">
      <c r="A596" s="0" t="s">
        <v>630</v>
      </c>
      <c r="B596" s="0" t="s">
        <v>3013</v>
      </c>
      <c r="C596" s="0" t="n">
        <v>45.6378609721457</v>
      </c>
      <c r="D596" s="0" t="n">
        <f aca="false">SUMPRODUCT(Risk_Inputs!B596:AJ596,Risk_Coefs!$B$2:$AJ$2)</f>
        <v>-0.956775382031018</v>
      </c>
      <c r="E596" s="0" t="n">
        <f aca="false">1/(1+EXP(-MAX(-25,MIN(25,D596))))</f>
        <v>0.277524281403548</v>
      </c>
      <c r="F596" s="0" t="n">
        <f aca="false">SUMPRODUCT(Risk_Inputs!B596:AJ596,Risk_Coefs!$B$3:$AJ$3)</f>
        <v>5.5936381205069</v>
      </c>
      <c r="G596" s="0" t="n">
        <f aca="false">MAX(0,F596)</f>
        <v>5.5936381205069</v>
      </c>
      <c r="H596" s="0" t="n">
        <f aca="false">(SUMPRODUCT(--ISNUMBER($E$2:$E$800),--($E$2:$E$800&lt;E596))+(SUMPRODUCT(--ISNUMBER($E$2:$E$800),--($E$2:$E$800=E596))+1)/2)/COUNT($E$2:$E$800)</f>
        <v>0.448060075093867</v>
      </c>
      <c r="I596" s="0" t="n">
        <f aca="false">(SUMPRODUCT(--ISNUMBER($G$2:$G$800),--($G$2:$G$800&lt;G596))+(SUMPRODUCT(--ISNUMBER($G$2:$G$800),--($G$2:$G$800=G596))+1)/2)/COUNT($G$2:$G$800)</f>
        <v>0.216520650813517</v>
      </c>
      <c r="J596" s="0" t="n">
        <v>4.31851589031287</v>
      </c>
      <c r="K596" s="0" t="n">
        <v>1.76036342986937</v>
      </c>
      <c r="L596" s="0" t="n">
        <v>0.227143668370239</v>
      </c>
      <c r="M596" s="0" t="n">
        <f aca="false">IF(OR(B596="NW",COUNT(Risk_Rank_Keys!B596)=0),0.5,(SUMPRODUCT(--ISNUMBER(Risk_Rank_Keys!$B$2:$B$800),--(Risk_Rank_Keys!$B$2:$B$800&lt;Risk_Rank_Keys!B596))+(SUMPRODUCT(--ISNUMBER(Risk_Rank_Keys!$B$2:$B$800),--(Risk_Rank_Keys!$B$2:$B$800=Risk_Rank_Keys!B596))+1)/2)/COUNT(Risk_Rank_Keys!$B$2:$B$800))</f>
        <v>0.0892608089260809</v>
      </c>
      <c r="N596" s="0" t="n">
        <f aca="false">IF(OR(B596="NW",COUNT(Risk_Rank_Keys!C596)=0),0.5,(SUMPRODUCT(--ISNUMBER(Risk_Rank_Keys!$C$2:$C$800),--(Risk_Rank_Keys!$C$2:$C$800&lt;Risk_Rank_Keys!C596))+(SUMPRODUCT(--ISNUMBER(Risk_Rank_Keys!$C$2:$C$800),--(Risk_Rank_Keys!$C$2:$C$800=Risk_Rank_Keys!C596))+1)/2)/COUNT(Risk_Rank_Keys!$C$2:$C$800))</f>
        <v>0.205020920502092</v>
      </c>
      <c r="O596" s="0" t="n">
        <f aca="false">IF(OR(B596="NW",COUNT(Risk_Rank_Keys!D596)=0),0.5,(SUMPRODUCT(--ISNUMBER(Risk_Rank_Keys!$D$2:$D$800),--(Risk_Rank_Keys!$D$2:$D$800&lt;Risk_Rank_Keys!D596))+(SUMPRODUCT(--ISNUMBER(Risk_Rank_Keys!$D$2:$D$800),--(Risk_Rank_Keys!$D$2:$D$800=Risk_Rank_Keys!D596))+1)/2)/COUNT(Risk_Rank_Keys!$D$2:$D$800))</f>
        <v>0.481171548117155</v>
      </c>
      <c r="P596" s="0" t="n">
        <f aca="false">AVERAGE(M596:O596)</f>
        <v>0.258484425848443</v>
      </c>
      <c r="Q596" s="0" t="n">
        <f aca="false">0.4*H596+0.4*I596+0.2*P596</f>
        <v>0.317529175532642</v>
      </c>
      <c r="R596" s="0" t="n">
        <f aca="false">PERCENTILE($Q$2:$Q$800,0.75)</f>
        <v>0.667715717403612</v>
      </c>
      <c r="S596" s="1" t="b">
        <f aca="false">OR(Q596&gt;=R596,AND(B596="CW",COUNT(J596:L596)&lt;3))</f>
        <v>0</v>
      </c>
      <c r="T596" s="0" t="n">
        <v>0.277524281403548</v>
      </c>
      <c r="U596" s="0" t="n">
        <v>5.5936381205069</v>
      </c>
      <c r="V596" s="0" t="n">
        <v>0.317529175532642</v>
      </c>
      <c r="W596" s="0" t="n">
        <f aca="false">Q596-V596</f>
        <v>0</v>
      </c>
    </row>
    <row r="597" customFormat="false" ht="15" hidden="false" customHeight="false" outlineLevel="0" collapsed="false">
      <c r="A597" s="0" t="s">
        <v>631</v>
      </c>
      <c r="B597" s="0" t="s">
        <v>3013</v>
      </c>
      <c r="C597" s="0" t="n">
        <v>31.5028468188726</v>
      </c>
      <c r="D597" s="0" t="n">
        <f aca="false">SUMPRODUCT(Risk_Inputs!B597:AJ597,Risk_Coefs!$B$2:$AJ$2)</f>
        <v>-1.06275104296747</v>
      </c>
      <c r="E597" s="0" t="n">
        <f aca="false">1/(1+EXP(-MAX(-25,MIN(25,D597))))</f>
        <v>0.256784077912289</v>
      </c>
      <c r="F597" s="0" t="n">
        <f aca="false">SUMPRODUCT(Risk_Inputs!B597:AJ597,Risk_Coefs!$B$3:$AJ$3)</f>
        <v>5.40747201692128</v>
      </c>
      <c r="G597" s="0" t="n">
        <f aca="false">MAX(0,F597)</f>
        <v>5.40747201692128</v>
      </c>
      <c r="H597" s="0" t="n">
        <f aca="false">(SUMPRODUCT(--ISNUMBER($E$2:$E$800),--($E$2:$E$800&lt;E597))+(SUMPRODUCT(--ISNUMBER($E$2:$E$800),--($E$2:$E$800=E597))+1)/2)/COUNT($E$2:$E$800)</f>
        <v>0.306633291614518</v>
      </c>
      <c r="I597" s="0" t="n">
        <f aca="false">(SUMPRODUCT(--ISNUMBER($G$2:$G$800),--($G$2:$G$800&lt;G597))+(SUMPRODUCT(--ISNUMBER($G$2:$G$800),--($G$2:$G$800=G597))+1)/2)/COUNT($G$2:$G$800)</f>
        <v>0.187734668335419</v>
      </c>
      <c r="J597" s="0" t="n">
        <v>4.00126740652966</v>
      </c>
      <c r="K597" s="0" t="n">
        <v>2.21507681314755</v>
      </c>
      <c r="L597" s="0" t="n">
        <v>0.250089317613429</v>
      </c>
      <c r="M597" s="0" t="n">
        <f aca="false">IF(OR(B597="NW",COUNT(Risk_Rank_Keys!B597)=0),0.5,(SUMPRODUCT(--ISNUMBER(Risk_Rank_Keys!$B$2:$B$800),--(Risk_Rank_Keys!$B$2:$B$800&lt;Risk_Rank_Keys!B597))+(SUMPRODUCT(--ISNUMBER(Risk_Rank_Keys!$B$2:$B$800),--(Risk_Rank_Keys!$B$2:$B$800=Risk_Rank_Keys!B597))+1)/2)/COUNT(Risk_Rank_Keys!$B$2:$B$800))</f>
        <v>0.0739191073919107</v>
      </c>
      <c r="N597" s="0" t="n">
        <f aca="false">IF(OR(B597="NW",COUNT(Risk_Rank_Keys!C597)=0),0.5,(SUMPRODUCT(--ISNUMBER(Risk_Rank_Keys!$C$2:$C$800),--(Risk_Rank_Keys!$C$2:$C$800&lt;Risk_Rank_Keys!C597))+(SUMPRODUCT(--ISNUMBER(Risk_Rank_Keys!$C$2:$C$800),--(Risk_Rank_Keys!$C$2:$C$800=Risk_Rank_Keys!C597))+1)/2)/COUNT(Risk_Rank_Keys!$C$2:$C$800))</f>
        <v>0.316596931659693</v>
      </c>
      <c r="O597" s="0" t="n">
        <f aca="false">IF(OR(B597="NW",COUNT(Risk_Rank_Keys!D597)=0),0.5,(SUMPRODUCT(--ISNUMBER(Risk_Rank_Keys!$D$2:$D$800),--(Risk_Rank_Keys!$D$2:$D$800&lt;Risk_Rank_Keys!D597))+(SUMPRODUCT(--ISNUMBER(Risk_Rank_Keys!$D$2:$D$800),--(Risk_Rank_Keys!$D$2:$D$800=Risk_Rank_Keys!D597))+1)/2)/COUNT(Risk_Rank_Keys!$D$2:$D$800))</f>
        <v>0.587168758716876</v>
      </c>
      <c r="P597" s="0" t="n">
        <f aca="false">AVERAGE(M597:O597)</f>
        <v>0.325894932589493</v>
      </c>
      <c r="Q597" s="0" t="n">
        <f aca="false">0.4*H597+0.4*I597+0.2*P597</f>
        <v>0.262926170497874</v>
      </c>
      <c r="R597" s="0" t="n">
        <f aca="false">PERCENTILE($Q$2:$Q$800,0.75)</f>
        <v>0.667715717403612</v>
      </c>
      <c r="S597" s="1" t="b">
        <f aca="false">OR(Q597&gt;=R597,AND(B597="CW",COUNT(J597:L597)&lt;3))</f>
        <v>0</v>
      </c>
      <c r="T597" s="0" t="n">
        <v>0.256784077912289</v>
      </c>
      <c r="U597" s="0" t="n">
        <v>5.40747201692128</v>
      </c>
      <c r="V597" s="0" t="n">
        <v>0.262926170497874</v>
      </c>
      <c r="W597" s="0" t="n">
        <f aca="false">Q597-V597</f>
        <v>0</v>
      </c>
    </row>
    <row r="598" customFormat="false" ht="15" hidden="false" customHeight="false" outlineLevel="0" collapsed="false">
      <c r="A598" s="0" t="s">
        <v>632</v>
      </c>
      <c r="B598" s="0" t="s">
        <v>3013</v>
      </c>
      <c r="C598" s="0" t="n">
        <v>47.424794166995</v>
      </c>
      <c r="D598" s="0" t="n">
        <f aca="false">SUMPRODUCT(Risk_Inputs!B598:AJ598,Risk_Coefs!$B$2:$AJ$2)</f>
        <v>-0.977744333255882</v>
      </c>
      <c r="E598" s="0" t="n">
        <f aca="false">1/(1+EXP(-MAX(-25,MIN(25,D598))))</f>
        <v>0.273339586456175</v>
      </c>
      <c r="F598" s="0" t="n">
        <f aca="false">SUMPRODUCT(Risk_Inputs!B598:AJ598,Risk_Coefs!$B$3:$AJ$3)</f>
        <v>7.17518663801186</v>
      </c>
      <c r="G598" s="0" t="n">
        <f aca="false">MAX(0,F598)</f>
        <v>7.17518663801186</v>
      </c>
      <c r="H598" s="0" t="n">
        <f aca="false">(SUMPRODUCT(--ISNUMBER($E$2:$E$800),--($E$2:$E$800&lt;E598))+(SUMPRODUCT(--ISNUMBER($E$2:$E$800),--($E$2:$E$800=E598))+1)/2)/COUNT($E$2:$E$800)</f>
        <v>0.411764705882353</v>
      </c>
      <c r="I598" s="0" t="n">
        <f aca="false">(SUMPRODUCT(--ISNUMBER($G$2:$G$800),--($G$2:$G$800&lt;G598))+(SUMPRODUCT(--ISNUMBER($G$2:$G$800),--($G$2:$G$800=G598))+1)/2)/COUNT($G$2:$G$800)</f>
        <v>0.439299123904881</v>
      </c>
      <c r="J598" s="0" t="n">
        <v>3.04858840194881</v>
      </c>
      <c r="K598" s="0" t="n">
        <v>3.87558627499383</v>
      </c>
      <c r="L598" s="0" t="n">
        <v>0.246852628980499</v>
      </c>
      <c r="M598" s="0" t="n">
        <f aca="false">IF(OR(B598="NW",COUNT(Risk_Rank_Keys!B598)=0),0.5,(SUMPRODUCT(--ISNUMBER(Risk_Rank_Keys!$B$2:$B$800),--(Risk_Rank_Keys!$B$2:$B$800&lt;Risk_Rank_Keys!B598))+(SUMPRODUCT(--ISNUMBER(Risk_Rank_Keys!$B$2:$B$800),--(Risk_Rank_Keys!$B$2:$B$800=Risk_Rank_Keys!B598))+1)/2)/COUNT(Risk_Rank_Keys!$B$2:$B$800))</f>
        <v>0.0278940027894003</v>
      </c>
      <c r="N598" s="0" t="n">
        <f aca="false">IF(OR(B598="NW",COUNT(Risk_Rank_Keys!C598)=0),0.5,(SUMPRODUCT(--ISNUMBER(Risk_Rank_Keys!$C$2:$C$800),--(Risk_Rank_Keys!$C$2:$C$800&lt;Risk_Rank_Keys!C598))+(SUMPRODUCT(--ISNUMBER(Risk_Rank_Keys!$C$2:$C$800),--(Risk_Rank_Keys!$C$2:$C$800=Risk_Rank_Keys!C598))+1)/2)/COUNT(Risk_Rank_Keys!$C$2:$C$800))</f>
        <v>0.581589958158996</v>
      </c>
      <c r="O598" s="0" t="n">
        <f aca="false">IF(OR(B598="NW",COUNT(Risk_Rank_Keys!D598)=0),0.5,(SUMPRODUCT(--ISNUMBER(Risk_Rank_Keys!$D$2:$D$800),--(Risk_Rank_Keys!$D$2:$D$800&lt;Risk_Rank_Keys!D598))+(SUMPRODUCT(--ISNUMBER(Risk_Rank_Keys!$D$2:$D$800),--(Risk_Rank_Keys!$D$2:$D$800=Risk_Rank_Keys!D598))+1)/2)/COUNT(Risk_Rank_Keys!$D$2:$D$800))</f>
        <v>0.570432357043236</v>
      </c>
      <c r="P598" s="0" t="n">
        <f aca="false">AVERAGE(M598:O598)</f>
        <v>0.393305439330544</v>
      </c>
      <c r="Q598" s="0" t="n">
        <f aca="false">0.4*H598+0.4*I598+0.2*P598</f>
        <v>0.419086619781003</v>
      </c>
      <c r="R598" s="0" t="n">
        <f aca="false">PERCENTILE($Q$2:$Q$800,0.75)</f>
        <v>0.667715717403612</v>
      </c>
      <c r="S598" s="1" t="b">
        <f aca="false">OR(Q598&gt;=R598,AND(B598="CW",COUNT(J598:L598)&lt;3))</f>
        <v>0</v>
      </c>
      <c r="T598" s="0" t="n">
        <v>0.273339586456175</v>
      </c>
      <c r="U598" s="0" t="n">
        <v>7.17518663801186</v>
      </c>
      <c r="V598" s="0" t="n">
        <v>0.419086619781003</v>
      </c>
      <c r="W598" s="0" t="n">
        <f aca="false">Q598-V598</f>
        <v>0</v>
      </c>
    </row>
    <row r="599" customFormat="false" ht="15" hidden="false" customHeight="false" outlineLevel="0" collapsed="false">
      <c r="A599" s="0" t="s">
        <v>633</v>
      </c>
      <c r="B599" s="0" t="s">
        <v>3013</v>
      </c>
      <c r="C599" s="0" t="n">
        <v>-36.8020016177112</v>
      </c>
      <c r="D599" s="0" t="n">
        <f aca="false">SUMPRODUCT(Risk_Inputs!B599:AJ599,Risk_Coefs!$B$2:$AJ$2)</f>
        <v>-1.35246670162657</v>
      </c>
      <c r="E599" s="0" t="n">
        <f aca="false">1/(1+EXP(-MAX(-25,MIN(25,D599))))</f>
        <v>0.205467388853517</v>
      </c>
      <c r="F599" s="0" t="n">
        <f aca="false">SUMPRODUCT(Risk_Inputs!B599:AJ599,Risk_Coefs!$B$3:$AJ$3)</f>
        <v>5.3533626699974</v>
      </c>
      <c r="G599" s="0" t="n">
        <f aca="false">MAX(0,F599)</f>
        <v>5.3533626699974</v>
      </c>
      <c r="H599" s="0" t="n">
        <f aca="false">(SUMPRODUCT(--ISNUMBER($E$2:$E$800),--($E$2:$E$800&lt;E599))+(SUMPRODUCT(--ISNUMBER($E$2:$E$800),--($E$2:$E$800=E599))+1)/2)/COUNT($E$2:$E$800)</f>
        <v>0.112640801001252</v>
      </c>
      <c r="I599" s="0" t="n">
        <f aca="false">(SUMPRODUCT(--ISNUMBER($G$2:$G$800),--($G$2:$G$800&lt;G599))+(SUMPRODUCT(--ISNUMBER($G$2:$G$800),--($G$2:$G$800=G599))+1)/2)/COUNT($G$2:$G$800)</f>
        <v>0.183979974968711</v>
      </c>
      <c r="J599" s="0" t="n">
        <v>30.6855415029595</v>
      </c>
      <c r="K599" s="0" t="n">
        <v>3.69447295118019</v>
      </c>
      <c r="L599" s="0" t="n">
        <v>0.249230318135169</v>
      </c>
      <c r="M599" s="0" t="n">
        <f aca="false">IF(OR(B599="NW",COUNT(Risk_Rank_Keys!B599)=0),0.5,(SUMPRODUCT(--ISNUMBER(Risk_Rank_Keys!$B$2:$B$800),--(Risk_Rank_Keys!$B$2:$B$800&lt;Risk_Rank_Keys!B599))+(SUMPRODUCT(--ISNUMBER(Risk_Rank_Keys!$B$2:$B$800),--(Risk_Rank_Keys!$B$2:$B$800=Risk_Rank_Keys!B599))+1)/2)/COUNT(Risk_Rank_Keys!$B$2:$B$800))</f>
        <v>0.905160390516039</v>
      </c>
      <c r="N599" s="0" t="n">
        <f aca="false">IF(OR(B599="NW",COUNT(Risk_Rank_Keys!C599)=0),0.5,(SUMPRODUCT(--ISNUMBER(Risk_Rank_Keys!$C$2:$C$800),--(Risk_Rank_Keys!$C$2:$C$800&lt;Risk_Rank_Keys!C599))+(SUMPRODUCT(--ISNUMBER(Risk_Rank_Keys!$C$2:$C$800),--(Risk_Rank_Keys!$C$2:$C$800=Risk_Rank_Keys!C599))+1)/2)/COUNT(Risk_Rank_Keys!$C$2:$C$800))</f>
        <v>0.556485355648536</v>
      </c>
      <c r="O599" s="0" t="n">
        <f aca="false">IF(OR(B599="NW",COUNT(Risk_Rank_Keys!D599)=0),0.5,(SUMPRODUCT(--ISNUMBER(Risk_Rank_Keys!$D$2:$D$800),--(Risk_Rank_Keys!$D$2:$D$800&lt;Risk_Rank_Keys!D599))+(SUMPRODUCT(--ISNUMBER(Risk_Rank_Keys!$D$2:$D$800),--(Risk_Rank_Keys!$D$2:$D$800=Risk_Rank_Keys!D599))+1)/2)/COUNT(Risk_Rank_Keys!$D$2:$D$800))</f>
        <v>0.582984658298466</v>
      </c>
      <c r="P599" s="0" t="n">
        <f aca="false">AVERAGE(M599:O599)</f>
        <v>0.681543468154347</v>
      </c>
      <c r="Q599" s="0" t="n">
        <f aca="false">0.4*H599+0.4*I599+0.2*P599</f>
        <v>0.254957004018854</v>
      </c>
      <c r="R599" s="0" t="n">
        <f aca="false">PERCENTILE($Q$2:$Q$800,0.75)</f>
        <v>0.667715717403612</v>
      </c>
      <c r="S599" s="1" t="b">
        <f aca="false">OR(Q599&gt;=R599,AND(B599="CW",COUNT(J599:L599)&lt;3))</f>
        <v>0</v>
      </c>
      <c r="T599" s="0" t="n">
        <v>0.205467388853517</v>
      </c>
      <c r="U599" s="0" t="n">
        <v>5.3533626699974</v>
      </c>
      <c r="V599" s="0" t="n">
        <v>0.254957004018854</v>
      </c>
      <c r="W599" s="0" t="n">
        <f aca="false">Q599-V599</f>
        <v>0</v>
      </c>
    </row>
    <row r="600" customFormat="false" ht="15" hidden="false" customHeight="false" outlineLevel="0" collapsed="false">
      <c r="A600" s="0" t="s">
        <v>634</v>
      </c>
      <c r="B600" s="0" t="s">
        <v>3013</v>
      </c>
      <c r="C600" s="0" t="n">
        <v>-35.6776288613803</v>
      </c>
      <c r="D600" s="0" t="n">
        <f aca="false">SUMPRODUCT(Risk_Inputs!B600:AJ600,Risk_Coefs!$B$2:$AJ$2)</f>
        <v>-0.6323575817866</v>
      </c>
      <c r="E600" s="0" t="n">
        <f aca="false">1/(1+EXP(-MAX(-25,MIN(25,D600))))</f>
        <v>0.346976155656259</v>
      </c>
      <c r="F600" s="0" t="n">
        <f aca="false">SUMPRODUCT(Risk_Inputs!B600:AJ600,Risk_Coefs!$B$3:$AJ$3)</f>
        <v>9.57390753664111</v>
      </c>
      <c r="G600" s="0" t="n">
        <f aca="false">MAX(0,F600)</f>
        <v>9.57390753664111</v>
      </c>
      <c r="H600" s="0" t="n">
        <f aca="false">(SUMPRODUCT(--ISNUMBER($E$2:$E$800),--($E$2:$E$800&lt;E600))+(SUMPRODUCT(--ISNUMBER($E$2:$E$800),--($E$2:$E$800=E600))+1)/2)/COUNT($E$2:$E$800)</f>
        <v>0.806007509386733</v>
      </c>
      <c r="I600" s="0" t="n">
        <f aca="false">(SUMPRODUCT(--ISNUMBER($G$2:$G$800),--($G$2:$G$800&lt;G600))+(SUMPRODUCT(--ISNUMBER($G$2:$G$800),--($G$2:$G$800=G600))+1)/2)/COUNT($G$2:$G$800)</f>
        <v>0.733416770963705</v>
      </c>
      <c r="J600" s="0" t="n">
        <v>5.93482666037895</v>
      </c>
      <c r="K600" s="0" t="n">
        <v>2.31562252180807</v>
      </c>
      <c r="L600" s="0" t="n">
        <v>0.0951625693893681</v>
      </c>
      <c r="M600" s="0" t="n">
        <f aca="false">IF(OR(B600="NW",COUNT(Risk_Rank_Keys!B600)=0),0.5,(SUMPRODUCT(--ISNUMBER(Risk_Rank_Keys!$B$2:$B$800),--(Risk_Rank_Keys!$B$2:$B$800&lt;Risk_Rank_Keys!B600))+(SUMPRODUCT(--ISNUMBER(Risk_Rank_Keys!$B$2:$B$800),--(Risk_Rank_Keys!$B$2:$B$800=Risk_Rank_Keys!B600))+1)/2)/COUNT(Risk_Rank_Keys!$B$2:$B$800))</f>
        <v>0.221757322175732</v>
      </c>
      <c r="N600" s="0" t="n">
        <f aca="false">IF(OR(B600="NW",COUNT(Risk_Rank_Keys!C600)=0),0.5,(SUMPRODUCT(--ISNUMBER(Risk_Rank_Keys!$C$2:$C$800),--(Risk_Rank_Keys!$C$2:$C$800&lt;Risk_Rank_Keys!C600))+(SUMPRODUCT(--ISNUMBER(Risk_Rank_Keys!$C$2:$C$800),--(Risk_Rank_Keys!$C$2:$C$800=Risk_Rank_Keys!C600))+1)/2)/COUNT(Risk_Rank_Keys!$C$2:$C$800))</f>
        <v>0.343096234309623</v>
      </c>
      <c r="O600" s="0" t="n">
        <f aca="false">IF(OR(B600="NW",COUNT(Risk_Rank_Keys!D600)=0),0.5,(SUMPRODUCT(--ISNUMBER(Risk_Rank_Keys!$D$2:$D$800),--(Risk_Rank_Keys!$D$2:$D$800&lt;Risk_Rank_Keys!D600))+(SUMPRODUCT(--ISNUMBER(Risk_Rank_Keys!$D$2:$D$800),--(Risk_Rank_Keys!$D$2:$D$800=Risk_Rank_Keys!D600))+1)/2)/COUNT(Risk_Rank_Keys!$D$2:$D$800))</f>
        <v>0.0153417015341702</v>
      </c>
      <c r="P600" s="0" t="n">
        <f aca="false">AVERAGE(M600:O600)</f>
        <v>0.193398419339842</v>
      </c>
      <c r="Q600" s="0" t="n">
        <f aca="false">0.4*H600+0.4*I600+0.2*P600</f>
        <v>0.654449396008144</v>
      </c>
      <c r="R600" s="0" t="n">
        <f aca="false">PERCENTILE($Q$2:$Q$800,0.75)</f>
        <v>0.667715717403612</v>
      </c>
      <c r="S600" s="1" t="b">
        <f aca="false">OR(Q600&gt;=R600,AND(B600="CW",COUNT(J600:L600)&lt;3))</f>
        <v>0</v>
      </c>
      <c r="T600" s="0" t="n">
        <v>0.346976155656259</v>
      </c>
      <c r="U600" s="0" t="n">
        <v>9.57390753664111</v>
      </c>
      <c r="V600" s="0" t="n">
        <v>0.654449396008144</v>
      </c>
      <c r="W600" s="0" t="n">
        <f aca="false">Q600-V600</f>
        <v>0</v>
      </c>
    </row>
    <row r="601" customFormat="false" ht="15" hidden="false" customHeight="false" outlineLevel="0" collapsed="false">
      <c r="A601" s="0" t="s">
        <v>635</v>
      </c>
      <c r="B601" s="0" t="s">
        <v>3013</v>
      </c>
      <c r="C601" s="0" t="n">
        <v>36.3470333306188</v>
      </c>
      <c r="D601" s="0" t="n">
        <f aca="false">SUMPRODUCT(Risk_Inputs!B601:AJ601,Risk_Coefs!$B$2:$AJ$2)</f>
        <v>-0.786956175287298</v>
      </c>
      <c r="E601" s="0" t="n">
        <f aca="false">1/(1+EXP(-MAX(-25,MIN(25,D601))))</f>
        <v>0.312822610976818</v>
      </c>
      <c r="F601" s="0" t="n">
        <f aca="false">SUMPRODUCT(Risk_Inputs!B601:AJ601,Risk_Coefs!$B$3:$AJ$3)</f>
        <v>7.57087889552273</v>
      </c>
      <c r="G601" s="0" t="n">
        <f aca="false">MAX(0,F601)</f>
        <v>7.57087889552273</v>
      </c>
      <c r="H601" s="0" t="n">
        <f aca="false">(SUMPRODUCT(--ISNUMBER($E$2:$E$800),--($E$2:$E$800&lt;E601))+(SUMPRODUCT(--ISNUMBER($E$2:$E$800),--($E$2:$E$800=E601))+1)/2)/COUNT($E$2:$E$800)</f>
        <v>0.62828535669587</v>
      </c>
      <c r="I601" s="0" t="n">
        <f aca="false">(SUMPRODUCT(--ISNUMBER($G$2:$G$800),--($G$2:$G$800&lt;G601))+(SUMPRODUCT(--ISNUMBER($G$2:$G$800),--($G$2:$G$800=G601))+1)/2)/COUNT($G$2:$G$800)</f>
        <v>0.493116395494368</v>
      </c>
      <c r="J601" s="0" t="n">
        <v>6.31480647277888</v>
      </c>
      <c r="K601" s="0" t="n">
        <v>3.66252452583387</v>
      </c>
      <c r="L601" s="0" t="n">
        <v>0.109003706126014</v>
      </c>
      <c r="M601" s="0" t="n">
        <f aca="false">IF(OR(B601="NW",COUNT(Risk_Rank_Keys!B601)=0),0.5,(SUMPRODUCT(--ISNUMBER(Risk_Rank_Keys!$B$2:$B$800),--(Risk_Rank_Keys!$B$2:$B$800&lt;Risk_Rank_Keys!B601))+(SUMPRODUCT(--ISNUMBER(Risk_Rank_Keys!$B$2:$B$800),--(Risk_Rank_Keys!$B$2:$B$800=Risk_Rank_Keys!B601))+1)/2)/COUNT(Risk_Rank_Keys!$B$2:$B$800))</f>
        <v>0.251046025104603</v>
      </c>
      <c r="N601" s="0" t="n">
        <f aca="false">IF(OR(B601="NW",COUNT(Risk_Rank_Keys!C601)=0),0.5,(SUMPRODUCT(--ISNUMBER(Risk_Rank_Keys!$C$2:$C$800),--(Risk_Rank_Keys!$C$2:$C$800&lt;Risk_Rank_Keys!C601))+(SUMPRODUCT(--ISNUMBER(Risk_Rank_Keys!$C$2:$C$800),--(Risk_Rank_Keys!$C$2:$C$800=Risk_Rank_Keys!C601))+1)/2)/COUNT(Risk_Rank_Keys!$C$2:$C$800))</f>
        <v>0.553695955369596</v>
      </c>
      <c r="O601" s="0" t="n">
        <f aca="false">IF(OR(B601="NW",COUNT(Risk_Rank_Keys!D601)=0),0.5,(SUMPRODUCT(--ISNUMBER(Risk_Rank_Keys!$D$2:$D$800),--(Risk_Rank_Keys!$D$2:$D$800&lt;Risk_Rank_Keys!D601))+(SUMPRODUCT(--ISNUMBER(Risk_Rank_Keys!$D$2:$D$800),--(Risk_Rank_Keys!$D$2:$D$800=Risk_Rank_Keys!D601))+1)/2)/COUNT(Risk_Rank_Keys!$D$2:$D$800))</f>
        <v>0.0264993026499303</v>
      </c>
      <c r="P601" s="0" t="n">
        <f aca="false">AVERAGE(M601:O601)</f>
        <v>0.277080427708043</v>
      </c>
      <c r="Q601" s="0" t="n">
        <f aca="false">0.4*H601+0.4*I601+0.2*P601</f>
        <v>0.503976786417704</v>
      </c>
      <c r="R601" s="0" t="n">
        <f aca="false">PERCENTILE($Q$2:$Q$800,0.75)</f>
        <v>0.667715717403612</v>
      </c>
      <c r="S601" s="1" t="b">
        <f aca="false">OR(Q601&gt;=R601,AND(B601="CW",COUNT(J601:L601)&lt;3))</f>
        <v>0</v>
      </c>
      <c r="T601" s="0" t="n">
        <v>0.312822610976818</v>
      </c>
      <c r="U601" s="0" t="n">
        <v>7.57087889552273</v>
      </c>
      <c r="V601" s="0" t="n">
        <v>0.503976786417704</v>
      </c>
      <c r="W601" s="0" t="n">
        <f aca="false">Q601-V601</f>
        <v>0</v>
      </c>
    </row>
    <row r="602" customFormat="false" ht="15" hidden="false" customHeight="false" outlineLevel="0" collapsed="false">
      <c r="A602" s="0" t="s">
        <v>636</v>
      </c>
      <c r="B602" s="0" t="s">
        <v>3013</v>
      </c>
      <c r="C602" s="0" t="n">
        <v>73.6154487988212</v>
      </c>
      <c r="D602" s="0" t="n">
        <f aca="false">SUMPRODUCT(Risk_Inputs!B602:AJ602,Risk_Coefs!$B$2:$AJ$2)</f>
        <v>-1.84514131174329</v>
      </c>
      <c r="E602" s="0" t="n">
        <f aca="false">1/(1+EXP(-MAX(-25,MIN(25,D602))))</f>
        <v>0.136444372575304</v>
      </c>
      <c r="F602" s="0" t="n">
        <f aca="false">SUMPRODUCT(Risk_Inputs!B602:AJ602,Risk_Coefs!$B$3:$AJ$3)</f>
        <v>2.58106095529167</v>
      </c>
      <c r="G602" s="0" t="n">
        <f aca="false">MAX(0,F602)</f>
        <v>2.58106095529167</v>
      </c>
      <c r="H602" s="0" t="n">
        <f aca="false">(SUMPRODUCT(--ISNUMBER($E$2:$E$800),--($E$2:$E$800&lt;E602))+(SUMPRODUCT(--ISNUMBER($E$2:$E$800),--($E$2:$E$800=E602))+1)/2)/COUNT($E$2:$E$800)</f>
        <v>0.0112640801001252</v>
      </c>
      <c r="I602" s="0" t="n">
        <f aca="false">(SUMPRODUCT(--ISNUMBER($G$2:$G$800),--($G$2:$G$800&lt;G602))+(SUMPRODUCT(--ISNUMBER($G$2:$G$800),--($G$2:$G$800=G602))+1)/2)/COUNT($G$2:$G$800)</f>
        <v>0.0187734668335419</v>
      </c>
      <c r="J602" s="0" t="n">
        <v>44.6899866889778</v>
      </c>
      <c r="K602" s="0" t="n">
        <v>38.4299640841457</v>
      </c>
      <c r="L602" s="0" t="n">
        <v>0.667008722421753</v>
      </c>
      <c r="M602" s="0" t="n">
        <f aca="false">IF(OR(B602="NW",COUNT(Risk_Rank_Keys!B602)=0),0.5,(SUMPRODUCT(--ISNUMBER(Risk_Rank_Keys!$B$2:$B$800),--(Risk_Rank_Keys!$B$2:$B$800&lt;Risk_Rank_Keys!B602))+(SUMPRODUCT(--ISNUMBER(Risk_Rank_Keys!$B$2:$B$800),--(Risk_Rank_Keys!$B$2:$B$800=Risk_Rank_Keys!B602))+1)/2)/COUNT(Risk_Rank_Keys!$B$2:$B$800))</f>
        <v>0.96792189679219</v>
      </c>
      <c r="N602" s="0" t="n">
        <f aca="false">IF(OR(B602="NW",COUNT(Risk_Rank_Keys!C602)=0),0.5,(SUMPRODUCT(--ISNUMBER(Risk_Rank_Keys!$C$2:$C$800),--(Risk_Rank_Keys!$C$2:$C$800&lt;Risk_Rank_Keys!C602))+(SUMPRODUCT(--ISNUMBER(Risk_Rank_Keys!$C$2:$C$800),--(Risk_Rank_Keys!$C$2:$C$800=Risk_Rank_Keys!C602))+1)/2)/COUNT(Risk_Rank_Keys!$C$2:$C$800))</f>
        <v>0.99721059972106</v>
      </c>
      <c r="O602" s="0" t="n">
        <f aca="false">IF(OR(B602="NW",COUNT(Risk_Rank_Keys!D602)=0),0.5,(SUMPRODUCT(--ISNUMBER(Risk_Rank_Keys!$D$2:$D$800),--(Risk_Rank_Keys!$D$2:$D$800&lt;Risk_Rank_Keys!D602))+(SUMPRODUCT(--ISNUMBER(Risk_Rank_Keys!$D$2:$D$800),--(Risk_Rank_Keys!$D$2:$D$800=Risk_Rank_Keys!D602))+1)/2)/COUNT(Risk_Rank_Keys!$D$2:$D$800))</f>
        <v>0.98465829846583</v>
      </c>
      <c r="P602" s="0" t="n">
        <f aca="false">AVERAGE(M602:O602)</f>
        <v>0.98326359832636</v>
      </c>
      <c r="Q602" s="0" t="n">
        <f aca="false">0.4*H602+0.4*I602+0.2*P602</f>
        <v>0.208667738438739</v>
      </c>
      <c r="R602" s="0" t="n">
        <f aca="false">PERCENTILE($Q$2:$Q$800,0.75)</f>
        <v>0.667715717403612</v>
      </c>
      <c r="S602" s="1" t="b">
        <f aca="false">OR(Q602&gt;=R602,AND(B602="CW",COUNT(J602:L602)&lt;3))</f>
        <v>0</v>
      </c>
      <c r="T602" s="0" t="n">
        <v>0.136444372575304</v>
      </c>
      <c r="U602" s="0" t="n">
        <v>2.58106095529167</v>
      </c>
      <c r="V602" s="0" t="n">
        <v>0.208667738438739</v>
      </c>
      <c r="W602" s="0" t="n">
        <f aca="false">Q602-V602</f>
        <v>0</v>
      </c>
    </row>
    <row r="603" customFormat="false" ht="15" hidden="false" customHeight="false" outlineLevel="0" collapsed="false">
      <c r="A603" s="0" t="s">
        <v>637</v>
      </c>
      <c r="B603" s="0" t="s">
        <v>3013</v>
      </c>
      <c r="C603" s="0" t="n">
        <v>40.2406870232691</v>
      </c>
      <c r="D603" s="0" t="n">
        <f aca="false">SUMPRODUCT(Risk_Inputs!B603:AJ603,Risk_Coefs!$B$2:$AJ$2)</f>
        <v>-0.900664148525706</v>
      </c>
      <c r="E603" s="0" t="n">
        <f aca="false">1/(1+EXP(-MAX(-25,MIN(25,D603))))</f>
        <v>0.288914033772655</v>
      </c>
      <c r="F603" s="0" t="n">
        <f aca="false">SUMPRODUCT(Risk_Inputs!B603:AJ603,Risk_Coefs!$B$3:$AJ$3)</f>
        <v>8.9836039855336</v>
      </c>
      <c r="G603" s="0" t="n">
        <f aca="false">MAX(0,F603)</f>
        <v>8.9836039855336</v>
      </c>
      <c r="H603" s="0" t="n">
        <f aca="false">(SUMPRODUCT(--ISNUMBER($E$2:$E$800),--($E$2:$E$800&lt;E603))+(SUMPRODUCT(--ISNUMBER($E$2:$E$800),--($E$2:$E$800=E603))+1)/2)/COUNT($E$2:$E$800)</f>
        <v>0.518147684605757</v>
      </c>
      <c r="I603" s="0" t="n">
        <f aca="false">(SUMPRODUCT(--ISNUMBER($G$2:$G$800),--($G$2:$G$800&lt;G603))+(SUMPRODUCT(--ISNUMBER($G$2:$G$800),--($G$2:$G$800=G603))+1)/2)/COUNT($G$2:$G$800)</f>
        <v>0.679599499374218</v>
      </c>
      <c r="J603" s="0" t="n">
        <v>7.36486727502131</v>
      </c>
      <c r="K603" s="0" t="n">
        <v>8.39506172839505</v>
      </c>
      <c r="L603" s="0" t="n">
        <v>0.329218106995878</v>
      </c>
      <c r="M603" s="0" t="n">
        <f aca="false">IF(OR(B603="NW",COUNT(Risk_Rank_Keys!B603)=0),0.5,(SUMPRODUCT(--ISNUMBER(Risk_Rank_Keys!$B$2:$B$800),--(Risk_Rank_Keys!$B$2:$B$800&lt;Risk_Rank_Keys!B603))+(SUMPRODUCT(--ISNUMBER(Risk_Rank_Keys!$B$2:$B$800),--(Risk_Rank_Keys!$B$2:$B$800=Risk_Rank_Keys!B603))+1)/2)/COUNT(Risk_Rank_Keys!$B$2:$B$800))</f>
        <v>0.343096234309623</v>
      </c>
      <c r="N603" s="0" t="n">
        <f aca="false">IF(OR(B603="NW",COUNT(Risk_Rank_Keys!C603)=0),0.5,(SUMPRODUCT(--ISNUMBER(Risk_Rank_Keys!$C$2:$C$800),--(Risk_Rank_Keys!$C$2:$C$800&lt;Risk_Rank_Keys!C603))+(SUMPRODUCT(--ISNUMBER(Risk_Rank_Keys!$C$2:$C$800),--(Risk_Rank_Keys!$C$2:$C$800=Risk_Rank_Keys!C603))+1)/2)/COUNT(Risk_Rank_Keys!$C$2:$C$800))</f>
        <v>0.836820083682008</v>
      </c>
      <c r="O603" s="0" t="n">
        <f aca="false">IF(OR(B603="NW",COUNT(Risk_Rank_Keys!D603)=0),0.5,(SUMPRODUCT(--ISNUMBER(Risk_Rank_Keys!$D$2:$D$800),--(Risk_Rank_Keys!$D$2:$D$800&lt;Risk_Rank_Keys!D603))+(SUMPRODUCT(--ISNUMBER(Risk_Rank_Keys!$D$2:$D$800),--(Risk_Rank_Keys!$D$2:$D$800=Risk_Rank_Keys!D603))+1)/2)/COUNT(Risk_Rank_Keys!$D$2:$D$800))</f>
        <v>0.796373779637378</v>
      </c>
      <c r="P603" s="0" t="n">
        <f aca="false">AVERAGE(M603:O603)</f>
        <v>0.658763365876337</v>
      </c>
      <c r="Q603" s="0" t="n">
        <f aca="false">0.4*H603+0.4*I603+0.2*P603</f>
        <v>0.610851546767257</v>
      </c>
      <c r="R603" s="0" t="n">
        <f aca="false">PERCENTILE($Q$2:$Q$800,0.75)</f>
        <v>0.667715717403612</v>
      </c>
      <c r="S603" s="1" t="b">
        <f aca="false">OR(Q603&gt;=R603,AND(B603="CW",COUNT(J603:L603)&lt;3))</f>
        <v>0</v>
      </c>
      <c r="T603" s="0" t="n">
        <v>0.288914033772655</v>
      </c>
      <c r="U603" s="0" t="n">
        <v>8.9836039855336</v>
      </c>
      <c r="V603" s="0" t="n">
        <v>0.610851546767257</v>
      </c>
      <c r="W603" s="0" t="n">
        <f aca="false">Q603-V603</f>
        <v>0</v>
      </c>
    </row>
    <row r="604" customFormat="false" ht="15" hidden="false" customHeight="false" outlineLevel="0" collapsed="false">
      <c r="A604" s="0" t="s">
        <v>638</v>
      </c>
      <c r="B604" s="0" t="s">
        <v>3013</v>
      </c>
      <c r="C604" s="0" t="n">
        <v>15.8513317936139</v>
      </c>
      <c r="D604" s="0" t="n">
        <f aca="false">SUMPRODUCT(Risk_Inputs!B604:AJ604,Risk_Coefs!$B$2:$AJ$2)</f>
        <v>-0.401251384318952</v>
      </c>
      <c r="E604" s="0" t="n">
        <f aca="false">1/(1+EXP(-MAX(-25,MIN(25,D604))))</f>
        <v>0.401011718522691</v>
      </c>
      <c r="F604" s="0" t="n">
        <f aca="false">SUMPRODUCT(Risk_Inputs!B604:AJ604,Risk_Coefs!$B$3:$AJ$3)</f>
        <v>10.6871984944256</v>
      </c>
      <c r="G604" s="0" t="n">
        <f aca="false">MAX(0,F604)</f>
        <v>10.6871984944256</v>
      </c>
      <c r="H604" s="0" t="n">
        <f aca="false">(SUMPRODUCT(--ISNUMBER($E$2:$E$800),--($E$2:$E$800&lt;E604))+(SUMPRODUCT(--ISNUMBER($E$2:$E$800),--($E$2:$E$800=E604))+1)/2)/COUNT($E$2:$E$800)</f>
        <v>0.949937421777222</v>
      </c>
      <c r="I604" s="0" t="n">
        <f aca="false">(SUMPRODUCT(--ISNUMBER($G$2:$G$800),--($G$2:$G$800&lt;G604))+(SUMPRODUCT(--ISNUMBER($G$2:$G$800),--($G$2:$G$800=G604))+1)/2)/COUNT($G$2:$G$800)</f>
        <v>0.857321652065081</v>
      </c>
      <c r="J604" s="0" t="n">
        <v>11.2134880445354</v>
      </c>
      <c r="K604" s="0" t="n">
        <v>1.97690692792164</v>
      </c>
      <c r="L604" s="0" t="n">
        <v>0.192442267319798</v>
      </c>
      <c r="M604" s="0" t="n">
        <f aca="false">IF(OR(B604="NW",COUNT(Risk_Rank_Keys!B604)=0),0.5,(SUMPRODUCT(--ISNUMBER(Risk_Rank_Keys!$B$2:$B$800),--(Risk_Rank_Keys!$B$2:$B$800&lt;Risk_Rank_Keys!B604))+(SUMPRODUCT(--ISNUMBER(Risk_Rank_Keys!$B$2:$B$800),--(Risk_Rank_Keys!$B$2:$B$800=Risk_Rank_Keys!B604))+1)/2)/COUNT(Risk_Rank_Keys!$B$2:$B$800))</f>
        <v>0.555090655509066</v>
      </c>
      <c r="N604" s="0" t="n">
        <f aca="false">IF(OR(B604="NW",COUNT(Risk_Rank_Keys!C604)=0),0.5,(SUMPRODUCT(--ISNUMBER(Risk_Rank_Keys!$C$2:$C$800),--(Risk_Rank_Keys!$C$2:$C$800&lt;Risk_Rank_Keys!C604))+(SUMPRODUCT(--ISNUMBER(Risk_Rank_Keys!$C$2:$C$800),--(Risk_Rank_Keys!$C$2:$C$800=Risk_Rank_Keys!C604))+1)/2)/COUNT(Risk_Rank_Keys!$C$2:$C$800))</f>
        <v>0.262203626220363</v>
      </c>
      <c r="O604" s="0" t="n">
        <f aca="false">IF(OR(B604="NW",COUNT(Risk_Rank_Keys!D604)=0),0.5,(SUMPRODUCT(--ISNUMBER(Risk_Rank_Keys!$D$2:$D$800),--(Risk_Rank_Keys!$D$2:$D$800&lt;Risk_Rank_Keys!D604))+(SUMPRODUCT(--ISNUMBER(Risk_Rank_Keys!$D$2:$D$800),--(Risk_Rank_Keys!$D$2:$D$800=Risk_Rank_Keys!D604))+1)/2)/COUNT(Risk_Rank_Keys!$D$2:$D$800))</f>
        <v>0.271966527196653</v>
      </c>
      <c r="P604" s="0" t="n">
        <f aca="false">AVERAGE(M604:O604)</f>
        <v>0.363086936308694</v>
      </c>
      <c r="Q604" s="0" t="n">
        <f aca="false">0.4*H604+0.4*I604+0.2*P604</f>
        <v>0.79552101679866</v>
      </c>
      <c r="R604" s="0" t="n">
        <f aca="false">PERCENTILE($Q$2:$Q$800,0.75)</f>
        <v>0.667715717403612</v>
      </c>
      <c r="S604" s="1" t="b">
        <f aca="false">OR(Q604&gt;=R604,AND(B604="CW",COUNT(J604:L604)&lt;3))</f>
        <v>1</v>
      </c>
      <c r="T604" s="0" t="n">
        <v>0.401011718522691</v>
      </c>
      <c r="U604" s="0" t="n">
        <v>10.6871984944256</v>
      </c>
      <c r="V604" s="0" t="n">
        <v>0.79552101679866</v>
      </c>
      <c r="W604" s="0" t="n">
        <f aca="false">Q604-V604</f>
        <v>0</v>
      </c>
    </row>
    <row r="605" customFormat="false" ht="15" hidden="false" customHeight="false" outlineLevel="0" collapsed="false">
      <c r="A605" s="0" t="s">
        <v>639</v>
      </c>
      <c r="B605" s="0" t="s">
        <v>3013</v>
      </c>
      <c r="C605" s="0" t="n">
        <v>6.04434316489764</v>
      </c>
      <c r="D605" s="0" t="n">
        <f aca="false">SUMPRODUCT(Risk_Inputs!B605:AJ605,Risk_Coefs!$B$2:$AJ$2)</f>
        <v>-0.529561195679007</v>
      </c>
      <c r="E605" s="0" t="n">
        <f aca="false">1/(1+EXP(-MAX(-25,MIN(25,D605))))</f>
        <v>0.370619237987546</v>
      </c>
      <c r="F605" s="0" t="n">
        <f aca="false">SUMPRODUCT(Risk_Inputs!B605:AJ605,Risk_Coefs!$B$3:$AJ$3)</f>
        <v>10.4950459482727</v>
      </c>
      <c r="G605" s="0" t="n">
        <f aca="false">MAX(0,F605)</f>
        <v>10.4950459482727</v>
      </c>
      <c r="H605" s="0" t="n">
        <f aca="false">(SUMPRODUCT(--ISNUMBER($E$2:$E$800),--($E$2:$E$800&lt;E605))+(SUMPRODUCT(--ISNUMBER($E$2:$E$800),--($E$2:$E$800=E605))+1)/2)/COUNT($E$2:$E$800)</f>
        <v>0.876095118898623</v>
      </c>
      <c r="I605" s="0" t="n">
        <f aca="false">(SUMPRODUCT(--ISNUMBER($G$2:$G$800),--($G$2:$G$800&lt;G605))+(SUMPRODUCT(--ISNUMBER($G$2:$G$800),--($G$2:$G$800=G605))+1)/2)/COUNT($G$2:$G$800)</f>
        <v>0.843554443053817</v>
      </c>
      <c r="J605" s="0" t="n">
        <v>5.71430990184085</v>
      </c>
      <c r="K605" s="0" t="n">
        <v>0.49408858302452</v>
      </c>
      <c r="L605" s="0" t="n">
        <v>0.229398270689951</v>
      </c>
      <c r="M605" s="0" t="n">
        <f aca="false">IF(OR(B605="NW",COUNT(Risk_Rank_Keys!B605)=0),0.5,(SUMPRODUCT(--ISNUMBER(Risk_Rank_Keys!$B$2:$B$800),--(Risk_Rank_Keys!$B$2:$B$800&lt;Risk_Rank_Keys!B605))+(SUMPRODUCT(--ISNUMBER(Risk_Rank_Keys!$B$2:$B$800),--(Risk_Rank_Keys!$B$2:$B$800=Risk_Rank_Keys!B605))+1)/2)/COUNT(Risk_Rank_Keys!$B$2:$B$800))</f>
        <v>0.193863319386332</v>
      </c>
      <c r="N605" s="0" t="n">
        <f aca="false">IF(OR(B605="NW",COUNT(Risk_Rank_Keys!C605)=0),0.5,(SUMPRODUCT(--ISNUMBER(Risk_Rank_Keys!$C$2:$C$800),--(Risk_Rank_Keys!$C$2:$C$800&lt;Risk_Rank_Keys!C605))+(SUMPRODUCT(--ISNUMBER(Risk_Rank_Keys!$C$2:$C$800),--(Risk_Rank_Keys!$C$2:$C$800=Risk_Rank_Keys!C605))+1)/2)/COUNT(Risk_Rank_Keys!$C$2:$C$800))</f>
        <v>0.00139470013947001</v>
      </c>
      <c r="O605" s="0" t="n">
        <f aca="false">IF(OR(B605="NW",COUNT(Risk_Rank_Keys!D605)=0),0.5,(SUMPRODUCT(--ISNUMBER(Risk_Rank_Keys!$D$2:$D$800),--(Risk_Rank_Keys!$D$2:$D$800&lt;Risk_Rank_Keys!D605))+(SUMPRODUCT(--ISNUMBER(Risk_Rank_Keys!$D$2:$D$800),--(Risk_Rank_Keys!$D$2:$D$800=Risk_Rank_Keys!D605))+1)/2)/COUNT(Risk_Rank_Keys!$D$2:$D$800))</f>
        <v>0.497907949790795</v>
      </c>
      <c r="P605" s="0" t="n">
        <f aca="false">AVERAGE(M605:O605)</f>
        <v>0.231055323105532</v>
      </c>
      <c r="Q605" s="0" t="n">
        <f aca="false">0.4*H605+0.4*I605+0.2*P605</f>
        <v>0.734070889402083</v>
      </c>
      <c r="R605" s="0" t="n">
        <f aca="false">PERCENTILE($Q$2:$Q$800,0.75)</f>
        <v>0.667715717403612</v>
      </c>
      <c r="S605" s="1" t="b">
        <f aca="false">OR(Q605&gt;=R605,AND(B605="CW",COUNT(J605:L605)&lt;3))</f>
        <v>1</v>
      </c>
      <c r="T605" s="0" t="n">
        <v>0.370619237987546</v>
      </c>
      <c r="U605" s="0" t="n">
        <v>10.4950459482727</v>
      </c>
      <c r="V605" s="0" t="n">
        <v>0.734070889402083</v>
      </c>
      <c r="W605" s="0" t="n">
        <f aca="false">Q605-V605</f>
        <v>0</v>
      </c>
    </row>
    <row r="606" customFormat="false" ht="15" hidden="false" customHeight="false" outlineLevel="0" collapsed="false">
      <c r="A606" s="0" t="s">
        <v>640</v>
      </c>
      <c r="B606" s="0" t="s">
        <v>33</v>
      </c>
      <c r="C606" s="0" t="n">
        <v>-39.8465847302933</v>
      </c>
      <c r="D606" s="0" t="n">
        <f aca="false">SUMPRODUCT(Risk_Inputs!B606:AJ606,Risk_Coefs!$B$2:$AJ$2)</f>
        <v>-0.558507479793037</v>
      </c>
      <c r="E606" s="0" t="n">
        <f aca="false">1/(1+EXP(-MAX(-25,MIN(25,D606))))</f>
        <v>0.363892870376613</v>
      </c>
      <c r="F606" s="0" t="n">
        <f aca="false">SUMPRODUCT(Risk_Inputs!B606:AJ606,Risk_Coefs!$B$3:$AJ$3)</f>
        <v>11.977709160149</v>
      </c>
      <c r="G606" s="0" t="n">
        <f aca="false">MAX(0,F606)</f>
        <v>11.977709160149</v>
      </c>
      <c r="H606" s="0" t="n">
        <f aca="false">(SUMPRODUCT(--ISNUMBER($E$2:$E$800),--($E$2:$E$800&lt;E606))+(SUMPRODUCT(--ISNUMBER($E$2:$E$800),--($E$2:$E$800=E606))+1)/2)/COUNT($E$2:$E$800)</f>
        <v>0.856070087609512</v>
      </c>
      <c r="I606" s="0" t="n">
        <f aca="false">(SUMPRODUCT(--ISNUMBER($G$2:$G$800),--($G$2:$G$800&lt;G606))+(SUMPRODUCT(--ISNUMBER($G$2:$G$800),--($G$2:$G$800=G606))+1)/2)/COUNT($G$2:$G$800)</f>
        <v>0.918648310387985</v>
      </c>
      <c r="M606" s="0" t="n">
        <f aca="false">IF(OR(B606="NW",COUNT(Risk_Rank_Keys!B606)=0),0.5,(SUMPRODUCT(--ISNUMBER(Risk_Rank_Keys!$B$2:$B$800),--(Risk_Rank_Keys!$B$2:$B$800&lt;Risk_Rank_Keys!B606))+(SUMPRODUCT(--ISNUMBER(Risk_Rank_Keys!$B$2:$B$800),--(Risk_Rank_Keys!$B$2:$B$800=Risk_Rank_Keys!B606))+1)/2)/COUNT(Risk_Rank_Keys!$B$2:$B$800))</f>
        <v>0.5</v>
      </c>
      <c r="N606" s="0" t="n">
        <f aca="false">IF(OR(B606="NW",COUNT(Risk_Rank_Keys!C606)=0),0.5,(SUMPRODUCT(--ISNUMBER(Risk_Rank_Keys!$C$2:$C$800),--(Risk_Rank_Keys!$C$2:$C$800&lt;Risk_Rank_Keys!C606))+(SUMPRODUCT(--ISNUMBER(Risk_Rank_Keys!$C$2:$C$800),--(Risk_Rank_Keys!$C$2:$C$800=Risk_Rank_Keys!C606))+1)/2)/COUNT(Risk_Rank_Keys!$C$2:$C$800))</f>
        <v>0.5</v>
      </c>
      <c r="O606" s="0" t="n">
        <f aca="false">IF(OR(B606="NW",COUNT(Risk_Rank_Keys!D606)=0),0.5,(SUMPRODUCT(--ISNUMBER(Risk_Rank_Keys!$D$2:$D$800),--(Risk_Rank_Keys!$D$2:$D$800&lt;Risk_Rank_Keys!D606))+(SUMPRODUCT(--ISNUMBER(Risk_Rank_Keys!$D$2:$D$800),--(Risk_Rank_Keys!$D$2:$D$800=Risk_Rank_Keys!D606))+1)/2)/COUNT(Risk_Rank_Keys!$D$2:$D$800))</f>
        <v>0.5</v>
      </c>
      <c r="P606" s="0" t="n">
        <f aca="false">AVERAGE(M606:O606)</f>
        <v>0.5</v>
      </c>
      <c r="Q606" s="0" t="n">
        <f aca="false">0.4*H606+0.4*I606+0.2*P606</f>
        <v>0.809887359198999</v>
      </c>
      <c r="R606" s="0" t="n">
        <f aca="false">PERCENTILE($Q$2:$Q$800,0.75)</f>
        <v>0.667715717403612</v>
      </c>
      <c r="S606" s="1" t="b">
        <f aca="false">OR(Q606&gt;=R606,AND(B606="CW",COUNT(J606:L606)&lt;3))</f>
        <v>1</v>
      </c>
      <c r="T606" s="0" t="n">
        <v>0.363892870376613</v>
      </c>
      <c r="U606" s="0" t="n">
        <v>11.977709160149</v>
      </c>
      <c r="V606" s="0" t="n">
        <v>0.809887359198999</v>
      </c>
      <c r="W606" s="0" t="n">
        <f aca="false">Q606-V606</f>
        <v>0</v>
      </c>
    </row>
    <row r="607" customFormat="false" ht="15" hidden="false" customHeight="false" outlineLevel="0" collapsed="false">
      <c r="A607" s="0" t="s">
        <v>641</v>
      </c>
      <c r="B607" s="0" t="s">
        <v>3013</v>
      </c>
      <c r="C607" s="0" t="n">
        <v>-2.00868488762257</v>
      </c>
      <c r="D607" s="0" t="n">
        <f aca="false">SUMPRODUCT(Risk_Inputs!B607:AJ607,Risk_Coefs!$B$2:$AJ$2)</f>
        <v>-0.505596768083712</v>
      </c>
      <c r="E607" s="0" t="n">
        <f aca="false">1/(1+EXP(-MAX(-25,MIN(25,D607))))</f>
        <v>0.37622631178241</v>
      </c>
      <c r="F607" s="0" t="n">
        <f aca="false">SUMPRODUCT(Risk_Inputs!B607:AJ607,Risk_Coefs!$B$3:$AJ$3)</f>
        <v>15.3670229183305</v>
      </c>
      <c r="G607" s="0" t="n">
        <f aca="false">MAX(0,F607)</f>
        <v>15.3670229183305</v>
      </c>
      <c r="H607" s="0" t="n">
        <f aca="false">(SUMPRODUCT(--ISNUMBER($E$2:$E$800),--($E$2:$E$800&lt;E607))+(SUMPRODUCT(--ISNUMBER($E$2:$E$800),--($E$2:$E$800=E607))+1)/2)/COUNT($E$2:$E$800)</f>
        <v>0.891113892365457</v>
      </c>
      <c r="I607" s="0" t="n">
        <f aca="false">(SUMPRODUCT(--ISNUMBER($G$2:$G$800),--($G$2:$G$800&lt;G607))+(SUMPRODUCT(--ISNUMBER($G$2:$G$800),--($G$2:$G$800=G607))+1)/2)/COUNT($G$2:$G$800)</f>
        <v>0.987484355444305</v>
      </c>
      <c r="J607" s="0" t="n">
        <v>7.91990185203645</v>
      </c>
      <c r="K607" s="0" t="n">
        <v>7.05039297272307</v>
      </c>
      <c r="L607" s="0" t="n">
        <v>0.346740638002774</v>
      </c>
      <c r="M607" s="0" t="n">
        <f aca="false">IF(OR(B607="NW",COUNT(Risk_Rank_Keys!B607)=0),0.5,(SUMPRODUCT(--ISNUMBER(Risk_Rank_Keys!$B$2:$B$800),--(Risk_Rank_Keys!$B$2:$B$800&lt;Risk_Rank_Keys!B607))+(SUMPRODUCT(--ISNUMBER(Risk_Rank_Keys!$B$2:$B$800),--(Risk_Rank_Keys!$B$2:$B$800=Risk_Rank_Keys!B607))+1)/2)/COUNT(Risk_Rank_Keys!$B$2:$B$800))</f>
        <v>0.379358437935844</v>
      </c>
      <c r="N607" s="0" t="n">
        <f aca="false">IF(OR(B607="NW",COUNT(Risk_Rank_Keys!C607)=0),0.5,(SUMPRODUCT(--ISNUMBER(Risk_Rank_Keys!$C$2:$C$800),--(Risk_Rank_Keys!$C$2:$C$800&lt;Risk_Rank_Keys!C607))+(SUMPRODUCT(--ISNUMBER(Risk_Rank_Keys!$C$2:$C$800),--(Risk_Rank_Keys!$C$2:$C$800=Risk_Rank_Keys!C607))+1)/2)/COUNT(Risk_Rank_Keys!$C$2:$C$800))</f>
        <v>0.788005578800558</v>
      </c>
      <c r="O607" s="0" t="n">
        <f aca="false">IF(OR(B607="NW",COUNT(Risk_Rank_Keys!D607)=0),0.5,(SUMPRODUCT(--ISNUMBER(Risk_Rank_Keys!$D$2:$D$800),--(Risk_Rank_Keys!$D$2:$D$800&lt;Risk_Rank_Keys!D607))+(SUMPRODUCT(--ISNUMBER(Risk_Rank_Keys!$D$2:$D$800),--(Risk_Rank_Keys!$D$2:$D$800=Risk_Rank_Keys!D607))+1)/2)/COUNT(Risk_Rank_Keys!$D$2:$D$800))</f>
        <v>0.829846582984658</v>
      </c>
      <c r="P607" s="0" t="n">
        <f aca="false">AVERAGE(M607:O607)</f>
        <v>0.665736866573687</v>
      </c>
      <c r="Q607" s="0" t="n">
        <f aca="false">0.4*H607+0.4*I607+0.2*P607</f>
        <v>0.884586672438642</v>
      </c>
      <c r="R607" s="0" t="n">
        <f aca="false">PERCENTILE($Q$2:$Q$800,0.75)</f>
        <v>0.667715717403612</v>
      </c>
      <c r="S607" s="1" t="b">
        <f aca="false">OR(Q607&gt;=R607,AND(B607="CW",COUNT(J607:L607)&lt;3))</f>
        <v>1</v>
      </c>
      <c r="T607" s="0" t="n">
        <v>0.37622631178241</v>
      </c>
      <c r="U607" s="0" t="n">
        <v>15.3670229183305</v>
      </c>
      <c r="V607" s="0" t="n">
        <v>0.884586672438642</v>
      </c>
      <c r="W607" s="0" t="n">
        <f aca="false">Q607-V607</f>
        <v>0</v>
      </c>
    </row>
    <row r="608" customFormat="false" ht="15" hidden="false" customHeight="false" outlineLevel="0" collapsed="false">
      <c r="A608" s="0" t="s">
        <v>642</v>
      </c>
      <c r="B608" s="0" t="s">
        <v>3013</v>
      </c>
      <c r="C608" s="0" t="n">
        <v>-39.6942016471255</v>
      </c>
      <c r="D608" s="0" t="n">
        <f aca="false">SUMPRODUCT(Risk_Inputs!B608:AJ608,Risk_Coefs!$B$2:$AJ$2)</f>
        <v>-0.43821886832373</v>
      </c>
      <c r="E608" s="0" t="n">
        <f aca="false">1/(1+EXP(-MAX(-25,MIN(25,D608))))</f>
        <v>0.392165459017131</v>
      </c>
      <c r="F608" s="0" t="n">
        <f aca="false">SUMPRODUCT(Risk_Inputs!B608:AJ608,Risk_Coefs!$B$3:$AJ$3)</f>
        <v>12.4302512793872</v>
      </c>
      <c r="G608" s="0" t="n">
        <f aca="false">MAX(0,F608)</f>
        <v>12.4302512793872</v>
      </c>
      <c r="H608" s="0" t="n">
        <f aca="false">(SUMPRODUCT(--ISNUMBER($E$2:$E$800),--($E$2:$E$800&lt;E608))+(SUMPRODUCT(--ISNUMBER($E$2:$E$800),--($E$2:$E$800=E608))+1)/2)/COUNT($E$2:$E$800)</f>
        <v>0.927409261576971</v>
      </c>
      <c r="I608" s="0" t="n">
        <f aca="false">(SUMPRODUCT(--ISNUMBER($G$2:$G$800),--($G$2:$G$800&lt;G608))+(SUMPRODUCT(--ISNUMBER($G$2:$G$800),--($G$2:$G$800=G608))+1)/2)/COUNT($G$2:$G$800)</f>
        <v>0.941176470588235</v>
      </c>
      <c r="J608" s="0" t="n">
        <v>15.3867850459827</v>
      </c>
      <c r="K608" s="0" t="n">
        <v>2.7753432661408</v>
      </c>
      <c r="L608" s="0" t="n">
        <v>0.160677768039726</v>
      </c>
      <c r="M608" s="0" t="n">
        <f aca="false">IF(OR(B608="NW",COUNT(Risk_Rank_Keys!B608)=0),0.5,(SUMPRODUCT(--ISNUMBER(Risk_Rank_Keys!$B$2:$B$800),--(Risk_Rank_Keys!$B$2:$B$800&lt;Risk_Rank_Keys!B608))+(SUMPRODUCT(--ISNUMBER(Risk_Rank_Keys!$B$2:$B$800),--(Risk_Rank_Keys!$B$2:$B$800=Risk_Rank_Keys!B608))+1)/2)/COUNT(Risk_Rank_Keys!$B$2:$B$800))</f>
        <v>0.714086471408647</v>
      </c>
      <c r="N608" s="0" t="n">
        <f aca="false">IF(OR(B608="NW",COUNT(Risk_Rank_Keys!C608)=0),0.5,(SUMPRODUCT(--ISNUMBER(Risk_Rank_Keys!$C$2:$C$800),--(Risk_Rank_Keys!$C$2:$C$800&lt;Risk_Rank_Keys!C608))+(SUMPRODUCT(--ISNUMBER(Risk_Rank_Keys!$C$2:$C$800),--(Risk_Rank_Keys!$C$2:$C$800=Risk_Rank_Keys!C608))+1)/2)/COUNT(Risk_Rank_Keys!$C$2:$C$800))</f>
        <v>0.442119944211994</v>
      </c>
      <c r="O608" s="0" t="n">
        <f aca="false">IF(OR(B608="NW",COUNT(Risk_Rank_Keys!D608)=0),0.5,(SUMPRODUCT(--ISNUMBER(Risk_Rank_Keys!$D$2:$D$800),--(Risk_Rank_Keys!$D$2:$D$800&lt;Risk_Rank_Keys!D608))+(SUMPRODUCT(--ISNUMBER(Risk_Rank_Keys!$D$2:$D$800),--(Risk_Rank_Keys!$D$2:$D$800=Risk_Rank_Keys!D608))+1)/2)/COUNT(Risk_Rank_Keys!$D$2:$D$800))</f>
        <v>0.139470013947001</v>
      </c>
      <c r="P608" s="0" t="n">
        <f aca="false">AVERAGE(M608:O608)</f>
        <v>0.431892143189214</v>
      </c>
      <c r="Q608" s="0" t="n">
        <f aca="false">0.4*H608+0.4*I608+0.2*P608</f>
        <v>0.833812721503926</v>
      </c>
      <c r="R608" s="0" t="n">
        <f aca="false">PERCENTILE($Q$2:$Q$800,0.75)</f>
        <v>0.667715717403612</v>
      </c>
      <c r="S608" s="1" t="b">
        <f aca="false">OR(Q608&gt;=R608,AND(B608="CW",COUNT(J608:L608)&lt;3))</f>
        <v>1</v>
      </c>
      <c r="T608" s="0" t="n">
        <v>0.392165459017131</v>
      </c>
      <c r="U608" s="0" t="n">
        <v>12.4302512793872</v>
      </c>
      <c r="V608" s="0" t="n">
        <v>0.833812721503926</v>
      </c>
      <c r="W608" s="0" t="n">
        <f aca="false">Q608-V608</f>
        <v>0</v>
      </c>
    </row>
    <row r="609" customFormat="false" ht="15" hidden="false" customHeight="false" outlineLevel="0" collapsed="false">
      <c r="A609" s="0" t="s">
        <v>643</v>
      </c>
      <c r="B609" s="0" t="s">
        <v>33</v>
      </c>
      <c r="C609" s="0" t="n">
        <v>-3.96471697100582</v>
      </c>
      <c r="D609" s="0" t="n">
        <f aca="false">SUMPRODUCT(Risk_Inputs!B609:AJ609,Risk_Coefs!$B$2:$AJ$2)</f>
        <v>-0.646676085400825</v>
      </c>
      <c r="E609" s="0" t="n">
        <f aca="false">1/(1+EXP(-MAX(-25,MIN(25,D609))))</f>
        <v>0.343738964312967</v>
      </c>
      <c r="F609" s="0" t="n">
        <f aca="false">SUMPRODUCT(Risk_Inputs!B609:AJ609,Risk_Coefs!$B$3:$AJ$3)</f>
        <v>10.0656096874313</v>
      </c>
      <c r="G609" s="0" t="n">
        <f aca="false">MAX(0,F609)</f>
        <v>10.0656096874313</v>
      </c>
      <c r="H609" s="0" t="n">
        <f aca="false">(SUMPRODUCT(--ISNUMBER($E$2:$E$800),--($E$2:$E$800&lt;E609))+(SUMPRODUCT(--ISNUMBER($E$2:$E$800),--($E$2:$E$800=E609))+1)/2)/COUNT($E$2:$E$800)</f>
        <v>0.797246558197747</v>
      </c>
      <c r="I609" s="0" t="n">
        <f aca="false">(SUMPRODUCT(--ISNUMBER($G$2:$G$800),--($G$2:$G$800&lt;G609))+(SUMPRODUCT(--ISNUMBER($G$2:$G$800),--($G$2:$G$800=G609))+1)/2)/COUNT($G$2:$G$800)</f>
        <v>0.797246558197747</v>
      </c>
      <c r="M609" s="0" t="n">
        <f aca="false">IF(OR(B609="NW",COUNT(Risk_Rank_Keys!B609)=0),0.5,(SUMPRODUCT(--ISNUMBER(Risk_Rank_Keys!$B$2:$B$800),--(Risk_Rank_Keys!$B$2:$B$800&lt;Risk_Rank_Keys!B609))+(SUMPRODUCT(--ISNUMBER(Risk_Rank_Keys!$B$2:$B$800),--(Risk_Rank_Keys!$B$2:$B$800=Risk_Rank_Keys!B609))+1)/2)/COUNT(Risk_Rank_Keys!$B$2:$B$800))</f>
        <v>0.5</v>
      </c>
      <c r="N609" s="0" t="n">
        <f aca="false">IF(OR(B609="NW",COUNT(Risk_Rank_Keys!C609)=0),0.5,(SUMPRODUCT(--ISNUMBER(Risk_Rank_Keys!$C$2:$C$800),--(Risk_Rank_Keys!$C$2:$C$800&lt;Risk_Rank_Keys!C609))+(SUMPRODUCT(--ISNUMBER(Risk_Rank_Keys!$C$2:$C$800),--(Risk_Rank_Keys!$C$2:$C$800=Risk_Rank_Keys!C609))+1)/2)/COUNT(Risk_Rank_Keys!$C$2:$C$800))</f>
        <v>0.5</v>
      </c>
      <c r="O609" s="0" t="n">
        <f aca="false">IF(OR(B609="NW",COUNT(Risk_Rank_Keys!D609)=0),0.5,(SUMPRODUCT(--ISNUMBER(Risk_Rank_Keys!$D$2:$D$800),--(Risk_Rank_Keys!$D$2:$D$800&lt;Risk_Rank_Keys!D609))+(SUMPRODUCT(--ISNUMBER(Risk_Rank_Keys!$D$2:$D$800),--(Risk_Rank_Keys!$D$2:$D$800=Risk_Rank_Keys!D609))+1)/2)/COUNT(Risk_Rank_Keys!$D$2:$D$800))</f>
        <v>0.5</v>
      </c>
      <c r="P609" s="0" t="n">
        <f aca="false">AVERAGE(M609:O609)</f>
        <v>0.5</v>
      </c>
      <c r="Q609" s="0" t="n">
        <f aca="false">0.4*H609+0.4*I609+0.2*P609</f>
        <v>0.737797246558198</v>
      </c>
      <c r="R609" s="0" t="n">
        <f aca="false">PERCENTILE($Q$2:$Q$800,0.75)</f>
        <v>0.667715717403612</v>
      </c>
      <c r="S609" s="1" t="b">
        <f aca="false">OR(Q609&gt;=R609,AND(B609="CW",COUNT(J609:L609)&lt;3))</f>
        <v>1</v>
      </c>
      <c r="T609" s="0" t="n">
        <v>0.343738964312967</v>
      </c>
      <c r="U609" s="0" t="n">
        <v>10.0656096874313</v>
      </c>
      <c r="V609" s="0" t="n">
        <v>0.737797246558198</v>
      </c>
      <c r="W609" s="0" t="n">
        <f aca="false">Q609-V609</f>
        <v>0</v>
      </c>
    </row>
    <row r="610" customFormat="false" ht="15" hidden="false" customHeight="false" outlineLevel="0" collapsed="false">
      <c r="A610" s="0" t="s">
        <v>644</v>
      </c>
      <c r="B610" s="0" t="s">
        <v>3013</v>
      </c>
      <c r="C610" s="0" t="n">
        <v>-40.8738961983742</v>
      </c>
      <c r="D610" s="0" t="n">
        <f aca="false">SUMPRODUCT(Risk_Inputs!B610:AJ610,Risk_Coefs!$B$2:$AJ$2)</f>
        <v>-1.23463466446263</v>
      </c>
      <c r="E610" s="0" t="n">
        <f aca="false">1/(1+EXP(-MAX(-25,MIN(25,D610))))</f>
        <v>0.225371280622931</v>
      </c>
      <c r="F610" s="0" t="n">
        <f aca="false">SUMPRODUCT(Risk_Inputs!B610:AJ610,Risk_Coefs!$B$3:$AJ$3)</f>
        <v>6.79465563427668</v>
      </c>
      <c r="G610" s="0" t="n">
        <f aca="false">MAX(0,F610)</f>
        <v>6.79465563427668</v>
      </c>
      <c r="H610" s="0" t="n">
        <f aca="false">(SUMPRODUCT(--ISNUMBER($E$2:$E$800),--($E$2:$E$800&lt;E610))+(SUMPRODUCT(--ISNUMBER($E$2:$E$800),--($E$2:$E$800=E610))+1)/2)/COUNT($E$2:$E$800)</f>
        <v>0.157697121401752</v>
      </c>
      <c r="I610" s="0" t="n">
        <f aca="false">(SUMPRODUCT(--ISNUMBER($G$2:$G$800),--($G$2:$G$800&lt;G610))+(SUMPRODUCT(--ISNUMBER($G$2:$G$800),--($G$2:$G$800=G610))+1)/2)/COUNT($G$2:$G$800)</f>
        <v>0.39424280350438</v>
      </c>
      <c r="J610" s="0" t="n">
        <v>5.36427225059906</v>
      </c>
      <c r="K610" s="0" t="n">
        <v>1.89323843416371</v>
      </c>
      <c r="L610" s="0" t="n">
        <v>0.18505338078292</v>
      </c>
      <c r="M610" s="0" t="n">
        <f aca="false">IF(OR(B610="NW",COUNT(Risk_Rank_Keys!B610)=0),0.5,(SUMPRODUCT(--ISNUMBER(Risk_Rank_Keys!$B$2:$B$800),--(Risk_Rank_Keys!$B$2:$B$800&lt;Risk_Rank_Keys!B610))+(SUMPRODUCT(--ISNUMBER(Risk_Rank_Keys!$B$2:$B$800),--(Risk_Rank_Keys!$B$2:$B$800=Risk_Rank_Keys!B610))+1)/2)/COUNT(Risk_Rank_Keys!$B$2:$B$800))</f>
        <v>0.157601115760112</v>
      </c>
      <c r="N610" s="0" t="n">
        <f aca="false">IF(OR(B610="NW",COUNT(Risk_Rank_Keys!C610)=0),0.5,(SUMPRODUCT(--ISNUMBER(Risk_Rank_Keys!$C$2:$C$800),--(Risk_Rank_Keys!$C$2:$C$800&lt;Risk_Rank_Keys!C610))+(SUMPRODUCT(--ISNUMBER(Risk_Rank_Keys!$C$2:$C$800),--(Risk_Rank_Keys!$C$2:$C$800=Risk_Rank_Keys!C610))+1)/2)/COUNT(Risk_Rank_Keys!$C$2:$C$800))</f>
        <v>0.244072524407252</v>
      </c>
      <c r="O610" s="0" t="n">
        <f aca="false">IF(OR(B610="NW",COUNT(Risk_Rank_Keys!D610)=0),0.5,(SUMPRODUCT(--ISNUMBER(Risk_Rank_Keys!$D$2:$D$800),--(Risk_Rank_Keys!$D$2:$D$800&lt;Risk_Rank_Keys!D610))+(SUMPRODUCT(--ISNUMBER(Risk_Rank_Keys!$D$2:$D$800),--(Risk_Rank_Keys!$D$2:$D$800=Risk_Rank_Keys!D610))+1)/2)/COUNT(Risk_Rank_Keys!$D$2:$D$800))</f>
        <v>0.232914923291492</v>
      </c>
      <c r="P610" s="0" t="n">
        <f aca="false">AVERAGE(M610:O610)</f>
        <v>0.211529521152952</v>
      </c>
      <c r="Q610" s="0" t="n">
        <f aca="false">0.4*H610+0.4*I610+0.2*P610</f>
        <v>0.263081874193044</v>
      </c>
      <c r="R610" s="0" t="n">
        <f aca="false">PERCENTILE($Q$2:$Q$800,0.75)</f>
        <v>0.667715717403612</v>
      </c>
      <c r="S610" s="1" t="b">
        <f aca="false">OR(Q610&gt;=R610,AND(B610="CW",COUNT(J610:L610)&lt;3))</f>
        <v>0</v>
      </c>
      <c r="T610" s="0" t="n">
        <v>0.225371280622931</v>
      </c>
      <c r="U610" s="0" t="n">
        <v>6.79465563427668</v>
      </c>
      <c r="V610" s="0" t="n">
        <v>0.263081874193044</v>
      </c>
      <c r="W610" s="0" t="n">
        <f aca="false">Q610-V610</f>
        <v>0</v>
      </c>
    </row>
    <row r="611" customFormat="false" ht="15" hidden="false" customHeight="false" outlineLevel="0" collapsed="false">
      <c r="A611" s="0" t="s">
        <v>645</v>
      </c>
      <c r="B611" s="0" t="s">
        <v>3013</v>
      </c>
      <c r="C611" s="0" t="n">
        <v>45.2399940085744</v>
      </c>
      <c r="D611" s="0" t="n">
        <f aca="false">SUMPRODUCT(Risk_Inputs!B611:AJ611,Risk_Coefs!$B$2:$AJ$2)</f>
        <v>-1.27845410079834</v>
      </c>
      <c r="E611" s="0" t="n">
        <f aca="false">1/(1+EXP(-MAX(-25,MIN(25,D611))))</f>
        <v>0.217813484719795</v>
      </c>
      <c r="F611" s="0" t="n">
        <f aca="false">SUMPRODUCT(Risk_Inputs!B611:AJ611,Risk_Coefs!$B$3:$AJ$3)</f>
        <v>4.34700436418521</v>
      </c>
      <c r="G611" s="0" t="n">
        <f aca="false">MAX(0,F611)</f>
        <v>4.34700436418521</v>
      </c>
      <c r="H611" s="0" t="n">
        <f aca="false">(SUMPRODUCT(--ISNUMBER($E$2:$E$800),--($E$2:$E$800&lt;E611))+(SUMPRODUCT(--ISNUMBER($E$2:$E$800),--($E$2:$E$800=E611))+1)/2)/COUNT($E$2:$E$800)</f>
        <v>0.13892365456821</v>
      </c>
      <c r="I611" s="0" t="n">
        <f aca="false">(SUMPRODUCT(--ISNUMBER($G$2:$G$800),--($G$2:$G$800&lt;G611))+(SUMPRODUCT(--ISNUMBER($G$2:$G$800),--($G$2:$G$800=G611))+1)/2)/COUNT($G$2:$G$800)</f>
        <v>0.0763454317897372</v>
      </c>
      <c r="J611" s="0" t="n">
        <v>20.1173439936593</v>
      </c>
      <c r="K611" s="0" t="n">
        <v>7.46899661781284</v>
      </c>
      <c r="L611" s="0" t="n">
        <v>0.225479143179259</v>
      </c>
      <c r="M611" s="0" t="n">
        <f aca="false">IF(OR(B611="NW",COUNT(Risk_Rank_Keys!B611)=0),0.5,(SUMPRODUCT(--ISNUMBER(Risk_Rank_Keys!$B$2:$B$800),--(Risk_Rank_Keys!$B$2:$B$800&lt;Risk_Rank_Keys!B611))+(SUMPRODUCT(--ISNUMBER(Risk_Rank_Keys!$B$2:$B$800),--(Risk_Rank_Keys!$B$2:$B$800=Risk_Rank_Keys!B611))+1)/2)/COUNT(Risk_Rank_Keys!$B$2:$B$800))</f>
        <v>0.789400278940028</v>
      </c>
      <c r="N611" s="0" t="n">
        <f aca="false">IF(OR(B611="NW",COUNT(Risk_Rank_Keys!C611)=0),0.5,(SUMPRODUCT(--ISNUMBER(Risk_Rank_Keys!$C$2:$C$800),--(Risk_Rank_Keys!$C$2:$C$800&lt;Risk_Rank_Keys!C611))+(SUMPRODUCT(--ISNUMBER(Risk_Rank_Keys!$C$2:$C$800),--(Risk_Rank_Keys!$C$2:$C$800=Risk_Rank_Keys!C611))+1)/2)/COUNT(Risk_Rank_Keys!$C$2:$C$800))</f>
        <v>0.806136680613668</v>
      </c>
      <c r="O611" s="0" t="n">
        <f aca="false">IF(OR(B611="NW",COUNT(Risk_Rank_Keys!D611)=0),0.5,(SUMPRODUCT(--ISNUMBER(Risk_Rank_Keys!$D$2:$D$800),--(Risk_Rank_Keys!$D$2:$D$800&lt;Risk_Rank_Keys!D611))+(SUMPRODUCT(--ISNUMBER(Risk_Rank_Keys!$D$2:$D$800),--(Risk_Rank_Keys!$D$2:$D$800=Risk_Rank_Keys!D611))+1)/2)/COUNT(Risk_Rank_Keys!$D$2:$D$800))</f>
        <v>0.471408647140865</v>
      </c>
      <c r="P611" s="0" t="n">
        <f aca="false">AVERAGE(M611:O611)</f>
        <v>0.688981868898187</v>
      </c>
      <c r="Q611" s="0" t="n">
        <f aca="false">0.4*H611+0.4*I611+0.2*P611</f>
        <v>0.223904008322816</v>
      </c>
      <c r="R611" s="0" t="n">
        <f aca="false">PERCENTILE($Q$2:$Q$800,0.75)</f>
        <v>0.667715717403612</v>
      </c>
      <c r="S611" s="1" t="b">
        <f aca="false">OR(Q611&gt;=R611,AND(B611="CW",COUNT(J611:L611)&lt;3))</f>
        <v>0</v>
      </c>
      <c r="T611" s="0" t="n">
        <v>0.217813484719795</v>
      </c>
      <c r="U611" s="0" t="n">
        <v>4.34700436418521</v>
      </c>
      <c r="V611" s="0" t="n">
        <v>0.223904008322816</v>
      </c>
      <c r="W611" s="0" t="n">
        <f aca="false">Q611-V611</f>
        <v>0</v>
      </c>
    </row>
    <row r="612" customFormat="false" ht="15" hidden="false" customHeight="false" outlineLevel="0" collapsed="false">
      <c r="A612" s="0" t="s">
        <v>646</v>
      </c>
      <c r="B612" s="0" t="s">
        <v>3013</v>
      </c>
      <c r="C612" s="0" t="n">
        <v>45.0920195928209</v>
      </c>
      <c r="D612" s="0" t="n">
        <f aca="false">SUMPRODUCT(Risk_Inputs!B612:AJ612,Risk_Coefs!$B$2:$AJ$2)</f>
        <v>-0.966888030404966</v>
      </c>
      <c r="E612" s="0" t="n">
        <f aca="false">1/(1+EXP(-MAX(-25,MIN(25,D612))))</f>
        <v>0.275501218111599</v>
      </c>
      <c r="F612" s="0" t="n">
        <f aca="false">SUMPRODUCT(Risk_Inputs!B612:AJ612,Risk_Coefs!$B$3:$AJ$3)</f>
        <v>6.87339820156312</v>
      </c>
      <c r="G612" s="0" t="n">
        <f aca="false">MAX(0,F612)</f>
        <v>6.87339820156312</v>
      </c>
      <c r="H612" s="0" t="n">
        <f aca="false">(SUMPRODUCT(--ISNUMBER($E$2:$E$800),--($E$2:$E$800&lt;E612))+(SUMPRODUCT(--ISNUMBER($E$2:$E$800),--($E$2:$E$800=E612))+1)/2)/COUNT($E$2:$E$800)</f>
        <v>0.429286608260325</v>
      </c>
      <c r="I612" s="0" t="n">
        <f aca="false">(SUMPRODUCT(--ISNUMBER($G$2:$G$800),--($G$2:$G$800&lt;G612))+(SUMPRODUCT(--ISNUMBER($G$2:$G$800),--($G$2:$G$800=G612))+1)/2)/COUNT($G$2:$G$800)</f>
        <v>0.404255319148936</v>
      </c>
      <c r="J612" s="0" t="n">
        <v>7.05098487380556</v>
      </c>
      <c r="K612" s="0" t="n">
        <v>4.24100614214683</v>
      </c>
      <c r="L612" s="0" t="n">
        <v>0.263234863995314</v>
      </c>
      <c r="M612" s="0" t="n">
        <f aca="false">IF(OR(B612="NW",COUNT(Risk_Rank_Keys!B612)=0),0.5,(SUMPRODUCT(--ISNUMBER(Risk_Rank_Keys!$B$2:$B$800),--(Risk_Rank_Keys!$B$2:$B$800&lt;Risk_Rank_Keys!B612))+(SUMPRODUCT(--ISNUMBER(Risk_Rank_Keys!$B$2:$B$800),--(Risk_Rank_Keys!$B$2:$B$800=Risk_Rank_Keys!B612))+1)/2)/COUNT(Risk_Rank_Keys!$B$2:$B$800))</f>
        <v>0.319386331938633</v>
      </c>
      <c r="N612" s="0" t="n">
        <f aca="false">IF(OR(B612="NW",COUNT(Risk_Rank_Keys!C612)=0),0.5,(SUMPRODUCT(--ISNUMBER(Risk_Rank_Keys!$C$2:$C$800),--(Risk_Rank_Keys!$C$2:$C$800&lt;Risk_Rank_Keys!C612))+(SUMPRODUCT(--ISNUMBER(Risk_Rank_Keys!$C$2:$C$800),--(Risk_Rank_Keys!$C$2:$C$800=Risk_Rank_Keys!C612))+1)/2)/COUNT(Risk_Rank_Keys!$C$2:$C$800))</f>
        <v>0.616457461645746</v>
      </c>
      <c r="O612" s="0" t="n">
        <f aca="false">IF(OR(B612="NW",COUNT(Risk_Rank_Keys!D612)=0),0.5,(SUMPRODUCT(--ISNUMBER(Risk_Rank_Keys!$D$2:$D$800),--(Risk_Rank_Keys!$D$2:$D$800&lt;Risk_Rank_Keys!D612))+(SUMPRODUCT(--ISNUMBER(Risk_Rank_Keys!$D$2:$D$800),--(Risk_Rank_Keys!$D$2:$D$800=Risk_Rank_Keys!D612))+1)/2)/COUNT(Risk_Rank_Keys!$D$2:$D$800))</f>
        <v>0.647140864714087</v>
      </c>
      <c r="P612" s="0" t="n">
        <f aca="false">AVERAGE(M612:O612)</f>
        <v>0.527661552766155</v>
      </c>
      <c r="Q612" s="0" t="n">
        <f aca="false">0.4*H612+0.4*I612+0.2*P612</f>
        <v>0.438949081516936</v>
      </c>
      <c r="R612" s="0" t="n">
        <f aca="false">PERCENTILE($Q$2:$Q$800,0.75)</f>
        <v>0.667715717403612</v>
      </c>
      <c r="S612" s="1" t="b">
        <f aca="false">OR(Q612&gt;=R612,AND(B612="CW",COUNT(J612:L612)&lt;3))</f>
        <v>0</v>
      </c>
      <c r="T612" s="0" t="n">
        <v>0.275501218111599</v>
      </c>
      <c r="U612" s="0" t="n">
        <v>6.87339820156312</v>
      </c>
      <c r="V612" s="0" t="n">
        <v>0.438949081516936</v>
      </c>
      <c r="W612" s="0" t="n">
        <f aca="false">Q612-V612</f>
        <v>0</v>
      </c>
    </row>
    <row r="613" customFormat="false" ht="15" hidden="false" customHeight="false" outlineLevel="0" collapsed="false">
      <c r="A613" s="0" t="s">
        <v>647</v>
      </c>
      <c r="B613" s="0" t="s">
        <v>33</v>
      </c>
      <c r="C613" s="0" t="n">
        <v>-37.8160769371905</v>
      </c>
      <c r="D613" s="0" t="n">
        <f aca="false">SUMPRODUCT(Risk_Inputs!B613:AJ613,Risk_Coefs!$B$2:$AJ$2)</f>
        <v>-0.756803682250474</v>
      </c>
      <c r="E613" s="0" t="n">
        <f aca="false">1/(1+EXP(-MAX(-25,MIN(25,D613))))</f>
        <v>0.319340623291671</v>
      </c>
      <c r="F613" s="0" t="n">
        <f aca="false">SUMPRODUCT(Risk_Inputs!B613:AJ613,Risk_Coefs!$B$3:$AJ$3)</f>
        <v>8.83207872854841</v>
      </c>
      <c r="G613" s="0" t="n">
        <f aca="false">MAX(0,F613)</f>
        <v>8.83207872854841</v>
      </c>
      <c r="H613" s="0" t="n">
        <f aca="false">(SUMPRODUCT(--ISNUMBER($E$2:$E$800),--($E$2:$E$800&lt;E613))+(SUMPRODUCT(--ISNUMBER($E$2:$E$800),--($E$2:$E$800=E613))+1)/2)/COUNT($E$2:$E$800)</f>
        <v>0.664580725907384</v>
      </c>
      <c r="I613" s="0" t="n">
        <f aca="false">(SUMPRODUCT(--ISNUMBER($G$2:$G$800),--($G$2:$G$800&lt;G613))+(SUMPRODUCT(--ISNUMBER($G$2:$G$800),--($G$2:$G$800=G613))+1)/2)/COUNT($G$2:$G$800)</f>
        <v>0.657071339173967</v>
      </c>
      <c r="M613" s="0" t="n">
        <f aca="false">IF(OR(B613="NW",COUNT(Risk_Rank_Keys!B613)=0),0.5,(SUMPRODUCT(--ISNUMBER(Risk_Rank_Keys!$B$2:$B$800),--(Risk_Rank_Keys!$B$2:$B$800&lt;Risk_Rank_Keys!B613))+(SUMPRODUCT(--ISNUMBER(Risk_Rank_Keys!$B$2:$B$800),--(Risk_Rank_Keys!$B$2:$B$800=Risk_Rank_Keys!B613))+1)/2)/COUNT(Risk_Rank_Keys!$B$2:$B$800))</f>
        <v>0.5</v>
      </c>
      <c r="N613" s="0" t="n">
        <f aca="false">IF(OR(B613="NW",COUNT(Risk_Rank_Keys!C613)=0),0.5,(SUMPRODUCT(--ISNUMBER(Risk_Rank_Keys!$C$2:$C$800),--(Risk_Rank_Keys!$C$2:$C$800&lt;Risk_Rank_Keys!C613))+(SUMPRODUCT(--ISNUMBER(Risk_Rank_Keys!$C$2:$C$800),--(Risk_Rank_Keys!$C$2:$C$800=Risk_Rank_Keys!C613))+1)/2)/COUNT(Risk_Rank_Keys!$C$2:$C$800))</f>
        <v>0.5</v>
      </c>
      <c r="O613" s="0" t="n">
        <f aca="false">IF(OR(B613="NW",COUNT(Risk_Rank_Keys!D613)=0),0.5,(SUMPRODUCT(--ISNUMBER(Risk_Rank_Keys!$D$2:$D$800),--(Risk_Rank_Keys!$D$2:$D$800&lt;Risk_Rank_Keys!D613))+(SUMPRODUCT(--ISNUMBER(Risk_Rank_Keys!$D$2:$D$800),--(Risk_Rank_Keys!$D$2:$D$800=Risk_Rank_Keys!D613))+1)/2)/COUNT(Risk_Rank_Keys!$D$2:$D$800))</f>
        <v>0.5</v>
      </c>
      <c r="P613" s="0" t="n">
        <f aca="false">AVERAGE(M613:O613)</f>
        <v>0.5</v>
      </c>
      <c r="Q613" s="0" t="n">
        <f aca="false">0.4*H613+0.4*I613+0.2*P613</f>
        <v>0.628660826032541</v>
      </c>
      <c r="R613" s="0" t="n">
        <f aca="false">PERCENTILE($Q$2:$Q$800,0.75)</f>
        <v>0.667715717403612</v>
      </c>
      <c r="S613" s="1" t="b">
        <f aca="false">OR(Q613&gt;=R613,AND(B613="CW",COUNT(J613:L613)&lt;3))</f>
        <v>0</v>
      </c>
      <c r="T613" s="0" t="n">
        <v>0.319340623291671</v>
      </c>
      <c r="U613" s="0" t="n">
        <v>8.83207872854841</v>
      </c>
      <c r="V613" s="0" t="n">
        <v>0.628660826032541</v>
      </c>
      <c r="W613" s="0" t="n">
        <f aca="false">Q613-V613</f>
        <v>0</v>
      </c>
    </row>
    <row r="614" customFormat="false" ht="15" hidden="false" customHeight="false" outlineLevel="0" collapsed="false">
      <c r="A614" s="0" t="s">
        <v>648</v>
      </c>
      <c r="B614" s="0" t="s">
        <v>3013</v>
      </c>
      <c r="C614" s="0" t="n">
        <v>34.0918667991836</v>
      </c>
      <c r="D614" s="0" t="n">
        <f aca="false">SUMPRODUCT(Risk_Inputs!B614:AJ614,Risk_Coefs!$B$2:$AJ$2)</f>
        <v>-1.06429522473932</v>
      </c>
      <c r="E614" s="0" t="n">
        <f aca="false">1/(1+EXP(-MAX(-25,MIN(25,D614))))</f>
        <v>0.256489487671996</v>
      </c>
      <c r="F614" s="0" t="n">
        <f aca="false">SUMPRODUCT(Risk_Inputs!B614:AJ614,Risk_Coefs!$B$3:$AJ$3)</f>
        <v>5.314660899162</v>
      </c>
      <c r="G614" s="0" t="n">
        <f aca="false">MAX(0,F614)</f>
        <v>5.314660899162</v>
      </c>
      <c r="H614" s="0" t="n">
        <f aca="false">(SUMPRODUCT(--ISNUMBER($E$2:$E$800),--($E$2:$E$800&lt;E614))+(SUMPRODUCT(--ISNUMBER($E$2:$E$800),--($E$2:$E$800=E614))+1)/2)/COUNT($E$2:$E$800)</f>
        <v>0.304130162703379</v>
      </c>
      <c r="I614" s="0" t="n">
        <f aca="false">(SUMPRODUCT(--ISNUMBER($G$2:$G$800),--($G$2:$G$800&lt;G614))+(SUMPRODUCT(--ISNUMBER($G$2:$G$800),--($G$2:$G$800=G614))+1)/2)/COUNT($G$2:$G$800)</f>
        <v>0.176470588235294</v>
      </c>
      <c r="J614" s="0" t="n">
        <v>4.26486077814386</v>
      </c>
      <c r="K614" s="0" t="n">
        <v>2.16689098250337</v>
      </c>
      <c r="L614" s="0" t="n">
        <v>0.255720053835798</v>
      </c>
      <c r="M614" s="0" t="n">
        <f aca="false">IF(OR(B614="NW",COUNT(Risk_Rank_Keys!B614)=0),0.5,(SUMPRODUCT(--ISNUMBER(Risk_Rank_Keys!$B$2:$B$800),--(Risk_Rank_Keys!$B$2:$B$800&lt;Risk_Rank_Keys!B614))+(SUMPRODUCT(--ISNUMBER(Risk_Rank_Keys!$B$2:$B$800),--(Risk_Rank_Keys!$B$2:$B$800=Risk_Rank_Keys!B614))+1)/2)/COUNT(Risk_Rank_Keys!$B$2:$B$800))</f>
        <v>0.0864714086471409</v>
      </c>
      <c r="N614" s="0" t="n">
        <f aca="false">IF(OR(B614="NW",COUNT(Risk_Rank_Keys!C614)=0),0.5,(SUMPRODUCT(--ISNUMBER(Risk_Rank_Keys!$C$2:$C$800),--(Risk_Rank_Keys!$C$2:$C$800&lt;Risk_Rank_Keys!C614))+(SUMPRODUCT(--ISNUMBER(Risk_Rank_Keys!$C$2:$C$800),--(Risk_Rank_Keys!$C$2:$C$800=Risk_Rank_Keys!C614))+1)/2)/COUNT(Risk_Rank_Keys!$C$2:$C$800))</f>
        <v>0.306834030683403</v>
      </c>
      <c r="O614" s="0" t="n">
        <f aca="false">IF(OR(B614="NW",COUNT(Risk_Rank_Keys!D614)=0),0.5,(SUMPRODUCT(--ISNUMBER(Risk_Rank_Keys!$D$2:$D$800),--(Risk_Rank_Keys!$D$2:$D$800&lt;Risk_Rank_Keys!D614))+(SUMPRODUCT(--ISNUMBER(Risk_Rank_Keys!$D$2:$D$800),--(Risk_Rank_Keys!$D$2:$D$800=Risk_Rank_Keys!D614))+1)/2)/COUNT(Risk_Rank_Keys!$D$2:$D$800))</f>
        <v>0.609483960948396</v>
      </c>
      <c r="P614" s="0" t="n">
        <f aca="false">AVERAGE(M614:O614)</f>
        <v>0.334263133426313</v>
      </c>
      <c r="Q614" s="0" t="n">
        <f aca="false">0.4*H614+0.4*I614+0.2*P614</f>
        <v>0.259092927060732</v>
      </c>
      <c r="R614" s="0" t="n">
        <f aca="false">PERCENTILE($Q$2:$Q$800,0.75)</f>
        <v>0.667715717403612</v>
      </c>
      <c r="S614" s="1" t="b">
        <f aca="false">OR(Q614&gt;=R614,AND(B614="CW",COUNT(J614:L614)&lt;3))</f>
        <v>0</v>
      </c>
      <c r="T614" s="0" t="n">
        <v>0.256489487671996</v>
      </c>
      <c r="U614" s="0" t="n">
        <v>5.314660899162</v>
      </c>
      <c r="V614" s="0" t="n">
        <v>0.259092927060732</v>
      </c>
      <c r="W614" s="0" t="n">
        <f aca="false">Q614-V614</f>
        <v>0</v>
      </c>
    </row>
    <row r="615" customFormat="false" ht="15" hidden="false" customHeight="false" outlineLevel="0" collapsed="false">
      <c r="A615" s="0" t="s">
        <v>649</v>
      </c>
      <c r="B615" s="0" t="s">
        <v>3013</v>
      </c>
      <c r="C615" s="0" t="n">
        <v>-42.9371134986594</v>
      </c>
      <c r="D615" s="0" t="n">
        <f aca="false">SUMPRODUCT(Risk_Inputs!B615:AJ615,Risk_Coefs!$B$2:$AJ$2)</f>
        <v>-0.801782592667701</v>
      </c>
      <c r="E615" s="0" t="n">
        <f aca="false">1/(1+EXP(-MAX(-25,MIN(25,D615))))</f>
        <v>0.309644334203848</v>
      </c>
      <c r="F615" s="0" t="n">
        <f aca="false">SUMPRODUCT(Risk_Inputs!B615:AJ615,Risk_Coefs!$B$3:$AJ$3)</f>
        <v>7.87055180909218</v>
      </c>
      <c r="G615" s="0" t="n">
        <f aca="false">MAX(0,F615)</f>
        <v>7.87055180909218</v>
      </c>
      <c r="H615" s="0" t="n">
        <f aca="false">(SUMPRODUCT(--ISNUMBER($E$2:$E$800),--($E$2:$E$800&lt;E615))+(SUMPRODUCT(--ISNUMBER($E$2:$E$800),--($E$2:$E$800=E615))+1)/2)/COUNT($E$2:$E$800)</f>
        <v>0.615769712140175</v>
      </c>
      <c r="I615" s="0" t="n">
        <f aca="false">(SUMPRODUCT(--ISNUMBER($G$2:$G$800),--($G$2:$G$800&lt;G615))+(SUMPRODUCT(--ISNUMBER($G$2:$G$800),--($G$2:$G$800=G615))+1)/2)/COUNT($G$2:$G$800)</f>
        <v>0.524405506883605</v>
      </c>
      <c r="J615" s="0" t="n">
        <v>5.75819038124439</v>
      </c>
      <c r="K615" s="0" t="n">
        <v>1.59083678014636</v>
      </c>
      <c r="L615" s="0" t="n">
        <v>0.206808781419028</v>
      </c>
      <c r="M615" s="0" t="n">
        <f aca="false">IF(OR(B615="NW",COUNT(Risk_Rank_Keys!B615)=0),0.5,(SUMPRODUCT(--ISNUMBER(Risk_Rank_Keys!$B$2:$B$800),--(Risk_Rank_Keys!$B$2:$B$800&lt;Risk_Rank_Keys!B615))+(SUMPRODUCT(--ISNUMBER(Risk_Rank_Keys!$B$2:$B$800),--(Risk_Rank_Keys!$B$2:$B$800=Risk_Rank_Keys!B615))+1)/2)/COUNT(Risk_Rank_Keys!$B$2:$B$800))</f>
        <v>0.200836820083682</v>
      </c>
      <c r="N615" s="0" t="n">
        <f aca="false">IF(OR(B615="NW",COUNT(Risk_Rank_Keys!C615)=0),0.5,(SUMPRODUCT(--ISNUMBER(Risk_Rank_Keys!$C$2:$C$800),--(Risk_Rank_Keys!$C$2:$C$800&lt;Risk_Rank_Keys!C615))+(SUMPRODUCT(--ISNUMBER(Risk_Rank_Keys!$C$2:$C$800),--(Risk_Rank_Keys!$C$2:$C$800=Risk_Rank_Keys!C615))+1)/2)/COUNT(Risk_Rank_Keys!$C$2:$C$800))</f>
        <v>0.154811715481172</v>
      </c>
      <c r="O615" s="0" t="n">
        <f aca="false">IF(OR(B615="NW",COUNT(Risk_Rank_Keys!D615)=0),0.5,(SUMPRODUCT(--ISNUMBER(Risk_Rank_Keys!$D$2:$D$800),--(Risk_Rank_Keys!$D$2:$D$800&lt;Risk_Rank_Keys!D615))+(SUMPRODUCT(--ISNUMBER(Risk_Rank_Keys!$D$2:$D$800),--(Risk_Rank_Keys!$D$2:$D$800=Risk_Rank_Keys!D615))+1)/2)/COUNT(Risk_Rank_Keys!$D$2:$D$800))</f>
        <v>0.355648535564854</v>
      </c>
      <c r="P615" s="0" t="n">
        <f aca="false">AVERAGE(M615:O615)</f>
        <v>0.237099023709902</v>
      </c>
      <c r="Q615" s="0" t="n">
        <f aca="false">0.4*H615+0.4*I615+0.2*P615</f>
        <v>0.503489892351492</v>
      </c>
      <c r="R615" s="0" t="n">
        <f aca="false">PERCENTILE($Q$2:$Q$800,0.75)</f>
        <v>0.667715717403612</v>
      </c>
      <c r="S615" s="1" t="b">
        <f aca="false">OR(Q615&gt;=R615,AND(B615="CW",COUNT(J615:L615)&lt;3))</f>
        <v>0</v>
      </c>
      <c r="T615" s="0" t="n">
        <v>0.309644334203848</v>
      </c>
      <c r="U615" s="0" t="n">
        <v>7.87055180909218</v>
      </c>
      <c r="V615" s="0" t="n">
        <v>0.503489892351492</v>
      </c>
      <c r="W615" s="0" t="n">
        <f aca="false">Q615-V615</f>
        <v>0</v>
      </c>
    </row>
    <row r="616" customFormat="false" ht="15" hidden="false" customHeight="false" outlineLevel="0" collapsed="false">
      <c r="A616" s="0" t="s">
        <v>650</v>
      </c>
      <c r="B616" s="0" t="s">
        <v>3013</v>
      </c>
      <c r="C616" s="0" t="n">
        <v>-34.8445183979509</v>
      </c>
      <c r="D616" s="0" t="n">
        <f aca="false">SUMPRODUCT(Risk_Inputs!B616:AJ616,Risk_Coefs!$B$2:$AJ$2)</f>
        <v>-1.17421784183337</v>
      </c>
      <c r="E616" s="0" t="n">
        <f aca="false">1/(1+EXP(-MAX(-25,MIN(25,D616))))</f>
        <v>0.236093435909586</v>
      </c>
      <c r="F616" s="0" t="n">
        <f aca="false">SUMPRODUCT(Risk_Inputs!B616:AJ616,Risk_Coefs!$B$3:$AJ$3)</f>
        <v>5.09086993187387</v>
      </c>
      <c r="G616" s="0" t="n">
        <f aca="false">MAX(0,F616)</f>
        <v>5.09086993187387</v>
      </c>
      <c r="H616" s="0" t="n">
        <f aca="false">(SUMPRODUCT(--ISNUMBER($E$2:$E$800),--($E$2:$E$800&lt;E616))+(SUMPRODUCT(--ISNUMBER($E$2:$E$800),--($E$2:$E$800=E616))+1)/2)/COUNT($E$2:$E$800)</f>
        <v>0.205256570713392</v>
      </c>
      <c r="I616" s="0" t="n">
        <f aca="false">(SUMPRODUCT(--ISNUMBER($G$2:$G$800),--($G$2:$G$800&lt;G616))+(SUMPRODUCT(--ISNUMBER($G$2:$G$800),--($G$2:$G$800=G616))+1)/2)/COUNT($G$2:$G$800)</f>
        <v>0.146433041301627</v>
      </c>
      <c r="J616" s="0" t="n">
        <v>4.78759329394844</v>
      </c>
      <c r="K616" s="0" t="n">
        <v>2.00115451221861</v>
      </c>
      <c r="L616" s="0" t="n">
        <v>0.269386184337113</v>
      </c>
      <c r="M616" s="0" t="n">
        <f aca="false">IF(OR(B616="NW",COUNT(Risk_Rank_Keys!B616)=0),0.5,(SUMPRODUCT(--ISNUMBER(Risk_Rank_Keys!$B$2:$B$800),--(Risk_Rank_Keys!$B$2:$B$800&lt;Risk_Rank_Keys!B616))+(SUMPRODUCT(--ISNUMBER(Risk_Rank_Keys!$B$2:$B$800),--(Risk_Rank_Keys!$B$2:$B$800=Risk_Rank_Keys!B616))+1)/2)/COUNT(Risk_Rank_Keys!$B$2:$B$800))</f>
        <v>0.117154811715481</v>
      </c>
      <c r="N616" s="0" t="n">
        <f aca="false">IF(OR(B616="NW",COUNT(Risk_Rank_Keys!C616)=0),0.5,(SUMPRODUCT(--ISNUMBER(Risk_Rank_Keys!$C$2:$C$800),--(Risk_Rank_Keys!$C$2:$C$800&lt;Risk_Rank_Keys!C616))+(SUMPRODUCT(--ISNUMBER(Risk_Rank_Keys!$C$2:$C$800),--(Risk_Rank_Keys!$C$2:$C$800=Risk_Rank_Keys!C616))+1)/2)/COUNT(Risk_Rank_Keys!$C$2:$C$800))</f>
        <v>0.270571827057183</v>
      </c>
      <c r="O616" s="0" t="n">
        <f aca="false">IF(OR(B616="NW",COUNT(Risk_Rank_Keys!D616)=0),0.5,(SUMPRODUCT(--ISNUMBER(Risk_Rank_Keys!$D$2:$D$800),--(Risk_Rank_Keys!$D$2:$D$800&lt;Risk_Rank_Keys!D616))+(SUMPRODUCT(--ISNUMBER(Risk_Rank_Keys!$D$2:$D$800),--(Risk_Rank_Keys!$D$2:$D$800=Risk_Rank_Keys!D616))+1)/2)/COUNT(Risk_Rank_Keys!$D$2:$D$800))</f>
        <v>0.666666666666667</v>
      </c>
      <c r="P616" s="0" t="n">
        <f aca="false">AVERAGE(M616:O616)</f>
        <v>0.351464435146444</v>
      </c>
      <c r="Q616" s="0" t="n">
        <f aca="false">0.4*H616+0.4*I616+0.2*P616</f>
        <v>0.210968731835296</v>
      </c>
      <c r="R616" s="0" t="n">
        <f aca="false">PERCENTILE($Q$2:$Q$800,0.75)</f>
        <v>0.667715717403612</v>
      </c>
      <c r="S616" s="1" t="b">
        <f aca="false">OR(Q616&gt;=R616,AND(B616="CW",COUNT(J616:L616)&lt;3))</f>
        <v>0</v>
      </c>
      <c r="T616" s="0" t="n">
        <v>0.236093435909586</v>
      </c>
      <c r="U616" s="0" t="n">
        <v>5.09086993187387</v>
      </c>
      <c r="V616" s="0" t="n">
        <v>0.210968731835296</v>
      </c>
      <c r="W616" s="0" t="n">
        <f aca="false">Q616-V616</f>
        <v>0</v>
      </c>
    </row>
    <row r="617" customFormat="false" ht="15" hidden="false" customHeight="false" outlineLevel="0" collapsed="false">
      <c r="A617" s="0" t="s">
        <v>651</v>
      </c>
      <c r="B617" s="0" t="s">
        <v>33</v>
      </c>
      <c r="C617" s="0" t="n">
        <v>65.5283909291259</v>
      </c>
      <c r="D617" s="0" t="n">
        <f aca="false">SUMPRODUCT(Risk_Inputs!B617:AJ617,Risk_Coefs!$B$2:$AJ$2)</f>
        <v>-0.669309075262836</v>
      </c>
      <c r="E617" s="0" t="n">
        <f aca="false">1/(1+EXP(-MAX(-25,MIN(25,D617))))</f>
        <v>0.338651567663849</v>
      </c>
      <c r="F617" s="0" t="n">
        <f aca="false">SUMPRODUCT(Risk_Inputs!B617:AJ617,Risk_Coefs!$B$3:$AJ$3)</f>
        <v>10.2143076882047</v>
      </c>
      <c r="G617" s="0" t="n">
        <f aca="false">MAX(0,F617)</f>
        <v>10.2143076882047</v>
      </c>
      <c r="H617" s="0" t="n">
        <f aca="false">(SUMPRODUCT(--ISNUMBER($E$2:$E$800),--($E$2:$E$800&lt;E617))+(SUMPRODUCT(--ISNUMBER($E$2:$E$800),--($E$2:$E$800=E617))+1)/2)/COUNT($E$2:$E$800)</f>
        <v>0.780976220275344</v>
      </c>
      <c r="I617" s="0" t="n">
        <f aca="false">(SUMPRODUCT(--ISNUMBER($G$2:$G$800),--($G$2:$G$800&lt;G617))+(SUMPRODUCT(--ISNUMBER($G$2:$G$800),--($G$2:$G$800=G617))+1)/2)/COUNT($G$2:$G$800)</f>
        <v>0.812265331664581</v>
      </c>
      <c r="M617" s="0" t="n">
        <f aca="false">IF(OR(B617="NW",COUNT(Risk_Rank_Keys!B617)=0),0.5,(SUMPRODUCT(--ISNUMBER(Risk_Rank_Keys!$B$2:$B$800),--(Risk_Rank_Keys!$B$2:$B$800&lt;Risk_Rank_Keys!B617))+(SUMPRODUCT(--ISNUMBER(Risk_Rank_Keys!$B$2:$B$800),--(Risk_Rank_Keys!$B$2:$B$800=Risk_Rank_Keys!B617))+1)/2)/COUNT(Risk_Rank_Keys!$B$2:$B$800))</f>
        <v>0.5</v>
      </c>
      <c r="N617" s="0" t="n">
        <f aca="false">IF(OR(B617="NW",COUNT(Risk_Rank_Keys!C617)=0),0.5,(SUMPRODUCT(--ISNUMBER(Risk_Rank_Keys!$C$2:$C$800),--(Risk_Rank_Keys!$C$2:$C$800&lt;Risk_Rank_Keys!C617))+(SUMPRODUCT(--ISNUMBER(Risk_Rank_Keys!$C$2:$C$800),--(Risk_Rank_Keys!$C$2:$C$800=Risk_Rank_Keys!C617))+1)/2)/COUNT(Risk_Rank_Keys!$C$2:$C$800))</f>
        <v>0.5</v>
      </c>
      <c r="O617" s="0" t="n">
        <f aca="false">IF(OR(B617="NW",COUNT(Risk_Rank_Keys!D617)=0),0.5,(SUMPRODUCT(--ISNUMBER(Risk_Rank_Keys!$D$2:$D$800),--(Risk_Rank_Keys!$D$2:$D$800&lt;Risk_Rank_Keys!D617))+(SUMPRODUCT(--ISNUMBER(Risk_Rank_Keys!$D$2:$D$800),--(Risk_Rank_Keys!$D$2:$D$800=Risk_Rank_Keys!D617))+1)/2)/COUNT(Risk_Rank_Keys!$D$2:$D$800))</f>
        <v>0.5</v>
      </c>
      <c r="P617" s="0" t="n">
        <f aca="false">AVERAGE(M617:O617)</f>
        <v>0.5</v>
      </c>
      <c r="Q617" s="0" t="n">
        <f aca="false">0.4*H617+0.4*I617+0.2*P617</f>
        <v>0.73729662077597</v>
      </c>
      <c r="R617" s="0" t="n">
        <f aca="false">PERCENTILE($Q$2:$Q$800,0.75)</f>
        <v>0.667715717403612</v>
      </c>
      <c r="S617" s="1" t="b">
        <f aca="false">OR(Q617&gt;=R617,AND(B617="CW",COUNT(J617:L617)&lt;3))</f>
        <v>1</v>
      </c>
      <c r="T617" s="0" t="n">
        <v>0.338651567663849</v>
      </c>
      <c r="U617" s="0" t="n">
        <v>10.2143076882047</v>
      </c>
      <c r="V617" s="0" t="n">
        <v>0.73729662077597</v>
      </c>
      <c r="W617" s="0" t="n">
        <f aca="false">Q617-V617</f>
        <v>0</v>
      </c>
    </row>
    <row r="618" customFormat="false" ht="15" hidden="false" customHeight="false" outlineLevel="0" collapsed="false">
      <c r="A618" s="0" t="s">
        <v>652</v>
      </c>
      <c r="B618" s="0" t="s">
        <v>33</v>
      </c>
      <c r="C618" s="0" t="n">
        <v>-8.89215396862985</v>
      </c>
      <c r="D618" s="0" t="n">
        <f aca="false">SUMPRODUCT(Risk_Inputs!B618:AJ618,Risk_Coefs!$B$2:$AJ$2)</f>
        <v>-0.639819252238015</v>
      </c>
      <c r="E618" s="0" t="n">
        <f aca="false">1/(1+EXP(-MAX(-25,MIN(25,D618))))</f>
        <v>0.345287398815038</v>
      </c>
      <c r="F618" s="0" t="n">
        <f aca="false">SUMPRODUCT(Risk_Inputs!B618:AJ618,Risk_Coefs!$B$3:$AJ$3)</f>
        <v>9.8483134582146</v>
      </c>
      <c r="G618" s="0" t="n">
        <f aca="false">MAX(0,F618)</f>
        <v>9.8483134582146</v>
      </c>
      <c r="H618" s="0" t="n">
        <f aca="false">(SUMPRODUCT(--ISNUMBER($E$2:$E$800),--($E$2:$E$800&lt;E618))+(SUMPRODUCT(--ISNUMBER($E$2:$E$800),--($E$2:$E$800=E618))+1)/2)/COUNT($E$2:$E$800)</f>
        <v>0.803504380475595</v>
      </c>
      <c r="I618" s="0" t="n">
        <f aca="false">(SUMPRODUCT(--ISNUMBER($G$2:$G$800),--($G$2:$G$800&lt;G618))+(SUMPRODUCT(--ISNUMBER($G$2:$G$800),--($G$2:$G$800=G618))+1)/2)/COUNT($G$2:$G$800)</f>
        <v>0.774718397997497</v>
      </c>
      <c r="M618" s="0" t="n">
        <f aca="false">IF(OR(B618="NW",COUNT(Risk_Rank_Keys!B618)=0),0.5,(SUMPRODUCT(--ISNUMBER(Risk_Rank_Keys!$B$2:$B$800),--(Risk_Rank_Keys!$B$2:$B$800&lt;Risk_Rank_Keys!B618))+(SUMPRODUCT(--ISNUMBER(Risk_Rank_Keys!$B$2:$B$800),--(Risk_Rank_Keys!$B$2:$B$800=Risk_Rank_Keys!B618))+1)/2)/COUNT(Risk_Rank_Keys!$B$2:$B$800))</f>
        <v>0.5</v>
      </c>
      <c r="N618" s="0" t="n">
        <f aca="false">IF(OR(B618="NW",COUNT(Risk_Rank_Keys!C618)=0),0.5,(SUMPRODUCT(--ISNUMBER(Risk_Rank_Keys!$C$2:$C$800),--(Risk_Rank_Keys!$C$2:$C$800&lt;Risk_Rank_Keys!C618))+(SUMPRODUCT(--ISNUMBER(Risk_Rank_Keys!$C$2:$C$800),--(Risk_Rank_Keys!$C$2:$C$800=Risk_Rank_Keys!C618))+1)/2)/COUNT(Risk_Rank_Keys!$C$2:$C$800))</f>
        <v>0.5</v>
      </c>
      <c r="O618" s="0" t="n">
        <f aca="false">IF(OR(B618="NW",COUNT(Risk_Rank_Keys!D618)=0),0.5,(SUMPRODUCT(--ISNUMBER(Risk_Rank_Keys!$D$2:$D$800),--(Risk_Rank_Keys!$D$2:$D$800&lt;Risk_Rank_Keys!D618))+(SUMPRODUCT(--ISNUMBER(Risk_Rank_Keys!$D$2:$D$800),--(Risk_Rank_Keys!$D$2:$D$800=Risk_Rank_Keys!D618))+1)/2)/COUNT(Risk_Rank_Keys!$D$2:$D$800))</f>
        <v>0.5</v>
      </c>
      <c r="P618" s="0" t="n">
        <f aca="false">AVERAGE(M618:O618)</f>
        <v>0.5</v>
      </c>
      <c r="Q618" s="0" t="n">
        <f aca="false">0.4*H618+0.4*I618+0.2*P618</f>
        <v>0.731289111389237</v>
      </c>
      <c r="R618" s="0" t="n">
        <f aca="false">PERCENTILE($Q$2:$Q$800,0.75)</f>
        <v>0.667715717403612</v>
      </c>
      <c r="S618" s="1" t="b">
        <f aca="false">OR(Q618&gt;=R618,AND(B618="CW",COUNT(J618:L618)&lt;3))</f>
        <v>1</v>
      </c>
      <c r="T618" s="0" t="n">
        <v>0.345287398815038</v>
      </c>
      <c r="U618" s="0" t="n">
        <v>9.8483134582146</v>
      </c>
      <c r="V618" s="0" t="n">
        <v>0.731289111389237</v>
      </c>
      <c r="W618" s="0" t="n">
        <f aca="false">Q618-V618</f>
        <v>0</v>
      </c>
    </row>
    <row r="619" customFormat="false" ht="15" hidden="false" customHeight="false" outlineLevel="0" collapsed="false">
      <c r="A619" s="0" t="s">
        <v>653</v>
      </c>
      <c r="B619" s="0" t="s">
        <v>3013</v>
      </c>
      <c r="C619" s="0" t="n">
        <v>2.22997460978896</v>
      </c>
      <c r="D619" s="0" t="n">
        <f aca="false">SUMPRODUCT(Risk_Inputs!B619:AJ619,Risk_Coefs!$B$2:$AJ$2)</f>
        <v>-1.21091593722454</v>
      </c>
      <c r="E619" s="0" t="n">
        <f aca="false">1/(1+EXP(-MAX(-25,MIN(25,D619))))</f>
        <v>0.229539026539636</v>
      </c>
      <c r="F619" s="0" t="n">
        <f aca="false">SUMPRODUCT(Risk_Inputs!B619:AJ619,Risk_Coefs!$B$3:$AJ$3)</f>
        <v>6.97140185646468</v>
      </c>
      <c r="G619" s="0" t="n">
        <f aca="false">MAX(0,F619)</f>
        <v>6.97140185646468</v>
      </c>
      <c r="H619" s="0" t="n">
        <f aca="false">(SUMPRODUCT(--ISNUMBER($E$2:$E$800),--($E$2:$E$800&lt;E619))+(SUMPRODUCT(--ISNUMBER($E$2:$E$800),--($E$2:$E$800=E619))+1)/2)/COUNT($E$2:$E$800)</f>
        <v>0.170212765957447</v>
      </c>
      <c r="I619" s="0" t="n">
        <f aca="false">(SUMPRODUCT(--ISNUMBER($G$2:$G$800),--($G$2:$G$800&lt;G619))+(SUMPRODUCT(--ISNUMBER($G$2:$G$800),--($G$2:$G$800=G619))+1)/2)/COUNT($G$2:$G$800)</f>
        <v>0.411764705882353</v>
      </c>
      <c r="J619" s="0" t="n">
        <v>8.61252445763616</v>
      </c>
      <c r="K619" s="0" t="n">
        <v>4.40487347703842</v>
      </c>
      <c r="L619" s="0" t="n">
        <v>0.294550810014726</v>
      </c>
      <c r="M619" s="0" t="n">
        <f aca="false">IF(OR(B619="NW",COUNT(Risk_Rank_Keys!B619)=0),0.5,(SUMPRODUCT(--ISNUMBER(Risk_Rank_Keys!$B$2:$B$800),--(Risk_Rank_Keys!$B$2:$B$800&lt;Risk_Rank_Keys!B619))+(SUMPRODUCT(--ISNUMBER(Risk_Rank_Keys!$B$2:$B$800),--(Risk_Rank_Keys!$B$2:$B$800=Risk_Rank_Keys!B619))+1)/2)/COUNT(Risk_Rank_Keys!$B$2:$B$800))</f>
        <v>0.428172942817294</v>
      </c>
      <c r="N619" s="0" t="n">
        <f aca="false">IF(OR(B619="NW",COUNT(Risk_Rank_Keys!C619)=0),0.5,(SUMPRODUCT(--ISNUMBER(Risk_Rank_Keys!$C$2:$C$800),--(Risk_Rank_Keys!$C$2:$C$800&lt;Risk_Rank_Keys!C619))+(SUMPRODUCT(--ISNUMBER(Risk_Rank_Keys!$C$2:$C$800),--(Risk_Rank_Keys!$C$2:$C$800=Risk_Rank_Keys!C619))+1)/2)/COUNT(Risk_Rank_Keys!$C$2:$C$800))</f>
        <v>0.637377963737796</v>
      </c>
      <c r="O619" s="0" t="n">
        <f aca="false">IF(OR(B619="NW",COUNT(Risk_Rank_Keys!D619)=0),0.5,(SUMPRODUCT(--ISNUMBER(Risk_Rank_Keys!$D$2:$D$800),--(Risk_Rank_Keys!$D$2:$D$800&lt;Risk_Rank_Keys!D619))+(SUMPRODUCT(--ISNUMBER(Risk_Rank_Keys!$D$2:$D$800),--(Risk_Rank_Keys!$D$2:$D$800=Risk_Rank_Keys!D619))+1)/2)/COUNT(Risk_Rank_Keys!$D$2:$D$800))</f>
        <v>0.732217573221757</v>
      </c>
      <c r="P619" s="0" t="n">
        <f aca="false">AVERAGE(M619:O619)</f>
        <v>0.599256159925616</v>
      </c>
      <c r="Q619" s="0" t="n">
        <f aca="false">0.4*H619+0.4*I619+0.2*P619</f>
        <v>0.352642220721043</v>
      </c>
      <c r="R619" s="0" t="n">
        <f aca="false">PERCENTILE($Q$2:$Q$800,0.75)</f>
        <v>0.667715717403612</v>
      </c>
      <c r="S619" s="1" t="b">
        <f aca="false">OR(Q619&gt;=R619,AND(B619="CW",COUNT(J619:L619)&lt;3))</f>
        <v>0</v>
      </c>
      <c r="T619" s="0" t="n">
        <v>0.229539026539636</v>
      </c>
      <c r="U619" s="0" t="n">
        <v>6.97140185646468</v>
      </c>
      <c r="V619" s="0" t="n">
        <v>0.352642220721043</v>
      </c>
      <c r="W619" s="0" t="n">
        <f aca="false">Q619-V619</f>
        <v>0</v>
      </c>
    </row>
    <row r="620" customFormat="false" ht="15" hidden="false" customHeight="false" outlineLevel="0" collapsed="false">
      <c r="A620" s="0" t="s">
        <v>654</v>
      </c>
      <c r="B620" s="0" t="s">
        <v>3013</v>
      </c>
      <c r="C620" s="0" t="n">
        <v>33.2420481650209</v>
      </c>
      <c r="D620" s="0" t="n">
        <f aca="false">SUMPRODUCT(Risk_Inputs!B620:AJ620,Risk_Coefs!$B$2:$AJ$2)</f>
        <v>-1.19867527935716</v>
      </c>
      <c r="E620" s="0" t="n">
        <f aca="false">1/(1+EXP(-MAX(-25,MIN(25,D620))))</f>
        <v>0.231710960763304</v>
      </c>
      <c r="F620" s="0" t="n">
        <f aca="false">SUMPRODUCT(Risk_Inputs!B620:AJ620,Risk_Coefs!$B$3:$AJ$3)</f>
        <v>4.78399669037246</v>
      </c>
      <c r="G620" s="0" t="n">
        <f aca="false">MAX(0,F620)</f>
        <v>4.78399669037246</v>
      </c>
      <c r="H620" s="0" t="n">
        <f aca="false">(SUMPRODUCT(--ISNUMBER($E$2:$E$800),--($E$2:$E$800&lt;E620))+(SUMPRODUCT(--ISNUMBER($E$2:$E$800),--($E$2:$E$800=E620))+1)/2)/COUNT($E$2:$E$800)</f>
        <v>0.183979974968711</v>
      </c>
      <c r="I620" s="0" t="n">
        <f aca="false">(SUMPRODUCT(--ISNUMBER($G$2:$G$800),--($G$2:$G$800&lt;G620))+(SUMPRODUCT(--ISNUMBER($G$2:$G$800),--($G$2:$G$800=G620))+1)/2)/COUNT($G$2:$G$800)</f>
        <v>0.111389236545682</v>
      </c>
      <c r="J620" s="0" t="n">
        <v>36.9686571973497</v>
      </c>
      <c r="K620" s="0" t="n">
        <v>7.57314974182443</v>
      </c>
      <c r="L620" s="0" t="n">
        <v>0.172117039586917</v>
      </c>
      <c r="M620" s="0" t="n">
        <f aca="false">IF(OR(B620="NW",COUNT(Risk_Rank_Keys!B620)=0),0.5,(SUMPRODUCT(--ISNUMBER(Risk_Rank_Keys!$B$2:$B$800),--(Risk_Rank_Keys!$B$2:$B$800&lt;Risk_Rank_Keys!B620))+(SUMPRODUCT(--ISNUMBER(Risk_Rank_Keys!$B$2:$B$800),--(Risk_Rank_Keys!$B$2:$B$800=Risk_Rank_Keys!B620))+1)/2)/COUNT(Risk_Rank_Keys!$B$2:$B$800))</f>
        <v>0.937238493723849</v>
      </c>
      <c r="N620" s="0" t="n">
        <f aca="false">IF(OR(B620="NW",COUNT(Risk_Rank_Keys!C620)=0),0.5,(SUMPRODUCT(--ISNUMBER(Risk_Rank_Keys!$C$2:$C$800),--(Risk_Rank_Keys!$C$2:$C$800&lt;Risk_Rank_Keys!C620))+(SUMPRODUCT(--ISNUMBER(Risk_Rank_Keys!$C$2:$C$800),--(Risk_Rank_Keys!$C$2:$C$800=Risk_Rank_Keys!C620))+1)/2)/COUNT(Risk_Rank_Keys!$C$2:$C$800))</f>
        <v>0.810320781032078</v>
      </c>
      <c r="O620" s="0" t="n">
        <f aca="false">IF(OR(B620="NW",COUNT(Risk_Rank_Keys!D620)=0),0.5,(SUMPRODUCT(--ISNUMBER(Risk_Rank_Keys!$D$2:$D$800),--(Risk_Rank_Keys!$D$2:$D$800&lt;Risk_Rank_Keys!D620))+(SUMPRODUCT(--ISNUMBER(Risk_Rank_Keys!$D$2:$D$800),--(Risk_Rank_Keys!$D$2:$D$800=Risk_Rank_Keys!D620))+1)/2)/COUNT(Risk_Rank_Keys!$D$2:$D$800))</f>
        <v>0.178521617852162</v>
      </c>
      <c r="P620" s="0" t="n">
        <f aca="false">AVERAGE(M620:O620)</f>
        <v>0.642026964202696</v>
      </c>
      <c r="Q620" s="0" t="n">
        <f aca="false">0.4*H620+0.4*I620+0.2*P620</f>
        <v>0.246553077446296</v>
      </c>
      <c r="R620" s="0" t="n">
        <f aca="false">PERCENTILE($Q$2:$Q$800,0.75)</f>
        <v>0.667715717403612</v>
      </c>
      <c r="S620" s="1" t="b">
        <f aca="false">OR(Q620&gt;=R620,AND(B620="CW",COUNT(J620:L620)&lt;3))</f>
        <v>0</v>
      </c>
      <c r="T620" s="0" t="n">
        <v>0.231710960763304</v>
      </c>
      <c r="U620" s="0" t="n">
        <v>4.78399669037246</v>
      </c>
      <c r="V620" s="0" t="n">
        <v>0.246553077446297</v>
      </c>
      <c r="W620" s="0" t="n">
        <f aca="false">Q620-V620</f>
        <v>0</v>
      </c>
    </row>
    <row r="621" customFormat="false" ht="15" hidden="false" customHeight="false" outlineLevel="0" collapsed="false">
      <c r="A621" s="0" t="s">
        <v>655</v>
      </c>
      <c r="B621" s="0" t="s">
        <v>3013</v>
      </c>
      <c r="C621" s="0" t="n">
        <v>-34.1565189056964</v>
      </c>
      <c r="D621" s="0" t="n">
        <f aca="false">SUMPRODUCT(Risk_Inputs!B621:AJ621,Risk_Coefs!$B$2:$AJ$2)</f>
        <v>-0.648935147840567</v>
      </c>
      <c r="E621" s="0" t="n">
        <f aca="false">1/(1+EXP(-MAX(-25,MIN(25,D621))))</f>
        <v>0.343229539431005</v>
      </c>
      <c r="F621" s="0" t="n">
        <f aca="false">SUMPRODUCT(Risk_Inputs!B621:AJ621,Risk_Coefs!$B$3:$AJ$3)</f>
        <v>11.5345447970676</v>
      </c>
      <c r="G621" s="0" t="n">
        <f aca="false">MAX(0,F621)</f>
        <v>11.5345447970676</v>
      </c>
      <c r="H621" s="0" t="n">
        <f aca="false">(SUMPRODUCT(--ISNUMBER($E$2:$E$800),--($E$2:$E$800&lt;E621))+(SUMPRODUCT(--ISNUMBER($E$2:$E$800),--($E$2:$E$800=E621))+1)/2)/COUNT($E$2:$E$800)</f>
        <v>0.795994993742178</v>
      </c>
      <c r="I621" s="0" t="n">
        <f aca="false">(SUMPRODUCT(--ISNUMBER($G$2:$G$800),--($G$2:$G$800&lt;G621))+(SUMPRODUCT(--ISNUMBER($G$2:$G$800),--($G$2:$G$800=G621))+1)/2)/COUNT($G$2:$G$800)</f>
        <v>0.903629536921151</v>
      </c>
      <c r="J621" s="0" t="n">
        <v>15.8536398952696</v>
      </c>
      <c r="K621" s="0" t="n">
        <v>2.0676979629346</v>
      </c>
      <c r="L621" s="0" t="n">
        <v>0.214427936896918</v>
      </c>
      <c r="M621" s="0" t="n">
        <f aca="false">IF(OR(B621="NW",COUNT(Risk_Rank_Keys!B621)=0),0.5,(SUMPRODUCT(--ISNUMBER(Risk_Rank_Keys!$B$2:$B$800),--(Risk_Rank_Keys!$B$2:$B$800&lt;Risk_Rank_Keys!B621))+(SUMPRODUCT(--ISNUMBER(Risk_Rank_Keys!$B$2:$B$800),--(Risk_Rank_Keys!$B$2:$B$800=Risk_Rank_Keys!B621))+1)/2)/COUNT(Risk_Rank_Keys!$B$2:$B$800))</f>
        <v>0.726638772663877</v>
      </c>
      <c r="N621" s="0" t="n">
        <f aca="false">IF(OR(B621="NW",COUNT(Risk_Rank_Keys!C621)=0),0.5,(SUMPRODUCT(--ISNUMBER(Risk_Rank_Keys!$C$2:$C$800),--(Risk_Rank_Keys!$C$2:$C$800&lt;Risk_Rank_Keys!C621))+(SUMPRODUCT(--ISNUMBER(Risk_Rank_Keys!$C$2:$C$800),--(Risk_Rank_Keys!$C$2:$C$800=Risk_Rank_Keys!C621))+1)/2)/COUNT(Risk_Rank_Keys!$C$2:$C$800))</f>
        <v>0.291492329149233</v>
      </c>
      <c r="O621" s="0" t="n">
        <f aca="false">IF(OR(B621="NW",COUNT(Risk_Rank_Keys!D621)=0),0.5,(SUMPRODUCT(--ISNUMBER(Risk_Rank_Keys!$D$2:$D$800),--(Risk_Rank_Keys!$D$2:$D$800&lt;Risk_Rank_Keys!D621))+(SUMPRODUCT(--ISNUMBER(Risk_Rank_Keys!$D$2:$D$800),--(Risk_Rank_Keys!$D$2:$D$800=Risk_Rank_Keys!D621))+1)/2)/COUNT(Risk_Rank_Keys!$D$2:$D$800))</f>
        <v>0.410041841004184</v>
      </c>
      <c r="P621" s="0" t="n">
        <f aca="false">AVERAGE(M621:O621)</f>
        <v>0.476057647605765</v>
      </c>
      <c r="Q621" s="0" t="n">
        <f aca="false">0.4*H621+0.4*I621+0.2*P621</f>
        <v>0.775061341786485</v>
      </c>
      <c r="R621" s="0" t="n">
        <f aca="false">PERCENTILE($Q$2:$Q$800,0.75)</f>
        <v>0.667715717403612</v>
      </c>
      <c r="S621" s="1" t="b">
        <f aca="false">OR(Q621&gt;=R621,AND(B621="CW",COUNT(J621:L621)&lt;3))</f>
        <v>1</v>
      </c>
      <c r="T621" s="0" t="n">
        <v>0.343229539431005</v>
      </c>
      <c r="U621" s="0" t="n">
        <v>11.5345447970676</v>
      </c>
      <c r="V621" s="0" t="n">
        <v>0.775061341786485</v>
      </c>
      <c r="W621" s="0" t="n">
        <f aca="false">Q621-V621</f>
        <v>0</v>
      </c>
    </row>
    <row r="622" customFormat="false" ht="15" hidden="false" customHeight="false" outlineLevel="0" collapsed="false">
      <c r="A622" s="0" t="s">
        <v>656</v>
      </c>
      <c r="B622" s="0" t="s">
        <v>3013</v>
      </c>
      <c r="C622" s="0" t="n">
        <v>-37.1176569670967</v>
      </c>
      <c r="D622" s="0" t="n">
        <f aca="false">SUMPRODUCT(Risk_Inputs!B622:AJ622,Risk_Coefs!$B$2:$AJ$2)</f>
        <v>-0.447008544889471</v>
      </c>
      <c r="E622" s="0" t="n">
        <f aca="false">1/(1+EXP(-MAX(-25,MIN(25,D622))))</f>
        <v>0.390072246256145</v>
      </c>
      <c r="F622" s="0" t="n">
        <f aca="false">SUMPRODUCT(Risk_Inputs!B622:AJ622,Risk_Coefs!$B$3:$AJ$3)</f>
        <v>13.3273762290898</v>
      </c>
      <c r="G622" s="0" t="n">
        <f aca="false">MAX(0,F622)</f>
        <v>13.3273762290898</v>
      </c>
      <c r="H622" s="0" t="n">
        <f aca="false">(SUMPRODUCT(--ISNUMBER($E$2:$E$800),--($E$2:$E$800&lt;E622))+(SUMPRODUCT(--ISNUMBER($E$2:$E$800),--($E$2:$E$800=E622))+1)/2)/COUNT($E$2:$E$800)</f>
        <v>0.923654568210263</v>
      </c>
      <c r="I622" s="0" t="n">
        <f aca="false">(SUMPRODUCT(--ISNUMBER($G$2:$G$800),--($G$2:$G$800&lt;G622))+(SUMPRODUCT(--ISNUMBER($G$2:$G$800),--($G$2:$G$800=G622))+1)/2)/COUNT($G$2:$G$800)</f>
        <v>0.961201501877347</v>
      </c>
      <c r="J622" s="0" t="n">
        <v>6.33483966564133</v>
      </c>
      <c r="K622" s="0" t="n">
        <v>2.7962962962963</v>
      </c>
      <c r="L622" s="0" t="n">
        <v>0.22222222222222</v>
      </c>
      <c r="M622" s="0" t="n">
        <f aca="false">IF(OR(B622="NW",COUNT(Risk_Rank_Keys!B622)=0),0.5,(SUMPRODUCT(--ISNUMBER(Risk_Rank_Keys!$B$2:$B$800),--(Risk_Rank_Keys!$B$2:$B$800&lt;Risk_Rank_Keys!B622))+(SUMPRODUCT(--ISNUMBER(Risk_Rank_Keys!$B$2:$B$800),--(Risk_Rank_Keys!$B$2:$B$800=Risk_Rank_Keys!B622))+1)/2)/COUNT(Risk_Rank_Keys!$B$2:$B$800))</f>
        <v>0.255230125523013</v>
      </c>
      <c r="N622" s="0" t="n">
        <f aca="false">IF(OR(B622="NW",COUNT(Risk_Rank_Keys!C622)=0),0.5,(SUMPRODUCT(--ISNUMBER(Risk_Rank_Keys!$C$2:$C$800),--(Risk_Rank_Keys!$C$2:$C$800&lt;Risk_Rank_Keys!C622))+(SUMPRODUCT(--ISNUMBER(Risk_Rank_Keys!$C$2:$C$800),--(Risk_Rank_Keys!$C$2:$C$800=Risk_Rank_Keys!C622))+1)/2)/COUNT(Risk_Rank_Keys!$C$2:$C$800))</f>
        <v>0.444909344490934</v>
      </c>
      <c r="O622" s="0" t="n">
        <f aca="false">IF(OR(B622="NW",COUNT(Risk_Rank_Keys!D622)=0),0.5,(SUMPRODUCT(--ISNUMBER(Risk_Rank_Keys!$D$2:$D$800),--(Risk_Rank_Keys!$D$2:$D$800&lt;Risk_Rank_Keys!D622))+(SUMPRODUCT(--ISNUMBER(Risk_Rank_Keys!$D$2:$D$800),--(Risk_Rank_Keys!$D$2:$D$800=Risk_Rank_Keys!D622))+1)/2)/COUNT(Risk_Rank_Keys!$D$2:$D$800))</f>
        <v>0.454672245467225</v>
      </c>
      <c r="P622" s="0" t="n">
        <f aca="false">AVERAGE(M622:O622)</f>
        <v>0.384937238493724</v>
      </c>
      <c r="Q622" s="0" t="n">
        <f aca="false">0.4*H622+0.4*I622+0.2*P622</f>
        <v>0.830929875733789</v>
      </c>
      <c r="R622" s="0" t="n">
        <f aca="false">PERCENTILE($Q$2:$Q$800,0.75)</f>
        <v>0.667715717403612</v>
      </c>
      <c r="S622" s="1" t="b">
        <f aca="false">OR(Q622&gt;=R622,AND(B622="CW",COUNT(J622:L622)&lt;3))</f>
        <v>1</v>
      </c>
      <c r="T622" s="0" t="n">
        <v>0.390072246256145</v>
      </c>
      <c r="U622" s="0" t="n">
        <v>13.3273762290898</v>
      </c>
      <c r="V622" s="0" t="n">
        <v>0.830929875733789</v>
      </c>
      <c r="W622" s="0" t="n">
        <f aca="false">Q622-V622</f>
        <v>0</v>
      </c>
    </row>
    <row r="623" customFormat="false" ht="15" hidden="false" customHeight="false" outlineLevel="0" collapsed="false">
      <c r="A623" s="0" t="s">
        <v>657</v>
      </c>
      <c r="B623" s="0" t="s">
        <v>3013</v>
      </c>
      <c r="C623" s="0" t="n">
        <v>105.539789250024</v>
      </c>
      <c r="D623" s="0" t="n">
        <f aca="false">SUMPRODUCT(Risk_Inputs!B623:AJ623,Risk_Coefs!$B$2:$AJ$2)</f>
        <v>-0.754442167194419</v>
      </c>
      <c r="E623" s="0" t="n">
        <f aca="false">1/(1+EXP(-MAX(-25,MIN(25,D623))))</f>
        <v>0.3198541462206</v>
      </c>
      <c r="F623" s="0" t="n">
        <f aca="false">SUMPRODUCT(Risk_Inputs!B623:AJ623,Risk_Coefs!$B$3:$AJ$3)</f>
        <v>14.1714003703494</v>
      </c>
      <c r="G623" s="0" t="n">
        <f aca="false">MAX(0,F623)</f>
        <v>14.1714003703494</v>
      </c>
      <c r="H623" s="0" t="n">
        <f aca="false">(SUMPRODUCT(--ISNUMBER($E$2:$E$800),--($E$2:$E$800&lt;E623))+(SUMPRODUCT(--ISNUMBER($E$2:$E$800),--($E$2:$E$800=E623))+1)/2)/COUNT($E$2:$E$800)</f>
        <v>0.668335419274093</v>
      </c>
      <c r="I623" s="0" t="n">
        <f aca="false">(SUMPRODUCT(--ISNUMBER($G$2:$G$800),--($G$2:$G$800&lt;G623))+(SUMPRODUCT(--ISNUMBER($G$2:$G$800),--($G$2:$G$800=G623))+1)/2)/COUNT($G$2:$G$800)</f>
        <v>0.974968710888611</v>
      </c>
      <c r="J623" s="0" t="n">
        <v>14.2882155726415</v>
      </c>
      <c r="K623" s="0" t="n">
        <v>17.3503229184849</v>
      </c>
      <c r="L623" s="0" t="n">
        <v>0.331646011520341</v>
      </c>
      <c r="M623" s="0" t="n">
        <f aca="false">IF(OR(B623="NW",COUNT(Risk_Rank_Keys!B623)=0),0.5,(SUMPRODUCT(--ISNUMBER(Risk_Rank_Keys!$B$2:$B$800),--(Risk_Rank_Keys!$B$2:$B$800&lt;Risk_Rank_Keys!B623))+(SUMPRODUCT(--ISNUMBER(Risk_Rank_Keys!$B$2:$B$800),--(Risk_Rank_Keys!$B$2:$B$800=Risk_Rank_Keys!B623))+1)/2)/COUNT(Risk_Rank_Keys!$B$2:$B$800))</f>
        <v>0.683403068340307</v>
      </c>
      <c r="N623" s="0" t="n">
        <f aca="false">IF(OR(B623="NW",COUNT(Risk_Rank_Keys!C623)=0),0.5,(SUMPRODUCT(--ISNUMBER(Risk_Rank_Keys!$C$2:$C$800),--(Risk_Rank_Keys!$C$2:$C$800&lt;Risk_Rank_Keys!C623))+(SUMPRODUCT(--ISNUMBER(Risk_Rank_Keys!$C$2:$C$800),--(Risk_Rank_Keys!$C$2:$C$800=Risk_Rank_Keys!C623))+1)/2)/COUNT(Risk_Rank_Keys!$C$2:$C$800))</f>
        <v>0.95118549511855</v>
      </c>
      <c r="O623" s="0" t="n">
        <f aca="false">IF(OR(B623="NW",COUNT(Risk_Rank_Keys!D623)=0),0.5,(SUMPRODUCT(--ISNUMBER(Risk_Rank_Keys!$D$2:$D$800),--(Risk_Rank_Keys!$D$2:$D$800&lt;Risk_Rank_Keys!D623))+(SUMPRODUCT(--ISNUMBER(Risk_Rank_Keys!$D$2:$D$800),--(Risk_Rank_Keys!$D$2:$D$800=Risk_Rank_Keys!D623))+1)/2)/COUNT(Risk_Rank_Keys!$D$2:$D$800))</f>
        <v>0.797768479776848</v>
      </c>
      <c r="P623" s="0" t="n">
        <f aca="false">AVERAGE(M623:O623)</f>
        <v>0.810785681078568</v>
      </c>
      <c r="Q623" s="0" t="n">
        <f aca="false">0.4*H623+0.4*I623+0.2*P623</f>
        <v>0.819478788280795</v>
      </c>
      <c r="R623" s="0" t="n">
        <f aca="false">PERCENTILE($Q$2:$Q$800,0.75)</f>
        <v>0.667715717403612</v>
      </c>
      <c r="S623" s="1" t="b">
        <f aca="false">OR(Q623&gt;=R623,AND(B623="CW",COUNT(J623:L623)&lt;3))</f>
        <v>1</v>
      </c>
      <c r="T623" s="0" t="n">
        <v>0.3198541462206</v>
      </c>
      <c r="U623" s="0" t="n">
        <v>14.1714003703494</v>
      </c>
      <c r="V623" s="0" t="n">
        <v>0.819478788280795</v>
      </c>
      <c r="W623" s="0" t="n">
        <f aca="false">Q623-V623</f>
        <v>0</v>
      </c>
    </row>
    <row r="624" customFormat="false" ht="15" hidden="false" customHeight="false" outlineLevel="0" collapsed="false">
      <c r="A624" s="0" t="s">
        <v>658</v>
      </c>
      <c r="B624" s="0" t="s">
        <v>3013</v>
      </c>
      <c r="C624" s="0" t="n">
        <v>52.2408199180894</v>
      </c>
      <c r="D624" s="0" t="n">
        <f aca="false">SUMPRODUCT(Risk_Inputs!B624:AJ624,Risk_Coefs!$B$2:$AJ$2)</f>
        <v>-0.725207358832554</v>
      </c>
      <c r="E624" s="0" t="n">
        <f aca="false">1/(1+EXP(-MAX(-25,MIN(25,D624))))</f>
        <v>0.326247319357169</v>
      </c>
      <c r="F624" s="0" t="n">
        <f aca="false">SUMPRODUCT(Risk_Inputs!B624:AJ624,Risk_Coefs!$B$3:$AJ$3)</f>
        <v>13.320169373769</v>
      </c>
      <c r="G624" s="0" t="n">
        <f aca="false">MAX(0,F624)</f>
        <v>13.320169373769</v>
      </c>
      <c r="H624" s="0" t="n">
        <f aca="false">(SUMPRODUCT(--ISNUMBER($E$2:$E$800),--($E$2:$E$800&lt;E624))+(SUMPRODUCT(--ISNUMBER($E$2:$E$800),--($E$2:$E$800=E624))+1)/2)/COUNT($E$2:$E$800)</f>
        <v>0.713391739674593</v>
      </c>
      <c r="I624" s="0" t="n">
        <f aca="false">(SUMPRODUCT(--ISNUMBER($G$2:$G$800),--($G$2:$G$800&lt;G624))+(SUMPRODUCT(--ISNUMBER($G$2:$G$800),--($G$2:$G$800=G624))+1)/2)/COUNT($G$2:$G$800)</f>
        <v>0.959949937421777</v>
      </c>
      <c r="J624" s="0" t="n">
        <v>27.0100650512032</v>
      </c>
      <c r="K624" s="0" t="n">
        <v>2.93396599446423</v>
      </c>
      <c r="L624" s="0" t="n">
        <v>0.253064452352703</v>
      </c>
      <c r="M624" s="0" t="n">
        <f aca="false">IF(OR(B624="NW",COUNT(Risk_Rank_Keys!B624)=0),0.5,(SUMPRODUCT(--ISNUMBER(Risk_Rank_Keys!$B$2:$B$800),--(Risk_Rank_Keys!$B$2:$B$800&lt;Risk_Rank_Keys!B624))+(SUMPRODUCT(--ISNUMBER(Risk_Rank_Keys!$B$2:$B$800),--(Risk_Rank_Keys!$B$2:$B$800=Risk_Rank_Keys!B624))+1)/2)/COUNT(Risk_Rank_Keys!$B$2:$B$800))</f>
        <v>0.882845188284519</v>
      </c>
      <c r="N624" s="0" t="n">
        <f aca="false">IF(OR(B624="NW",COUNT(Risk_Rank_Keys!C624)=0),0.5,(SUMPRODUCT(--ISNUMBER(Risk_Rank_Keys!$C$2:$C$800),--(Risk_Rank_Keys!$C$2:$C$800&lt;Risk_Rank_Keys!C624))+(SUMPRODUCT(--ISNUMBER(Risk_Rank_Keys!$C$2:$C$800),--(Risk_Rank_Keys!$C$2:$C$800=Risk_Rank_Keys!C624))+1)/2)/COUNT(Risk_Rank_Keys!$C$2:$C$800))</f>
        <v>0.461645746164575</v>
      </c>
      <c r="O624" s="0" t="n">
        <f aca="false">IF(OR(B624="NW",COUNT(Risk_Rank_Keys!D624)=0),0.5,(SUMPRODUCT(--ISNUMBER(Risk_Rank_Keys!$D$2:$D$800),--(Risk_Rank_Keys!$D$2:$D$800&lt;Risk_Rank_Keys!D624))+(SUMPRODUCT(--ISNUMBER(Risk_Rank_Keys!$D$2:$D$800),--(Risk_Rank_Keys!$D$2:$D$800=Risk_Rank_Keys!D624))+1)/2)/COUNT(Risk_Rank_Keys!$D$2:$D$800))</f>
        <v>0.602510460251046</v>
      </c>
      <c r="P624" s="0" t="n">
        <f aca="false">AVERAGE(M624:O624)</f>
        <v>0.649000464900047</v>
      </c>
      <c r="Q624" s="0" t="n">
        <f aca="false">0.4*H624+0.4*I624+0.2*P624</f>
        <v>0.799136763818558</v>
      </c>
      <c r="R624" s="0" t="n">
        <f aca="false">PERCENTILE($Q$2:$Q$800,0.75)</f>
        <v>0.667715717403612</v>
      </c>
      <c r="S624" s="1" t="b">
        <f aca="false">OR(Q624&gt;=R624,AND(B624="CW",COUNT(J624:L624)&lt;3))</f>
        <v>1</v>
      </c>
      <c r="T624" s="0" t="n">
        <v>0.326247319357169</v>
      </c>
      <c r="U624" s="0" t="n">
        <v>13.320169373769</v>
      </c>
      <c r="V624" s="0" t="n">
        <v>0.799136763818558</v>
      </c>
      <c r="W624" s="0" t="n">
        <f aca="false">Q624-V624</f>
        <v>0</v>
      </c>
    </row>
    <row r="625" customFormat="false" ht="15" hidden="false" customHeight="false" outlineLevel="0" collapsed="false">
      <c r="A625" s="0" t="s">
        <v>659</v>
      </c>
      <c r="B625" s="0" t="s">
        <v>3013</v>
      </c>
      <c r="C625" s="0" t="n">
        <v>-13.8822940722439</v>
      </c>
      <c r="D625" s="0" t="n">
        <f aca="false">SUMPRODUCT(Risk_Inputs!B625:AJ625,Risk_Coefs!$B$2:$AJ$2)</f>
        <v>-0.739888622689796</v>
      </c>
      <c r="E625" s="0" t="n">
        <f aca="false">1/(1+EXP(-MAX(-25,MIN(25,D625))))</f>
        <v>0.323028499392758</v>
      </c>
      <c r="F625" s="0" t="n">
        <f aca="false">SUMPRODUCT(Risk_Inputs!B625:AJ625,Risk_Coefs!$B$3:$AJ$3)</f>
        <v>5.94781904690308</v>
      </c>
      <c r="G625" s="0" t="n">
        <f aca="false">MAX(0,F625)</f>
        <v>5.94781904690308</v>
      </c>
      <c r="H625" s="0" t="n">
        <f aca="false">(SUMPRODUCT(--ISNUMBER($E$2:$E$800),--($E$2:$E$800&lt;E625))+(SUMPRODUCT(--ISNUMBER($E$2:$E$800),--($E$2:$E$800=E625))+1)/2)/COUNT($E$2:$E$800)</f>
        <v>0.690863579474343</v>
      </c>
      <c r="I625" s="0" t="n">
        <f aca="false">(SUMPRODUCT(--ISNUMBER($G$2:$G$800),--($G$2:$G$800&lt;G625))+(SUMPRODUCT(--ISNUMBER($G$2:$G$800),--($G$2:$G$800=G625))+1)/2)/COUNT($G$2:$G$800)</f>
        <v>0.257822277847309</v>
      </c>
      <c r="J625" s="0" t="n">
        <v>14.5996570036907</v>
      </c>
      <c r="K625" s="0" t="n">
        <v>3.1309192200557</v>
      </c>
      <c r="L625" s="0" t="n">
        <v>0.222841225626741</v>
      </c>
      <c r="M625" s="0" t="n">
        <f aca="false">IF(OR(B625="NW",COUNT(Risk_Rank_Keys!B625)=0),0.5,(SUMPRODUCT(--ISNUMBER(Risk_Rank_Keys!$B$2:$B$800),--(Risk_Rank_Keys!$B$2:$B$800&lt;Risk_Rank_Keys!B625))+(SUMPRODUCT(--ISNUMBER(Risk_Rank_Keys!$B$2:$B$800),--(Risk_Rank_Keys!$B$2:$B$800=Risk_Rank_Keys!B625))+1)/2)/COUNT(Risk_Rank_Keys!$B$2:$B$800))</f>
        <v>0.698744769874477</v>
      </c>
      <c r="N625" s="0" t="n">
        <f aca="false">IF(OR(B625="NW",COUNT(Risk_Rank_Keys!C625)=0),0.5,(SUMPRODUCT(--ISNUMBER(Risk_Rank_Keys!$C$2:$C$800),--(Risk_Rank_Keys!$C$2:$C$800&lt;Risk_Rank_Keys!C625))+(SUMPRODUCT(--ISNUMBER(Risk_Rank_Keys!$C$2:$C$800),--(Risk_Rank_Keys!$C$2:$C$800=Risk_Rank_Keys!C625))+1)/2)/COUNT(Risk_Rank_Keys!$C$2:$C$800))</f>
        <v>0.483960948396095</v>
      </c>
      <c r="O625" s="0" t="n">
        <f aca="false">IF(OR(B625="NW",COUNT(Risk_Rank_Keys!D625)=0),0.5,(SUMPRODUCT(--ISNUMBER(Risk_Rank_Keys!$D$2:$D$800),--(Risk_Rank_Keys!$D$2:$D$800&lt;Risk_Rank_Keys!D625))+(SUMPRODUCT(--ISNUMBER(Risk_Rank_Keys!$D$2:$D$800),--(Risk_Rank_Keys!$D$2:$D$800=Risk_Rank_Keys!D625))+1)/2)/COUNT(Risk_Rank_Keys!$D$2:$D$800))</f>
        <v>0.460251046025105</v>
      </c>
      <c r="P625" s="0" t="n">
        <f aca="false">AVERAGE(M625:O625)</f>
        <v>0.547652254765226</v>
      </c>
      <c r="Q625" s="0" t="n">
        <f aca="false">0.4*H625+0.4*I625+0.2*P625</f>
        <v>0.489004793881706</v>
      </c>
      <c r="R625" s="0" t="n">
        <f aca="false">PERCENTILE($Q$2:$Q$800,0.75)</f>
        <v>0.667715717403612</v>
      </c>
      <c r="S625" s="1" t="b">
        <f aca="false">OR(Q625&gt;=R625,AND(B625="CW",COUNT(J625:L625)&lt;3))</f>
        <v>0</v>
      </c>
      <c r="T625" s="0" t="n">
        <v>0.323028499392759</v>
      </c>
      <c r="U625" s="0" t="n">
        <v>5.94781904690308</v>
      </c>
      <c r="V625" s="0" t="n">
        <v>0.489004793881706</v>
      </c>
      <c r="W625" s="0" t="n">
        <f aca="false">Q625-V625</f>
        <v>0</v>
      </c>
    </row>
    <row r="626" customFormat="false" ht="15" hidden="false" customHeight="false" outlineLevel="0" collapsed="false">
      <c r="A626" s="0" t="s">
        <v>660</v>
      </c>
      <c r="B626" s="0" t="s">
        <v>3013</v>
      </c>
      <c r="C626" s="0" t="n">
        <v>60.5169884694741</v>
      </c>
      <c r="D626" s="0" t="n">
        <f aca="false">SUMPRODUCT(Risk_Inputs!B626:AJ626,Risk_Coefs!$B$2:$AJ$2)</f>
        <v>-0.526868815629264</v>
      </c>
      <c r="E626" s="0" t="n">
        <f aca="false">1/(1+EXP(-MAX(-25,MIN(25,D626))))</f>
        <v>0.371247482687596</v>
      </c>
      <c r="F626" s="0" t="n">
        <f aca="false">SUMPRODUCT(Risk_Inputs!B626:AJ626,Risk_Coefs!$B$3:$AJ$3)</f>
        <v>12.2377452309878</v>
      </c>
      <c r="G626" s="0" t="n">
        <f aca="false">MAX(0,F626)</f>
        <v>12.2377452309878</v>
      </c>
      <c r="H626" s="0" t="n">
        <f aca="false">(SUMPRODUCT(--ISNUMBER($E$2:$E$800),--($E$2:$E$800&lt;E626))+(SUMPRODUCT(--ISNUMBER($E$2:$E$800),--($E$2:$E$800=E626))+1)/2)/COUNT($E$2:$E$800)</f>
        <v>0.878598247809762</v>
      </c>
      <c r="I626" s="0" t="n">
        <f aca="false">(SUMPRODUCT(--ISNUMBER($G$2:$G$800),--($G$2:$G$800&lt;G626))+(SUMPRODUCT(--ISNUMBER($G$2:$G$800),--($G$2:$G$800=G626))+1)/2)/COUNT($G$2:$G$800)</f>
        <v>0.92991239048811</v>
      </c>
      <c r="J626" s="0" t="n">
        <v>11.4105189657298</v>
      </c>
      <c r="K626" s="0" t="n">
        <v>2.56198347107438</v>
      </c>
      <c r="L626" s="0" t="n">
        <v>0.165289256198347</v>
      </c>
      <c r="M626" s="0" t="n">
        <f aca="false">IF(OR(B626="NW",COUNT(Risk_Rank_Keys!B626)=0),0.5,(SUMPRODUCT(--ISNUMBER(Risk_Rank_Keys!$B$2:$B$800),--(Risk_Rank_Keys!$B$2:$B$800&lt;Risk_Rank_Keys!B626))+(SUMPRODUCT(--ISNUMBER(Risk_Rank_Keys!$B$2:$B$800),--(Risk_Rank_Keys!$B$2:$B$800=Risk_Rank_Keys!B626))+1)/2)/COUNT(Risk_Rank_Keys!$B$2:$B$800))</f>
        <v>0.567642956764296</v>
      </c>
      <c r="N626" s="0" t="n">
        <f aca="false">IF(OR(B626="NW",COUNT(Risk_Rank_Keys!C626)=0),0.5,(SUMPRODUCT(--ISNUMBER(Risk_Rank_Keys!$C$2:$C$800),--(Risk_Rank_Keys!$C$2:$C$800&lt;Risk_Rank_Keys!C626))+(SUMPRODUCT(--ISNUMBER(Risk_Rank_Keys!$C$2:$C$800),--(Risk_Rank_Keys!$C$2:$C$800=Risk_Rank_Keys!C626))+1)/2)/COUNT(Risk_Rank_Keys!$C$2:$C$800))</f>
        <v>0.398884239888424</v>
      </c>
      <c r="O626" s="0" t="n">
        <f aca="false">IF(OR(B626="NW",COUNT(Risk_Rank_Keys!D626)=0),0.5,(SUMPRODUCT(--ISNUMBER(Risk_Rank_Keys!$D$2:$D$800),--(Risk_Rank_Keys!$D$2:$D$800&lt;Risk_Rank_Keys!D626))+(SUMPRODUCT(--ISNUMBER(Risk_Rank_Keys!$D$2:$D$800),--(Risk_Rank_Keys!$D$2:$D$800=Risk_Rank_Keys!D626))+1)/2)/COUNT(Risk_Rank_Keys!$D$2:$D$800))</f>
        <v>0.152022315202232</v>
      </c>
      <c r="P626" s="0" t="n">
        <f aca="false">AVERAGE(M626:O626)</f>
        <v>0.372849837284984</v>
      </c>
      <c r="Q626" s="0" t="n">
        <f aca="false">0.4*H626+0.4*I626+0.2*P626</f>
        <v>0.797974222776146</v>
      </c>
      <c r="R626" s="0" t="n">
        <f aca="false">PERCENTILE($Q$2:$Q$800,0.75)</f>
        <v>0.667715717403612</v>
      </c>
      <c r="S626" s="1" t="b">
        <f aca="false">OR(Q626&gt;=R626,AND(B626="CW",COUNT(J626:L626)&lt;3))</f>
        <v>1</v>
      </c>
      <c r="T626" s="0" t="n">
        <v>0.371247482687596</v>
      </c>
      <c r="U626" s="0" t="n">
        <v>12.2377452309879</v>
      </c>
      <c r="V626" s="0" t="n">
        <v>0.797974222776146</v>
      </c>
      <c r="W626" s="0" t="n">
        <f aca="false">Q626-V626</f>
        <v>0</v>
      </c>
    </row>
    <row r="627" customFormat="false" ht="15" hidden="false" customHeight="false" outlineLevel="0" collapsed="false">
      <c r="A627" s="0" t="s">
        <v>661</v>
      </c>
      <c r="B627" s="0" t="s">
        <v>3013</v>
      </c>
      <c r="C627" s="0" t="n">
        <v>8.54703588981114</v>
      </c>
      <c r="D627" s="0" t="n">
        <f aca="false">SUMPRODUCT(Risk_Inputs!B627:AJ627,Risk_Coefs!$B$2:$AJ$2)</f>
        <v>-0.840870035628565</v>
      </c>
      <c r="E627" s="0" t="n">
        <f aca="false">1/(1+EXP(-MAX(-25,MIN(25,D627))))</f>
        <v>0.30135157608458</v>
      </c>
      <c r="F627" s="0" t="n">
        <f aca="false">SUMPRODUCT(Risk_Inputs!B627:AJ627,Risk_Coefs!$B$3:$AJ$3)</f>
        <v>6.83976750269369</v>
      </c>
      <c r="G627" s="0" t="n">
        <f aca="false">MAX(0,F627)</f>
        <v>6.83976750269369</v>
      </c>
      <c r="H627" s="0" t="n">
        <f aca="false">(SUMPRODUCT(--ISNUMBER($E$2:$E$800),--($E$2:$E$800&lt;E627))+(SUMPRODUCT(--ISNUMBER($E$2:$E$800),--($E$2:$E$800=E627))+1)/2)/COUNT($E$2:$E$800)</f>
        <v>0.576971214017522</v>
      </c>
      <c r="I627" s="0" t="n">
        <f aca="false">(SUMPRODUCT(--ISNUMBER($G$2:$G$800),--($G$2:$G$800&lt;G627))+(SUMPRODUCT(--ISNUMBER($G$2:$G$800),--($G$2:$G$800=G627))+1)/2)/COUNT($G$2:$G$800)</f>
        <v>0.400500625782228</v>
      </c>
      <c r="J627" s="0" t="n">
        <v>3.11656369371821</v>
      </c>
      <c r="K627" s="0" t="n">
        <v>2.61780104712042</v>
      </c>
      <c r="L627" s="0" t="n">
        <v>0.232693426410707</v>
      </c>
      <c r="M627" s="0" t="n">
        <f aca="false">IF(OR(B627="NW",COUNT(Risk_Rank_Keys!B627)=0),0.5,(SUMPRODUCT(--ISNUMBER(Risk_Rank_Keys!$B$2:$B$800),--(Risk_Rank_Keys!$B$2:$B$800&lt;Risk_Rank_Keys!B627))+(SUMPRODUCT(--ISNUMBER(Risk_Rank_Keys!$B$2:$B$800),--(Risk_Rank_Keys!$B$2:$B$800=Risk_Rank_Keys!B627))+1)/2)/COUNT(Risk_Rank_Keys!$B$2:$B$800))</f>
        <v>0.0320781032078103</v>
      </c>
      <c r="N627" s="0" t="n">
        <f aca="false">IF(OR(B627="NW",COUNT(Risk_Rank_Keys!C627)=0),0.5,(SUMPRODUCT(--ISNUMBER(Risk_Rank_Keys!$C$2:$C$800),--(Risk_Rank_Keys!$C$2:$C$800&lt;Risk_Rank_Keys!C627))+(SUMPRODUCT(--ISNUMBER(Risk_Rank_Keys!$C$2:$C$800),--(Risk_Rank_Keys!$C$2:$C$800=Risk_Rank_Keys!C627))+1)/2)/COUNT(Risk_Rank_Keys!$C$2:$C$800))</f>
        <v>0.411436541143654</v>
      </c>
      <c r="O627" s="0" t="n">
        <f aca="false">IF(OR(B627="NW",COUNT(Risk_Rank_Keys!D627)=0),0.5,(SUMPRODUCT(--ISNUMBER(Risk_Rank_Keys!$D$2:$D$800),--(Risk_Rank_Keys!$D$2:$D$800&lt;Risk_Rank_Keys!D627))+(SUMPRODUCT(--ISNUMBER(Risk_Rank_Keys!$D$2:$D$800),--(Risk_Rank_Keys!$D$2:$D$800=Risk_Rank_Keys!D627))+1)/2)/COUNT(Risk_Rank_Keys!$D$2:$D$800))</f>
        <v>0.51255230125523</v>
      </c>
      <c r="P627" s="0" t="n">
        <f aca="false">AVERAGE(M627:O627)</f>
        <v>0.318688981868898</v>
      </c>
      <c r="Q627" s="0" t="n">
        <f aca="false">0.4*H627+0.4*I627+0.2*P627</f>
        <v>0.45472653229368</v>
      </c>
      <c r="R627" s="0" t="n">
        <f aca="false">PERCENTILE($Q$2:$Q$800,0.75)</f>
        <v>0.667715717403612</v>
      </c>
      <c r="S627" s="1" t="b">
        <f aca="false">OR(Q627&gt;=R627,AND(B627="CW",COUNT(J627:L627)&lt;3))</f>
        <v>0</v>
      </c>
      <c r="T627" s="0" t="n">
        <v>0.30135157608458</v>
      </c>
      <c r="U627" s="0" t="n">
        <v>6.83976750269369</v>
      </c>
      <c r="V627" s="0" t="n">
        <v>0.45472653229368</v>
      </c>
      <c r="W627" s="0" t="n">
        <f aca="false">Q627-V627</f>
        <v>0</v>
      </c>
    </row>
    <row r="628" customFormat="false" ht="15" hidden="false" customHeight="false" outlineLevel="0" collapsed="false">
      <c r="A628" s="0" t="s">
        <v>662</v>
      </c>
      <c r="B628" s="0" t="s">
        <v>3013</v>
      </c>
      <c r="C628" s="0" t="n">
        <v>37.0663663710912</v>
      </c>
      <c r="D628" s="0" t="n">
        <f aca="false">SUMPRODUCT(Risk_Inputs!B628:AJ628,Risk_Coefs!$B$2:$AJ$2)</f>
        <v>-0.660188808589562</v>
      </c>
      <c r="E628" s="0" t="n">
        <f aca="false">1/(1+EXP(-MAX(-25,MIN(25,D628))))</f>
        <v>0.340697199593438</v>
      </c>
      <c r="F628" s="0" t="n">
        <f aca="false">SUMPRODUCT(Risk_Inputs!B628:AJ628,Risk_Coefs!$B$3:$AJ$3)</f>
        <v>12.1350782099342</v>
      </c>
      <c r="G628" s="0" t="n">
        <f aca="false">MAX(0,F628)</f>
        <v>12.1350782099342</v>
      </c>
      <c r="H628" s="0" t="n">
        <f aca="false">(SUMPRODUCT(--ISNUMBER($E$2:$E$800),--($E$2:$E$800&lt;E628))+(SUMPRODUCT(--ISNUMBER($E$2:$E$800),--($E$2:$E$800=E628))+1)/2)/COUNT($E$2:$E$800)</f>
        <v>0.788485607008761</v>
      </c>
      <c r="I628" s="0" t="n">
        <f aca="false">(SUMPRODUCT(--ISNUMBER($G$2:$G$800),--($G$2:$G$800&lt;G628))+(SUMPRODUCT(--ISNUMBER($G$2:$G$800),--($G$2:$G$800=G628))+1)/2)/COUNT($G$2:$G$800)</f>
        <v>0.923654568210263</v>
      </c>
      <c r="J628" s="0" t="n">
        <v>4.58097775375811</v>
      </c>
      <c r="K628" s="0" t="n">
        <v>9.25226586102719</v>
      </c>
      <c r="L628" s="0" t="n">
        <v>0.264350453172212</v>
      </c>
      <c r="M628" s="0" t="n">
        <f aca="false">IF(OR(B628="NW",COUNT(Risk_Rank_Keys!B628)=0),0.5,(SUMPRODUCT(--ISNUMBER(Risk_Rank_Keys!$B$2:$B$800),--(Risk_Rank_Keys!$B$2:$B$800&lt;Risk_Rank_Keys!B628))+(SUMPRODUCT(--ISNUMBER(Risk_Rank_Keys!$B$2:$B$800),--(Risk_Rank_Keys!$B$2:$B$800=Risk_Rank_Keys!B628))+1)/2)/COUNT(Risk_Rank_Keys!$B$2:$B$800))</f>
        <v>0.105997210599721</v>
      </c>
      <c r="N628" s="0" t="n">
        <f aca="false">IF(OR(B628="NW",COUNT(Risk_Rank_Keys!C628)=0),0.5,(SUMPRODUCT(--ISNUMBER(Risk_Rank_Keys!$C$2:$C$800),--(Risk_Rank_Keys!$C$2:$C$800&lt;Risk_Rank_Keys!C628))+(SUMPRODUCT(--ISNUMBER(Risk_Rank_Keys!$C$2:$C$800),--(Risk_Rank_Keys!$C$2:$C$800=Risk_Rank_Keys!C628))+1)/2)/COUNT(Risk_Rank_Keys!$C$2:$C$800))</f>
        <v>0.861924686192469</v>
      </c>
      <c r="O628" s="0" t="n">
        <f aca="false">IF(OR(B628="NW",COUNT(Risk_Rank_Keys!D628)=0),0.5,(SUMPRODUCT(--ISNUMBER(Risk_Rank_Keys!$D$2:$D$800),--(Risk_Rank_Keys!$D$2:$D$800&lt;Risk_Rank_Keys!D628))+(SUMPRODUCT(--ISNUMBER(Risk_Rank_Keys!$D$2:$D$800),--(Risk_Rank_Keys!$D$2:$D$800=Risk_Rank_Keys!D628))+1)/2)/COUNT(Risk_Rank_Keys!$D$2:$D$800))</f>
        <v>0.650627615062762</v>
      </c>
      <c r="P628" s="0" t="n">
        <f aca="false">AVERAGE(M628:O628)</f>
        <v>0.53951650395165</v>
      </c>
      <c r="Q628" s="0" t="n">
        <f aca="false">0.4*H628+0.4*I628+0.2*P628</f>
        <v>0.79275937087794</v>
      </c>
      <c r="R628" s="0" t="n">
        <f aca="false">PERCENTILE($Q$2:$Q$800,0.75)</f>
        <v>0.667715717403612</v>
      </c>
      <c r="S628" s="1" t="b">
        <f aca="false">OR(Q628&gt;=R628,AND(B628="CW",COUNT(J628:L628)&lt;3))</f>
        <v>1</v>
      </c>
      <c r="T628" s="0" t="n">
        <v>0.340697199593438</v>
      </c>
      <c r="U628" s="0" t="n">
        <v>12.1350782099342</v>
      </c>
      <c r="V628" s="0" t="n">
        <v>0.79275937087794</v>
      </c>
      <c r="W628" s="0" t="n">
        <f aca="false">Q628-V628</f>
        <v>0</v>
      </c>
    </row>
    <row r="629" customFormat="false" ht="15" hidden="false" customHeight="false" outlineLevel="0" collapsed="false">
      <c r="A629" s="0" t="s">
        <v>663</v>
      </c>
      <c r="B629" s="0" t="s">
        <v>3013</v>
      </c>
      <c r="C629" s="0" t="n">
        <v>36.2331903537179</v>
      </c>
      <c r="D629" s="0" t="n">
        <f aca="false">SUMPRODUCT(Risk_Inputs!B629:AJ629,Risk_Coefs!$B$2:$AJ$2)</f>
        <v>-1.03573622505508</v>
      </c>
      <c r="E629" s="0" t="n">
        <f aca="false">1/(1+EXP(-MAX(-25,MIN(25,D629))))</f>
        <v>0.261973529611</v>
      </c>
      <c r="F629" s="0" t="n">
        <f aca="false">SUMPRODUCT(Risk_Inputs!B629:AJ629,Risk_Coefs!$B$3:$AJ$3)</f>
        <v>8.61186778121528</v>
      </c>
      <c r="G629" s="0" t="n">
        <f aca="false">MAX(0,F629)</f>
        <v>8.61186778121528</v>
      </c>
      <c r="H629" s="0" t="n">
        <f aca="false">(SUMPRODUCT(--ISNUMBER($E$2:$E$800),--($E$2:$E$800&lt;E629))+(SUMPRODUCT(--ISNUMBER($E$2:$E$800),--($E$2:$E$800=E629))+1)/2)/COUNT($E$2:$E$800)</f>
        <v>0.346683354192741</v>
      </c>
      <c r="I629" s="0" t="n">
        <f aca="false">(SUMPRODUCT(--ISNUMBER($G$2:$G$800),--($G$2:$G$800&lt;G629))+(SUMPRODUCT(--ISNUMBER($G$2:$G$800),--($G$2:$G$800=G629))+1)/2)/COUNT($G$2:$G$800)</f>
        <v>0.624530663329161</v>
      </c>
      <c r="J629" s="0" t="n">
        <v>13.9917191003883</v>
      </c>
      <c r="K629" s="0" t="n">
        <v>5.21909744931327</v>
      </c>
      <c r="L629" s="0" t="n">
        <v>0.235448005232172</v>
      </c>
      <c r="M629" s="0" t="n">
        <f aca="false">IF(OR(B629="NW",COUNT(Risk_Rank_Keys!B629)=0),0.5,(SUMPRODUCT(--ISNUMBER(Risk_Rank_Keys!$B$2:$B$800),--(Risk_Rank_Keys!$B$2:$B$800&lt;Risk_Rank_Keys!B629))+(SUMPRODUCT(--ISNUMBER(Risk_Rank_Keys!$B$2:$B$800),--(Risk_Rank_Keys!$B$2:$B$800=Risk_Rank_Keys!B629))+1)/2)/COUNT(Risk_Rank_Keys!$B$2:$B$800))</f>
        <v>0.676429567642957</v>
      </c>
      <c r="N629" s="0" t="n">
        <f aca="false">IF(OR(B629="NW",COUNT(Risk_Rank_Keys!C629)=0),0.5,(SUMPRODUCT(--ISNUMBER(Risk_Rank_Keys!$C$2:$C$800),--(Risk_Rank_Keys!$C$2:$C$800&lt;Risk_Rank_Keys!C629))+(SUMPRODUCT(--ISNUMBER(Risk_Rank_Keys!$C$2:$C$800),--(Risk_Rank_Keys!$C$2:$C$800=Risk_Rank_Keys!C629))+1)/2)/COUNT(Risk_Rank_Keys!$C$2:$C$800))</f>
        <v>0.701534170153417</v>
      </c>
      <c r="O629" s="0" t="n">
        <f aca="false">IF(OR(B629="NW",COUNT(Risk_Rank_Keys!D629)=0),0.5,(SUMPRODUCT(--ISNUMBER(Risk_Rank_Keys!$D$2:$D$800),--(Risk_Rank_Keys!$D$2:$D$800&lt;Risk_Rank_Keys!D629))+(SUMPRODUCT(--ISNUMBER(Risk_Rank_Keys!$D$2:$D$800),--(Risk_Rank_Keys!$D$2:$D$800=Risk_Rank_Keys!D629))+1)/2)/COUNT(Risk_Rank_Keys!$D$2:$D$800))</f>
        <v>0.524407252440725</v>
      </c>
      <c r="P629" s="0" t="n">
        <f aca="false">AVERAGE(M629:O629)</f>
        <v>0.634123663412366</v>
      </c>
      <c r="Q629" s="0" t="n">
        <f aca="false">0.4*H629+0.4*I629+0.2*P629</f>
        <v>0.515310339691234</v>
      </c>
      <c r="R629" s="0" t="n">
        <f aca="false">PERCENTILE($Q$2:$Q$800,0.75)</f>
        <v>0.667715717403612</v>
      </c>
      <c r="S629" s="1" t="b">
        <f aca="false">OR(Q629&gt;=R629,AND(B629="CW",COUNT(J629:L629)&lt;3))</f>
        <v>0</v>
      </c>
      <c r="T629" s="0" t="n">
        <v>0.261973529611001</v>
      </c>
      <c r="U629" s="0" t="n">
        <v>8.61186778121528</v>
      </c>
      <c r="V629" s="0" t="n">
        <v>0.515310339691234</v>
      </c>
      <c r="W629" s="0" t="n">
        <f aca="false">Q629-V629</f>
        <v>0</v>
      </c>
    </row>
    <row r="630" customFormat="false" ht="15" hidden="false" customHeight="false" outlineLevel="0" collapsed="false">
      <c r="A630" s="0" t="s">
        <v>664</v>
      </c>
      <c r="B630" s="0" t="s">
        <v>3013</v>
      </c>
      <c r="C630" s="0" t="n">
        <v>54.8033726098851</v>
      </c>
      <c r="D630" s="0" t="n">
        <f aca="false">SUMPRODUCT(Risk_Inputs!B630:AJ630,Risk_Coefs!$B$2:$AJ$2)</f>
        <v>-0.804224908587715</v>
      </c>
      <c r="E630" s="0" t="n">
        <f aca="false">1/(1+EXP(-MAX(-25,MIN(25,D630))))</f>
        <v>0.309122496090293</v>
      </c>
      <c r="F630" s="0" t="n">
        <f aca="false">SUMPRODUCT(Risk_Inputs!B630:AJ630,Risk_Coefs!$B$3:$AJ$3)</f>
        <v>8.15624048153247</v>
      </c>
      <c r="G630" s="0" t="n">
        <f aca="false">MAX(0,F630)</f>
        <v>8.15624048153247</v>
      </c>
      <c r="H630" s="0" t="n">
        <f aca="false">(SUMPRODUCT(--ISNUMBER($E$2:$E$800),--($E$2:$E$800&lt;E630))+(SUMPRODUCT(--ISNUMBER($E$2:$E$800),--($E$2:$E$800=E630))+1)/2)/COUNT($E$2:$E$800)</f>
        <v>0.612015018773467</v>
      </c>
      <c r="I630" s="0" t="n">
        <f aca="false">(SUMPRODUCT(--ISNUMBER($G$2:$G$800),--($G$2:$G$800&lt;G630))+(SUMPRODUCT(--ISNUMBER($G$2:$G$800),--($G$2:$G$800=G630))+1)/2)/COUNT($G$2:$G$800)</f>
        <v>0.55819774718398</v>
      </c>
      <c r="J630" s="0" t="n">
        <v>4.55771934291872</v>
      </c>
      <c r="K630" s="0" t="n">
        <v>1.62615841930407</v>
      </c>
      <c r="L630" s="0" t="n">
        <v>0.244798041615663</v>
      </c>
      <c r="M630" s="0" t="n">
        <f aca="false">IF(OR(B630="NW",COUNT(Risk_Rank_Keys!B630)=0),0.5,(SUMPRODUCT(--ISNUMBER(Risk_Rank_Keys!$B$2:$B$800),--(Risk_Rank_Keys!$B$2:$B$800&lt;Risk_Rank_Keys!B630))+(SUMPRODUCT(--ISNUMBER(Risk_Rank_Keys!$B$2:$B$800),--(Risk_Rank_Keys!$B$2:$B$800=Risk_Rank_Keys!B630))+1)/2)/COUNT(Risk_Rank_Keys!$B$2:$B$800))</f>
        <v>0.103207810320781</v>
      </c>
      <c r="N630" s="0" t="n">
        <f aca="false">IF(OR(B630="NW",COUNT(Risk_Rank_Keys!C630)=0),0.5,(SUMPRODUCT(--ISNUMBER(Risk_Rank_Keys!$C$2:$C$800),--(Risk_Rank_Keys!$C$2:$C$800&lt;Risk_Rank_Keys!C630))+(SUMPRODUCT(--ISNUMBER(Risk_Rank_Keys!$C$2:$C$800),--(Risk_Rank_Keys!$C$2:$C$800=Risk_Rank_Keys!C630))+1)/2)/COUNT(Risk_Rank_Keys!$C$2:$C$800))</f>
        <v>0.170153417015342</v>
      </c>
      <c r="O630" s="0" t="n">
        <f aca="false">IF(OR(B630="NW",COUNT(Risk_Rank_Keys!D630)=0),0.5,(SUMPRODUCT(--ISNUMBER(Risk_Rank_Keys!$D$2:$D$800),--(Risk_Rank_Keys!$D$2:$D$800&lt;Risk_Rank_Keys!D630))+(SUMPRODUCT(--ISNUMBER(Risk_Rank_Keys!$D$2:$D$800),--(Risk_Rank_Keys!$D$2:$D$800=Risk_Rank_Keys!D630))+1)/2)/COUNT(Risk_Rank_Keys!$D$2:$D$800))</f>
        <v>0.564853556485356</v>
      </c>
      <c r="P630" s="0" t="n">
        <f aca="false">AVERAGE(M630:O630)</f>
        <v>0.279404927940493</v>
      </c>
      <c r="Q630" s="0" t="n">
        <f aca="false">0.4*H630+0.4*I630+0.2*P630</f>
        <v>0.523966091971077</v>
      </c>
      <c r="R630" s="0" t="n">
        <f aca="false">PERCENTILE($Q$2:$Q$800,0.75)</f>
        <v>0.667715717403612</v>
      </c>
      <c r="S630" s="1" t="b">
        <f aca="false">OR(Q630&gt;=R630,AND(B630="CW",COUNT(J630:L630)&lt;3))</f>
        <v>0</v>
      </c>
      <c r="T630" s="0" t="n">
        <v>0.309122496090293</v>
      </c>
      <c r="U630" s="0" t="n">
        <v>8.15624048153247</v>
      </c>
      <c r="V630" s="0" t="n">
        <v>0.523966091971077</v>
      </c>
      <c r="W630" s="0" t="n">
        <f aca="false">Q630-V630</f>
        <v>0</v>
      </c>
    </row>
    <row r="631" customFormat="false" ht="15" hidden="false" customHeight="false" outlineLevel="0" collapsed="false">
      <c r="A631" s="0" t="s">
        <v>665</v>
      </c>
      <c r="B631" s="0" t="s">
        <v>3013</v>
      </c>
      <c r="C631" s="0" t="n">
        <v>-37.8658806833105</v>
      </c>
      <c r="D631" s="0" t="n">
        <f aca="false">SUMPRODUCT(Risk_Inputs!B631:AJ631,Risk_Coefs!$B$2:$AJ$2)</f>
        <v>-0.842136526572885</v>
      </c>
      <c r="E631" s="0" t="n">
        <f aca="false">1/(1+EXP(-MAX(-25,MIN(25,D631))))</f>
        <v>0.301084997699433</v>
      </c>
      <c r="F631" s="0" t="n">
        <f aca="false">SUMPRODUCT(Risk_Inputs!B631:AJ631,Risk_Coefs!$B$3:$AJ$3)</f>
        <v>8.95386707983108</v>
      </c>
      <c r="G631" s="0" t="n">
        <f aca="false">MAX(0,F631)</f>
        <v>8.95386707983108</v>
      </c>
      <c r="H631" s="0" t="n">
        <f aca="false">(SUMPRODUCT(--ISNUMBER($E$2:$E$800),--($E$2:$E$800&lt;E631))+(SUMPRODUCT(--ISNUMBER($E$2:$E$800),--($E$2:$E$800=E631))+1)/2)/COUNT($E$2:$E$800)</f>
        <v>0.574468085106383</v>
      </c>
      <c r="I631" s="0" t="n">
        <f aca="false">(SUMPRODUCT(--ISNUMBER($G$2:$G$800),--($G$2:$G$800&lt;G631))+(SUMPRODUCT(--ISNUMBER($G$2:$G$800),--($G$2:$G$800=G631))+1)/2)/COUNT($G$2:$G$800)</f>
        <v>0.67459324155194</v>
      </c>
      <c r="J631" s="0" t="n">
        <v>7.08384061142088</v>
      </c>
      <c r="K631" s="0" t="n">
        <v>2.03989120580236</v>
      </c>
      <c r="L631" s="0" t="n">
        <v>0.203989120580231</v>
      </c>
      <c r="M631" s="0" t="n">
        <f aca="false">IF(OR(B631="NW",COUNT(Risk_Rank_Keys!B631)=0),0.5,(SUMPRODUCT(--ISNUMBER(Risk_Rank_Keys!$B$2:$B$800),--(Risk_Rank_Keys!$B$2:$B$800&lt;Risk_Rank_Keys!B631))+(SUMPRODUCT(--ISNUMBER(Risk_Rank_Keys!$B$2:$B$800),--(Risk_Rank_Keys!$B$2:$B$800=Risk_Rank_Keys!B631))+1)/2)/COUNT(Risk_Rank_Keys!$B$2:$B$800))</f>
        <v>0.322175732217573</v>
      </c>
      <c r="N631" s="0" t="n">
        <f aca="false">IF(OR(B631="NW",COUNT(Risk_Rank_Keys!C631)=0),0.5,(SUMPRODUCT(--ISNUMBER(Risk_Rank_Keys!$C$2:$C$800),--(Risk_Rank_Keys!$C$2:$C$800&lt;Risk_Rank_Keys!C631))+(SUMPRODUCT(--ISNUMBER(Risk_Rank_Keys!$C$2:$C$800),--(Risk_Rank_Keys!$C$2:$C$800=Risk_Rank_Keys!C631))+1)/2)/COUNT(Risk_Rank_Keys!$C$2:$C$800))</f>
        <v>0.281729428172943</v>
      </c>
      <c r="O631" s="0" t="n">
        <f aca="false">IF(OR(B631="NW",COUNT(Risk_Rank_Keys!D631)=0),0.5,(SUMPRODUCT(--ISNUMBER(Risk_Rank_Keys!$D$2:$D$800),--(Risk_Rank_Keys!$D$2:$D$800&lt;Risk_Rank_Keys!D631))+(SUMPRODUCT(--ISNUMBER(Risk_Rank_Keys!$D$2:$D$800),--(Risk_Rank_Keys!$D$2:$D$800=Risk_Rank_Keys!D631))+1)/2)/COUNT(Risk_Rank_Keys!$D$2:$D$800))</f>
        <v>0.338912133891213</v>
      </c>
      <c r="P631" s="0" t="n">
        <f aca="false">AVERAGE(M631:O631)</f>
        <v>0.314272431427243</v>
      </c>
      <c r="Q631" s="0" t="n">
        <f aca="false">0.4*H631+0.4*I631+0.2*P631</f>
        <v>0.562479016948778</v>
      </c>
      <c r="R631" s="0" t="n">
        <f aca="false">PERCENTILE($Q$2:$Q$800,0.75)</f>
        <v>0.667715717403612</v>
      </c>
      <c r="S631" s="1" t="b">
        <f aca="false">OR(Q631&gt;=R631,AND(B631="CW",COUNT(J631:L631)&lt;3))</f>
        <v>0</v>
      </c>
      <c r="T631" s="0" t="n">
        <v>0.301084997699433</v>
      </c>
      <c r="U631" s="0" t="n">
        <v>8.95386707983108</v>
      </c>
      <c r="V631" s="0" t="n">
        <v>0.562479016948778</v>
      </c>
      <c r="W631" s="0" t="n">
        <f aca="false">Q631-V631</f>
        <v>0</v>
      </c>
    </row>
    <row r="632" customFormat="false" ht="15" hidden="false" customHeight="false" outlineLevel="0" collapsed="false">
      <c r="A632" s="0" t="s">
        <v>666</v>
      </c>
      <c r="B632" s="0" t="s">
        <v>3013</v>
      </c>
      <c r="C632" s="0" t="n">
        <v>35.7960081501801</v>
      </c>
      <c r="D632" s="0" t="n">
        <f aca="false">SUMPRODUCT(Risk_Inputs!B632:AJ632,Risk_Coefs!$B$2:$AJ$2)</f>
        <v>-1.00894948976596</v>
      </c>
      <c r="E632" s="0" t="n">
        <f aca="false">1/(1+EXP(-MAX(-25,MIN(25,D632))))</f>
        <v>0.267185487624263</v>
      </c>
      <c r="F632" s="0" t="n">
        <f aca="false">SUMPRODUCT(Risk_Inputs!B632:AJ632,Risk_Coefs!$B$3:$AJ$3)</f>
        <v>9.85366923443789</v>
      </c>
      <c r="G632" s="0" t="n">
        <f aca="false">MAX(0,F632)</f>
        <v>9.85366923443789</v>
      </c>
      <c r="H632" s="0" t="n">
        <f aca="false">(SUMPRODUCT(--ISNUMBER($E$2:$E$800),--($E$2:$E$800&lt;E632))+(SUMPRODUCT(--ISNUMBER($E$2:$E$800),--($E$2:$E$800=E632))+1)/2)/COUNT($E$2:$E$800)</f>
        <v>0.380475594493116</v>
      </c>
      <c r="I632" s="0" t="n">
        <f aca="false">(SUMPRODUCT(--ISNUMBER($G$2:$G$800),--($G$2:$G$800&lt;G632))+(SUMPRODUCT(--ISNUMBER($G$2:$G$800),--($G$2:$G$800=G632))+1)/2)/COUNT($G$2:$G$800)</f>
        <v>0.775969962453066</v>
      </c>
      <c r="J632" s="0" t="n">
        <v>12.9760971192634</v>
      </c>
      <c r="K632" s="0" t="n">
        <v>8.49176172370089</v>
      </c>
      <c r="L632" s="0" t="n">
        <v>0.285171102661599</v>
      </c>
      <c r="M632" s="0" t="n">
        <f aca="false">IF(OR(B632="NW",COUNT(Risk_Rank_Keys!B632)=0),0.5,(SUMPRODUCT(--ISNUMBER(Risk_Rank_Keys!$B$2:$B$800),--(Risk_Rank_Keys!$B$2:$B$800&lt;Risk_Rank_Keys!B632))+(SUMPRODUCT(--ISNUMBER(Risk_Rank_Keys!$B$2:$B$800),--(Risk_Rank_Keys!$B$2:$B$800=Risk_Rank_Keys!B632))+1)/2)/COUNT(Risk_Rank_Keys!$B$2:$B$800))</f>
        <v>0.640167364016736</v>
      </c>
      <c r="N632" s="0" t="n">
        <f aca="false">IF(OR(B632="NW",COUNT(Risk_Rank_Keys!C632)=0),0.5,(SUMPRODUCT(--ISNUMBER(Risk_Rank_Keys!$C$2:$C$800),--(Risk_Rank_Keys!$C$2:$C$800&lt;Risk_Rank_Keys!C632))+(SUMPRODUCT(--ISNUMBER(Risk_Rank_Keys!$C$2:$C$800),--(Risk_Rank_Keys!$C$2:$C$800=Risk_Rank_Keys!C632))+1)/2)/COUNT(Risk_Rank_Keys!$C$2:$C$800))</f>
        <v>0.838214783821478</v>
      </c>
      <c r="O632" s="0" t="n">
        <f aca="false">IF(OR(B632="NW",COUNT(Risk_Rank_Keys!D632)=0),0.5,(SUMPRODUCT(--ISNUMBER(Risk_Rank_Keys!$D$2:$D$800),--(Risk_Rank_Keys!$D$2:$D$800&lt;Risk_Rank_Keys!D632))+(SUMPRODUCT(--ISNUMBER(Risk_Rank_Keys!$D$2:$D$800),--(Risk_Rank_Keys!$D$2:$D$800=Risk_Rank_Keys!D632))+1)/2)/COUNT(Risk_Rank_Keys!$D$2:$D$800))</f>
        <v>0.712691771269177</v>
      </c>
      <c r="P632" s="0" t="n">
        <f aca="false">AVERAGE(M632:O632)</f>
        <v>0.730357973035797</v>
      </c>
      <c r="Q632" s="0" t="n">
        <f aca="false">0.4*H632+0.4*I632+0.2*P632</f>
        <v>0.608649817385633</v>
      </c>
      <c r="R632" s="0" t="n">
        <f aca="false">PERCENTILE($Q$2:$Q$800,0.75)</f>
        <v>0.667715717403612</v>
      </c>
      <c r="S632" s="1" t="b">
        <f aca="false">OR(Q632&gt;=R632,AND(B632="CW",COUNT(J632:L632)&lt;3))</f>
        <v>0</v>
      </c>
      <c r="T632" s="0" t="n">
        <v>0.267185487624263</v>
      </c>
      <c r="U632" s="0" t="n">
        <v>9.85366923443789</v>
      </c>
      <c r="V632" s="0" t="n">
        <v>0.608649817385633</v>
      </c>
      <c r="W632" s="0" t="n">
        <f aca="false">Q632-V632</f>
        <v>0</v>
      </c>
    </row>
    <row r="633" customFormat="false" ht="15" hidden="false" customHeight="false" outlineLevel="0" collapsed="false">
      <c r="A633" s="0" t="s">
        <v>667</v>
      </c>
      <c r="B633" s="0" t="s">
        <v>3013</v>
      </c>
      <c r="C633" s="0" t="n">
        <v>-38.5857755033494</v>
      </c>
      <c r="D633" s="0" t="n">
        <f aca="false">SUMPRODUCT(Risk_Inputs!B633:AJ633,Risk_Coefs!$B$2:$AJ$2)</f>
        <v>-1.10192753280204</v>
      </c>
      <c r="E633" s="0" t="n">
        <f aca="false">1/(1+EXP(-MAX(-25,MIN(25,D633))))</f>
        <v>0.249378907062428</v>
      </c>
      <c r="F633" s="0" t="n">
        <f aca="false">SUMPRODUCT(Risk_Inputs!B633:AJ633,Risk_Coefs!$B$3:$AJ$3)</f>
        <v>8.5544271148537</v>
      </c>
      <c r="G633" s="0" t="n">
        <f aca="false">MAX(0,F633)</f>
        <v>8.5544271148537</v>
      </c>
      <c r="H633" s="0" t="n">
        <f aca="false">(SUMPRODUCT(--ISNUMBER($E$2:$E$800),--($E$2:$E$800&lt;E633))+(SUMPRODUCT(--ISNUMBER($E$2:$E$800),--($E$2:$E$800=E633))+1)/2)/COUNT($E$2:$E$800)</f>
        <v>0.260325406758448</v>
      </c>
      <c r="I633" s="0" t="n">
        <f aca="false">(SUMPRODUCT(--ISNUMBER($G$2:$G$800),--($G$2:$G$800&lt;G633))+(SUMPRODUCT(--ISNUMBER($G$2:$G$800),--($G$2:$G$800=G633))+1)/2)/COUNT($G$2:$G$800)</f>
        <v>0.613266583229036</v>
      </c>
      <c r="J633" s="0" t="n">
        <v>7.60735665967822</v>
      </c>
      <c r="K633" s="0" t="n">
        <v>1.41352949661041</v>
      </c>
      <c r="L633" s="0" t="n">
        <v>0.216356555603643</v>
      </c>
      <c r="M633" s="0" t="n">
        <f aca="false">IF(OR(B633="NW",COUNT(Risk_Rank_Keys!B633)=0),0.5,(SUMPRODUCT(--ISNUMBER(Risk_Rank_Keys!$B$2:$B$800),--(Risk_Rank_Keys!$B$2:$B$800&lt;Risk_Rank_Keys!B633))+(SUMPRODUCT(--ISNUMBER(Risk_Rank_Keys!$B$2:$B$800),--(Risk_Rank_Keys!$B$2:$B$800=Risk_Rank_Keys!B633))+1)/2)/COUNT(Risk_Rank_Keys!$B$2:$B$800))</f>
        <v>0.361227336122734</v>
      </c>
      <c r="N633" s="0" t="n">
        <f aca="false">IF(OR(B633="NW",COUNT(Risk_Rank_Keys!C633)=0),0.5,(SUMPRODUCT(--ISNUMBER(Risk_Rank_Keys!$C$2:$C$800),--(Risk_Rank_Keys!$C$2:$C$800&lt;Risk_Rank_Keys!C633))+(SUMPRODUCT(--ISNUMBER(Risk_Rank_Keys!$C$2:$C$800),--(Risk_Rank_Keys!$C$2:$C$800=Risk_Rank_Keys!C633))+1)/2)/COUNT(Risk_Rank_Keys!$C$2:$C$800))</f>
        <v>0.110181311018131</v>
      </c>
      <c r="O633" s="0" t="n">
        <f aca="false">IF(OR(B633="NW",COUNT(Risk_Rank_Keys!D633)=0),0.5,(SUMPRODUCT(--ISNUMBER(Risk_Rank_Keys!$D$2:$D$800),--(Risk_Rank_Keys!$D$2:$D$800&lt;Risk_Rank_Keys!D633))+(SUMPRODUCT(--ISNUMBER(Risk_Rank_Keys!$D$2:$D$800),--(Risk_Rank_Keys!$D$2:$D$800=Risk_Rank_Keys!D633))+1)/2)/COUNT(Risk_Rank_Keys!$D$2:$D$800))</f>
        <v>0.422594142259414</v>
      </c>
      <c r="P633" s="0" t="n">
        <f aca="false">AVERAGE(M633:O633)</f>
        <v>0.298000929800093</v>
      </c>
      <c r="Q633" s="0" t="n">
        <f aca="false">0.4*H633+0.4*I633+0.2*P633</f>
        <v>0.409036981955012</v>
      </c>
      <c r="R633" s="0" t="n">
        <f aca="false">PERCENTILE($Q$2:$Q$800,0.75)</f>
        <v>0.667715717403612</v>
      </c>
      <c r="S633" s="1" t="b">
        <f aca="false">OR(Q633&gt;=R633,AND(B633="CW",COUNT(J633:L633)&lt;3))</f>
        <v>0</v>
      </c>
      <c r="T633" s="0" t="n">
        <v>0.249378907062428</v>
      </c>
      <c r="U633" s="0" t="n">
        <v>8.5544271148537</v>
      </c>
      <c r="V633" s="0" t="n">
        <v>0.409036981955012</v>
      </c>
      <c r="W633" s="0" t="n">
        <f aca="false">Q633-V633</f>
        <v>0</v>
      </c>
    </row>
    <row r="634" customFormat="false" ht="15" hidden="false" customHeight="false" outlineLevel="0" collapsed="false">
      <c r="A634" s="0" t="s">
        <v>668</v>
      </c>
      <c r="B634" s="0" t="s">
        <v>3013</v>
      </c>
      <c r="C634" s="0" t="n">
        <v>-5.42311885837483</v>
      </c>
      <c r="D634" s="0" t="n">
        <f aca="false">SUMPRODUCT(Risk_Inputs!B634:AJ634,Risk_Coefs!$B$2:$AJ$2)</f>
        <v>-0.719423905054875</v>
      </c>
      <c r="E634" s="0" t="n">
        <f aca="false">1/(1+EXP(-MAX(-25,MIN(25,D634))))</f>
        <v>0.327519855579232</v>
      </c>
      <c r="F634" s="0" t="n">
        <f aca="false">SUMPRODUCT(Risk_Inputs!B634:AJ634,Risk_Coefs!$B$3:$AJ$3)</f>
        <v>9.1085723172858</v>
      </c>
      <c r="G634" s="0" t="n">
        <f aca="false">MAX(0,F634)</f>
        <v>9.1085723172858</v>
      </c>
      <c r="H634" s="0" t="n">
        <f aca="false">(SUMPRODUCT(--ISNUMBER($E$2:$E$800),--($E$2:$E$800&lt;E634))+(SUMPRODUCT(--ISNUMBER($E$2:$E$800),--($E$2:$E$800=E634))+1)/2)/COUNT($E$2:$E$800)</f>
        <v>0.718397997496871</v>
      </c>
      <c r="I634" s="0" t="n">
        <f aca="false">(SUMPRODUCT(--ISNUMBER($G$2:$G$800),--($G$2:$G$800&lt;G634))+(SUMPRODUCT(--ISNUMBER($G$2:$G$800),--($G$2:$G$800=G634))+1)/2)/COUNT($G$2:$G$800)</f>
        <v>0.689612015018773</v>
      </c>
      <c r="J634" s="0" t="n">
        <v>27.0676757379778</v>
      </c>
      <c r="K634" s="0" t="n">
        <v>3.25978647686834</v>
      </c>
      <c r="L634" s="0" t="n">
        <v>0.0996441281138692</v>
      </c>
      <c r="M634" s="0" t="n">
        <f aca="false">IF(OR(B634="NW",COUNT(Risk_Rank_Keys!B634)=0),0.5,(SUMPRODUCT(--ISNUMBER(Risk_Rank_Keys!$B$2:$B$800),--(Risk_Rank_Keys!$B$2:$B$800&lt;Risk_Rank_Keys!B634))+(SUMPRODUCT(--ISNUMBER(Risk_Rank_Keys!$B$2:$B$800),--(Risk_Rank_Keys!$B$2:$B$800=Risk_Rank_Keys!B634))+1)/2)/COUNT(Risk_Rank_Keys!$B$2:$B$800))</f>
        <v>0.884239888423989</v>
      </c>
      <c r="N634" s="0" t="n">
        <f aca="false">IF(OR(B634="NW",COUNT(Risk_Rank_Keys!C634)=0),0.5,(SUMPRODUCT(--ISNUMBER(Risk_Rank_Keys!$C$2:$C$800),--(Risk_Rank_Keys!$C$2:$C$800&lt;Risk_Rank_Keys!C634))+(SUMPRODUCT(--ISNUMBER(Risk_Rank_Keys!$C$2:$C$800),--(Risk_Rank_Keys!$C$2:$C$800=Risk_Rank_Keys!C634))+1)/2)/COUNT(Risk_Rank_Keys!$C$2:$C$800))</f>
        <v>0.504881450488145</v>
      </c>
      <c r="O634" s="0" t="n">
        <f aca="false">IF(OR(B634="NW",COUNT(Risk_Rank_Keys!D634)=0),0.5,(SUMPRODUCT(--ISNUMBER(Risk_Rank_Keys!$D$2:$D$800),--(Risk_Rank_Keys!$D$2:$D$800&lt;Risk_Rank_Keys!D634))+(SUMPRODUCT(--ISNUMBER(Risk_Rank_Keys!$D$2:$D$800),--(Risk_Rank_Keys!$D$2:$D$800=Risk_Rank_Keys!D634))+1)/2)/COUNT(Risk_Rank_Keys!$D$2:$D$800))</f>
        <v>0.0195258019525802</v>
      </c>
      <c r="P634" s="0" t="n">
        <f aca="false">AVERAGE(M634:O634)</f>
        <v>0.469549046954905</v>
      </c>
      <c r="Q634" s="0" t="n">
        <f aca="false">0.4*H634+0.4*I634+0.2*P634</f>
        <v>0.657113814397239</v>
      </c>
      <c r="R634" s="0" t="n">
        <f aca="false">PERCENTILE($Q$2:$Q$800,0.75)</f>
        <v>0.667715717403612</v>
      </c>
      <c r="S634" s="1" t="b">
        <f aca="false">OR(Q634&gt;=R634,AND(B634="CW",COUNT(J634:L634)&lt;3))</f>
        <v>0</v>
      </c>
      <c r="T634" s="0" t="n">
        <v>0.327519855579232</v>
      </c>
      <c r="U634" s="0" t="n">
        <v>9.1085723172858</v>
      </c>
      <c r="V634" s="0" t="n">
        <v>0.657113814397239</v>
      </c>
      <c r="W634" s="0" t="n">
        <f aca="false">Q634-V634</f>
        <v>0</v>
      </c>
    </row>
    <row r="635" customFormat="false" ht="15" hidden="false" customHeight="false" outlineLevel="0" collapsed="false">
      <c r="A635" s="0" t="s">
        <v>669</v>
      </c>
      <c r="B635" s="0" t="s">
        <v>3013</v>
      </c>
      <c r="C635" s="0" t="n">
        <v>44.8822929743627</v>
      </c>
      <c r="D635" s="0" t="n">
        <f aca="false">SUMPRODUCT(Risk_Inputs!B635:AJ635,Risk_Coefs!$B$2:$AJ$2)</f>
        <v>-1.15840672416488</v>
      </c>
      <c r="E635" s="0" t="n">
        <f aca="false">1/(1+EXP(-MAX(-25,MIN(25,D635))))</f>
        <v>0.238956912212954</v>
      </c>
      <c r="F635" s="0" t="n">
        <f aca="false">SUMPRODUCT(Risk_Inputs!B635:AJ635,Risk_Coefs!$B$3:$AJ$3)</f>
        <v>6.19406928382215</v>
      </c>
      <c r="G635" s="0" t="n">
        <f aca="false">MAX(0,F635)</f>
        <v>6.19406928382215</v>
      </c>
      <c r="H635" s="0" t="n">
        <f aca="false">(SUMPRODUCT(--ISNUMBER($E$2:$E$800),--($E$2:$E$800&lt;E635))+(SUMPRODUCT(--ISNUMBER($E$2:$E$800),--($E$2:$E$800=E635))+1)/2)/COUNT($E$2:$E$800)</f>
        <v>0.220275344180225</v>
      </c>
      <c r="I635" s="0" t="n">
        <f aca="false">(SUMPRODUCT(--ISNUMBER($G$2:$G$800),--($G$2:$G$800&lt;G635))+(SUMPRODUCT(--ISNUMBER($G$2:$G$800),--($G$2:$G$800=G635))+1)/2)/COUNT($G$2:$G$800)</f>
        <v>0.294117647058824</v>
      </c>
      <c r="J635" s="0" t="n">
        <v>15.6906611187155</v>
      </c>
      <c r="K635" s="0" t="n">
        <v>6.75586389164189</v>
      </c>
      <c r="L635" s="0" t="n">
        <v>0.247770069375619</v>
      </c>
      <c r="M635" s="0" t="n">
        <f aca="false">IF(OR(B635="NW",COUNT(Risk_Rank_Keys!B635)=0),0.5,(SUMPRODUCT(--ISNUMBER(Risk_Rank_Keys!$B$2:$B$800),--(Risk_Rank_Keys!$B$2:$B$800&lt;Risk_Rank_Keys!B635))+(SUMPRODUCT(--ISNUMBER(Risk_Rank_Keys!$B$2:$B$800),--(Risk_Rank_Keys!$B$2:$B$800=Risk_Rank_Keys!B635))+1)/2)/COUNT(Risk_Rank_Keys!$B$2:$B$800))</f>
        <v>0.722454672245467</v>
      </c>
      <c r="N635" s="0" t="n">
        <f aca="false">IF(OR(B635="NW",COUNT(Risk_Rank_Keys!C635)=0),0.5,(SUMPRODUCT(--ISNUMBER(Risk_Rank_Keys!$C$2:$C$800),--(Risk_Rank_Keys!$C$2:$C$800&lt;Risk_Rank_Keys!C635))+(SUMPRODUCT(--ISNUMBER(Risk_Rank_Keys!$C$2:$C$800),--(Risk_Rank_Keys!$C$2:$C$800=Risk_Rank_Keys!C635))+1)/2)/COUNT(Risk_Rank_Keys!$C$2:$C$800))</f>
        <v>0.775453277545328</v>
      </c>
      <c r="O635" s="0" t="n">
        <f aca="false">IF(OR(B635="NW",COUNT(Risk_Rank_Keys!D635)=0),0.5,(SUMPRODUCT(--ISNUMBER(Risk_Rank_Keys!$D$2:$D$800),--(Risk_Rank_Keys!$D$2:$D$800&lt;Risk_Rank_Keys!D635))+(SUMPRODUCT(--ISNUMBER(Risk_Rank_Keys!$D$2:$D$800),--(Risk_Rank_Keys!$D$2:$D$800=Risk_Rank_Keys!D635))+1)/2)/COUNT(Risk_Rank_Keys!$D$2:$D$800))</f>
        <v>0.576011157601116</v>
      </c>
      <c r="P635" s="0" t="n">
        <f aca="false">AVERAGE(M635:O635)</f>
        <v>0.691306369130637</v>
      </c>
      <c r="Q635" s="0" t="n">
        <f aca="false">0.4*H635+0.4*I635+0.2*P635</f>
        <v>0.344018470321747</v>
      </c>
      <c r="R635" s="0" t="n">
        <f aca="false">PERCENTILE($Q$2:$Q$800,0.75)</f>
        <v>0.667715717403612</v>
      </c>
      <c r="S635" s="1" t="b">
        <f aca="false">OR(Q635&gt;=R635,AND(B635="CW",COUNT(J635:L635)&lt;3))</f>
        <v>0</v>
      </c>
      <c r="T635" s="0" t="n">
        <v>0.238956912212954</v>
      </c>
      <c r="U635" s="0" t="n">
        <v>6.19406928382214</v>
      </c>
      <c r="V635" s="0" t="n">
        <v>0.344018470321747</v>
      </c>
      <c r="W635" s="0" t="n">
        <f aca="false">Q635-V635</f>
        <v>0</v>
      </c>
    </row>
    <row r="636" customFormat="false" ht="15" hidden="false" customHeight="false" outlineLevel="0" collapsed="false">
      <c r="A636" s="0" t="s">
        <v>670</v>
      </c>
      <c r="B636" s="0" t="s">
        <v>3013</v>
      </c>
      <c r="C636" s="0" t="n">
        <v>4.88056155639421</v>
      </c>
      <c r="D636" s="0" t="n">
        <f aca="false">SUMPRODUCT(Risk_Inputs!B636:AJ636,Risk_Coefs!$B$2:$AJ$2)</f>
        <v>-0.603402451476142</v>
      </c>
      <c r="E636" s="0" t="n">
        <f aca="false">1/(1+EXP(-MAX(-25,MIN(25,D636))))</f>
        <v>0.353565652836291</v>
      </c>
      <c r="F636" s="0" t="n">
        <f aca="false">SUMPRODUCT(Risk_Inputs!B636:AJ636,Risk_Coefs!$B$3:$AJ$3)</f>
        <v>10.2155526348487</v>
      </c>
      <c r="G636" s="0" t="n">
        <f aca="false">MAX(0,F636)</f>
        <v>10.2155526348487</v>
      </c>
      <c r="H636" s="0" t="n">
        <f aca="false">(SUMPRODUCT(--ISNUMBER($E$2:$E$800),--($E$2:$E$800&lt;E636))+(SUMPRODUCT(--ISNUMBER($E$2:$E$800),--($E$2:$E$800=E636))+1)/2)/COUNT($E$2:$E$800)</f>
        <v>0.827284105131414</v>
      </c>
      <c r="I636" s="0" t="n">
        <f aca="false">(SUMPRODUCT(--ISNUMBER($G$2:$G$800),--($G$2:$G$800&lt;G636))+(SUMPRODUCT(--ISNUMBER($G$2:$G$800),--($G$2:$G$800=G636))+1)/2)/COUNT($G$2:$G$800)</f>
        <v>0.81476846057572</v>
      </c>
      <c r="J636" s="0" t="n">
        <v>11.5264824762465</v>
      </c>
      <c r="K636" s="0" t="n">
        <v>7.62312633832978</v>
      </c>
      <c r="L636" s="0" t="n">
        <v>0.171306209850103</v>
      </c>
      <c r="M636" s="0" t="n">
        <f aca="false">IF(OR(B636="NW",COUNT(Risk_Rank_Keys!B636)=0),0.5,(SUMPRODUCT(--ISNUMBER(Risk_Rank_Keys!$B$2:$B$800),--(Risk_Rank_Keys!$B$2:$B$800&lt;Risk_Rank_Keys!B636))+(SUMPRODUCT(--ISNUMBER(Risk_Rank_Keys!$B$2:$B$800),--(Risk_Rank_Keys!$B$2:$B$800=Risk_Rank_Keys!B636))+1)/2)/COUNT(Risk_Rank_Keys!$B$2:$B$800))</f>
        <v>0.573221757322176</v>
      </c>
      <c r="N636" s="0" t="n">
        <f aca="false">IF(OR(B636="NW",COUNT(Risk_Rank_Keys!C636)=0),0.5,(SUMPRODUCT(--ISNUMBER(Risk_Rank_Keys!$C$2:$C$800),--(Risk_Rank_Keys!$C$2:$C$800&lt;Risk_Rank_Keys!C636))+(SUMPRODUCT(--ISNUMBER(Risk_Rank_Keys!$C$2:$C$800),--(Risk_Rank_Keys!$C$2:$C$800=Risk_Rank_Keys!C636))+1)/2)/COUNT(Risk_Rank_Keys!$C$2:$C$800))</f>
        <v>0.814504881450488</v>
      </c>
      <c r="O636" s="0" t="n">
        <f aca="false">IF(OR(B636="NW",COUNT(Risk_Rank_Keys!D636)=0),0.5,(SUMPRODUCT(--ISNUMBER(Risk_Rank_Keys!$D$2:$D$800),--(Risk_Rank_Keys!$D$2:$D$800&lt;Risk_Rank_Keys!D636))+(SUMPRODUCT(--ISNUMBER(Risk_Rank_Keys!$D$2:$D$800),--(Risk_Rank_Keys!$D$2:$D$800=Risk_Rank_Keys!D636))+1)/2)/COUNT(Risk_Rank_Keys!$D$2:$D$800))</f>
        <v>0.172942817294282</v>
      </c>
      <c r="P636" s="0" t="n">
        <f aca="false">AVERAGE(M636:O636)</f>
        <v>0.520223152022315</v>
      </c>
      <c r="Q636" s="0" t="n">
        <f aca="false">0.4*H636+0.4*I636+0.2*P636</f>
        <v>0.760865656687317</v>
      </c>
      <c r="R636" s="0" t="n">
        <f aca="false">PERCENTILE($Q$2:$Q$800,0.75)</f>
        <v>0.667715717403612</v>
      </c>
      <c r="S636" s="1" t="b">
        <f aca="false">OR(Q636&gt;=R636,AND(B636="CW",COUNT(J636:L636)&lt;3))</f>
        <v>1</v>
      </c>
      <c r="T636" s="0" t="n">
        <v>0.353565652836291</v>
      </c>
      <c r="U636" s="0" t="n">
        <v>10.2155526348487</v>
      </c>
      <c r="V636" s="0" t="n">
        <v>0.760865656687317</v>
      </c>
      <c r="W636" s="0" t="n">
        <f aca="false">Q636-V636</f>
        <v>0</v>
      </c>
    </row>
    <row r="637" customFormat="false" ht="15" hidden="false" customHeight="false" outlineLevel="0" collapsed="false">
      <c r="A637" s="0" t="s">
        <v>671</v>
      </c>
      <c r="B637" s="0" t="s">
        <v>3013</v>
      </c>
      <c r="C637" s="0" t="n">
        <v>58.8501858845</v>
      </c>
      <c r="D637" s="0" t="n">
        <f aca="false">SUMPRODUCT(Risk_Inputs!B637:AJ637,Risk_Coefs!$B$2:$AJ$2)</f>
        <v>-0.624534805602092</v>
      </c>
      <c r="E637" s="0" t="n">
        <f aca="false">1/(1+EXP(-MAX(-25,MIN(25,D637))))</f>
        <v>0.348750784559693</v>
      </c>
      <c r="F637" s="0" t="n">
        <f aca="false">SUMPRODUCT(Risk_Inputs!B637:AJ637,Risk_Coefs!$B$3:$AJ$3)</f>
        <v>11.5829322933715</v>
      </c>
      <c r="G637" s="0" t="n">
        <f aca="false">MAX(0,F637)</f>
        <v>11.5829322933715</v>
      </c>
      <c r="H637" s="0" t="n">
        <f aca="false">(SUMPRODUCT(--ISNUMBER($E$2:$E$800),--($E$2:$E$800&lt;E637))+(SUMPRODUCT(--ISNUMBER($E$2:$E$800),--($E$2:$E$800=E637))+1)/2)/COUNT($E$2:$E$800)</f>
        <v>0.811013767209011</v>
      </c>
      <c r="I637" s="0" t="n">
        <f aca="false">(SUMPRODUCT(--ISNUMBER($G$2:$G$800),--($G$2:$G$800&lt;G637))+(SUMPRODUCT(--ISNUMBER($G$2:$G$800),--($G$2:$G$800=G637))+1)/2)/COUNT($G$2:$G$800)</f>
        <v>0.90613266583229</v>
      </c>
      <c r="J637" s="0" t="n">
        <v>15.3890208954053</v>
      </c>
      <c r="K637" s="0" t="n">
        <v>8.97832817337461</v>
      </c>
      <c r="L637" s="0" t="n">
        <v>0.278637770897826</v>
      </c>
      <c r="M637" s="0" t="n">
        <f aca="false">IF(OR(B637="NW",COUNT(Risk_Rank_Keys!B637)=0),0.5,(SUMPRODUCT(--ISNUMBER(Risk_Rank_Keys!$B$2:$B$800),--(Risk_Rank_Keys!$B$2:$B$800&lt;Risk_Rank_Keys!B637))+(SUMPRODUCT(--ISNUMBER(Risk_Rank_Keys!$B$2:$B$800),--(Risk_Rank_Keys!$B$2:$B$800=Risk_Rank_Keys!B637))+1)/2)/COUNT(Risk_Rank_Keys!$B$2:$B$800))</f>
        <v>0.715481171548117</v>
      </c>
      <c r="N637" s="0" t="n">
        <f aca="false">IF(OR(B637="NW",COUNT(Risk_Rank_Keys!C637)=0),0.5,(SUMPRODUCT(--ISNUMBER(Risk_Rank_Keys!$C$2:$C$800),--(Risk_Rank_Keys!$C$2:$C$800&lt;Risk_Rank_Keys!C637))+(SUMPRODUCT(--ISNUMBER(Risk_Rank_Keys!$C$2:$C$800),--(Risk_Rank_Keys!$C$2:$C$800=Risk_Rank_Keys!C637))+1)/2)/COUNT(Risk_Rank_Keys!$C$2:$C$800))</f>
        <v>0.846582984658299</v>
      </c>
      <c r="O637" s="0" t="n">
        <f aca="false">IF(OR(B637="NW",COUNT(Risk_Rank_Keys!D637)=0),0.5,(SUMPRODUCT(--ISNUMBER(Risk_Rank_Keys!$D$2:$D$800),--(Risk_Rank_Keys!$D$2:$D$800&lt;Risk_Rank_Keys!D637))+(SUMPRODUCT(--ISNUMBER(Risk_Rank_Keys!$D$2:$D$800),--(Risk_Rank_Keys!$D$2:$D$800=Risk_Rank_Keys!D637))+1)/2)/COUNT(Risk_Rank_Keys!$D$2:$D$800))</f>
        <v>0.694560669456067</v>
      </c>
      <c r="P637" s="0" t="n">
        <f aca="false">AVERAGE(M637:O637)</f>
        <v>0.752208275220828</v>
      </c>
      <c r="Q637" s="0" t="n">
        <f aca="false">0.4*H637+0.4*I637+0.2*P637</f>
        <v>0.837300228260686</v>
      </c>
      <c r="R637" s="0" t="n">
        <f aca="false">PERCENTILE($Q$2:$Q$800,0.75)</f>
        <v>0.667715717403612</v>
      </c>
      <c r="S637" s="1" t="b">
        <f aca="false">OR(Q637&gt;=R637,AND(B637="CW",COUNT(J637:L637)&lt;3))</f>
        <v>1</v>
      </c>
      <c r="T637" s="0" t="n">
        <v>0.348750784559693</v>
      </c>
      <c r="U637" s="0" t="n">
        <v>11.5829322933715</v>
      </c>
      <c r="V637" s="0" t="n">
        <v>0.837300228260686</v>
      </c>
      <c r="W637" s="0" t="n">
        <f aca="false">Q637-V637</f>
        <v>0</v>
      </c>
    </row>
    <row r="638" customFormat="false" ht="15" hidden="false" customHeight="false" outlineLevel="0" collapsed="false">
      <c r="A638" s="0" t="s">
        <v>672</v>
      </c>
      <c r="B638" s="0" t="s">
        <v>3013</v>
      </c>
      <c r="C638" s="0" t="n">
        <v>41.8209726827224</v>
      </c>
      <c r="D638" s="0" t="n">
        <f aca="false">SUMPRODUCT(Risk_Inputs!B638:AJ638,Risk_Coefs!$B$2:$AJ$2)</f>
        <v>-0.85272212688465</v>
      </c>
      <c r="E638" s="0" t="n">
        <f aca="false">1/(1+EXP(-MAX(-25,MIN(25,D638))))</f>
        <v>0.298862141235274</v>
      </c>
      <c r="F638" s="0" t="n">
        <f aca="false">SUMPRODUCT(Risk_Inputs!B638:AJ638,Risk_Coefs!$B$3:$AJ$3)</f>
        <v>7.59290230934554</v>
      </c>
      <c r="G638" s="0" t="n">
        <f aca="false">MAX(0,F638)</f>
        <v>7.59290230934554</v>
      </c>
      <c r="H638" s="0" t="n">
        <f aca="false">(SUMPRODUCT(--ISNUMBER($E$2:$E$800),--($E$2:$E$800&lt;E638))+(SUMPRODUCT(--ISNUMBER($E$2:$E$800),--($E$2:$E$800=E638))+1)/2)/COUNT($E$2:$E$800)</f>
        <v>0.561952440550688</v>
      </c>
      <c r="I638" s="0" t="n">
        <f aca="false">(SUMPRODUCT(--ISNUMBER($G$2:$G$800),--($G$2:$G$800&lt;G638))+(SUMPRODUCT(--ISNUMBER($G$2:$G$800),--($G$2:$G$800=G638))+1)/2)/COUNT($G$2:$G$800)</f>
        <v>0.496871088861076</v>
      </c>
      <c r="J638" s="0" t="n">
        <v>17.3785322197537</v>
      </c>
      <c r="K638" s="0" t="n">
        <v>1.86832740213523</v>
      </c>
      <c r="L638" s="0" t="n">
        <v>0.213523131672586</v>
      </c>
      <c r="M638" s="0" t="n">
        <f aca="false">IF(OR(B638="NW",COUNT(Risk_Rank_Keys!B638)=0),0.5,(SUMPRODUCT(--ISNUMBER(Risk_Rank_Keys!$B$2:$B$800),--(Risk_Rank_Keys!$B$2:$B$800&lt;Risk_Rank_Keys!B638))+(SUMPRODUCT(--ISNUMBER(Risk_Rank_Keys!$B$2:$B$800),--(Risk_Rank_Keys!$B$2:$B$800=Risk_Rank_Keys!B638))+1)/2)/COUNT(Risk_Rank_Keys!$B$2:$B$800))</f>
        <v>0.753138075313808</v>
      </c>
      <c r="N638" s="0" t="n">
        <f aca="false">IF(OR(B638="NW",COUNT(Risk_Rank_Keys!C638)=0),0.5,(SUMPRODUCT(--ISNUMBER(Risk_Rank_Keys!$C$2:$C$800),--(Risk_Rank_Keys!$C$2:$C$800&lt;Risk_Rank_Keys!C638))+(SUMPRODUCT(--ISNUMBER(Risk_Rank_Keys!$C$2:$C$800),--(Risk_Rank_Keys!$C$2:$C$800=Risk_Rank_Keys!C638))+1)/2)/COUNT(Risk_Rank_Keys!$C$2:$C$800))</f>
        <v>0.241283124128312</v>
      </c>
      <c r="O638" s="0" t="n">
        <f aca="false">IF(OR(B638="NW",COUNT(Risk_Rank_Keys!D638)=0),0.5,(SUMPRODUCT(--ISNUMBER(Risk_Rank_Keys!$D$2:$D$800),--(Risk_Rank_Keys!$D$2:$D$800&lt;Risk_Rank_Keys!D638))+(SUMPRODUCT(--ISNUMBER(Risk_Rank_Keys!$D$2:$D$800),--(Risk_Rank_Keys!$D$2:$D$800=Risk_Rank_Keys!D638))+1)/2)/COUNT(Risk_Rank_Keys!$D$2:$D$800))</f>
        <v>0.398884239888424</v>
      </c>
      <c r="P638" s="0" t="n">
        <f aca="false">AVERAGE(M638:O638)</f>
        <v>0.464435146443515</v>
      </c>
      <c r="Q638" s="0" t="n">
        <f aca="false">0.4*H638+0.4*I638+0.2*P638</f>
        <v>0.516416441053409</v>
      </c>
      <c r="R638" s="0" t="n">
        <f aca="false">PERCENTILE($Q$2:$Q$800,0.75)</f>
        <v>0.667715717403612</v>
      </c>
      <c r="S638" s="1" t="b">
        <f aca="false">OR(Q638&gt;=R638,AND(B638="CW",COUNT(J638:L638)&lt;3))</f>
        <v>0</v>
      </c>
      <c r="T638" s="0" t="n">
        <v>0.298862141235274</v>
      </c>
      <c r="U638" s="0" t="n">
        <v>7.59290230934554</v>
      </c>
      <c r="V638" s="0" t="n">
        <v>0.516416441053409</v>
      </c>
      <c r="W638" s="0" t="n">
        <f aca="false">Q638-V638</f>
        <v>0</v>
      </c>
    </row>
    <row r="639" customFormat="false" ht="15" hidden="false" customHeight="false" outlineLevel="0" collapsed="false">
      <c r="A639" s="0" t="s">
        <v>673</v>
      </c>
      <c r="B639" s="0" t="s">
        <v>3013</v>
      </c>
      <c r="C639" s="0" t="n">
        <v>35.6886069972927</v>
      </c>
      <c r="D639" s="0" t="n">
        <f aca="false">SUMPRODUCT(Risk_Inputs!B639:AJ639,Risk_Coefs!$B$2:$AJ$2)</f>
        <v>-1.28029055361641</v>
      </c>
      <c r="E639" s="0" t="n">
        <f aca="false">1/(1+EXP(-MAX(-25,MIN(25,D639))))</f>
        <v>0.217500768982154</v>
      </c>
      <c r="F639" s="0" t="n">
        <f aca="false">SUMPRODUCT(Risk_Inputs!B639:AJ639,Risk_Coefs!$B$3:$AJ$3)</f>
        <v>5.77081916089044</v>
      </c>
      <c r="G639" s="0" t="n">
        <f aca="false">MAX(0,F639)</f>
        <v>5.77081916089044</v>
      </c>
      <c r="H639" s="0" t="n">
        <f aca="false">(SUMPRODUCT(--ISNUMBER($E$2:$E$800),--($E$2:$E$800&lt;E639))+(SUMPRODUCT(--ISNUMBER($E$2:$E$800),--($E$2:$E$800=E639))+1)/2)/COUNT($E$2:$E$800)</f>
        <v>0.136420525657071</v>
      </c>
      <c r="I639" s="0" t="n">
        <f aca="false">(SUMPRODUCT(--ISNUMBER($G$2:$G$800),--($G$2:$G$800&lt;G639))+(SUMPRODUCT(--ISNUMBER($G$2:$G$800),--($G$2:$G$800=G639))+1)/2)/COUNT($G$2:$G$800)</f>
        <v>0.236545682102628</v>
      </c>
      <c r="J639" s="0" t="n">
        <v>54.0983094557152</v>
      </c>
      <c r="K639" s="0" t="n">
        <v>2.97638304755744</v>
      </c>
      <c r="L639" s="0" t="n">
        <v>0.210287932707854</v>
      </c>
      <c r="M639" s="0" t="n">
        <f aca="false">IF(OR(B639="NW",COUNT(Risk_Rank_Keys!B639)=0),0.5,(SUMPRODUCT(--ISNUMBER(Risk_Rank_Keys!$B$2:$B$800),--(Risk_Rank_Keys!$B$2:$B$800&lt;Risk_Rank_Keys!B639))+(SUMPRODUCT(--ISNUMBER(Risk_Rank_Keys!$B$2:$B$800),--(Risk_Rank_Keys!$B$2:$B$800=Risk_Rank_Keys!B639))+1)/2)/COUNT(Risk_Rank_Keys!$B$2:$B$800))</f>
        <v>0.98186889818689</v>
      </c>
      <c r="N639" s="0" t="n">
        <f aca="false">IF(OR(B639="NW",COUNT(Risk_Rank_Keys!C639)=0),0.5,(SUMPRODUCT(--ISNUMBER(Risk_Rank_Keys!$C$2:$C$800),--(Risk_Rank_Keys!$C$2:$C$800&lt;Risk_Rank_Keys!C639))+(SUMPRODUCT(--ISNUMBER(Risk_Rank_Keys!$C$2:$C$800),--(Risk_Rank_Keys!$C$2:$C$800=Risk_Rank_Keys!C639))+1)/2)/COUNT(Risk_Rank_Keys!$C$2:$C$800))</f>
        <v>0.467224546722455</v>
      </c>
      <c r="O639" s="0" t="n">
        <f aca="false">IF(OR(B639="NW",COUNT(Risk_Rank_Keys!D639)=0),0.5,(SUMPRODUCT(--ISNUMBER(Risk_Rank_Keys!$D$2:$D$800),--(Risk_Rank_Keys!$D$2:$D$800&lt;Risk_Rank_Keys!D639))+(SUMPRODUCT(--ISNUMBER(Risk_Rank_Keys!$D$2:$D$800),--(Risk_Rank_Keys!$D$2:$D$800=Risk_Rank_Keys!D639))+1)/2)/COUNT(Risk_Rank_Keys!$D$2:$D$800))</f>
        <v>0.380753138075314</v>
      </c>
      <c r="P639" s="0" t="n">
        <f aca="false">AVERAGE(M639:O639)</f>
        <v>0.609948860994886</v>
      </c>
      <c r="Q639" s="0" t="n">
        <f aca="false">0.4*H639+0.4*I639+0.2*P639</f>
        <v>0.271176255302857</v>
      </c>
      <c r="R639" s="0" t="n">
        <f aca="false">PERCENTILE($Q$2:$Q$800,0.75)</f>
        <v>0.667715717403612</v>
      </c>
      <c r="S639" s="1" t="b">
        <f aca="false">OR(Q639&gt;=R639,AND(B639="CW",COUNT(J639:L639)&lt;3))</f>
        <v>0</v>
      </c>
      <c r="T639" s="0" t="n">
        <v>0.217500768982154</v>
      </c>
      <c r="U639" s="0" t="n">
        <v>5.77081916089044</v>
      </c>
      <c r="V639" s="0" t="n">
        <v>0.271176255302857</v>
      </c>
      <c r="W639" s="0" t="n">
        <f aca="false">Q639-V639</f>
        <v>0</v>
      </c>
    </row>
    <row r="640" customFormat="false" ht="15" hidden="false" customHeight="false" outlineLevel="0" collapsed="false">
      <c r="A640" s="0" t="s">
        <v>674</v>
      </c>
      <c r="B640" s="0" t="s">
        <v>33</v>
      </c>
      <c r="C640" s="0" t="n">
        <v>-41.7408155180056</v>
      </c>
      <c r="D640" s="0" t="n">
        <f aca="false">SUMPRODUCT(Risk_Inputs!B640:AJ640,Risk_Coefs!$B$2:$AJ$2)</f>
        <v>-0.480785387294362</v>
      </c>
      <c r="E640" s="0" t="n">
        <f aca="false">1/(1+EXP(-MAX(-25,MIN(25,D640))))</f>
        <v>0.382066684616658</v>
      </c>
      <c r="F640" s="0" t="n">
        <f aca="false">SUMPRODUCT(Risk_Inputs!B640:AJ640,Risk_Coefs!$B$3:$AJ$3)</f>
        <v>11.2363638768397</v>
      </c>
      <c r="G640" s="0" t="n">
        <f aca="false">MAX(0,F640)</f>
        <v>11.2363638768397</v>
      </c>
      <c r="H640" s="0" t="n">
        <f aca="false">(SUMPRODUCT(--ISNUMBER($E$2:$E$800),--($E$2:$E$800&lt;E640))+(SUMPRODUCT(--ISNUMBER($E$2:$E$800),--($E$2:$E$800=E640))+1)/2)/COUNT($E$2:$E$800)</f>
        <v>0.90738423028786</v>
      </c>
      <c r="I640" s="0" t="n">
        <f aca="false">(SUMPRODUCT(--ISNUMBER($G$2:$G$800),--($G$2:$G$800&lt;G640))+(SUMPRODUCT(--ISNUMBER($G$2:$G$800),--($G$2:$G$800=G640))+1)/2)/COUNT($G$2:$G$800)</f>
        <v>0.893617021276596</v>
      </c>
      <c r="M640" s="0" t="n">
        <f aca="false">IF(OR(B640="NW",COUNT(Risk_Rank_Keys!B640)=0),0.5,(SUMPRODUCT(--ISNUMBER(Risk_Rank_Keys!$B$2:$B$800),--(Risk_Rank_Keys!$B$2:$B$800&lt;Risk_Rank_Keys!B640))+(SUMPRODUCT(--ISNUMBER(Risk_Rank_Keys!$B$2:$B$800),--(Risk_Rank_Keys!$B$2:$B$800=Risk_Rank_Keys!B640))+1)/2)/COUNT(Risk_Rank_Keys!$B$2:$B$800))</f>
        <v>0.5</v>
      </c>
      <c r="N640" s="0" t="n">
        <f aca="false">IF(OR(B640="NW",COUNT(Risk_Rank_Keys!C640)=0),0.5,(SUMPRODUCT(--ISNUMBER(Risk_Rank_Keys!$C$2:$C$800),--(Risk_Rank_Keys!$C$2:$C$800&lt;Risk_Rank_Keys!C640))+(SUMPRODUCT(--ISNUMBER(Risk_Rank_Keys!$C$2:$C$800),--(Risk_Rank_Keys!$C$2:$C$800=Risk_Rank_Keys!C640))+1)/2)/COUNT(Risk_Rank_Keys!$C$2:$C$800))</f>
        <v>0.5</v>
      </c>
      <c r="O640" s="0" t="n">
        <f aca="false">IF(OR(B640="NW",COUNT(Risk_Rank_Keys!D640)=0),0.5,(SUMPRODUCT(--ISNUMBER(Risk_Rank_Keys!$D$2:$D$800),--(Risk_Rank_Keys!$D$2:$D$800&lt;Risk_Rank_Keys!D640))+(SUMPRODUCT(--ISNUMBER(Risk_Rank_Keys!$D$2:$D$800),--(Risk_Rank_Keys!$D$2:$D$800=Risk_Rank_Keys!D640))+1)/2)/COUNT(Risk_Rank_Keys!$D$2:$D$800))</f>
        <v>0.5</v>
      </c>
      <c r="P640" s="0" t="n">
        <f aca="false">AVERAGE(M640:O640)</f>
        <v>0.5</v>
      </c>
      <c r="Q640" s="0" t="n">
        <f aca="false">0.4*H640+0.4*I640+0.2*P640</f>
        <v>0.820400500625782</v>
      </c>
      <c r="R640" s="0" t="n">
        <f aca="false">PERCENTILE($Q$2:$Q$800,0.75)</f>
        <v>0.667715717403612</v>
      </c>
      <c r="S640" s="1" t="b">
        <f aca="false">OR(Q640&gt;=R640,AND(B640="CW",COUNT(J640:L640)&lt;3))</f>
        <v>1</v>
      </c>
      <c r="T640" s="0" t="n">
        <v>0.382066684616658</v>
      </c>
      <c r="U640" s="0" t="n">
        <v>11.2363638768397</v>
      </c>
      <c r="V640" s="0" t="n">
        <v>0.820400500625782</v>
      </c>
      <c r="W640" s="0" t="n">
        <f aca="false">Q640-V640</f>
        <v>0</v>
      </c>
    </row>
    <row r="641" customFormat="false" ht="15" hidden="false" customHeight="false" outlineLevel="0" collapsed="false">
      <c r="A641" s="0" t="s">
        <v>675</v>
      </c>
      <c r="B641" s="0" t="s">
        <v>3013</v>
      </c>
      <c r="C641" s="0" t="n">
        <v>13.5169210350927</v>
      </c>
      <c r="D641" s="0" t="n">
        <f aca="false">SUMPRODUCT(Risk_Inputs!B641:AJ641,Risk_Coefs!$B$2:$AJ$2)</f>
        <v>-1.14949102742795</v>
      </c>
      <c r="E641" s="0" t="n">
        <f aca="false">1/(1+EXP(-MAX(-25,MIN(25,D641))))</f>
        <v>0.240582061248729</v>
      </c>
      <c r="F641" s="0" t="n">
        <f aca="false">SUMPRODUCT(Risk_Inputs!B641:AJ641,Risk_Coefs!$B$3:$AJ$3)</f>
        <v>5.49621621794254</v>
      </c>
      <c r="G641" s="0" t="n">
        <f aca="false">MAX(0,F641)</f>
        <v>5.49621621794254</v>
      </c>
      <c r="H641" s="0" t="n">
        <f aca="false">(SUMPRODUCT(--ISNUMBER($E$2:$E$800),--($E$2:$E$800&lt;E641))+(SUMPRODUCT(--ISNUMBER($E$2:$E$800),--($E$2:$E$800=E641))+1)/2)/COUNT($E$2:$E$800)</f>
        <v>0.229036295369212</v>
      </c>
      <c r="I641" s="0" t="n">
        <f aca="false">(SUMPRODUCT(--ISNUMBER($G$2:$G$800),--($G$2:$G$800&lt;G641))+(SUMPRODUCT(--ISNUMBER($G$2:$G$800),--($G$2:$G$800=G641))+1)/2)/COUNT($G$2:$G$800)</f>
        <v>0.198998748435544</v>
      </c>
      <c r="J641" s="0" t="n">
        <v>16.8663924955614</v>
      </c>
      <c r="K641" s="0" t="n">
        <v>3.48393254852054</v>
      </c>
      <c r="L641" s="0" t="n">
        <v>0.190900413617561</v>
      </c>
      <c r="M641" s="0" t="n">
        <f aca="false">IF(OR(B641="NW",COUNT(Risk_Rank_Keys!B641)=0),0.5,(SUMPRODUCT(--ISNUMBER(Risk_Rank_Keys!$B$2:$B$800),--(Risk_Rank_Keys!$B$2:$B$800&lt;Risk_Rank_Keys!B641))+(SUMPRODUCT(--ISNUMBER(Risk_Rank_Keys!$B$2:$B$800),--(Risk_Rank_Keys!$B$2:$B$800=Risk_Rank_Keys!B641))+1)/2)/COUNT(Risk_Rank_Keys!$B$2:$B$800))</f>
        <v>0.741980474198048</v>
      </c>
      <c r="N641" s="0" t="n">
        <f aca="false">IF(OR(B641="NW",COUNT(Risk_Rank_Keys!C641)=0),0.5,(SUMPRODUCT(--ISNUMBER(Risk_Rank_Keys!$C$2:$C$800),--(Risk_Rank_Keys!$C$2:$C$800&lt;Risk_Rank_Keys!C641))+(SUMPRODUCT(--ISNUMBER(Risk_Rank_Keys!$C$2:$C$800),--(Risk_Rank_Keys!$C$2:$C$800=Risk_Rank_Keys!C641))+1)/2)/COUNT(Risk_Rank_Keys!$C$2:$C$800))</f>
        <v>0.524407252440725</v>
      </c>
      <c r="O641" s="0" t="n">
        <f aca="false">IF(OR(B641="NW",COUNT(Risk_Rank_Keys!D641)=0),0.5,(SUMPRODUCT(--ISNUMBER(Risk_Rank_Keys!$D$2:$D$800),--(Risk_Rank_Keys!$D$2:$D$800&lt;Risk_Rank_Keys!D641))+(SUMPRODUCT(--ISNUMBER(Risk_Rank_Keys!$D$2:$D$800),--(Risk_Rank_Keys!$D$2:$D$800=Risk_Rank_Keys!D641))+1)/2)/COUNT(Risk_Rank_Keys!$D$2:$D$800))</f>
        <v>0.259414225941423</v>
      </c>
      <c r="P641" s="0" t="n">
        <f aca="false">AVERAGE(M641:O641)</f>
        <v>0.508600650860065</v>
      </c>
      <c r="Q641" s="0" t="n">
        <f aca="false">0.4*H641+0.4*I641+0.2*P641</f>
        <v>0.272934147693915</v>
      </c>
      <c r="R641" s="0" t="n">
        <f aca="false">PERCENTILE($Q$2:$Q$800,0.75)</f>
        <v>0.667715717403612</v>
      </c>
      <c r="S641" s="1" t="b">
        <f aca="false">OR(Q641&gt;=R641,AND(B641="CW",COUNT(J641:L641)&lt;3))</f>
        <v>0</v>
      </c>
      <c r="T641" s="0" t="n">
        <v>0.240582061248729</v>
      </c>
      <c r="U641" s="0" t="n">
        <v>5.49621621794254</v>
      </c>
      <c r="V641" s="0" t="n">
        <v>0.272934147693915</v>
      </c>
      <c r="W641" s="0" t="n">
        <f aca="false">Q641-V641</f>
        <v>0</v>
      </c>
    </row>
    <row r="642" customFormat="false" ht="15" hidden="false" customHeight="false" outlineLevel="0" collapsed="false">
      <c r="A642" s="0" t="s">
        <v>676</v>
      </c>
      <c r="B642" s="0" t="s">
        <v>3013</v>
      </c>
      <c r="C642" s="0" t="n">
        <v>-14.5707948014949</v>
      </c>
      <c r="D642" s="0" t="n">
        <f aca="false">SUMPRODUCT(Risk_Inputs!B642:AJ642,Risk_Coefs!$B$2:$AJ$2)</f>
        <v>-1.07990506694753</v>
      </c>
      <c r="E642" s="0" t="n">
        <f aca="false">1/(1+EXP(-MAX(-25,MIN(25,D642))))</f>
        <v>0.253523982281565</v>
      </c>
      <c r="F642" s="0" t="n">
        <f aca="false">SUMPRODUCT(Risk_Inputs!B642:AJ642,Risk_Coefs!$B$3:$AJ$3)</f>
        <v>5.00121405300873</v>
      </c>
      <c r="G642" s="0" t="n">
        <f aca="false">MAX(0,F642)</f>
        <v>5.00121405300873</v>
      </c>
      <c r="H642" s="0" t="n">
        <f aca="false">(SUMPRODUCT(--ISNUMBER($E$2:$E$800),--($E$2:$E$800&lt;E642))+(SUMPRODUCT(--ISNUMBER($E$2:$E$800),--($E$2:$E$800=E642))+1)/2)/COUNT($E$2:$E$800)</f>
        <v>0.290362953692115</v>
      </c>
      <c r="I642" s="0" t="n">
        <f aca="false">(SUMPRODUCT(--ISNUMBER($G$2:$G$800),--($G$2:$G$800&lt;G642))+(SUMPRODUCT(--ISNUMBER($G$2:$G$800),--($G$2:$G$800=G642))+1)/2)/COUNT($G$2:$G$800)</f>
        <v>0.136420525657071</v>
      </c>
      <c r="J642" s="0" t="n">
        <v>10.8653281777164</v>
      </c>
      <c r="K642" s="0" t="n">
        <v>2.57764631312064</v>
      </c>
      <c r="L642" s="0" t="n">
        <v>0.190154236213813</v>
      </c>
      <c r="M642" s="0" t="n">
        <f aca="false">IF(OR(B642="NW",COUNT(Risk_Rank_Keys!B642)=0),0.5,(SUMPRODUCT(--ISNUMBER(Risk_Rank_Keys!$B$2:$B$800),--(Risk_Rank_Keys!$B$2:$B$800&lt;Risk_Rank_Keys!B642))+(SUMPRODUCT(--ISNUMBER(Risk_Rank_Keys!$B$2:$B$800),--(Risk_Rank_Keys!$B$2:$B$800=Risk_Rank_Keys!B642))+1)/2)/COUNT(Risk_Rank_Keys!$B$2:$B$800))</f>
        <v>0.541143654114365</v>
      </c>
      <c r="N642" s="0" t="n">
        <f aca="false">IF(OR(B642="NW",COUNT(Risk_Rank_Keys!C642)=0),0.5,(SUMPRODUCT(--ISNUMBER(Risk_Rank_Keys!$C$2:$C$800),--(Risk_Rank_Keys!$C$2:$C$800&lt;Risk_Rank_Keys!C642))+(SUMPRODUCT(--ISNUMBER(Risk_Rank_Keys!$C$2:$C$800),--(Risk_Rank_Keys!$C$2:$C$800=Risk_Rank_Keys!C642))+1)/2)/COUNT(Risk_Rank_Keys!$C$2:$C$800))</f>
        <v>0.405857740585774</v>
      </c>
      <c r="O642" s="0" t="n">
        <f aca="false">IF(OR(B642="NW",COUNT(Risk_Rank_Keys!D642)=0),0.5,(SUMPRODUCT(--ISNUMBER(Risk_Rank_Keys!$D$2:$D$800),--(Risk_Rank_Keys!$D$2:$D$800&lt;Risk_Rank_Keys!D642))+(SUMPRODUCT(--ISNUMBER(Risk_Rank_Keys!$D$2:$D$800),--(Risk_Rank_Keys!$D$2:$D$800=Risk_Rank_Keys!D642))+1)/2)/COUNT(Risk_Rank_Keys!$D$2:$D$800))</f>
        <v>0.253835425383543</v>
      </c>
      <c r="P642" s="0" t="n">
        <f aca="false">AVERAGE(M642:O642)</f>
        <v>0.400278940027894</v>
      </c>
      <c r="Q642" s="0" t="n">
        <f aca="false">0.4*H642+0.4*I642+0.2*P642</f>
        <v>0.250769179745253</v>
      </c>
      <c r="R642" s="0" t="n">
        <f aca="false">PERCENTILE($Q$2:$Q$800,0.75)</f>
        <v>0.667715717403612</v>
      </c>
      <c r="S642" s="1" t="b">
        <f aca="false">OR(Q642&gt;=R642,AND(B642="CW",COUNT(J642:L642)&lt;3))</f>
        <v>0</v>
      </c>
      <c r="T642" s="0" t="n">
        <v>0.253523982281565</v>
      </c>
      <c r="U642" s="0" t="n">
        <v>5.00121405300873</v>
      </c>
      <c r="V642" s="0" t="n">
        <v>0.250769179745253</v>
      </c>
      <c r="W642" s="0" t="n">
        <f aca="false">Q642-V642</f>
        <v>0</v>
      </c>
    </row>
    <row r="643" customFormat="false" ht="15" hidden="false" customHeight="false" outlineLevel="0" collapsed="false">
      <c r="A643" s="0" t="s">
        <v>677</v>
      </c>
      <c r="B643" s="0" t="s">
        <v>33</v>
      </c>
      <c r="C643" s="0" t="n">
        <v>27.6836017863291</v>
      </c>
      <c r="D643" s="0" t="n">
        <f aca="false">SUMPRODUCT(Risk_Inputs!B643:AJ643,Risk_Coefs!$B$2:$AJ$2)</f>
        <v>-0.707052618352471</v>
      </c>
      <c r="E643" s="0" t="n">
        <f aca="false">1/(1+EXP(-MAX(-25,MIN(25,D643))))</f>
        <v>0.330250430574183</v>
      </c>
      <c r="F643" s="0" t="n">
        <f aca="false">SUMPRODUCT(Risk_Inputs!B643:AJ643,Risk_Coefs!$B$3:$AJ$3)</f>
        <v>9.76355287494625</v>
      </c>
      <c r="G643" s="0" t="n">
        <f aca="false">MAX(0,F643)</f>
        <v>9.76355287494625</v>
      </c>
      <c r="H643" s="0" t="n">
        <f aca="false">(SUMPRODUCT(--ISNUMBER($E$2:$E$800),--($E$2:$E$800&lt;E643))+(SUMPRODUCT(--ISNUMBER($E$2:$E$800),--($E$2:$E$800=E643))+1)/2)/COUNT($E$2:$E$800)</f>
        <v>0.734668335419274</v>
      </c>
      <c r="I643" s="0" t="n">
        <f aca="false">(SUMPRODUCT(--ISNUMBER($G$2:$G$800),--($G$2:$G$800&lt;G643))+(SUMPRODUCT(--ISNUMBER($G$2:$G$800),--($G$2:$G$800=G643))+1)/2)/COUNT($G$2:$G$800)</f>
        <v>0.762202753441802</v>
      </c>
      <c r="M643" s="0" t="n">
        <f aca="false">IF(OR(B643="NW",COUNT(Risk_Rank_Keys!B643)=0),0.5,(SUMPRODUCT(--ISNUMBER(Risk_Rank_Keys!$B$2:$B$800),--(Risk_Rank_Keys!$B$2:$B$800&lt;Risk_Rank_Keys!B643))+(SUMPRODUCT(--ISNUMBER(Risk_Rank_Keys!$B$2:$B$800),--(Risk_Rank_Keys!$B$2:$B$800=Risk_Rank_Keys!B643))+1)/2)/COUNT(Risk_Rank_Keys!$B$2:$B$800))</f>
        <v>0.5</v>
      </c>
      <c r="N643" s="0" t="n">
        <f aca="false">IF(OR(B643="NW",COUNT(Risk_Rank_Keys!C643)=0),0.5,(SUMPRODUCT(--ISNUMBER(Risk_Rank_Keys!$C$2:$C$800),--(Risk_Rank_Keys!$C$2:$C$800&lt;Risk_Rank_Keys!C643))+(SUMPRODUCT(--ISNUMBER(Risk_Rank_Keys!$C$2:$C$800),--(Risk_Rank_Keys!$C$2:$C$800=Risk_Rank_Keys!C643))+1)/2)/COUNT(Risk_Rank_Keys!$C$2:$C$800))</f>
        <v>0.5</v>
      </c>
      <c r="O643" s="0" t="n">
        <f aca="false">IF(OR(B643="NW",COUNT(Risk_Rank_Keys!D643)=0),0.5,(SUMPRODUCT(--ISNUMBER(Risk_Rank_Keys!$D$2:$D$800),--(Risk_Rank_Keys!$D$2:$D$800&lt;Risk_Rank_Keys!D643))+(SUMPRODUCT(--ISNUMBER(Risk_Rank_Keys!$D$2:$D$800),--(Risk_Rank_Keys!$D$2:$D$800=Risk_Rank_Keys!D643))+1)/2)/COUNT(Risk_Rank_Keys!$D$2:$D$800))</f>
        <v>0.5</v>
      </c>
      <c r="P643" s="0" t="n">
        <f aca="false">AVERAGE(M643:O643)</f>
        <v>0.5</v>
      </c>
      <c r="Q643" s="0" t="n">
        <f aca="false">0.4*H643+0.4*I643+0.2*P643</f>
        <v>0.698748435544431</v>
      </c>
      <c r="R643" s="0" t="n">
        <f aca="false">PERCENTILE($Q$2:$Q$800,0.75)</f>
        <v>0.667715717403612</v>
      </c>
      <c r="S643" s="1" t="b">
        <f aca="false">OR(Q643&gt;=R643,AND(B643="CW",COUNT(J643:L643)&lt;3))</f>
        <v>1</v>
      </c>
      <c r="T643" s="0" t="n">
        <v>0.330250430574183</v>
      </c>
      <c r="U643" s="0" t="n">
        <v>9.76355287494625</v>
      </c>
      <c r="V643" s="0" t="n">
        <v>0.698748435544431</v>
      </c>
      <c r="W643" s="0" t="n">
        <f aca="false">Q643-V643</f>
        <v>0</v>
      </c>
    </row>
    <row r="644" customFormat="false" ht="15" hidden="false" customHeight="false" outlineLevel="0" collapsed="false">
      <c r="A644" s="0" t="s">
        <v>678</v>
      </c>
      <c r="B644" s="0" t="s">
        <v>33</v>
      </c>
      <c r="C644" s="0" t="n">
        <v>25.8646907105428</v>
      </c>
      <c r="D644" s="0" t="n">
        <f aca="false">SUMPRODUCT(Risk_Inputs!B644:AJ644,Risk_Coefs!$B$2:$AJ$2)</f>
        <v>-0.736560284026816</v>
      </c>
      <c r="E644" s="0" t="n">
        <f aca="false">1/(1+EXP(-MAX(-25,MIN(25,D644))))</f>
        <v>0.323756772408577</v>
      </c>
      <c r="F644" s="0" t="n">
        <f aca="false">SUMPRODUCT(Risk_Inputs!B644:AJ644,Risk_Coefs!$B$3:$AJ$3)</f>
        <v>9.48125448463402</v>
      </c>
      <c r="G644" s="0" t="n">
        <f aca="false">MAX(0,F644)</f>
        <v>9.48125448463402</v>
      </c>
      <c r="H644" s="0" t="n">
        <f aca="false">(SUMPRODUCT(--ISNUMBER($E$2:$E$800),--($E$2:$E$800&lt;E644))+(SUMPRODUCT(--ISNUMBER($E$2:$E$800),--($E$2:$E$800=E644))+1)/2)/COUNT($E$2:$E$800)</f>
        <v>0.695869837296621</v>
      </c>
      <c r="I644" s="0" t="n">
        <f aca="false">(SUMPRODUCT(--ISNUMBER($G$2:$G$800),--($G$2:$G$800&lt;G644))+(SUMPRODUCT(--ISNUMBER($G$2:$G$800),--($G$2:$G$800=G644))+1)/2)/COUNT($G$2:$G$800)</f>
        <v>0.727158948685857</v>
      </c>
      <c r="M644" s="0" t="n">
        <f aca="false">IF(OR(B644="NW",COUNT(Risk_Rank_Keys!B644)=0),0.5,(SUMPRODUCT(--ISNUMBER(Risk_Rank_Keys!$B$2:$B$800),--(Risk_Rank_Keys!$B$2:$B$800&lt;Risk_Rank_Keys!B644))+(SUMPRODUCT(--ISNUMBER(Risk_Rank_Keys!$B$2:$B$800),--(Risk_Rank_Keys!$B$2:$B$800=Risk_Rank_Keys!B644))+1)/2)/COUNT(Risk_Rank_Keys!$B$2:$B$800))</f>
        <v>0.5</v>
      </c>
      <c r="N644" s="0" t="n">
        <f aca="false">IF(OR(B644="NW",COUNT(Risk_Rank_Keys!C644)=0),0.5,(SUMPRODUCT(--ISNUMBER(Risk_Rank_Keys!$C$2:$C$800),--(Risk_Rank_Keys!$C$2:$C$800&lt;Risk_Rank_Keys!C644))+(SUMPRODUCT(--ISNUMBER(Risk_Rank_Keys!$C$2:$C$800),--(Risk_Rank_Keys!$C$2:$C$800=Risk_Rank_Keys!C644))+1)/2)/COUNT(Risk_Rank_Keys!$C$2:$C$800))</f>
        <v>0.5</v>
      </c>
      <c r="O644" s="0" t="n">
        <f aca="false">IF(OR(B644="NW",COUNT(Risk_Rank_Keys!D644)=0),0.5,(SUMPRODUCT(--ISNUMBER(Risk_Rank_Keys!$D$2:$D$800),--(Risk_Rank_Keys!$D$2:$D$800&lt;Risk_Rank_Keys!D644))+(SUMPRODUCT(--ISNUMBER(Risk_Rank_Keys!$D$2:$D$800),--(Risk_Rank_Keys!$D$2:$D$800=Risk_Rank_Keys!D644))+1)/2)/COUNT(Risk_Rank_Keys!$D$2:$D$800))</f>
        <v>0.5</v>
      </c>
      <c r="P644" s="0" t="n">
        <f aca="false">AVERAGE(M644:O644)</f>
        <v>0.5</v>
      </c>
      <c r="Q644" s="0" t="n">
        <f aca="false">0.4*H644+0.4*I644+0.2*P644</f>
        <v>0.669211514392991</v>
      </c>
      <c r="R644" s="0" t="n">
        <f aca="false">PERCENTILE($Q$2:$Q$800,0.75)</f>
        <v>0.667715717403612</v>
      </c>
      <c r="S644" s="1" t="b">
        <f aca="false">OR(Q644&gt;=R644,AND(B644="CW",COUNT(J644:L644)&lt;3))</f>
        <v>1</v>
      </c>
      <c r="T644" s="0" t="n">
        <v>0.323756772408577</v>
      </c>
      <c r="U644" s="0" t="n">
        <v>9.48125448463402</v>
      </c>
      <c r="V644" s="0" t="n">
        <v>0.669211514392991</v>
      </c>
      <c r="W644" s="0" t="n">
        <f aca="false">Q644-V644</f>
        <v>0</v>
      </c>
    </row>
    <row r="645" customFormat="false" ht="15" hidden="false" customHeight="false" outlineLevel="0" collapsed="false">
      <c r="A645" s="0" t="s">
        <v>679</v>
      </c>
      <c r="B645" s="0" t="s">
        <v>3013</v>
      </c>
      <c r="C645" s="0" t="n">
        <v>-34.2444554990783</v>
      </c>
      <c r="D645" s="0" t="n">
        <f aca="false">SUMPRODUCT(Risk_Inputs!B645:AJ645,Risk_Coefs!$B$2:$AJ$2)</f>
        <v>-1.18000151847575</v>
      </c>
      <c r="E645" s="0" t="n">
        <f aca="false">1/(1+EXP(-MAX(-25,MIN(25,D645))))</f>
        <v>0.235051923210364</v>
      </c>
      <c r="F645" s="0" t="n">
        <f aca="false">SUMPRODUCT(Risk_Inputs!B645:AJ645,Risk_Coefs!$B$3:$AJ$3)</f>
        <v>6.63903965605423</v>
      </c>
      <c r="G645" s="0" t="n">
        <f aca="false">MAX(0,F645)</f>
        <v>6.63903965605423</v>
      </c>
      <c r="H645" s="0" t="n">
        <f aca="false">(SUMPRODUCT(--ISNUMBER($E$2:$E$800),--($E$2:$E$800&lt;E645))+(SUMPRODUCT(--ISNUMBER($E$2:$E$800),--($E$2:$E$800=E645))+1)/2)/COUNT($E$2:$E$800)</f>
        <v>0.201501877346683</v>
      </c>
      <c r="I645" s="0" t="n">
        <f aca="false">(SUMPRODUCT(--ISNUMBER($G$2:$G$800),--($G$2:$G$800&lt;G645))+(SUMPRODUCT(--ISNUMBER($G$2:$G$800),--($G$2:$G$800=G645))+1)/2)/COUNT($G$2:$G$800)</f>
        <v>0.367959949937422</v>
      </c>
      <c r="J645" s="0" t="n">
        <v>14.3061832295316</v>
      </c>
      <c r="K645" s="0" t="n">
        <v>4.02806064720525</v>
      </c>
      <c r="L645" s="0" t="n">
        <v>0.181036433582261</v>
      </c>
      <c r="M645" s="0" t="n">
        <f aca="false">IF(OR(B645="NW",COUNT(Risk_Rank_Keys!B645)=0),0.5,(SUMPRODUCT(--ISNUMBER(Risk_Rank_Keys!$B$2:$B$800),--(Risk_Rank_Keys!$B$2:$B$800&lt;Risk_Rank_Keys!B645))+(SUMPRODUCT(--ISNUMBER(Risk_Rank_Keys!$B$2:$B$800),--(Risk_Rank_Keys!$B$2:$B$800=Risk_Rank_Keys!B645))+1)/2)/COUNT(Risk_Rank_Keys!$B$2:$B$800))</f>
        <v>0.686192468619247</v>
      </c>
      <c r="N645" s="0" t="n">
        <f aca="false">IF(OR(B645="NW",COUNT(Risk_Rank_Keys!C645)=0),0.5,(SUMPRODUCT(--ISNUMBER(Risk_Rank_Keys!$C$2:$C$800),--(Risk_Rank_Keys!$C$2:$C$800&lt;Risk_Rank_Keys!C645))+(SUMPRODUCT(--ISNUMBER(Risk_Rank_Keys!$C$2:$C$800),--(Risk_Rank_Keys!$C$2:$C$800=Risk_Rank_Keys!C645))+1)/2)/COUNT(Risk_Rank_Keys!$C$2:$C$800))</f>
        <v>0.602510460251046</v>
      </c>
      <c r="O645" s="0" t="n">
        <f aca="false">IF(OR(B645="NW",COUNT(Risk_Rank_Keys!D645)=0),0.5,(SUMPRODUCT(--ISNUMBER(Risk_Rank_Keys!$D$2:$D$800),--(Risk_Rank_Keys!$D$2:$D$800&lt;Risk_Rank_Keys!D645))+(SUMPRODUCT(--ISNUMBER(Risk_Rank_Keys!$D$2:$D$800),--(Risk_Rank_Keys!$D$2:$D$800=Risk_Rank_Keys!D645))+1)/2)/COUNT(Risk_Rank_Keys!$D$2:$D$800))</f>
        <v>0.213389121338912</v>
      </c>
      <c r="P645" s="0" t="n">
        <f aca="false">AVERAGE(M645:O645)</f>
        <v>0.500697350069735</v>
      </c>
      <c r="Q645" s="0" t="n">
        <f aca="false">0.4*H645+0.4*I645+0.2*P645</f>
        <v>0.327924200927589</v>
      </c>
      <c r="R645" s="0" t="n">
        <f aca="false">PERCENTILE($Q$2:$Q$800,0.75)</f>
        <v>0.667715717403612</v>
      </c>
      <c r="S645" s="1" t="b">
        <f aca="false">OR(Q645&gt;=R645,AND(B645="CW",COUNT(J645:L645)&lt;3))</f>
        <v>0</v>
      </c>
      <c r="T645" s="0" t="n">
        <v>0.235051923210364</v>
      </c>
      <c r="U645" s="0" t="n">
        <v>6.63903965605423</v>
      </c>
      <c r="V645" s="0" t="n">
        <v>0.327924200927589</v>
      </c>
      <c r="W645" s="0" t="n">
        <f aca="false">Q645-V645</f>
        <v>0</v>
      </c>
    </row>
    <row r="646" customFormat="false" ht="15" hidden="false" customHeight="false" outlineLevel="0" collapsed="false">
      <c r="A646" s="0" t="s">
        <v>680</v>
      </c>
      <c r="B646" s="0" t="s">
        <v>3013</v>
      </c>
      <c r="C646" s="0" t="n">
        <v>-21.1195681509174</v>
      </c>
      <c r="D646" s="0" t="n">
        <f aca="false">SUMPRODUCT(Risk_Inputs!B646:AJ646,Risk_Coefs!$B$2:$AJ$2)</f>
        <v>-1.00804759967894</v>
      </c>
      <c r="E646" s="0" t="n">
        <f aca="false">1/(1+EXP(-MAX(-25,MIN(25,D646))))</f>
        <v>0.267362112435424</v>
      </c>
      <c r="F646" s="0" t="n">
        <f aca="false">SUMPRODUCT(Risk_Inputs!B646:AJ646,Risk_Coefs!$B$3:$AJ$3)</f>
        <v>7.63436761437522</v>
      </c>
      <c r="G646" s="0" t="n">
        <f aca="false">MAX(0,F646)</f>
        <v>7.63436761437522</v>
      </c>
      <c r="H646" s="0" t="n">
        <f aca="false">(SUMPRODUCT(--ISNUMBER($E$2:$E$800),--($E$2:$E$800&lt;E646))+(SUMPRODUCT(--ISNUMBER($E$2:$E$800),--($E$2:$E$800=E646))+1)/2)/COUNT($E$2:$E$800)</f>
        <v>0.381727158948686</v>
      </c>
      <c r="I646" s="0" t="n">
        <f aca="false">(SUMPRODUCT(--ISNUMBER($G$2:$G$800),--($G$2:$G$800&lt;G646))+(SUMPRODUCT(--ISNUMBER($G$2:$G$800),--($G$2:$G$800=G646))+1)/2)/COUNT($G$2:$G$800)</f>
        <v>0.500625782227785</v>
      </c>
      <c r="J646" s="0" t="n">
        <v>11.1602024124364</v>
      </c>
      <c r="K646" s="0" t="n">
        <v>2.27855311876958</v>
      </c>
      <c r="L646" s="0" t="n">
        <v>0.256337225861571</v>
      </c>
      <c r="M646" s="0" t="n">
        <f aca="false">IF(OR(B646="NW",COUNT(Risk_Rank_Keys!B646)=0),0.5,(SUMPRODUCT(--ISNUMBER(Risk_Rank_Keys!$B$2:$B$800),--(Risk_Rank_Keys!$B$2:$B$800&lt;Risk_Rank_Keys!B646))+(SUMPRODUCT(--ISNUMBER(Risk_Rank_Keys!$B$2:$B$800),--(Risk_Rank_Keys!$B$2:$B$800=Risk_Rank_Keys!B646))+1)/2)/COUNT(Risk_Rank_Keys!$B$2:$B$800))</f>
        <v>0.549511854951186</v>
      </c>
      <c r="N646" s="0" t="n">
        <f aca="false">IF(OR(B646="NW",COUNT(Risk_Rank_Keys!C646)=0),0.5,(SUMPRODUCT(--ISNUMBER(Risk_Rank_Keys!$C$2:$C$800),--(Risk_Rank_Keys!$C$2:$C$800&lt;Risk_Rank_Keys!C646))+(SUMPRODUCT(--ISNUMBER(Risk_Rank_Keys!$C$2:$C$800),--(Risk_Rank_Keys!$C$2:$C$800=Risk_Rank_Keys!C646))+1)/2)/COUNT(Risk_Rank_Keys!$C$2:$C$800))</f>
        <v>0.333333333333333</v>
      </c>
      <c r="O646" s="0" t="n">
        <f aca="false">IF(OR(B646="NW",COUNT(Risk_Rank_Keys!D646)=0),0.5,(SUMPRODUCT(--ISNUMBER(Risk_Rank_Keys!$D$2:$D$800),--(Risk_Rank_Keys!$D$2:$D$800&lt;Risk_Rank_Keys!D646))+(SUMPRODUCT(--ISNUMBER(Risk_Rank_Keys!$D$2:$D$800),--(Risk_Rank_Keys!$D$2:$D$800=Risk_Rank_Keys!D646))+1)/2)/COUNT(Risk_Rank_Keys!$D$2:$D$800))</f>
        <v>0.610878661087866</v>
      </c>
      <c r="P646" s="0" t="n">
        <f aca="false">AVERAGE(M646:O646)</f>
        <v>0.497907949790795</v>
      </c>
      <c r="Q646" s="0" t="n">
        <f aca="false">0.4*H646+0.4*I646+0.2*P646</f>
        <v>0.452522766428747</v>
      </c>
      <c r="R646" s="0" t="n">
        <f aca="false">PERCENTILE($Q$2:$Q$800,0.75)</f>
        <v>0.667715717403612</v>
      </c>
      <c r="S646" s="1" t="b">
        <f aca="false">OR(Q646&gt;=R646,AND(B646="CW",COUNT(J646:L646)&lt;3))</f>
        <v>0</v>
      </c>
      <c r="T646" s="0" t="n">
        <v>0.267362112435424</v>
      </c>
      <c r="U646" s="0" t="n">
        <v>7.63436761437522</v>
      </c>
      <c r="V646" s="0" t="n">
        <v>0.452522766428747</v>
      </c>
      <c r="W646" s="0" t="n">
        <f aca="false">Q646-V646</f>
        <v>0</v>
      </c>
    </row>
    <row r="647" customFormat="false" ht="15" hidden="false" customHeight="false" outlineLevel="0" collapsed="false">
      <c r="A647" s="0" t="s">
        <v>681</v>
      </c>
      <c r="B647" s="0" t="s">
        <v>33</v>
      </c>
      <c r="C647" s="0" t="n">
        <v>3.03372338726348</v>
      </c>
      <c r="D647" s="0" t="n">
        <f aca="false">SUMPRODUCT(Risk_Inputs!B647:AJ647,Risk_Coefs!$B$2:$AJ$2)</f>
        <v>-0.739744408666098</v>
      </c>
      <c r="E647" s="0" t="n">
        <f aca="false">1/(1+EXP(-MAX(-25,MIN(25,D647))))</f>
        <v>0.323060037077205</v>
      </c>
      <c r="F647" s="0" t="n">
        <f aca="false">SUMPRODUCT(Risk_Inputs!B647:AJ647,Risk_Coefs!$B$3:$AJ$3)</f>
        <v>8.9610943862398</v>
      </c>
      <c r="G647" s="0" t="n">
        <f aca="false">MAX(0,F647)</f>
        <v>8.9610943862398</v>
      </c>
      <c r="H647" s="0" t="n">
        <f aca="false">(SUMPRODUCT(--ISNUMBER($E$2:$E$800),--($E$2:$E$800&lt;E647))+(SUMPRODUCT(--ISNUMBER($E$2:$E$800),--($E$2:$E$800=E647))+1)/2)/COUNT($E$2:$E$800)</f>
        <v>0.692115143929912</v>
      </c>
      <c r="I647" s="0" t="n">
        <f aca="false">(SUMPRODUCT(--ISNUMBER($G$2:$G$800),--($G$2:$G$800&lt;G647))+(SUMPRODUCT(--ISNUMBER($G$2:$G$800),--($G$2:$G$800=G647))+1)/2)/COUNT($G$2:$G$800)</f>
        <v>0.677096370463079</v>
      </c>
      <c r="M647" s="0" t="n">
        <f aca="false">IF(OR(B647="NW",COUNT(Risk_Rank_Keys!B647)=0),0.5,(SUMPRODUCT(--ISNUMBER(Risk_Rank_Keys!$B$2:$B$800),--(Risk_Rank_Keys!$B$2:$B$800&lt;Risk_Rank_Keys!B647))+(SUMPRODUCT(--ISNUMBER(Risk_Rank_Keys!$B$2:$B$800),--(Risk_Rank_Keys!$B$2:$B$800=Risk_Rank_Keys!B647))+1)/2)/COUNT(Risk_Rank_Keys!$B$2:$B$800))</f>
        <v>0.5</v>
      </c>
      <c r="N647" s="0" t="n">
        <f aca="false">IF(OR(B647="NW",COUNT(Risk_Rank_Keys!C647)=0),0.5,(SUMPRODUCT(--ISNUMBER(Risk_Rank_Keys!$C$2:$C$800),--(Risk_Rank_Keys!$C$2:$C$800&lt;Risk_Rank_Keys!C647))+(SUMPRODUCT(--ISNUMBER(Risk_Rank_Keys!$C$2:$C$800),--(Risk_Rank_Keys!$C$2:$C$800=Risk_Rank_Keys!C647))+1)/2)/COUNT(Risk_Rank_Keys!$C$2:$C$800))</f>
        <v>0.5</v>
      </c>
      <c r="O647" s="0" t="n">
        <f aca="false">IF(OR(B647="NW",COUNT(Risk_Rank_Keys!D647)=0),0.5,(SUMPRODUCT(--ISNUMBER(Risk_Rank_Keys!$D$2:$D$800),--(Risk_Rank_Keys!$D$2:$D$800&lt;Risk_Rank_Keys!D647))+(SUMPRODUCT(--ISNUMBER(Risk_Rank_Keys!$D$2:$D$800),--(Risk_Rank_Keys!$D$2:$D$800=Risk_Rank_Keys!D647))+1)/2)/COUNT(Risk_Rank_Keys!$D$2:$D$800))</f>
        <v>0.5</v>
      </c>
      <c r="P647" s="0" t="n">
        <f aca="false">AVERAGE(M647:O647)</f>
        <v>0.5</v>
      </c>
      <c r="Q647" s="0" t="n">
        <f aca="false">0.4*H647+0.4*I647+0.2*P647</f>
        <v>0.647684605757196</v>
      </c>
      <c r="R647" s="0" t="n">
        <f aca="false">PERCENTILE($Q$2:$Q$800,0.75)</f>
        <v>0.667715717403612</v>
      </c>
      <c r="S647" s="1" t="b">
        <f aca="false">OR(Q647&gt;=R647,AND(B647="CW",COUNT(J647:L647)&lt;3))</f>
        <v>0</v>
      </c>
      <c r="T647" s="0" t="n">
        <v>0.323060037077205</v>
      </c>
      <c r="U647" s="0" t="n">
        <v>8.9610943862398</v>
      </c>
      <c r="V647" s="0" t="n">
        <v>0.647684605757196</v>
      </c>
      <c r="W647" s="0" t="n">
        <f aca="false">Q647-V647</f>
        <v>0</v>
      </c>
    </row>
    <row r="648" customFormat="false" ht="15" hidden="false" customHeight="false" outlineLevel="0" collapsed="false">
      <c r="A648" s="0" t="s">
        <v>682</v>
      </c>
      <c r="B648" s="0" t="s">
        <v>3013</v>
      </c>
      <c r="C648" s="0" t="n">
        <v>-34.9980492483628</v>
      </c>
      <c r="D648" s="0" t="n">
        <f aca="false">SUMPRODUCT(Risk_Inputs!B648:AJ648,Risk_Coefs!$B$2:$AJ$2)</f>
        <v>-1.11862681205082</v>
      </c>
      <c r="E648" s="0" t="n">
        <f aca="false">1/(1+EXP(-MAX(-25,MIN(25,D648))))</f>
        <v>0.246266084643636</v>
      </c>
      <c r="F648" s="0" t="n">
        <f aca="false">SUMPRODUCT(Risk_Inputs!B648:AJ648,Risk_Coefs!$B$3:$AJ$3)</f>
        <v>6.72678856309474</v>
      </c>
      <c r="G648" s="0" t="n">
        <f aca="false">MAX(0,F648)</f>
        <v>6.72678856309474</v>
      </c>
      <c r="H648" s="0" t="n">
        <f aca="false">(SUMPRODUCT(--ISNUMBER($E$2:$E$800),--($E$2:$E$800&lt;E648))+(SUMPRODUCT(--ISNUMBER($E$2:$E$800),--($E$2:$E$800=E648))+1)/2)/COUNT($E$2:$E$800)</f>
        <v>0.249061326658323</v>
      </c>
      <c r="I648" s="0" t="n">
        <f aca="false">(SUMPRODUCT(--ISNUMBER($G$2:$G$800),--($G$2:$G$800&lt;G648))+(SUMPRODUCT(--ISNUMBER($G$2:$G$800),--($G$2:$G$800=G648))+1)/2)/COUNT($G$2:$G$800)</f>
        <v>0.380475594493116</v>
      </c>
      <c r="J648" s="0" t="n">
        <v>11.1838748086406</v>
      </c>
      <c r="K648" s="0" t="n">
        <v>3.55125100887812</v>
      </c>
      <c r="L648" s="0" t="n">
        <v>0.242130750605325</v>
      </c>
      <c r="M648" s="0" t="n">
        <f aca="false">IF(OR(B648="NW",COUNT(Risk_Rank_Keys!B648)=0),0.5,(SUMPRODUCT(--ISNUMBER(Risk_Rank_Keys!$B$2:$B$800),--(Risk_Rank_Keys!$B$2:$B$800&lt;Risk_Rank_Keys!B648))+(SUMPRODUCT(--ISNUMBER(Risk_Rank_Keys!$B$2:$B$800),--(Risk_Rank_Keys!$B$2:$B$800=Risk_Rank_Keys!B648))+1)/2)/COUNT(Risk_Rank_Keys!$B$2:$B$800))</f>
        <v>0.552301255230126</v>
      </c>
      <c r="N648" s="0" t="n">
        <f aca="false">IF(OR(B648="NW",COUNT(Risk_Rank_Keys!C648)=0),0.5,(SUMPRODUCT(--ISNUMBER(Risk_Rank_Keys!$C$2:$C$800),--(Risk_Rank_Keys!$C$2:$C$800&lt;Risk_Rank_Keys!C648))+(SUMPRODUCT(--ISNUMBER(Risk_Rank_Keys!$C$2:$C$800),--(Risk_Rank_Keys!$C$2:$C$800=Risk_Rank_Keys!C648))+1)/2)/COUNT(Risk_Rank_Keys!$C$2:$C$800))</f>
        <v>0.534170153417015</v>
      </c>
      <c r="O648" s="0" t="n">
        <f aca="false">IF(OR(B648="NW",COUNT(Risk_Rank_Keys!D648)=0),0.5,(SUMPRODUCT(--ISNUMBER(Risk_Rank_Keys!$D$2:$D$800),--(Risk_Rank_Keys!$D$2:$D$800&lt;Risk_Rank_Keys!D648))+(SUMPRODUCT(--ISNUMBER(Risk_Rank_Keys!$D$2:$D$800),--(Risk_Rank_Keys!$D$2:$D$800=Risk_Rank_Keys!D648))+1)/2)/COUNT(Risk_Rank_Keys!$D$2:$D$800))</f>
        <v>0.553695955369596</v>
      </c>
      <c r="P648" s="0" t="n">
        <f aca="false">AVERAGE(M648:O648)</f>
        <v>0.546722454672246</v>
      </c>
      <c r="Q648" s="0" t="n">
        <f aca="false">0.4*H648+0.4*I648+0.2*P648</f>
        <v>0.361159259395025</v>
      </c>
      <c r="R648" s="0" t="n">
        <f aca="false">PERCENTILE($Q$2:$Q$800,0.75)</f>
        <v>0.667715717403612</v>
      </c>
      <c r="S648" s="1" t="b">
        <f aca="false">OR(Q648&gt;=R648,AND(B648="CW",COUNT(J648:L648)&lt;3))</f>
        <v>0</v>
      </c>
      <c r="T648" s="0" t="n">
        <v>0.246266084643636</v>
      </c>
      <c r="U648" s="0" t="n">
        <v>6.72678856309474</v>
      </c>
      <c r="V648" s="0" t="n">
        <v>0.361159259395025</v>
      </c>
      <c r="W648" s="0" t="n">
        <f aca="false">Q648-V648</f>
        <v>0</v>
      </c>
    </row>
    <row r="649" customFormat="false" ht="15" hidden="false" customHeight="false" outlineLevel="0" collapsed="false">
      <c r="A649" s="0" t="s">
        <v>683</v>
      </c>
      <c r="B649" s="0" t="s">
        <v>3013</v>
      </c>
      <c r="C649" s="0" t="n">
        <v>52.4258546348617</v>
      </c>
      <c r="D649" s="0" t="n">
        <f aca="false">SUMPRODUCT(Risk_Inputs!B649:AJ649,Risk_Coefs!$B$2:$AJ$2)</f>
        <v>-1.25863512130251</v>
      </c>
      <c r="E649" s="0" t="n">
        <f aca="false">1/(1+EXP(-MAX(-25,MIN(25,D649))))</f>
        <v>0.221208937964772</v>
      </c>
      <c r="F649" s="0" t="n">
        <f aca="false">SUMPRODUCT(Risk_Inputs!B649:AJ649,Risk_Coefs!$B$3:$AJ$3)</f>
        <v>6.46123377357322</v>
      </c>
      <c r="G649" s="0" t="n">
        <f aca="false">MAX(0,F649)</f>
        <v>6.46123377357322</v>
      </c>
      <c r="H649" s="0" t="n">
        <f aca="false">(SUMPRODUCT(--ISNUMBER($E$2:$E$800),--($E$2:$E$800&lt;E649))+(SUMPRODUCT(--ISNUMBER($E$2:$E$800),--($E$2:$E$800=E649))+1)/2)/COUNT($E$2:$E$800)</f>
        <v>0.147684605757197</v>
      </c>
      <c r="I649" s="0" t="n">
        <f aca="false">(SUMPRODUCT(--ISNUMBER($G$2:$G$800),--($G$2:$G$800&lt;G649))+(SUMPRODUCT(--ISNUMBER($G$2:$G$800),--($G$2:$G$800=G649))+1)/2)/COUNT($G$2:$G$800)</f>
        <v>0.336670838548185</v>
      </c>
      <c r="J649" s="0" t="n">
        <v>12.8647016589356</v>
      </c>
      <c r="K649" s="0" t="n">
        <v>4.27319864115859</v>
      </c>
      <c r="L649" s="0" t="n">
        <v>0.232433398891474</v>
      </c>
      <c r="M649" s="0" t="n">
        <f aca="false">IF(OR(B649="NW",COUNT(Risk_Rank_Keys!B649)=0),0.5,(SUMPRODUCT(--ISNUMBER(Risk_Rank_Keys!$B$2:$B$800),--(Risk_Rank_Keys!$B$2:$B$800&lt;Risk_Rank_Keys!B649))+(SUMPRODUCT(--ISNUMBER(Risk_Rank_Keys!$B$2:$B$800),--(Risk_Rank_Keys!$B$2:$B$800=Risk_Rank_Keys!B649))+1)/2)/COUNT(Risk_Rank_Keys!$B$2:$B$800))</f>
        <v>0.634588563458856</v>
      </c>
      <c r="N649" s="0" t="n">
        <f aca="false">IF(OR(B649="NW",COUNT(Risk_Rank_Keys!C649)=0),0.5,(SUMPRODUCT(--ISNUMBER(Risk_Rank_Keys!$C$2:$C$800),--(Risk_Rank_Keys!$C$2:$C$800&lt;Risk_Rank_Keys!C649))+(SUMPRODUCT(--ISNUMBER(Risk_Rank_Keys!$C$2:$C$800),--(Risk_Rank_Keys!$C$2:$C$800=Risk_Rank_Keys!C649))+1)/2)/COUNT(Risk_Rank_Keys!$C$2:$C$800))</f>
        <v>0.627615062761506</v>
      </c>
      <c r="O649" s="0" t="n">
        <f aca="false">IF(OR(B649="NW",COUNT(Risk_Rank_Keys!D649)=0),0.5,(SUMPRODUCT(--ISNUMBER(Risk_Rank_Keys!$D$2:$D$800),--(Risk_Rank_Keys!$D$2:$D$800&lt;Risk_Rank_Keys!D649))+(SUMPRODUCT(--ISNUMBER(Risk_Rank_Keys!$D$2:$D$800),--(Risk_Rank_Keys!$D$2:$D$800=Risk_Rank_Keys!D649))+1)/2)/COUNT(Risk_Rank_Keys!$D$2:$D$800))</f>
        <v>0.507670850767085</v>
      </c>
      <c r="P649" s="0" t="n">
        <f aca="false">AVERAGE(M649:O649)</f>
        <v>0.589958158995816</v>
      </c>
      <c r="Q649" s="0" t="n">
        <f aca="false">0.4*H649+0.4*I649+0.2*P649</f>
        <v>0.311733809521316</v>
      </c>
      <c r="R649" s="0" t="n">
        <f aca="false">PERCENTILE($Q$2:$Q$800,0.75)</f>
        <v>0.667715717403612</v>
      </c>
      <c r="S649" s="1" t="b">
        <f aca="false">OR(Q649&gt;=R649,AND(B649="CW",COUNT(J649:L649)&lt;3))</f>
        <v>0</v>
      </c>
      <c r="T649" s="0" t="n">
        <v>0.221208937964772</v>
      </c>
      <c r="U649" s="0" t="n">
        <v>6.46123377357322</v>
      </c>
      <c r="V649" s="0" t="n">
        <v>0.311733809521316</v>
      </c>
      <c r="W649" s="0" t="n">
        <f aca="false">Q649-V649</f>
        <v>0</v>
      </c>
    </row>
    <row r="650" customFormat="false" ht="15" hidden="false" customHeight="false" outlineLevel="0" collapsed="false">
      <c r="A650" s="0" t="s">
        <v>684</v>
      </c>
      <c r="B650" s="0" t="s">
        <v>3013</v>
      </c>
      <c r="C650" s="0" t="n">
        <v>-4.731694601038</v>
      </c>
      <c r="D650" s="0" t="n">
        <f aca="false">SUMPRODUCT(Risk_Inputs!B650:AJ650,Risk_Coefs!$B$2:$AJ$2)</f>
        <v>-0.894110042410517</v>
      </c>
      <c r="E650" s="0" t="n">
        <f aca="false">1/(1+EXP(-MAX(-25,MIN(25,D650))))</f>
        <v>0.290262387720243</v>
      </c>
      <c r="F650" s="0" t="n">
        <f aca="false">SUMPRODUCT(Risk_Inputs!B650:AJ650,Risk_Coefs!$B$3:$AJ$3)</f>
        <v>5.79258721027604</v>
      </c>
      <c r="G650" s="0" t="n">
        <f aca="false">MAX(0,F650)</f>
        <v>5.79258721027604</v>
      </c>
      <c r="H650" s="0" t="n">
        <f aca="false">(SUMPRODUCT(--ISNUMBER($E$2:$E$800),--($E$2:$E$800&lt;E650))+(SUMPRODUCT(--ISNUMBER($E$2:$E$800),--($E$2:$E$800=E650))+1)/2)/COUNT($E$2:$E$800)</f>
        <v>0.525657071339174</v>
      </c>
      <c r="I650" s="0" t="n">
        <f aca="false">(SUMPRODUCT(--ISNUMBER($G$2:$G$800),--($G$2:$G$800&lt;G650))+(SUMPRODUCT(--ISNUMBER($G$2:$G$800),--($G$2:$G$800=G650))+1)/2)/COUNT($G$2:$G$800)</f>
        <v>0.237797246558198</v>
      </c>
      <c r="J650" s="0" t="n">
        <v>8.60839402813671</v>
      </c>
      <c r="K650" s="0" t="n">
        <v>1.89825360668185</v>
      </c>
      <c r="L650" s="0" t="n">
        <v>0.253100480890914</v>
      </c>
      <c r="M650" s="0" t="n">
        <f aca="false">IF(OR(B650="NW",COUNT(Risk_Rank_Keys!B650)=0),0.5,(SUMPRODUCT(--ISNUMBER(Risk_Rank_Keys!$B$2:$B$800),--(Risk_Rank_Keys!$B$2:$B$800&lt;Risk_Rank_Keys!B650))+(SUMPRODUCT(--ISNUMBER(Risk_Rank_Keys!$B$2:$B$800),--(Risk_Rank_Keys!$B$2:$B$800=Risk_Rank_Keys!B650))+1)/2)/COUNT(Risk_Rank_Keys!$B$2:$B$800))</f>
        <v>0.426778242677824</v>
      </c>
      <c r="N650" s="0" t="n">
        <f aca="false">IF(OR(B650="NW",COUNT(Risk_Rank_Keys!C650)=0),0.5,(SUMPRODUCT(--ISNUMBER(Risk_Rank_Keys!$C$2:$C$800),--(Risk_Rank_Keys!$C$2:$C$800&lt;Risk_Rank_Keys!C650))+(SUMPRODUCT(--ISNUMBER(Risk_Rank_Keys!$C$2:$C$800),--(Risk_Rank_Keys!$C$2:$C$800=Risk_Rank_Keys!C650))+1)/2)/COUNT(Risk_Rank_Keys!$C$2:$C$800))</f>
        <v>0.248256624825663</v>
      </c>
      <c r="O650" s="0" t="n">
        <f aca="false">IF(OR(B650="NW",COUNT(Risk_Rank_Keys!D650)=0),0.5,(SUMPRODUCT(--ISNUMBER(Risk_Rank_Keys!$D$2:$D$800),--(Risk_Rank_Keys!$D$2:$D$800&lt;Risk_Rank_Keys!D650))+(SUMPRODUCT(--ISNUMBER(Risk_Rank_Keys!$D$2:$D$800),--(Risk_Rank_Keys!$D$2:$D$800=Risk_Rank_Keys!D650))+1)/2)/COUNT(Risk_Rank_Keys!$D$2:$D$800))</f>
        <v>0.603905160390516</v>
      </c>
      <c r="P650" s="0" t="n">
        <f aca="false">AVERAGE(M650:O650)</f>
        <v>0.426313342631334</v>
      </c>
      <c r="Q650" s="0" t="n">
        <f aca="false">0.4*H650+0.4*I650+0.2*P650</f>
        <v>0.390644395685216</v>
      </c>
      <c r="R650" s="0" t="n">
        <f aca="false">PERCENTILE($Q$2:$Q$800,0.75)</f>
        <v>0.667715717403612</v>
      </c>
      <c r="S650" s="1" t="b">
        <f aca="false">OR(Q650&gt;=R650,AND(B650="CW",COUNT(J650:L650)&lt;3))</f>
        <v>0</v>
      </c>
      <c r="T650" s="0" t="n">
        <v>0.290262387720243</v>
      </c>
      <c r="U650" s="0" t="n">
        <v>5.79258721027604</v>
      </c>
      <c r="V650" s="0" t="n">
        <v>0.390644395685216</v>
      </c>
      <c r="W650" s="0" t="n">
        <f aca="false">Q650-V650</f>
        <v>0</v>
      </c>
    </row>
    <row r="651" customFormat="false" ht="15" hidden="false" customHeight="false" outlineLevel="0" collapsed="false">
      <c r="A651" s="0" t="s">
        <v>685</v>
      </c>
      <c r="B651" s="0" t="s">
        <v>3013</v>
      </c>
      <c r="C651" s="0" t="n">
        <v>-39.503842228204</v>
      </c>
      <c r="D651" s="0" t="n">
        <f aca="false">SUMPRODUCT(Risk_Inputs!B651:AJ651,Risk_Coefs!$B$2:$AJ$2)</f>
        <v>-0.985575100376756</v>
      </c>
      <c r="E651" s="0" t="n">
        <f aca="false">1/(1+EXP(-MAX(-25,MIN(25,D651))))</f>
        <v>0.271786963613947</v>
      </c>
      <c r="F651" s="0" t="n">
        <f aca="false">SUMPRODUCT(Risk_Inputs!B651:AJ651,Risk_Coefs!$B$3:$AJ$3)</f>
        <v>7.94177018051669</v>
      </c>
      <c r="G651" s="0" t="n">
        <f aca="false">MAX(0,F651)</f>
        <v>7.94177018051669</v>
      </c>
      <c r="H651" s="0" t="n">
        <f aca="false">(SUMPRODUCT(--ISNUMBER($E$2:$E$800),--($E$2:$E$800&lt;E651))+(SUMPRODUCT(--ISNUMBER($E$2:$E$800),--($E$2:$E$800=E651))+1)/2)/COUNT($E$2:$E$800)</f>
        <v>0.401752190237797</v>
      </c>
      <c r="I651" s="0" t="n">
        <f aca="false">(SUMPRODUCT(--ISNUMBER($G$2:$G$800),--($G$2:$G$800&lt;G651))+(SUMPRODUCT(--ISNUMBER($G$2:$G$800),--($G$2:$G$800=G651))+1)/2)/COUNT($G$2:$G$800)</f>
        <v>0.530663329161452</v>
      </c>
      <c r="J651" s="0" t="n">
        <v>6.22365072531046</v>
      </c>
      <c r="K651" s="0" t="n">
        <v>9.24040720438529</v>
      </c>
      <c r="L651" s="0" t="n">
        <v>0.274079874706344</v>
      </c>
      <c r="M651" s="0" t="n">
        <f aca="false">IF(OR(B651="NW",COUNT(Risk_Rank_Keys!B651)=0),0.5,(SUMPRODUCT(--ISNUMBER(Risk_Rank_Keys!$B$2:$B$800),--(Risk_Rank_Keys!$B$2:$B$800&lt;Risk_Rank_Keys!B651))+(SUMPRODUCT(--ISNUMBER(Risk_Rank_Keys!$B$2:$B$800),--(Risk_Rank_Keys!$B$2:$B$800=Risk_Rank_Keys!B651))+1)/2)/COUNT(Risk_Rank_Keys!$B$2:$B$800))</f>
        <v>0.241283124128312</v>
      </c>
      <c r="N651" s="0" t="n">
        <f aca="false">IF(OR(B651="NW",COUNT(Risk_Rank_Keys!C651)=0),0.5,(SUMPRODUCT(--ISNUMBER(Risk_Rank_Keys!$C$2:$C$800),--(Risk_Rank_Keys!$C$2:$C$800&lt;Risk_Rank_Keys!C651))+(SUMPRODUCT(--ISNUMBER(Risk_Rank_Keys!$C$2:$C$800),--(Risk_Rank_Keys!$C$2:$C$800=Risk_Rank_Keys!C651))+1)/2)/COUNT(Risk_Rank_Keys!$C$2:$C$800))</f>
        <v>0.860529986052999</v>
      </c>
      <c r="O651" s="0" t="n">
        <f aca="false">IF(OR(B651="NW",COUNT(Risk_Rank_Keys!D651)=0),0.5,(SUMPRODUCT(--ISNUMBER(Risk_Rank_Keys!$D$2:$D$800),--(Risk_Rank_Keys!$D$2:$D$800&lt;Risk_Rank_Keys!D651))+(SUMPRODUCT(--ISNUMBER(Risk_Rank_Keys!$D$2:$D$800),--(Risk_Rank_Keys!$D$2:$D$800=Risk_Rank_Keys!D651))+1)/2)/COUNT(Risk_Rank_Keys!$D$2:$D$800))</f>
        <v>0.673640167364017</v>
      </c>
      <c r="P651" s="0" t="n">
        <f aca="false">AVERAGE(M651:O651)</f>
        <v>0.591817759181776</v>
      </c>
      <c r="Q651" s="0" t="n">
        <f aca="false">0.4*H651+0.4*I651+0.2*P651</f>
        <v>0.491329759596055</v>
      </c>
      <c r="R651" s="0" t="n">
        <f aca="false">PERCENTILE($Q$2:$Q$800,0.75)</f>
        <v>0.667715717403612</v>
      </c>
      <c r="S651" s="1" t="b">
        <f aca="false">OR(Q651&gt;=R651,AND(B651="CW",COUNT(J651:L651)&lt;3))</f>
        <v>0</v>
      </c>
      <c r="T651" s="0" t="n">
        <v>0.271786963613947</v>
      </c>
      <c r="U651" s="0" t="n">
        <v>7.94177018051669</v>
      </c>
      <c r="V651" s="0" t="n">
        <v>0.491329759596055</v>
      </c>
      <c r="W651" s="0" t="n">
        <f aca="false">Q651-V651</f>
        <v>0</v>
      </c>
    </row>
    <row r="652" customFormat="false" ht="15" hidden="false" customHeight="false" outlineLevel="0" collapsed="false">
      <c r="A652" s="0" t="s">
        <v>686</v>
      </c>
      <c r="B652" s="0" t="s">
        <v>3013</v>
      </c>
      <c r="C652" s="0" t="n">
        <v>27.2658193367664</v>
      </c>
      <c r="D652" s="0" t="n">
        <f aca="false">SUMPRODUCT(Risk_Inputs!B652:AJ652,Risk_Coefs!$B$2:$AJ$2)</f>
        <v>-1.27572567462122</v>
      </c>
      <c r="E652" s="0" t="n">
        <f aca="false">1/(1+EXP(-MAX(-25,MIN(25,D652))))</f>
        <v>0.218278686672157</v>
      </c>
      <c r="F652" s="0" t="n">
        <f aca="false">SUMPRODUCT(Risk_Inputs!B652:AJ652,Risk_Coefs!$B$3:$AJ$3)</f>
        <v>5.54024307604288</v>
      </c>
      <c r="G652" s="0" t="n">
        <f aca="false">MAX(0,F652)</f>
        <v>5.54024307604288</v>
      </c>
      <c r="H652" s="0" t="n">
        <f aca="false">(SUMPRODUCT(--ISNUMBER($E$2:$E$800),--($E$2:$E$800&lt;E652))+(SUMPRODUCT(--ISNUMBER($E$2:$E$800),--($E$2:$E$800=E652))+1)/2)/COUNT($E$2:$E$800)</f>
        <v>0.142678347934919</v>
      </c>
      <c r="I652" s="0" t="n">
        <f aca="false">(SUMPRODUCT(--ISNUMBER($G$2:$G$800),--($G$2:$G$800&lt;G652))+(SUMPRODUCT(--ISNUMBER($G$2:$G$800),--($G$2:$G$800=G652))+1)/2)/COUNT($G$2:$G$800)</f>
        <v>0.206508135168961</v>
      </c>
      <c r="J652" s="0" t="n">
        <v>12.2136243190594</v>
      </c>
      <c r="K652" s="0" t="n">
        <v>5.79755076732289</v>
      </c>
      <c r="L652" s="0" t="n">
        <v>0.170516199038903</v>
      </c>
      <c r="M652" s="0" t="n">
        <f aca="false">IF(OR(B652="NW",COUNT(Risk_Rank_Keys!B652)=0),0.5,(SUMPRODUCT(--ISNUMBER(Risk_Rank_Keys!$B$2:$B$800),--(Risk_Rank_Keys!$B$2:$B$800&lt;Risk_Rank_Keys!B652))+(SUMPRODUCT(--ISNUMBER(Risk_Rank_Keys!$B$2:$B$800),--(Risk_Rank_Keys!$B$2:$B$800=Risk_Rank_Keys!B652))+1)/2)/COUNT(Risk_Rank_Keys!$B$2:$B$800))</f>
        <v>0.608089260808926</v>
      </c>
      <c r="N652" s="0" t="n">
        <f aca="false">IF(OR(B652="NW",COUNT(Risk_Rank_Keys!C652)=0),0.5,(SUMPRODUCT(--ISNUMBER(Risk_Rank_Keys!$C$2:$C$800),--(Risk_Rank_Keys!$C$2:$C$800&lt;Risk_Rank_Keys!C652))+(SUMPRODUCT(--ISNUMBER(Risk_Rank_Keys!$C$2:$C$800),--(Risk_Rank_Keys!$C$2:$C$800=Risk_Rank_Keys!C652))+1)/2)/COUNT(Risk_Rank_Keys!$C$2:$C$800))</f>
        <v>0.736401673640167</v>
      </c>
      <c r="O652" s="0" t="n">
        <f aca="false">IF(OR(B652="NW",COUNT(Risk_Rank_Keys!D652)=0),0.5,(SUMPRODUCT(--ISNUMBER(Risk_Rank_Keys!$D$2:$D$800),--(Risk_Rank_Keys!$D$2:$D$800&lt;Risk_Rank_Keys!D652))+(SUMPRODUCT(--ISNUMBER(Risk_Rank_Keys!$D$2:$D$800),--(Risk_Rank_Keys!$D$2:$D$800=Risk_Rank_Keys!D652))+1)/2)/COUNT(Risk_Rank_Keys!$D$2:$D$800))</f>
        <v>0.168758716875872</v>
      </c>
      <c r="P652" s="0" t="n">
        <f aca="false">AVERAGE(M652:O652)</f>
        <v>0.504416550441655</v>
      </c>
      <c r="Q652" s="0" t="n">
        <f aca="false">0.4*H652+0.4*I652+0.2*P652</f>
        <v>0.240557903329883</v>
      </c>
      <c r="R652" s="0" t="n">
        <f aca="false">PERCENTILE($Q$2:$Q$800,0.75)</f>
        <v>0.667715717403612</v>
      </c>
      <c r="S652" s="1" t="b">
        <f aca="false">OR(Q652&gt;=R652,AND(B652="CW",COUNT(J652:L652)&lt;3))</f>
        <v>0</v>
      </c>
      <c r="T652" s="0" t="n">
        <v>0.218278686672157</v>
      </c>
      <c r="U652" s="0" t="n">
        <v>5.54024307604288</v>
      </c>
      <c r="V652" s="0" t="n">
        <v>0.240557903329883</v>
      </c>
      <c r="W652" s="0" t="n">
        <f aca="false">Q652-V652</f>
        <v>0</v>
      </c>
    </row>
    <row r="653" customFormat="false" ht="15" hidden="false" customHeight="false" outlineLevel="0" collapsed="false">
      <c r="A653" s="0" t="s">
        <v>687</v>
      </c>
      <c r="B653" s="0" t="s">
        <v>33</v>
      </c>
      <c r="C653" s="0" t="n">
        <v>1.49983757643486</v>
      </c>
      <c r="D653" s="0" t="n">
        <f aca="false">SUMPRODUCT(Risk_Inputs!B653:AJ653,Risk_Coefs!$B$2:$AJ$2)</f>
        <v>-0.710387893870231</v>
      </c>
      <c r="E653" s="0" t="n">
        <f aca="false">1/(1+EXP(-MAX(-25,MIN(25,D653))))</f>
        <v>0.32951313549132</v>
      </c>
      <c r="F653" s="0" t="n">
        <f aca="false">SUMPRODUCT(Risk_Inputs!B653:AJ653,Risk_Coefs!$B$3:$AJ$3)</f>
        <v>9.58541499028995</v>
      </c>
      <c r="G653" s="0" t="n">
        <f aca="false">MAX(0,F653)</f>
        <v>9.58541499028995</v>
      </c>
      <c r="H653" s="0" t="n">
        <f aca="false">(SUMPRODUCT(--ISNUMBER($E$2:$E$800),--($E$2:$E$800&lt;E653))+(SUMPRODUCT(--ISNUMBER($E$2:$E$800),--($E$2:$E$800=E653))+1)/2)/COUNT($E$2:$E$800)</f>
        <v>0.730913642052566</v>
      </c>
      <c r="I653" s="0" t="n">
        <f aca="false">(SUMPRODUCT(--ISNUMBER($G$2:$G$800),--($G$2:$G$800&lt;G653))+(SUMPRODUCT(--ISNUMBER($G$2:$G$800),--($G$2:$G$800=G653))+1)/2)/COUNT($G$2:$G$800)</f>
        <v>0.737171464330413</v>
      </c>
      <c r="M653" s="0" t="n">
        <f aca="false">IF(OR(B653="NW",COUNT(Risk_Rank_Keys!B653)=0),0.5,(SUMPRODUCT(--ISNUMBER(Risk_Rank_Keys!$B$2:$B$800),--(Risk_Rank_Keys!$B$2:$B$800&lt;Risk_Rank_Keys!B653))+(SUMPRODUCT(--ISNUMBER(Risk_Rank_Keys!$B$2:$B$800),--(Risk_Rank_Keys!$B$2:$B$800=Risk_Rank_Keys!B653))+1)/2)/COUNT(Risk_Rank_Keys!$B$2:$B$800))</f>
        <v>0.5</v>
      </c>
      <c r="N653" s="0" t="n">
        <f aca="false">IF(OR(B653="NW",COUNT(Risk_Rank_Keys!C653)=0),0.5,(SUMPRODUCT(--ISNUMBER(Risk_Rank_Keys!$C$2:$C$800),--(Risk_Rank_Keys!$C$2:$C$800&lt;Risk_Rank_Keys!C653))+(SUMPRODUCT(--ISNUMBER(Risk_Rank_Keys!$C$2:$C$800),--(Risk_Rank_Keys!$C$2:$C$800=Risk_Rank_Keys!C653))+1)/2)/COUNT(Risk_Rank_Keys!$C$2:$C$800))</f>
        <v>0.5</v>
      </c>
      <c r="O653" s="0" t="n">
        <f aca="false">IF(OR(B653="NW",COUNT(Risk_Rank_Keys!D653)=0),0.5,(SUMPRODUCT(--ISNUMBER(Risk_Rank_Keys!$D$2:$D$800),--(Risk_Rank_Keys!$D$2:$D$800&lt;Risk_Rank_Keys!D653))+(SUMPRODUCT(--ISNUMBER(Risk_Rank_Keys!$D$2:$D$800),--(Risk_Rank_Keys!$D$2:$D$800=Risk_Rank_Keys!D653))+1)/2)/COUNT(Risk_Rank_Keys!$D$2:$D$800))</f>
        <v>0.5</v>
      </c>
      <c r="P653" s="0" t="n">
        <f aca="false">AVERAGE(M653:O653)</f>
        <v>0.5</v>
      </c>
      <c r="Q653" s="0" t="n">
        <f aca="false">0.4*H653+0.4*I653+0.2*P653</f>
        <v>0.687234042553191</v>
      </c>
      <c r="R653" s="0" t="n">
        <f aca="false">PERCENTILE($Q$2:$Q$800,0.75)</f>
        <v>0.667715717403612</v>
      </c>
      <c r="S653" s="1" t="b">
        <f aca="false">OR(Q653&gt;=R653,AND(B653="CW",COUNT(J653:L653)&lt;3))</f>
        <v>1</v>
      </c>
      <c r="T653" s="0" t="n">
        <v>0.32951313549132</v>
      </c>
      <c r="U653" s="0" t="n">
        <v>9.58541499028995</v>
      </c>
      <c r="V653" s="0" t="n">
        <v>0.687234042553191</v>
      </c>
      <c r="W653" s="0" t="n">
        <f aca="false">Q653-V653</f>
        <v>0</v>
      </c>
    </row>
    <row r="654" customFormat="false" ht="15" hidden="false" customHeight="false" outlineLevel="0" collapsed="false">
      <c r="A654" s="0" t="s">
        <v>688</v>
      </c>
      <c r="B654" s="0" t="s">
        <v>3013</v>
      </c>
      <c r="C654" s="0" t="n">
        <v>21.7883609728593</v>
      </c>
      <c r="D654" s="0" t="n">
        <f aca="false">SUMPRODUCT(Risk_Inputs!B654:AJ654,Risk_Coefs!$B$2:$AJ$2)</f>
        <v>-1.20327138655144</v>
      </c>
      <c r="E654" s="0" t="n">
        <f aca="false">1/(1+EXP(-MAX(-25,MIN(25,D654))))</f>
        <v>0.230893766312796</v>
      </c>
      <c r="F654" s="0" t="n">
        <f aca="false">SUMPRODUCT(Risk_Inputs!B654:AJ654,Risk_Coefs!$B$3:$AJ$3)</f>
        <v>5.41330348740684</v>
      </c>
      <c r="G654" s="0" t="n">
        <f aca="false">MAX(0,F654)</f>
        <v>5.41330348740684</v>
      </c>
      <c r="H654" s="0" t="n">
        <f aca="false">(SUMPRODUCT(--ISNUMBER($E$2:$E$800),--($E$2:$E$800&lt;E654))+(SUMPRODUCT(--ISNUMBER($E$2:$E$800),--($E$2:$E$800=E654))+1)/2)/COUNT($E$2:$E$800)</f>
        <v>0.176470588235294</v>
      </c>
      <c r="I654" s="0" t="n">
        <f aca="false">(SUMPRODUCT(--ISNUMBER($G$2:$G$800),--($G$2:$G$800&lt;G654))+(SUMPRODUCT(--ISNUMBER($G$2:$G$800),--($G$2:$G$800=G654))+1)/2)/COUNT($G$2:$G$800)</f>
        <v>0.188986232790989</v>
      </c>
      <c r="J654" s="0" t="n">
        <v>13.3778109585865</v>
      </c>
      <c r="K654" s="0" t="n">
        <v>19.0107050572167</v>
      </c>
      <c r="L654" s="0" t="n">
        <v>0.258397932816539</v>
      </c>
      <c r="M654" s="0" t="n">
        <f aca="false">IF(OR(B654="NW",COUNT(Risk_Rank_Keys!B654)=0),0.5,(SUMPRODUCT(--ISNUMBER(Risk_Rank_Keys!$B$2:$B$800),--(Risk_Rank_Keys!$B$2:$B$800&lt;Risk_Rank_Keys!B654))+(SUMPRODUCT(--ISNUMBER(Risk_Rank_Keys!$B$2:$B$800),--(Risk_Rank_Keys!$B$2:$B$800=Risk_Rank_Keys!B654))+1)/2)/COUNT(Risk_Rank_Keys!$B$2:$B$800))</f>
        <v>0.655509065550907</v>
      </c>
      <c r="N654" s="0" t="n">
        <f aca="false">IF(OR(B654="NW",COUNT(Risk_Rank_Keys!C654)=0),0.5,(SUMPRODUCT(--ISNUMBER(Risk_Rank_Keys!$C$2:$C$800),--(Risk_Rank_Keys!$C$2:$C$800&lt;Risk_Rank_Keys!C654))+(SUMPRODUCT(--ISNUMBER(Risk_Rank_Keys!$C$2:$C$800),--(Risk_Rank_Keys!$C$2:$C$800=Risk_Rank_Keys!C654))+1)/2)/COUNT(Risk_Rank_Keys!$C$2:$C$800))</f>
        <v>0.95676429567643</v>
      </c>
      <c r="O654" s="0" t="n">
        <f aca="false">IF(OR(B654="NW",COUNT(Risk_Rank_Keys!D654)=0),0.5,(SUMPRODUCT(--ISNUMBER(Risk_Rank_Keys!$D$2:$D$800),--(Risk_Rank_Keys!$D$2:$D$800&lt;Risk_Rank_Keys!D654))+(SUMPRODUCT(--ISNUMBER(Risk_Rank_Keys!$D$2:$D$800),--(Risk_Rank_Keys!$D$2:$D$800=Risk_Rank_Keys!D654))+1)/2)/COUNT(Risk_Rank_Keys!$D$2:$D$800))</f>
        <v>0.620641562064156</v>
      </c>
      <c r="P654" s="0" t="n">
        <f aca="false">AVERAGE(M654:O654)</f>
        <v>0.744304974430497</v>
      </c>
      <c r="Q654" s="0" t="n">
        <f aca="false">0.4*H654+0.4*I654+0.2*P654</f>
        <v>0.295043723296613</v>
      </c>
      <c r="R654" s="0" t="n">
        <f aca="false">PERCENTILE($Q$2:$Q$800,0.75)</f>
        <v>0.667715717403612</v>
      </c>
      <c r="S654" s="1" t="b">
        <f aca="false">OR(Q654&gt;=R654,AND(B654="CW",COUNT(J654:L654)&lt;3))</f>
        <v>0</v>
      </c>
      <c r="T654" s="0" t="n">
        <v>0.230893766312796</v>
      </c>
      <c r="U654" s="0" t="n">
        <v>5.41330348740684</v>
      </c>
      <c r="V654" s="0" t="n">
        <v>0.295043723296613</v>
      </c>
      <c r="W654" s="0" t="n">
        <f aca="false">Q654-V654</f>
        <v>0</v>
      </c>
    </row>
    <row r="655" customFormat="false" ht="15" hidden="false" customHeight="false" outlineLevel="0" collapsed="false">
      <c r="A655" s="0" t="s">
        <v>689</v>
      </c>
      <c r="B655" s="0" t="s">
        <v>3013</v>
      </c>
      <c r="C655" s="0" t="n">
        <v>26.9165549257809</v>
      </c>
      <c r="D655" s="0" t="n">
        <f aca="false">SUMPRODUCT(Risk_Inputs!B655:AJ655,Risk_Coefs!$B$2:$AJ$2)</f>
        <v>-1.27760196608943</v>
      </c>
      <c r="E655" s="0" t="n">
        <f aca="false">1/(1+EXP(-MAX(-25,MIN(25,D655))))</f>
        <v>0.217958698476249</v>
      </c>
      <c r="F655" s="0" t="n">
        <f aca="false">SUMPRODUCT(Risk_Inputs!B655:AJ655,Risk_Coefs!$B$3:$AJ$3)</f>
        <v>4.78134123611144</v>
      </c>
      <c r="G655" s="0" t="n">
        <f aca="false">MAX(0,F655)</f>
        <v>4.78134123611144</v>
      </c>
      <c r="H655" s="0" t="n">
        <f aca="false">(SUMPRODUCT(--ISNUMBER($E$2:$E$800),--($E$2:$E$800&lt;E655))+(SUMPRODUCT(--ISNUMBER($E$2:$E$800),--($E$2:$E$800=E655))+1)/2)/COUNT($E$2:$E$800)</f>
        <v>0.141426783479349</v>
      </c>
      <c r="I655" s="0" t="n">
        <f aca="false">(SUMPRODUCT(--ISNUMBER($G$2:$G$800),--($G$2:$G$800&lt;G655))+(SUMPRODUCT(--ISNUMBER($G$2:$G$800),--($G$2:$G$800=G655))+1)/2)/COUNT($G$2:$G$800)</f>
        <v>0.110137672090113</v>
      </c>
      <c r="J655" s="0" t="n">
        <v>9.39446808694893</v>
      </c>
      <c r="K655" s="0" t="n">
        <v>2.91217257318952</v>
      </c>
      <c r="L655" s="0" t="n">
        <v>0.215716486902924</v>
      </c>
      <c r="M655" s="0" t="n">
        <f aca="false">IF(OR(B655="NW",COUNT(Risk_Rank_Keys!B655)=0),0.5,(SUMPRODUCT(--ISNUMBER(Risk_Rank_Keys!$B$2:$B$800),--(Risk_Rank_Keys!$B$2:$B$800&lt;Risk_Rank_Keys!B655))+(SUMPRODUCT(--ISNUMBER(Risk_Rank_Keys!$B$2:$B$800),--(Risk_Rank_Keys!$B$2:$B$800=Risk_Rank_Keys!B655))+1)/2)/COUNT(Risk_Rank_Keys!$B$2:$B$800))</f>
        <v>0.467224546722455</v>
      </c>
      <c r="N655" s="0" t="n">
        <f aca="false">IF(OR(B655="NW",COUNT(Risk_Rank_Keys!C655)=0),0.5,(SUMPRODUCT(--ISNUMBER(Risk_Rank_Keys!$C$2:$C$800),--(Risk_Rank_Keys!$C$2:$C$800&lt;Risk_Rank_Keys!C655))+(SUMPRODUCT(--ISNUMBER(Risk_Rank_Keys!$C$2:$C$800),--(Risk_Rank_Keys!$C$2:$C$800=Risk_Rank_Keys!C655))+1)/2)/COUNT(Risk_Rank_Keys!$C$2:$C$800))</f>
        <v>0.460251046025105</v>
      </c>
      <c r="O655" s="0" t="n">
        <f aca="false">IF(OR(B655="NW",COUNT(Risk_Rank_Keys!D655)=0),0.5,(SUMPRODUCT(--ISNUMBER(Risk_Rank_Keys!$D$2:$D$800),--(Risk_Rank_Keys!$D$2:$D$800&lt;Risk_Rank_Keys!D655))+(SUMPRODUCT(--ISNUMBER(Risk_Rank_Keys!$D$2:$D$800),--(Risk_Rank_Keys!$D$2:$D$800=Risk_Rank_Keys!D655))+1)/2)/COUNT(Risk_Rank_Keys!$D$2:$D$800))</f>
        <v>0.415620641562064</v>
      </c>
      <c r="P655" s="0" t="n">
        <f aca="false">AVERAGE(M655:O655)</f>
        <v>0.447698744769874</v>
      </c>
      <c r="Q655" s="0" t="n">
        <f aca="false">0.4*H655+0.4*I655+0.2*P655</f>
        <v>0.19016553118176</v>
      </c>
      <c r="R655" s="0" t="n">
        <f aca="false">PERCENTILE($Q$2:$Q$800,0.75)</f>
        <v>0.667715717403612</v>
      </c>
      <c r="S655" s="1" t="b">
        <f aca="false">OR(Q655&gt;=R655,AND(B655="CW",COUNT(J655:L655)&lt;3))</f>
        <v>0</v>
      </c>
      <c r="T655" s="0" t="n">
        <v>0.217958698476249</v>
      </c>
      <c r="U655" s="0" t="n">
        <v>4.78134123611144</v>
      </c>
      <c r="V655" s="0" t="n">
        <v>0.19016553118176</v>
      </c>
      <c r="W655" s="0" t="n">
        <f aca="false">Q655-V655</f>
        <v>0</v>
      </c>
    </row>
    <row r="656" customFormat="false" ht="15" hidden="false" customHeight="false" outlineLevel="0" collapsed="false">
      <c r="A656" s="0" t="s">
        <v>690</v>
      </c>
      <c r="B656" s="0" t="s">
        <v>3013</v>
      </c>
      <c r="C656" s="0" t="n">
        <v>-2.11520696759343</v>
      </c>
      <c r="D656" s="0" t="n">
        <f aca="false">SUMPRODUCT(Risk_Inputs!B656:AJ656,Risk_Coefs!$B$2:$AJ$2)</f>
        <v>0.017502984880028</v>
      </c>
      <c r="E656" s="0" t="n">
        <f aca="false">1/(1+EXP(-MAX(-25,MIN(25,D656))))</f>
        <v>0.504375634512641</v>
      </c>
      <c r="F656" s="0" t="n">
        <f aca="false">SUMPRODUCT(Risk_Inputs!B656:AJ656,Risk_Coefs!$B$3:$AJ$3)</f>
        <v>10.4828317284356</v>
      </c>
      <c r="G656" s="0" t="n">
        <f aca="false">MAX(0,F656)</f>
        <v>10.4828317284356</v>
      </c>
      <c r="H656" s="0" t="n">
        <f aca="false">(SUMPRODUCT(--ISNUMBER($E$2:$E$800),--($E$2:$E$800&lt;E656))+(SUMPRODUCT(--ISNUMBER($E$2:$E$800),--($E$2:$E$800=E656))+1)/2)/COUNT($E$2:$E$800)</f>
        <v>0.996245306633292</v>
      </c>
      <c r="I656" s="0" t="n">
        <f aca="false">(SUMPRODUCT(--ISNUMBER($G$2:$G$800),--($G$2:$G$800&lt;G656))+(SUMPRODUCT(--ISNUMBER($G$2:$G$800),--($G$2:$G$800=G656))+1)/2)/COUNT($G$2:$G$800)</f>
        <v>0.839799749687109</v>
      </c>
      <c r="M656" s="0" t="n">
        <f aca="false">IF(OR(B656="NW",COUNT(Risk_Rank_Keys!B656)=0),0.5,(SUMPRODUCT(--ISNUMBER(Risk_Rank_Keys!$B$2:$B$800),--(Risk_Rank_Keys!$B$2:$B$800&lt;Risk_Rank_Keys!B656))+(SUMPRODUCT(--ISNUMBER(Risk_Rank_Keys!$B$2:$B$800),--(Risk_Rank_Keys!$B$2:$B$800=Risk_Rank_Keys!B656))+1)/2)/COUNT(Risk_Rank_Keys!$B$2:$B$800))</f>
        <v>0.5</v>
      </c>
      <c r="N656" s="0" t="n">
        <f aca="false">IF(OR(B656="NW",COUNT(Risk_Rank_Keys!C656)=0),0.5,(SUMPRODUCT(--ISNUMBER(Risk_Rank_Keys!$C$2:$C$800),--(Risk_Rank_Keys!$C$2:$C$800&lt;Risk_Rank_Keys!C656))+(SUMPRODUCT(--ISNUMBER(Risk_Rank_Keys!$C$2:$C$800),--(Risk_Rank_Keys!$C$2:$C$800=Risk_Rank_Keys!C656))+1)/2)/COUNT(Risk_Rank_Keys!$C$2:$C$800))</f>
        <v>0.5</v>
      </c>
      <c r="O656" s="0" t="n">
        <f aca="false">IF(OR(B656="NW",COUNT(Risk_Rank_Keys!D656)=0),0.5,(SUMPRODUCT(--ISNUMBER(Risk_Rank_Keys!$D$2:$D$800),--(Risk_Rank_Keys!$D$2:$D$800&lt;Risk_Rank_Keys!D656))+(SUMPRODUCT(--ISNUMBER(Risk_Rank_Keys!$D$2:$D$800),--(Risk_Rank_Keys!$D$2:$D$800=Risk_Rank_Keys!D656))+1)/2)/COUNT(Risk_Rank_Keys!$D$2:$D$800))</f>
        <v>0.5</v>
      </c>
      <c r="P656" s="0" t="n">
        <f aca="false">AVERAGE(M656:O656)</f>
        <v>0.5</v>
      </c>
      <c r="Q656" s="0" t="n">
        <f aca="false">0.4*H656+0.4*I656+0.2*P656</f>
        <v>0.83441802252816</v>
      </c>
      <c r="R656" s="0" t="n">
        <f aca="false">PERCENTILE($Q$2:$Q$800,0.75)</f>
        <v>0.667715717403612</v>
      </c>
      <c r="S656" s="1" t="b">
        <f aca="false">OR(Q656&gt;=R656,AND(B656="CW",COUNT(J656:L656)&lt;3))</f>
        <v>1</v>
      </c>
      <c r="T656" s="0" t="n">
        <v>0.504375634512641</v>
      </c>
      <c r="U656" s="0" t="n">
        <v>10.4828317284356</v>
      </c>
      <c r="V656" s="0" t="n">
        <v>0.83441802252816</v>
      </c>
      <c r="W656" s="0" t="n">
        <f aca="false">Q656-V656</f>
        <v>0</v>
      </c>
    </row>
    <row r="657" customFormat="false" ht="15" hidden="false" customHeight="false" outlineLevel="0" collapsed="false">
      <c r="A657" s="0" t="s">
        <v>691</v>
      </c>
      <c r="B657" s="0" t="s">
        <v>33</v>
      </c>
      <c r="C657" s="0" t="n">
        <v>-39.2014904645742</v>
      </c>
      <c r="D657" s="0" t="n">
        <f aca="false">SUMPRODUCT(Risk_Inputs!B657:AJ657,Risk_Coefs!$B$2:$AJ$2)</f>
        <v>-0.305228875933185</v>
      </c>
      <c r="E657" s="0" t="n">
        <f aca="false">1/(1+EXP(-MAX(-25,MIN(25,D657))))</f>
        <v>0.42427974127883</v>
      </c>
      <c r="F657" s="0" t="n">
        <f aca="false">SUMPRODUCT(Risk_Inputs!B657:AJ657,Risk_Coefs!$B$3:$AJ$3)</f>
        <v>14.8233544688521</v>
      </c>
      <c r="G657" s="0" t="n">
        <f aca="false">MAX(0,F657)</f>
        <v>14.8233544688521</v>
      </c>
      <c r="H657" s="0" t="n">
        <f aca="false">(SUMPRODUCT(--ISNUMBER($E$2:$E$800),--($E$2:$E$800&lt;E657))+(SUMPRODUCT(--ISNUMBER($E$2:$E$800),--($E$2:$E$800=E657))+1)/2)/COUNT($E$2:$E$800)</f>
        <v>0.967459324155194</v>
      </c>
      <c r="I657" s="0" t="n">
        <f aca="false">(SUMPRODUCT(--ISNUMBER($G$2:$G$800),--($G$2:$G$800&lt;G657))+(SUMPRODUCT(--ISNUMBER($G$2:$G$800),--($G$2:$G$800=G657))+1)/2)/COUNT($G$2:$G$800)</f>
        <v>0.982478097622028</v>
      </c>
      <c r="M657" s="0" t="n">
        <f aca="false">IF(OR(B657="NW",COUNT(Risk_Rank_Keys!B657)=0),0.5,(SUMPRODUCT(--ISNUMBER(Risk_Rank_Keys!$B$2:$B$800),--(Risk_Rank_Keys!$B$2:$B$800&lt;Risk_Rank_Keys!B657))+(SUMPRODUCT(--ISNUMBER(Risk_Rank_Keys!$B$2:$B$800),--(Risk_Rank_Keys!$B$2:$B$800=Risk_Rank_Keys!B657))+1)/2)/COUNT(Risk_Rank_Keys!$B$2:$B$800))</f>
        <v>0.5</v>
      </c>
      <c r="N657" s="0" t="n">
        <f aca="false">IF(OR(B657="NW",COUNT(Risk_Rank_Keys!C657)=0),0.5,(SUMPRODUCT(--ISNUMBER(Risk_Rank_Keys!$C$2:$C$800),--(Risk_Rank_Keys!$C$2:$C$800&lt;Risk_Rank_Keys!C657))+(SUMPRODUCT(--ISNUMBER(Risk_Rank_Keys!$C$2:$C$800),--(Risk_Rank_Keys!$C$2:$C$800=Risk_Rank_Keys!C657))+1)/2)/COUNT(Risk_Rank_Keys!$C$2:$C$800))</f>
        <v>0.5</v>
      </c>
      <c r="O657" s="0" t="n">
        <f aca="false">IF(OR(B657="NW",COUNT(Risk_Rank_Keys!D657)=0),0.5,(SUMPRODUCT(--ISNUMBER(Risk_Rank_Keys!$D$2:$D$800),--(Risk_Rank_Keys!$D$2:$D$800&lt;Risk_Rank_Keys!D657))+(SUMPRODUCT(--ISNUMBER(Risk_Rank_Keys!$D$2:$D$800),--(Risk_Rank_Keys!$D$2:$D$800=Risk_Rank_Keys!D657))+1)/2)/COUNT(Risk_Rank_Keys!$D$2:$D$800))</f>
        <v>0.5</v>
      </c>
      <c r="P657" s="0" t="n">
        <f aca="false">AVERAGE(M657:O657)</f>
        <v>0.5</v>
      </c>
      <c r="Q657" s="0" t="n">
        <f aca="false">0.4*H657+0.4*I657+0.2*P657</f>
        <v>0.879974968710889</v>
      </c>
      <c r="R657" s="0" t="n">
        <f aca="false">PERCENTILE($Q$2:$Q$800,0.75)</f>
        <v>0.667715717403612</v>
      </c>
      <c r="S657" s="1" t="b">
        <f aca="false">OR(Q657&gt;=R657,AND(B657="CW",COUNT(J657:L657)&lt;3))</f>
        <v>1</v>
      </c>
      <c r="T657" s="0" t="n">
        <v>0.42427974127883</v>
      </c>
      <c r="U657" s="0" t="n">
        <v>14.8233544688521</v>
      </c>
      <c r="V657" s="0" t="n">
        <v>0.879974968710889</v>
      </c>
      <c r="W657" s="0" t="n">
        <f aca="false">Q657-V657</f>
        <v>0</v>
      </c>
    </row>
    <row r="658" customFormat="false" ht="15" hidden="false" customHeight="false" outlineLevel="0" collapsed="false">
      <c r="A658" s="0" t="s">
        <v>692</v>
      </c>
      <c r="B658" s="0" t="s">
        <v>3013</v>
      </c>
      <c r="C658" s="0" t="n">
        <v>118.526587623017</v>
      </c>
      <c r="D658" s="0" t="n">
        <f aca="false">SUMPRODUCT(Risk_Inputs!B658:AJ658,Risk_Coefs!$B$2:$AJ$2)</f>
        <v>-1.30731030988745</v>
      </c>
      <c r="E658" s="0" t="n">
        <f aca="false">1/(1+EXP(-MAX(-25,MIN(25,D658))))</f>
        <v>0.212937274661312</v>
      </c>
      <c r="F658" s="0" t="n">
        <f aca="false">SUMPRODUCT(Risk_Inputs!B658:AJ658,Risk_Coefs!$B$3:$AJ$3)</f>
        <v>7.96965333759145</v>
      </c>
      <c r="G658" s="0" t="n">
        <f aca="false">MAX(0,F658)</f>
        <v>7.96965333759145</v>
      </c>
      <c r="H658" s="0" t="n">
        <f aca="false">(SUMPRODUCT(--ISNUMBER($E$2:$E$800),--($E$2:$E$800&lt;E658))+(SUMPRODUCT(--ISNUMBER($E$2:$E$800),--($E$2:$E$800=E658))+1)/2)/COUNT($E$2:$E$800)</f>
        <v>0.127659574468085</v>
      </c>
      <c r="I658" s="0" t="n">
        <f aca="false">(SUMPRODUCT(--ISNUMBER($G$2:$G$800),--($G$2:$G$800&lt;G658))+(SUMPRODUCT(--ISNUMBER($G$2:$G$800),--($G$2:$G$800=G658))+1)/2)/COUNT($G$2:$G$800)</f>
        <v>0.540675844806008</v>
      </c>
      <c r="J658" s="0" t="n">
        <v>51.6683934121685</v>
      </c>
      <c r="K658" s="0" t="n">
        <v>16.5228931652289</v>
      </c>
      <c r="L658" s="0" t="n">
        <v>0.33178500331785</v>
      </c>
      <c r="M658" s="0" t="n">
        <f aca="false">IF(OR(B658="NW",COUNT(Risk_Rank_Keys!B658)=0),0.5,(SUMPRODUCT(--ISNUMBER(Risk_Rank_Keys!$B$2:$B$800),--(Risk_Rank_Keys!$B$2:$B$800&lt;Risk_Rank_Keys!B658))+(SUMPRODUCT(--ISNUMBER(Risk_Rank_Keys!$B$2:$B$800),--(Risk_Rank_Keys!$B$2:$B$800=Risk_Rank_Keys!B658))+1)/2)/COUNT(Risk_Rank_Keys!$B$2:$B$800))</f>
        <v>0.97629009762901</v>
      </c>
      <c r="N658" s="0" t="n">
        <f aca="false">IF(OR(B658="NW",COUNT(Risk_Rank_Keys!C658)=0),0.5,(SUMPRODUCT(--ISNUMBER(Risk_Rank_Keys!$C$2:$C$800),--(Risk_Rank_Keys!$C$2:$C$800&lt;Risk_Rank_Keys!C658))+(SUMPRODUCT(--ISNUMBER(Risk_Rank_Keys!$C$2:$C$800),--(Risk_Rank_Keys!$C$2:$C$800=Risk_Rank_Keys!C658))+1)/2)/COUNT(Risk_Rank_Keys!$C$2:$C$800))</f>
        <v>0.944211994421199</v>
      </c>
      <c r="O658" s="0" t="n">
        <f aca="false">IF(OR(B658="NW",COUNT(Risk_Rank_Keys!D658)=0),0.5,(SUMPRODUCT(--ISNUMBER(Risk_Rank_Keys!$D$2:$D$800),--(Risk_Rank_Keys!$D$2:$D$800&lt;Risk_Rank_Keys!D658))+(SUMPRODUCT(--ISNUMBER(Risk_Rank_Keys!$D$2:$D$800),--(Risk_Rank_Keys!$D$2:$D$800=Risk_Rank_Keys!D658))+1)/2)/COUNT(Risk_Rank_Keys!$D$2:$D$800))</f>
        <v>0.799163179916318</v>
      </c>
      <c r="P658" s="0" t="n">
        <f aca="false">AVERAGE(M658:O658)</f>
        <v>0.906555090655509</v>
      </c>
      <c r="Q658" s="0" t="n">
        <f aca="false">0.4*H658+0.4*I658+0.2*P658</f>
        <v>0.448645185840739</v>
      </c>
      <c r="R658" s="0" t="n">
        <f aca="false">PERCENTILE($Q$2:$Q$800,0.75)</f>
        <v>0.667715717403612</v>
      </c>
      <c r="S658" s="1" t="b">
        <f aca="false">OR(Q658&gt;=R658,AND(B658="CW",COUNT(J658:L658)&lt;3))</f>
        <v>0</v>
      </c>
      <c r="T658" s="0" t="n">
        <v>0.212937274661312</v>
      </c>
      <c r="U658" s="0" t="n">
        <v>7.96965333759145</v>
      </c>
      <c r="V658" s="0" t="n">
        <v>0.448645185840739</v>
      </c>
      <c r="W658" s="0" t="n">
        <f aca="false">Q658-V658</f>
        <v>0</v>
      </c>
    </row>
    <row r="659" customFormat="false" ht="15" hidden="false" customHeight="false" outlineLevel="0" collapsed="false">
      <c r="A659" s="0" t="s">
        <v>693</v>
      </c>
      <c r="B659" s="0" t="s">
        <v>33</v>
      </c>
      <c r="C659" s="0" t="n">
        <v>-38.349550357148</v>
      </c>
      <c r="D659" s="0" t="n">
        <f aca="false">SUMPRODUCT(Risk_Inputs!B659:AJ659,Risk_Coefs!$B$2:$AJ$2)</f>
        <v>-0.450327856103017</v>
      </c>
      <c r="E659" s="0" t="n">
        <f aca="false">1/(1+EXP(-MAX(-25,MIN(25,D659))))</f>
        <v>0.389282818152885</v>
      </c>
      <c r="F659" s="0" t="n">
        <f aca="false">SUMPRODUCT(Risk_Inputs!B659:AJ659,Risk_Coefs!$B$3:$AJ$3)</f>
        <v>11.2507205924122</v>
      </c>
      <c r="G659" s="0" t="n">
        <f aca="false">MAX(0,F659)</f>
        <v>11.2507205924122</v>
      </c>
      <c r="H659" s="0" t="n">
        <f aca="false">(SUMPRODUCT(--ISNUMBER($E$2:$E$800),--($E$2:$E$800&lt;E659))+(SUMPRODUCT(--ISNUMBER($E$2:$E$800),--($E$2:$E$800=E659))+1)/2)/COUNT($E$2:$E$800)</f>
        <v>0.921151439299124</v>
      </c>
      <c r="I659" s="0" t="n">
        <f aca="false">(SUMPRODUCT(--ISNUMBER($G$2:$G$800),--($G$2:$G$800&lt;G659))+(SUMPRODUCT(--ISNUMBER($G$2:$G$800),--($G$2:$G$800=G659))+1)/2)/COUNT($G$2:$G$800)</f>
        <v>0.897371714643304</v>
      </c>
      <c r="M659" s="0" t="n">
        <f aca="false">IF(OR(B659="NW",COUNT(Risk_Rank_Keys!B659)=0),0.5,(SUMPRODUCT(--ISNUMBER(Risk_Rank_Keys!$B$2:$B$800),--(Risk_Rank_Keys!$B$2:$B$800&lt;Risk_Rank_Keys!B659))+(SUMPRODUCT(--ISNUMBER(Risk_Rank_Keys!$B$2:$B$800),--(Risk_Rank_Keys!$B$2:$B$800=Risk_Rank_Keys!B659))+1)/2)/COUNT(Risk_Rank_Keys!$B$2:$B$800))</f>
        <v>0.5</v>
      </c>
      <c r="N659" s="0" t="n">
        <f aca="false">IF(OR(B659="NW",COUNT(Risk_Rank_Keys!C659)=0),0.5,(SUMPRODUCT(--ISNUMBER(Risk_Rank_Keys!$C$2:$C$800),--(Risk_Rank_Keys!$C$2:$C$800&lt;Risk_Rank_Keys!C659))+(SUMPRODUCT(--ISNUMBER(Risk_Rank_Keys!$C$2:$C$800),--(Risk_Rank_Keys!$C$2:$C$800=Risk_Rank_Keys!C659))+1)/2)/COUNT(Risk_Rank_Keys!$C$2:$C$800))</f>
        <v>0.5</v>
      </c>
      <c r="O659" s="0" t="n">
        <f aca="false">IF(OR(B659="NW",COUNT(Risk_Rank_Keys!D659)=0),0.5,(SUMPRODUCT(--ISNUMBER(Risk_Rank_Keys!$D$2:$D$800),--(Risk_Rank_Keys!$D$2:$D$800&lt;Risk_Rank_Keys!D659))+(SUMPRODUCT(--ISNUMBER(Risk_Rank_Keys!$D$2:$D$800),--(Risk_Rank_Keys!$D$2:$D$800=Risk_Rank_Keys!D659))+1)/2)/COUNT(Risk_Rank_Keys!$D$2:$D$800))</f>
        <v>0.5</v>
      </c>
      <c r="P659" s="0" t="n">
        <f aca="false">AVERAGE(M659:O659)</f>
        <v>0.5</v>
      </c>
      <c r="Q659" s="0" t="n">
        <f aca="false">0.4*H659+0.4*I659+0.2*P659</f>
        <v>0.827409261576971</v>
      </c>
      <c r="R659" s="0" t="n">
        <f aca="false">PERCENTILE($Q$2:$Q$800,0.75)</f>
        <v>0.667715717403612</v>
      </c>
      <c r="S659" s="1" t="b">
        <f aca="false">OR(Q659&gt;=R659,AND(B659="CW",COUNT(J659:L659)&lt;3))</f>
        <v>1</v>
      </c>
      <c r="T659" s="0" t="n">
        <v>0.389282818152885</v>
      </c>
      <c r="U659" s="0" t="n">
        <v>11.2507205924122</v>
      </c>
      <c r="V659" s="0" t="n">
        <v>0.827409261576971</v>
      </c>
      <c r="W659" s="0" t="n">
        <f aca="false">Q659-V659</f>
        <v>0</v>
      </c>
    </row>
    <row r="660" customFormat="false" ht="15" hidden="false" customHeight="false" outlineLevel="0" collapsed="false">
      <c r="A660" s="0" t="s">
        <v>694</v>
      </c>
      <c r="B660" s="0" t="s">
        <v>33</v>
      </c>
      <c r="C660" s="0" t="n">
        <v>-43.6678167917337</v>
      </c>
      <c r="D660" s="0" t="n">
        <f aca="false">SUMPRODUCT(Risk_Inputs!B660:AJ660,Risk_Coefs!$B$2:$AJ$2)</f>
        <v>-0.653432152883027</v>
      </c>
      <c r="E660" s="0" t="n">
        <f aca="false">1/(1+EXP(-MAX(-25,MIN(25,D660))))</f>
        <v>0.342216526839848</v>
      </c>
      <c r="F660" s="0" t="n">
        <f aca="false">SUMPRODUCT(Risk_Inputs!B660:AJ660,Risk_Coefs!$B$3:$AJ$3)</f>
        <v>10.1814402888046</v>
      </c>
      <c r="G660" s="0" t="n">
        <f aca="false">MAX(0,F660)</f>
        <v>10.1814402888046</v>
      </c>
      <c r="H660" s="0" t="n">
        <f aca="false">(SUMPRODUCT(--ISNUMBER($E$2:$E$800),--($E$2:$E$800&lt;E660))+(SUMPRODUCT(--ISNUMBER($E$2:$E$800),--($E$2:$E$800=E660))+1)/2)/COUNT($E$2:$E$800)</f>
        <v>0.792240300375469</v>
      </c>
      <c r="I660" s="0" t="n">
        <f aca="false">(SUMPRODUCT(--ISNUMBER($G$2:$G$800),--($G$2:$G$800&lt;G660))+(SUMPRODUCT(--ISNUMBER($G$2:$G$800),--($G$2:$G$800=G660))+1)/2)/COUNT($G$2:$G$800)</f>
        <v>0.808510638297872</v>
      </c>
      <c r="M660" s="0" t="n">
        <f aca="false">IF(OR(B660="NW",COUNT(Risk_Rank_Keys!B660)=0),0.5,(SUMPRODUCT(--ISNUMBER(Risk_Rank_Keys!$B$2:$B$800),--(Risk_Rank_Keys!$B$2:$B$800&lt;Risk_Rank_Keys!B660))+(SUMPRODUCT(--ISNUMBER(Risk_Rank_Keys!$B$2:$B$800),--(Risk_Rank_Keys!$B$2:$B$800=Risk_Rank_Keys!B660))+1)/2)/COUNT(Risk_Rank_Keys!$B$2:$B$800))</f>
        <v>0.5</v>
      </c>
      <c r="N660" s="0" t="n">
        <f aca="false">IF(OR(B660="NW",COUNT(Risk_Rank_Keys!C660)=0),0.5,(SUMPRODUCT(--ISNUMBER(Risk_Rank_Keys!$C$2:$C$800),--(Risk_Rank_Keys!$C$2:$C$800&lt;Risk_Rank_Keys!C660))+(SUMPRODUCT(--ISNUMBER(Risk_Rank_Keys!$C$2:$C$800),--(Risk_Rank_Keys!$C$2:$C$800=Risk_Rank_Keys!C660))+1)/2)/COUNT(Risk_Rank_Keys!$C$2:$C$800))</f>
        <v>0.5</v>
      </c>
      <c r="O660" s="0" t="n">
        <f aca="false">IF(OR(B660="NW",COUNT(Risk_Rank_Keys!D660)=0),0.5,(SUMPRODUCT(--ISNUMBER(Risk_Rank_Keys!$D$2:$D$800),--(Risk_Rank_Keys!$D$2:$D$800&lt;Risk_Rank_Keys!D660))+(SUMPRODUCT(--ISNUMBER(Risk_Rank_Keys!$D$2:$D$800),--(Risk_Rank_Keys!$D$2:$D$800=Risk_Rank_Keys!D660))+1)/2)/COUNT(Risk_Rank_Keys!$D$2:$D$800))</f>
        <v>0.5</v>
      </c>
      <c r="P660" s="0" t="n">
        <f aca="false">AVERAGE(M660:O660)</f>
        <v>0.5</v>
      </c>
      <c r="Q660" s="0" t="n">
        <f aca="false">0.4*H660+0.4*I660+0.2*P660</f>
        <v>0.740300375469337</v>
      </c>
      <c r="R660" s="0" t="n">
        <f aca="false">PERCENTILE($Q$2:$Q$800,0.75)</f>
        <v>0.667715717403612</v>
      </c>
      <c r="S660" s="1" t="b">
        <f aca="false">OR(Q660&gt;=R660,AND(B660="CW",COUNT(J660:L660)&lt;3))</f>
        <v>1</v>
      </c>
      <c r="T660" s="0" t="n">
        <v>0.342216526839848</v>
      </c>
      <c r="U660" s="0" t="n">
        <v>10.1814402888046</v>
      </c>
      <c r="V660" s="0" t="n">
        <v>0.740300375469337</v>
      </c>
      <c r="W660" s="0" t="n">
        <f aca="false">Q660-V660</f>
        <v>0</v>
      </c>
    </row>
    <row r="661" customFormat="false" ht="15" hidden="false" customHeight="false" outlineLevel="0" collapsed="false">
      <c r="A661" s="0" t="s">
        <v>695</v>
      </c>
      <c r="B661" s="0" t="s">
        <v>3013</v>
      </c>
      <c r="C661" s="0" t="n">
        <v>45.1234959488205</v>
      </c>
      <c r="D661" s="0" t="n">
        <f aca="false">SUMPRODUCT(Risk_Inputs!B661:AJ661,Risk_Coefs!$B$2:$AJ$2)</f>
        <v>-0.803016864238482</v>
      </c>
      <c r="E661" s="0" t="n">
        <f aca="false">1/(1+EXP(-MAX(-25,MIN(25,D661))))</f>
        <v>0.309380552495655</v>
      </c>
      <c r="F661" s="0" t="n">
        <f aca="false">SUMPRODUCT(Risk_Inputs!B661:AJ661,Risk_Coefs!$B$3:$AJ$3)</f>
        <v>7.48126339477232</v>
      </c>
      <c r="G661" s="0" t="n">
        <f aca="false">MAX(0,F661)</f>
        <v>7.48126339477232</v>
      </c>
      <c r="H661" s="0" t="n">
        <f aca="false">(SUMPRODUCT(--ISNUMBER($E$2:$E$800),--($E$2:$E$800&lt;E661))+(SUMPRODUCT(--ISNUMBER($E$2:$E$800),--($E$2:$E$800=E661))+1)/2)/COUNT($E$2:$E$800)</f>
        <v>0.613266583229036</v>
      </c>
      <c r="I661" s="0" t="n">
        <f aca="false">(SUMPRODUCT(--ISNUMBER($G$2:$G$800),--($G$2:$G$800&lt;G661))+(SUMPRODUCT(--ISNUMBER($G$2:$G$800),--($G$2:$G$800=G661))+1)/2)/COUNT($G$2:$G$800)</f>
        <v>0.480600750938673</v>
      </c>
      <c r="J661" s="0" t="n">
        <v>9.30764479022443</v>
      </c>
      <c r="K661" s="0" t="n">
        <v>2.80036133694671</v>
      </c>
      <c r="L661" s="0" t="n">
        <v>0.19572417946401</v>
      </c>
      <c r="M661" s="0" t="n">
        <f aca="false">IF(OR(B661="NW",COUNT(Risk_Rank_Keys!B661)=0),0.5,(SUMPRODUCT(--ISNUMBER(Risk_Rank_Keys!$B$2:$B$800),--(Risk_Rank_Keys!$B$2:$B$800&lt;Risk_Rank_Keys!B661))+(SUMPRODUCT(--ISNUMBER(Risk_Rank_Keys!$B$2:$B$800),--(Risk_Rank_Keys!$B$2:$B$800=Risk_Rank_Keys!B661))+1)/2)/COUNT(Risk_Rank_Keys!$B$2:$B$800))</f>
        <v>0.461645746164575</v>
      </c>
      <c r="N661" s="0" t="n">
        <f aca="false">IF(OR(B661="NW",COUNT(Risk_Rank_Keys!C661)=0),0.5,(SUMPRODUCT(--ISNUMBER(Risk_Rank_Keys!$C$2:$C$800),--(Risk_Rank_Keys!$C$2:$C$800&lt;Risk_Rank_Keys!C661))+(SUMPRODUCT(--ISNUMBER(Risk_Rank_Keys!$C$2:$C$800),--(Risk_Rank_Keys!$C$2:$C$800=Risk_Rank_Keys!C661))+1)/2)/COUNT(Risk_Rank_Keys!$C$2:$C$800))</f>
        <v>0.446304044630404</v>
      </c>
      <c r="O661" s="0" t="n">
        <f aca="false">IF(OR(B661="NW",COUNT(Risk_Rank_Keys!D661)=0),0.5,(SUMPRODUCT(--ISNUMBER(Risk_Rank_Keys!$D$2:$D$800),--(Risk_Rank_Keys!$D$2:$D$800&lt;Risk_Rank_Keys!D661))+(SUMPRODUCT(--ISNUMBER(Risk_Rank_Keys!$D$2:$D$800),--(Risk_Rank_Keys!$D$2:$D$800=Risk_Rank_Keys!D661))+1)/2)/COUNT(Risk_Rank_Keys!$D$2:$D$800))</f>
        <v>0.294281729428173</v>
      </c>
      <c r="P661" s="0" t="n">
        <f aca="false">AVERAGE(M661:O661)</f>
        <v>0.400743840074384</v>
      </c>
      <c r="Q661" s="0" t="n">
        <f aca="false">0.4*H661+0.4*I661+0.2*P661</f>
        <v>0.517695701681961</v>
      </c>
      <c r="R661" s="0" t="n">
        <f aca="false">PERCENTILE($Q$2:$Q$800,0.75)</f>
        <v>0.667715717403612</v>
      </c>
      <c r="S661" s="1" t="b">
        <f aca="false">OR(Q661&gt;=R661,AND(B661="CW",COUNT(J661:L661)&lt;3))</f>
        <v>0</v>
      </c>
      <c r="T661" s="0" t="n">
        <v>0.309380552495655</v>
      </c>
      <c r="U661" s="0" t="n">
        <v>7.48126339477232</v>
      </c>
      <c r="V661" s="0" t="n">
        <v>0.517695701681961</v>
      </c>
      <c r="W661" s="0" t="n">
        <f aca="false">Q661-V661</f>
        <v>0</v>
      </c>
    </row>
    <row r="662" customFormat="false" ht="15" hidden="false" customHeight="false" outlineLevel="0" collapsed="false">
      <c r="A662" s="0" t="s">
        <v>696</v>
      </c>
      <c r="B662" s="0" t="s">
        <v>33</v>
      </c>
      <c r="C662" s="0" t="n">
        <v>-14.0096852398788</v>
      </c>
      <c r="D662" s="0" t="n">
        <f aca="false">SUMPRODUCT(Risk_Inputs!B662:AJ662,Risk_Coefs!$B$2:$AJ$2)</f>
        <v>-0.692286348587926</v>
      </c>
      <c r="E662" s="0" t="n">
        <f aca="false">1/(1+EXP(-MAX(-25,MIN(25,D662))))</f>
        <v>0.333524656764855</v>
      </c>
      <c r="F662" s="0" t="n">
        <f aca="false">SUMPRODUCT(Risk_Inputs!B662:AJ662,Risk_Coefs!$B$3:$AJ$3)</f>
        <v>9.84354639671724</v>
      </c>
      <c r="G662" s="0" t="n">
        <f aca="false">MAX(0,F662)</f>
        <v>9.84354639671724</v>
      </c>
      <c r="H662" s="0" t="n">
        <f aca="false">(SUMPRODUCT(--ISNUMBER($E$2:$E$800),--($E$2:$E$800&lt;E662))+(SUMPRODUCT(--ISNUMBER($E$2:$E$800),--($E$2:$E$800=E662))+1)/2)/COUNT($E$2:$E$800)</f>
        <v>0.750938673341677</v>
      </c>
      <c r="I662" s="0" t="n">
        <f aca="false">(SUMPRODUCT(--ISNUMBER($G$2:$G$800),--($G$2:$G$800&lt;G662))+(SUMPRODUCT(--ISNUMBER($G$2:$G$800),--($G$2:$G$800=G662))+1)/2)/COUNT($G$2:$G$800)</f>
        <v>0.773466833541927</v>
      </c>
      <c r="M662" s="0" t="n">
        <f aca="false">IF(OR(B662="NW",COUNT(Risk_Rank_Keys!B662)=0),0.5,(SUMPRODUCT(--ISNUMBER(Risk_Rank_Keys!$B$2:$B$800),--(Risk_Rank_Keys!$B$2:$B$800&lt;Risk_Rank_Keys!B662))+(SUMPRODUCT(--ISNUMBER(Risk_Rank_Keys!$B$2:$B$800),--(Risk_Rank_Keys!$B$2:$B$800=Risk_Rank_Keys!B662))+1)/2)/COUNT(Risk_Rank_Keys!$B$2:$B$800))</f>
        <v>0.5</v>
      </c>
      <c r="N662" s="0" t="n">
        <f aca="false">IF(OR(B662="NW",COUNT(Risk_Rank_Keys!C662)=0),0.5,(SUMPRODUCT(--ISNUMBER(Risk_Rank_Keys!$C$2:$C$800),--(Risk_Rank_Keys!$C$2:$C$800&lt;Risk_Rank_Keys!C662))+(SUMPRODUCT(--ISNUMBER(Risk_Rank_Keys!$C$2:$C$800),--(Risk_Rank_Keys!$C$2:$C$800=Risk_Rank_Keys!C662))+1)/2)/COUNT(Risk_Rank_Keys!$C$2:$C$800))</f>
        <v>0.5</v>
      </c>
      <c r="O662" s="0" t="n">
        <f aca="false">IF(OR(B662="NW",COUNT(Risk_Rank_Keys!D662)=0),0.5,(SUMPRODUCT(--ISNUMBER(Risk_Rank_Keys!$D$2:$D$800),--(Risk_Rank_Keys!$D$2:$D$800&lt;Risk_Rank_Keys!D662))+(SUMPRODUCT(--ISNUMBER(Risk_Rank_Keys!$D$2:$D$800),--(Risk_Rank_Keys!$D$2:$D$800=Risk_Rank_Keys!D662))+1)/2)/COUNT(Risk_Rank_Keys!$D$2:$D$800))</f>
        <v>0.5</v>
      </c>
      <c r="P662" s="0" t="n">
        <f aca="false">AVERAGE(M662:O662)</f>
        <v>0.5</v>
      </c>
      <c r="Q662" s="0" t="n">
        <f aca="false">0.4*H662+0.4*I662+0.2*P662</f>
        <v>0.709762202753442</v>
      </c>
      <c r="R662" s="0" t="n">
        <f aca="false">PERCENTILE($Q$2:$Q$800,0.75)</f>
        <v>0.667715717403612</v>
      </c>
      <c r="S662" s="1" t="b">
        <f aca="false">OR(Q662&gt;=R662,AND(B662="CW",COUNT(J662:L662)&lt;3))</f>
        <v>1</v>
      </c>
      <c r="T662" s="0" t="n">
        <v>0.333524656764855</v>
      </c>
      <c r="U662" s="0" t="n">
        <v>9.84354639671724</v>
      </c>
      <c r="V662" s="0" t="n">
        <v>0.709762202753442</v>
      </c>
      <c r="W662" s="0" t="n">
        <f aca="false">Q662-V662</f>
        <v>0</v>
      </c>
    </row>
    <row r="663" customFormat="false" ht="15" hidden="false" customHeight="false" outlineLevel="0" collapsed="false">
      <c r="A663" s="0" t="s">
        <v>697</v>
      </c>
      <c r="B663" s="0" t="s">
        <v>3013</v>
      </c>
      <c r="C663" s="0" t="n">
        <v>34.5584491315828</v>
      </c>
      <c r="D663" s="0" t="n">
        <f aca="false">SUMPRODUCT(Risk_Inputs!B663:AJ663,Risk_Coefs!$B$2:$AJ$2)</f>
        <v>-1.00781302243712</v>
      </c>
      <c r="E663" s="0" t="n">
        <f aca="false">1/(1+EXP(-MAX(-25,MIN(25,D663))))</f>
        <v>0.267408063842263</v>
      </c>
      <c r="F663" s="0" t="n">
        <f aca="false">SUMPRODUCT(Risk_Inputs!B663:AJ663,Risk_Coefs!$B$3:$AJ$3)</f>
        <v>10.6166705689695</v>
      </c>
      <c r="G663" s="0" t="n">
        <f aca="false">MAX(0,F663)</f>
        <v>10.6166705689695</v>
      </c>
      <c r="H663" s="0" t="n">
        <f aca="false">(SUMPRODUCT(--ISNUMBER($E$2:$E$800),--($E$2:$E$800&lt;E663))+(SUMPRODUCT(--ISNUMBER($E$2:$E$800),--($E$2:$E$800=E663))+1)/2)/COUNT($E$2:$E$800)</f>
        <v>0.382978723404255</v>
      </c>
      <c r="I663" s="0" t="n">
        <f aca="false">(SUMPRODUCT(--ISNUMBER($G$2:$G$800),--($G$2:$G$800&lt;G663))+(SUMPRODUCT(--ISNUMBER($G$2:$G$800),--($G$2:$G$800=G663))+1)/2)/COUNT($G$2:$G$800)</f>
        <v>0.851063829787234</v>
      </c>
      <c r="J663" s="0" t="n">
        <v>26.8922791726159</v>
      </c>
      <c r="K663" s="0" t="n">
        <v>3.19909672563043</v>
      </c>
      <c r="L663" s="0" t="n">
        <v>0.175636682975792</v>
      </c>
      <c r="M663" s="0" t="n">
        <f aca="false">IF(OR(B663="NW",COUNT(Risk_Rank_Keys!B663)=0),0.5,(SUMPRODUCT(--ISNUMBER(Risk_Rank_Keys!$B$2:$B$800),--(Risk_Rank_Keys!$B$2:$B$800&lt;Risk_Rank_Keys!B663))+(SUMPRODUCT(--ISNUMBER(Risk_Rank_Keys!$B$2:$B$800),--(Risk_Rank_Keys!$B$2:$B$800=Risk_Rank_Keys!B663))+1)/2)/COUNT(Risk_Rank_Keys!$B$2:$B$800))</f>
        <v>0.880055788005579</v>
      </c>
      <c r="N663" s="0" t="n">
        <f aca="false">IF(OR(B663="NW",COUNT(Risk_Rank_Keys!C663)=0),0.5,(SUMPRODUCT(--ISNUMBER(Risk_Rank_Keys!$C$2:$C$800),--(Risk_Rank_Keys!$C$2:$C$800&lt;Risk_Rank_Keys!C663))+(SUMPRODUCT(--ISNUMBER(Risk_Rank_Keys!$C$2:$C$800),--(Risk_Rank_Keys!$C$2:$C$800=Risk_Rank_Keys!C663))+1)/2)/COUNT(Risk_Rank_Keys!$C$2:$C$800))</f>
        <v>0.493723849372385</v>
      </c>
      <c r="O663" s="0" t="n">
        <f aca="false">IF(OR(B663="NW",COUNT(Risk_Rank_Keys!D663)=0),0.5,(SUMPRODUCT(--ISNUMBER(Risk_Rank_Keys!$D$2:$D$800),--(Risk_Rank_Keys!$D$2:$D$800&lt;Risk_Rank_Keys!D663))+(SUMPRODUCT(--ISNUMBER(Risk_Rank_Keys!$D$2:$D$800),--(Risk_Rank_Keys!$D$2:$D$800=Risk_Rank_Keys!D663))+1)/2)/COUNT(Risk_Rank_Keys!$D$2:$D$800))</f>
        <v>0.192468619246862</v>
      </c>
      <c r="P663" s="0" t="n">
        <f aca="false">AVERAGE(M663:O663)</f>
        <v>0.522082752208275</v>
      </c>
      <c r="Q663" s="0" t="n">
        <f aca="false">0.4*H663+0.4*I663+0.2*P663</f>
        <v>0.598033571718251</v>
      </c>
      <c r="R663" s="0" t="n">
        <f aca="false">PERCENTILE($Q$2:$Q$800,0.75)</f>
        <v>0.667715717403612</v>
      </c>
      <c r="S663" s="1" t="b">
        <f aca="false">OR(Q663&gt;=R663,AND(B663="CW",COUNT(J663:L663)&lt;3))</f>
        <v>0</v>
      </c>
      <c r="T663" s="0" t="n">
        <v>0.267408063842263</v>
      </c>
      <c r="U663" s="0" t="n">
        <v>10.6166705689695</v>
      </c>
      <c r="V663" s="0" t="n">
        <v>0.598033571718251</v>
      </c>
      <c r="W663" s="0" t="n">
        <f aca="false">Q663-V663</f>
        <v>0</v>
      </c>
    </row>
    <row r="664" customFormat="false" ht="15" hidden="false" customHeight="false" outlineLevel="0" collapsed="false">
      <c r="A664" s="0" t="s">
        <v>698</v>
      </c>
      <c r="B664" s="0" t="s">
        <v>3013</v>
      </c>
      <c r="C664" s="0" t="n">
        <v>10.3999848209329</v>
      </c>
      <c r="D664" s="0" t="n">
        <f aca="false">SUMPRODUCT(Risk_Inputs!B664:AJ664,Risk_Coefs!$B$2:$AJ$2)</f>
        <v>-0.671131717097193</v>
      </c>
      <c r="E664" s="0" t="n">
        <f aca="false">1/(1+EXP(-MAX(-25,MIN(25,D664))))</f>
        <v>0.33824347674173</v>
      </c>
      <c r="F664" s="0" t="n">
        <f aca="false">SUMPRODUCT(Risk_Inputs!B664:AJ664,Risk_Coefs!$B$3:$AJ$3)</f>
        <v>3.93534782303204</v>
      </c>
      <c r="G664" s="0" t="n">
        <f aca="false">MAX(0,F664)</f>
        <v>3.93534782303204</v>
      </c>
      <c r="H664" s="0" t="n">
        <f aca="false">(SUMPRODUCT(--ISNUMBER($E$2:$E$800),--($E$2:$E$800&lt;E664))+(SUMPRODUCT(--ISNUMBER($E$2:$E$800),--($E$2:$E$800=E664))+1)/2)/COUNT($E$2:$E$800)</f>
        <v>0.778473091364205</v>
      </c>
      <c r="I664" s="0" t="n">
        <f aca="false">(SUMPRODUCT(--ISNUMBER($G$2:$G$800),--($G$2:$G$800&lt;G664))+(SUMPRODUCT(--ISNUMBER($G$2:$G$800),--($G$2:$G$800=G664))+1)/2)/COUNT($G$2:$G$800)</f>
        <v>0.048811013767209</v>
      </c>
      <c r="J664" s="0" t="n">
        <v>8.86803259002067</v>
      </c>
      <c r="K664" s="0" t="n">
        <v>3.86826973340304</v>
      </c>
      <c r="L664" s="0" t="n">
        <v>0.235232618923159</v>
      </c>
      <c r="M664" s="0" t="n">
        <f aca="false">IF(OR(B664="NW",COUNT(Risk_Rank_Keys!B664)=0),0.5,(SUMPRODUCT(--ISNUMBER(Risk_Rank_Keys!$B$2:$B$800),--(Risk_Rank_Keys!$B$2:$B$800&lt;Risk_Rank_Keys!B664))+(SUMPRODUCT(--ISNUMBER(Risk_Rank_Keys!$B$2:$B$800),--(Risk_Rank_Keys!$B$2:$B$800=Risk_Rank_Keys!B664))+1)/2)/COUNT(Risk_Rank_Keys!$B$2:$B$800))</f>
        <v>0.436541143654114</v>
      </c>
      <c r="N664" s="0" t="n">
        <f aca="false">IF(OR(B664="NW",COUNT(Risk_Rank_Keys!C664)=0),0.5,(SUMPRODUCT(--ISNUMBER(Risk_Rank_Keys!$C$2:$C$800),--(Risk_Rank_Keys!$C$2:$C$800&lt;Risk_Rank_Keys!C664))+(SUMPRODUCT(--ISNUMBER(Risk_Rank_Keys!$C$2:$C$800),--(Risk_Rank_Keys!$C$2:$C$800=Risk_Rank_Keys!C664))+1)/2)/COUNT(Risk_Rank_Keys!$C$2:$C$800))</f>
        <v>0.578800557880056</v>
      </c>
      <c r="O664" s="0" t="n">
        <f aca="false">IF(OR(B664="NW",COUNT(Risk_Rank_Keys!D664)=0),0.5,(SUMPRODUCT(--ISNUMBER(Risk_Rank_Keys!$D$2:$D$800),--(Risk_Rank_Keys!$D$2:$D$800&lt;Risk_Rank_Keys!D664))+(SUMPRODUCT(--ISNUMBER(Risk_Rank_Keys!$D$2:$D$800),--(Risk_Rank_Keys!$D$2:$D$800=Risk_Rank_Keys!D664))+1)/2)/COUNT(Risk_Rank_Keys!$D$2:$D$800))</f>
        <v>0.523012552301255</v>
      </c>
      <c r="P664" s="0" t="n">
        <f aca="false">AVERAGE(M664:O664)</f>
        <v>0.512784751278475</v>
      </c>
      <c r="Q664" s="0" t="n">
        <f aca="false">0.4*H664+0.4*I664+0.2*P664</f>
        <v>0.433470592308261</v>
      </c>
      <c r="R664" s="0" t="n">
        <f aca="false">PERCENTILE($Q$2:$Q$800,0.75)</f>
        <v>0.667715717403612</v>
      </c>
      <c r="S664" s="1" t="b">
        <f aca="false">OR(Q664&gt;=R664,AND(B664="CW",COUNT(J664:L664)&lt;3))</f>
        <v>0</v>
      </c>
      <c r="T664" s="0" t="n">
        <v>0.33824347674173</v>
      </c>
      <c r="U664" s="0" t="n">
        <v>3.93534782303204</v>
      </c>
      <c r="V664" s="0" t="n">
        <v>0.433470592308261</v>
      </c>
      <c r="W664" s="0" t="n">
        <f aca="false">Q664-V664</f>
        <v>0</v>
      </c>
    </row>
    <row r="665" customFormat="false" ht="15" hidden="false" customHeight="false" outlineLevel="0" collapsed="false">
      <c r="A665" s="0" t="s">
        <v>699</v>
      </c>
      <c r="B665" s="0" t="s">
        <v>3013</v>
      </c>
      <c r="C665" s="0" t="n">
        <v>13.4917794079967</v>
      </c>
      <c r="D665" s="0" t="n">
        <f aca="false">SUMPRODUCT(Risk_Inputs!B665:AJ665,Risk_Coefs!$B$2:$AJ$2)</f>
        <v>-0.628746363591146</v>
      </c>
      <c r="E665" s="0" t="n">
        <f aca="false">1/(1+EXP(-MAX(-25,MIN(25,D665))))</f>
        <v>0.34779485037058</v>
      </c>
      <c r="F665" s="0" t="n">
        <f aca="false">SUMPRODUCT(Risk_Inputs!B665:AJ665,Risk_Coefs!$B$3:$AJ$3)</f>
        <v>7.92404175245121</v>
      </c>
      <c r="G665" s="0" t="n">
        <f aca="false">MAX(0,F665)</f>
        <v>7.92404175245121</v>
      </c>
      <c r="H665" s="0" t="n">
        <f aca="false">(SUMPRODUCT(--ISNUMBER($E$2:$E$800),--($E$2:$E$800&lt;E665))+(SUMPRODUCT(--ISNUMBER($E$2:$E$800),--($E$2:$E$800=E665))+1)/2)/COUNT($E$2:$E$800)</f>
        <v>0.808510638297872</v>
      </c>
      <c r="I665" s="0" t="n">
        <f aca="false">(SUMPRODUCT(--ISNUMBER($G$2:$G$800),--($G$2:$G$800&lt;G665))+(SUMPRODUCT(--ISNUMBER($G$2:$G$800),--($G$2:$G$800=G665))+1)/2)/COUNT($G$2:$G$800)</f>
        <v>0.526908635794744</v>
      </c>
      <c r="J665" s="0" t="n">
        <v>16.6214987985206</v>
      </c>
      <c r="K665" s="0" t="n">
        <v>3.86309414571482</v>
      </c>
      <c r="L665" s="0" t="n">
        <v>0.146815929528346</v>
      </c>
      <c r="M665" s="0" t="n">
        <f aca="false">IF(OR(B665="NW",COUNT(Risk_Rank_Keys!B665)=0),0.5,(SUMPRODUCT(--ISNUMBER(Risk_Rank_Keys!$B$2:$B$800),--(Risk_Rank_Keys!$B$2:$B$800&lt;Risk_Rank_Keys!B665))+(SUMPRODUCT(--ISNUMBER(Risk_Rank_Keys!$B$2:$B$800),--(Risk_Rank_Keys!$B$2:$B$800=Risk_Rank_Keys!B665))+1)/2)/COUNT(Risk_Rank_Keys!$B$2:$B$800))</f>
        <v>0.739191073919107</v>
      </c>
      <c r="N665" s="0" t="n">
        <f aca="false">IF(OR(B665="NW",COUNT(Risk_Rank_Keys!C665)=0),0.5,(SUMPRODUCT(--ISNUMBER(Risk_Rank_Keys!$C$2:$C$800),--(Risk_Rank_Keys!$C$2:$C$800&lt;Risk_Rank_Keys!C665))+(SUMPRODUCT(--ISNUMBER(Risk_Rank_Keys!$C$2:$C$800),--(Risk_Rank_Keys!$C$2:$C$800=Risk_Rank_Keys!C665))+1)/2)/COUNT(Risk_Rank_Keys!$C$2:$C$800))</f>
        <v>0.577405857740586</v>
      </c>
      <c r="O665" s="0" t="n">
        <f aca="false">IF(OR(B665="NW",COUNT(Risk_Rank_Keys!D665)=0),0.5,(SUMPRODUCT(--ISNUMBER(Risk_Rank_Keys!$D$2:$D$800),--(Risk_Rank_Keys!$D$2:$D$800&lt;Risk_Rank_Keys!D665))+(SUMPRODUCT(--ISNUMBER(Risk_Rank_Keys!$D$2:$D$800),--(Risk_Rank_Keys!$D$2:$D$800=Risk_Rank_Keys!D665))+1)/2)/COUNT(Risk_Rank_Keys!$D$2:$D$800))</f>
        <v>0.101813110181311</v>
      </c>
      <c r="P665" s="0" t="n">
        <f aca="false">AVERAGE(M665:O665)</f>
        <v>0.472803347280335</v>
      </c>
      <c r="Q665" s="0" t="n">
        <f aca="false">0.4*H665+0.4*I665+0.2*P665</f>
        <v>0.628728379093113</v>
      </c>
      <c r="R665" s="0" t="n">
        <f aca="false">PERCENTILE($Q$2:$Q$800,0.75)</f>
        <v>0.667715717403612</v>
      </c>
      <c r="S665" s="1" t="b">
        <f aca="false">OR(Q665&gt;=R665,AND(B665="CW",COUNT(J665:L665)&lt;3))</f>
        <v>0</v>
      </c>
      <c r="T665" s="0" t="n">
        <v>0.34779485037058</v>
      </c>
      <c r="U665" s="0" t="n">
        <v>7.92404175245121</v>
      </c>
      <c r="V665" s="0" t="n">
        <v>0.628728379093113</v>
      </c>
      <c r="W665" s="0" t="n">
        <f aca="false">Q665-V665</f>
        <v>0</v>
      </c>
    </row>
    <row r="666" customFormat="false" ht="15" hidden="false" customHeight="false" outlineLevel="0" collapsed="false">
      <c r="A666" s="0" t="s">
        <v>700</v>
      </c>
      <c r="B666" s="0" t="s">
        <v>3013</v>
      </c>
      <c r="C666" s="0" t="n">
        <v>76.9606252295128</v>
      </c>
      <c r="D666" s="0" t="n">
        <f aca="false">SUMPRODUCT(Risk_Inputs!B666:AJ666,Risk_Coefs!$B$2:$AJ$2)</f>
        <v>-0.502977694547976</v>
      </c>
      <c r="E666" s="0" t="n">
        <f aca="false">1/(1+EXP(-MAX(-25,MIN(25,D666))))</f>
        <v>0.376841155117635</v>
      </c>
      <c r="F666" s="0" t="n">
        <f aca="false">SUMPRODUCT(Risk_Inputs!B666:AJ666,Risk_Coefs!$B$3:$AJ$3)</f>
        <v>9.90520659520962</v>
      </c>
      <c r="G666" s="0" t="n">
        <f aca="false">MAX(0,F666)</f>
        <v>9.90520659520962</v>
      </c>
      <c r="H666" s="0" t="n">
        <f aca="false">(SUMPRODUCT(--ISNUMBER($E$2:$E$800),--($E$2:$E$800&lt;E666))+(SUMPRODUCT(--ISNUMBER($E$2:$E$800),--($E$2:$E$800=E666))+1)/2)/COUNT($E$2:$E$800)</f>
        <v>0.892365456821026</v>
      </c>
      <c r="I666" s="0" t="n">
        <f aca="false">(SUMPRODUCT(--ISNUMBER($G$2:$G$800),--($G$2:$G$800&lt;G666))+(SUMPRODUCT(--ISNUMBER($G$2:$G$800),--($G$2:$G$800=G666))+1)/2)/COUNT($G$2:$G$800)</f>
        <v>0.782227784730914</v>
      </c>
      <c r="J666" s="0" t="n">
        <v>7.97410950704494</v>
      </c>
      <c r="K666" s="0" t="n">
        <v>1.15956033337361</v>
      </c>
      <c r="L666" s="0" t="n">
        <v>0.217417562507551</v>
      </c>
      <c r="M666" s="0" t="n">
        <f aca="false">IF(OR(B666="NW",COUNT(Risk_Rank_Keys!B666)=0),0.5,(SUMPRODUCT(--ISNUMBER(Risk_Rank_Keys!$B$2:$B$800),--(Risk_Rank_Keys!$B$2:$B$800&lt;Risk_Rank_Keys!B666))+(SUMPRODUCT(--ISNUMBER(Risk_Rank_Keys!$B$2:$B$800),--(Risk_Rank_Keys!$B$2:$B$800=Risk_Rank_Keys!B666))+1)/2)/COUNT(Risk_Rank_Keys!$B$2:$B$800))</f>
        <v>0.386331938633194</v>
      </c>
      <c r="N666" s="0" t="n">
        <f aca="false">IF(OR(B666="NW",COUNT(Risk_Rank_Keys!C666)=0),0.5,(SUMPRODUCT(--ISNUMBER(Risk_Rank_Keys!$C$2:$C$800),--(Risk_Rank_Keys!$C$2:$C$800&lt;Risk_Rank_Keys!C666))+(SUMPRODUCT(--ISNUMBER(Risk_Rank_Keys!$C$2:$C$800),--(Risk_Rank_Keys!$C$2:$C$800=Risk_Rank_Keys!C666))+1)/2)/COUNT(Risk_Rank_Keys!$C$2:$C$800))</f>
        <v>0.0571827057182706</v>
      </c>
      <c r="O666" s="0" t="n">
        <f aca="false">IF(OR(B666="NW",COUNT(Risk_Rank_Keys!D666)=0),0.5,(SUMPRODUCT(--ISNUMBER(Risk_Rank_Keys!$D$2:$D$800),--(Risk_Rank_Keys!$D$2:$D$800&lt;Risk_Rank_Keys!D666))+(SUMPRODUCT(--ISNUMBER(Risk_Rank_Keys!$D$2:$D$800),--(Risk_Rank_Keys!$D$2:$D$800=Risk_Rank_Keys!D666))+1)/2)/COUNT(Risk_Rank_Keys!$D$2:$D$800))</f>
        <v>0.425383542538354</v>
      </c>
      <c r="P666" s="0" t="n">
        <f aca="false">AVERAGE(M666:O666)</f>
        <v>0.289632728963273</v>
      </c>
      <c r="Q666" s="0" t="n">
        <f aca="false">0.4*H666+0.4*I666+0.2*P666</f>
        <v>0.727763842413431</v>
      </c>
      <c r="R666" s="0" t="n">
        <f aca="false">PERCENTILE($Q$2:$Q$800,0.75)</f>
        <v>0.667715717403612</v>
      </c>
      <c r="S666" s="1" t="b">
        <f aca="false">OR(Q666&gt;=R666,AND(B666="CW",COUNT(J666:L666)&lt;3))</f>
        <v>1</v>
      </c>
      <c r="T666" s="0" t="n">
        <v>0.376841155117635</v>
      </c>
      <c r="U666" s="0" t="n">
        <v>9.90520659520962</v>
      </c>
      <c r="V666" s="0" t="n">
        <v>0.727763842413431</v>
      </c>
      <c r="W666" s="0" t="n">
        <f aca="false">Q666-V666</f>
        <v>0</v>
      </c>
    </row>
    <row r="667" customFormat="false" ht="15" hidden="false" customHeight="false" outlineLevel="0" collapsed="false">
      <c r="A667" s="0" t="s">
        <v>701</v>
      </c>
      <c r="B667" s="0" t="s">
        <v>33</v>
      </c>
      <c r="C667" s="0" t="n">
        <v>40.4104074239265</v>
      </c>
      <c r="D667" s="0" t="n">
        <f aca="false">SUMPRODUCT(Risk_Inputs!B667:AJ667,Risk_Coefs!$B$2:$AJ$2)</f>
        <v>-0.357773443802025</v>
      </c>
      <c r="E667" s="0" t="n">
        <f aca="false">1/(1+EXP(-MAX(-25,MIN(25,D667))))</f>
        <v>0.411498659064835</v>
      </c>
      <c r="F667" s="0" t="n">
        <f aca="false">SUMPRODUCT(Risk_Inputs!B667:AJ667,Risk_Coefs!$B$3:$AJ$3)</f>
        <v>12.4633982762479</v>
      </c>
      <c r="G667" s="0" t="n">
        <f aca="false">MAX(0,F667)</f>
        <v>12.4633982762479</v>
      </c>
      <c r="H667" s="0" t="n">
        <f aca="false">(SUMPRODUCT(--ISNUMBER($E$2:$E$800),--($E$2:$E$800&lt;E667))+(SUMPRODUCT(--ISNUMBER($E$2:$E$800),--($E$2:$E$800=E667))+1)/2)/COUNT($E$2:$E$800)</f>
        <v>0.958698372966208</v>
      </c>
      <c r="I667" s="0" t="n">
        <f aca="false">(SUMPRODUCT(--ISNUMBER($G$2:$G$800),--($G$2:$G$800&lt;G667))+(SUMPRODUCT(--ISNUMBER($G$2:$G$800),--($G$2:$G$800=G667))+1)/2)/COUNT($G$2:$G$800)</f>
        <v>0.942428035043805</v>
      </c>
      <c r="M667" s="0" t="n">
        <f aca="false">IF(OR(B667="NW",COUNT(Risk_Rank_Keys!B667)=0),0.5,(SUMPRODUCT(--ISNUMBER(Risk_Rank_Keys!$B$2:$B$800),--(Risk_Rank_Keys!$B$2:$B$800&lt;Risk_Rank_Keys!B667))+(SUMPRODUCT(--ISNUMBER(Risk_Rank_Keys!$B$2:$B$800),--(Risk_Rank_Keys!$B$2:$B$800=Risk_Rank_Keys!B667))+1)/2)/COUNT(Risk_Rank_Keys!$B$2:$B$800))</f>
        <v>0.5</v>
      </c>
      <c r="N667" s="0" t="n">
        <f aca="false">IF(OR(B667="NW",COUNT(Risk_Rank_Keys!C667)=0),0.5,(SUMPRODUCT(--ISNUMBER(Risk_Rank_Keys!$C$2:$C$800),--(Risk_Rank_Keys!$C$2:$C$800&lt;Risk_Rank_Keys!C667))+(SUMPRODUCT(--ISNUMBER(Risk_Rank_Keys!$C$2:$C$800),--(Risk_Rank_Keys!$C$2:$C$800=Risk_Rank_Keys!C667))+1)/2)/COUNT(Risk_Rank_Keys!$C$2:$C$800))</f>
        <v>0.5</v>
      </c>
      <c r="O667" s="0" t="n">
        <f aca="false">IF(OR(B667="NW",COUNT(Risk_Rank_Keys!D667)=0),0.5,(SUMPRODUCT(--ISNUMBER(Risk_Rank_Keys!$D$2:$D$800),--(Risk_Rank_Keys!$D$2:$D$800&lt;Risk_Rank_Keys!D667))+(SUMPRODUCT(--ISNUMBER(Risk_Rank_Keys!$D$2:$D$800),--(Risk_Rank_Keys!$D$2:$D$800=Risk_Rank_Keys!D667))+1)/2)/COUNT(Risk_Rank_Keys!$D$2:$D$800))</f>
        <v>0.5</v>
      </c>
      <c r="P667" s="0" t="n">
        <f aca="false">AVERAGE(M667:O667)</f>
        <v>0.5</v>
      </c>
      <c r="Q667" s="0" t="n">
        <f aca="false">0.4*H667+0.4*I667+0.2*P667</f>
        <v>0.860450563204005</v>
      </c>
      <c r="R667" s="0" t="n">
        <f aca="false">PERCENTILE($Q$2:$Q$800,0.75)</f>
        <v>0.667715717403612</v>
      </c>
      <c r="S667" s="1" t="b">
        <f aca="false">OR(Q667&gt;=R667,AND(B667="CW",COUNT(J667:L667)&lt;3))</f>
        <v>1</v>
      </c>
      <c r="T667" s="0" t="n">
        <v>0.411498659064835</v>
      </c>
      <c r="U667" s="0" t="n">
        <v>12.4633982762479</v>
      </c>
      <c r="V667" s="0" t="n">
        <v>0.860450563204005</v>
      </c>
      <c r="W667" s="0" t="n">
        <f aca="false">Q667-V667</f>
        <v>0</v>
      </c>
    </row>
    <row r="668" customFormat="false" ht="15" hidden="false" customHeight="false" outlineLevel="0" collapsed="false">
      <c r="A668" s="0" t="s">
        <v>702</v>
      </c>
      <c r="B668" s="0" t="s">
        <v>3013</v>
      </c>
      <c r="C668" s="0" t="n">
        <v>-42.2620925984109</v>
      </c>
      <c r="D668" s="0" t="n">
        <f aca="false">SUMPRODUCT(Risk_Inputs!B668:AJ668,Risk_Coefs!$B$2:$AJ$2)</f>
        <v>-0.707108058162883</v>
      </c>
      <c r="E668" s="0" t="n">
        <f aca="false">1/(1+EXP(-MAX(-25,MIN(25,D668))))</f>
        <v>0.330238168230481</v>
      </c>
      <c r="F668" s="0" t="n">
        <f aca="false">SUMPRODUCT(Risk_Inputs!B668:AJ668,Risk_Coefs!$B$3:$AJ$3)</f>
        <v>8.57556420814458</v>
      </c>
      <c r="G668" s="0" t="n">
        <f aca="false">MAX(0,F668)</f>
        <v>8.57556420814458</v>
      </c>
      <c r="H668" s="0" t="n">
        <f aca="false">(SUMPRODUCT(--ISNUMBER($E$2:$E$800),--($E$2:$E$800&lt;E668))+(SUMPRODUCT(--ISNUMBER($E$2:$E$800),--($E$2:$E$800=E668))+1)/2)/COUNT($E$2:$E$800)</f>
        <v>0.733416770963705</v>
      </c>
      <c r="I668" s="0" t="n">
        <f aca="false">(SUMPRODUCT(--ISNUMBER($G$2:$G$800),--($G$2:$G$800&lt;G668))+(SUMPRODUCT(--ISNUMBER($G$2:$G$800),--($G$2:$G$800=G668))+1)/2)/COUNT($G$2:$G$800)</f>
        <v>0.617021276595745</v>
      </c>
      <c r="J668" s="0" t="n">
        <v>11.2990216998115</v>
      </c>
      <c r="K668" s="0" t="n">
        <v>8.36614173228346</v>
      </c>
      <c r="L668" s="0" t="n">
        <v>0.295275590551183</v>
      </c>
      <c r="M668" s="0" t="n">
        <f aca="false">IF(OR(B668="NW",COUNT(Risk_Rank_Keys!B668)=0),0.5,(SUMPRODUCT(--ISNUMBER(Risk_Rank_Keys!$B$2:$B$800),--(Risk_Rank_Keys!$B$2:$B$800&lt;Risk_Rank_Keys!B668))+(SUMPRODUCT(--ISNUMBER(Risk_Rank_Keys!$B$2:$B$800),--(Risk_Rank_Keys!$B$2:$B$800=Risk_Rank_Keys!B668))+1)/2)/COUNT(Risk_Rank_Keys!$B$2:$B$800))</f>
        <v>0.559274755927476</v>
      </c>
      <c r="N668" s="0" t="n">
        <f aca="false">IF(OR(B668="NW",COUNT(Risk_Rank_Keys!C668)=0),0.5,(SUMPRODUCT(--ISNUMBER(Risk_Rank_Keys!$C$2:$C$800),--(Risk_Rank_Keys!$C$2:$C$800&lt;Risk_Rank_Keys!C668))+(SUMPRODUCT(--ISNUMBER(Risk_Rank_Keys!$C$2:$C$800),--(Risk_Rank_Keys!$C$2:$C$800=Risk_Rank_Keys!C668))+1)/2)/COUNT(Risk_Rank_Keys!$C$2:$C$800))</f>
        <v>0.834030683403068</v>
      </c>
      <c r="O668" s="0" t="n">
        <f aca="false">IF(OR(B668="NW",COUNT(Risk_Rank_Keys!D668)=0),0.5,(SUMPRODUCT(--ISNUMBER(Risk_Rank_Keys!$D$2:$D$800),--(Risk_Rank_Keys!$D$2:$D$800&lt;Risk_Rank_Keys!D668))+(SUMPRODUCT(--ISNUMBER(Risk_Rank_Keys!$D$2:$D$800),--(Risk_Rank_Keys!$D$2:$D$800=Risk_Rank_Keys!D668))+1)/2)/COUNT(Risk_Rank_Keys!$D$2:$D$800))</f>
        <v>0.735006973500697</v>
      </c>
      <c r="P668" s="0" t="n">
        <f aca="false">AVERAGE(M668:O668)</f>
        <v>0.709437470943747</v>
      </c>
      <c r="Q668" s="0" t="n">
        <f aca="false">0.4*H668+0.4*I668+0.2*P668</f>
        <v>0.682062713212529</v>
      </c>
      <c r="R668" s="0" t="n">
        <f aca="false">PERCENTILE($Q$2:$Q$800,0.75)</f>
        <v>0.667715717403612</v>
      </c>
      <c r="S668" s="1" t="b">
        <f aca="false">OR(Q668&gt;=R668,AND(B668="CW",COUNT(J668:L668)&lt;3))</f>
        <v>1</v>
      </c>
      <c r="T668" s="0" t="n">
        <v>0.330238168230481</v>
      </c>
      <c r="U668" s="0" t="n">
        <v>8.57556420814458</v>
      </c>
      <c r="V668" s="0" t="n">
        <v>0.682062713212529</v>
      </c>
      <c r="W668" s="0" t="n">
        <f aca="false">Q668-V668</f>
        <v>0</v>
      </c>
    </row>
    <row r="669" customFormat="false" ht="15" hidden="false" customHeight="false" outlineLevel="0" collapsed="false">
      <c r="A669" s="0" t="s">
        <v>703</v>
      </c>
      <c r="B669" s="0" t="s">
        <v>3013</v>
      </c>
      <c r="C669" s="0" t="n">
        <v>29.7273346305034</v>
      </c>
      <c r="D669" s="0" t="n">
        <f aca="false">SUMPRODUCT(Risk_Inputs!B669:AJ669,Risk_Coefs!$B$2:$AJ$2)</f>
        <v>-1.22422642598933</v>
      </c>
      <c r="E669" s="0" t="n">
        <f aca="false">1/(1+EXP(-MAX(-25,MIN(25,D669))))</f>
        <v>0.227193533458561</v>
      </c>
      <c r="F669" s="0" t="n">
        <f aca="false">SUMPRODUCT(Risk_Inputs!B669:AJ669,Risk_Coefs!$B$3:$AJ$3)</f>
        <v>6.05201391890511</v>
      </c>
      <c r="G669" s="0" t="n">
        <f aca="false">MAX(0,F669)</f>
        <v>6.05201391890511</v>
      </c>
      <c r="H669" s="0" t="n">
        <f aca="false">(SUMPRODUCT(--ISNUMBER($E$2:$E$800),--($E$2:$E$800&lt;E669))+(SUMPRODUCT(--ISNUMBER($E$2:$E$800),--($E$2:$E$800=E669))+1)/2)/COUNT($E$2:$E$800)</f>
        <v>0.165206508135169</v>
      </c>
      <c r="I669" s="0" t="n">
        <f aca="false">(SUMPRODUCT(--ISNUMBER($G$2:$G$800),--($G$2:$G$800&lt;G669))+(SUMPRODUCT(--ISNUMBER($G$2:$G$800),--($G$2:$G$800=G669))+1)/2)/COUNT($G$2:$G$800)</f>
        <v>0.272841051314143</v>
      </c>
      <c r="J669" s="0" t="n">
        <v>18.31395755236</v>
      </c>
      <c r="K669" s="0" t="n">
        <v>3.9843651494137</v>
      </c>
      <c r="L669" s="0" t="n">
        <v>0.239566258983725</v>
      </c>
      <c r="M669" s="0" t="n">
        <f aca="false">IF(OR(B669="NW",COUNT(Risk_Rank_Keys!B669)=0),0.5,(SUMPRODUCT(--ISNUMBER(Risk_Rank_Keys!$B$2:$B$800),--(Risk_Rank_Keys!$B$2:$B$800&lt;Risk_Rank_Keys!B669))+(SUMPRODUCT(--ISNUMBER(Risk_Rank_Keys!$B$2:$B$800),--(Risk_Rank_Keys!$B$2:$B$800=Risk_Rank_Keys!B669))+1)/2)/COUNT(Risk_Rank_Keys!$B$2:$B$800))</f>
        <v>0.767085076708508</v>
      </c>
      <c r="N669" s="0" t="n">
        <f aca="false">IF(OR(B669="NW",COUNT(Risk_Rank_Keys!C669)=0),0.5,(SUMPRODUCT(--ISNUMBER(Risk_Rank_Keys!$C$2:$C$800),--(Risk_Rank_Keys!$C$2:$C$800&lt;Risk_Rank_Keys!C669))+(SUMPRODUCT(--ISNUMBER(Risk_Rank_Keys!$C$2:$C$800),--(Risk_Rank_Keys!$C$2:$C$800=Risk_Rank_Keys!C669))+1)/2)/COUNT(Risk_Rank_Keys!$C$2:$C$800))</f>
        <v>0.595536959553696</v>
      </c>
      <c r="O669" s="0" t="n">
        <f aca="false">IF(OR(B669="NW",COUNT(Risk_Rank_Keys!D669)=0),0.5,(SUMPRODUCT(--ISNUMBER(Risk_Rank_Keys!$D$2:$D$800),--(Risk_Rank_Keys!$D$2:$D$800&lt;Risk_Rank_Keys!D669))+(SUMPRODUCT(--ISNUMBER(Risk_Rank_Keys!$D$2:$D$800),--(Risk_Rank_Keys!$D$2:$D$800=Risk_Rank_Keys!D669))+1)/2)/COUNT(Risk_Rank_Keys!$D$2:$D$800))</f>
        <v>0.539748953974895</v>
      </c>
      <c r="P669" s="0" t="n">
        <f aca="false">AVERAGE(M669:O669)</f>
        <v>0.634123663412366</v>
      </c>
      <c r="Q669" s="0" t="n">
        <f aca="false">0.4*H669+0.4*I669+0.2*P669</f>
        <v>0.302043756462198</v>
      </c>
      <c r="R669" s="0" t="n">
        <f aca="false">PERCENTILE($Q$2:$Q$800,0.75)</f>
        <v>0.667715717403612</v>
      </c>
      <c r="S669" s="1" t="b">
        <f aca="false">OR(Q669&gt;=R669,AND(B669="CW",COUNT(J669:L669)&lt;3))</f>
        <v>0</v>
      </c>
      <c r="T669" s="0" t="n">
        <v>0.227193533458561</v>
      </c>
      <c r="U669" s="0" t="n">
        <v>6.05201391890511</v>
      </c>
      <c r="V669" s="0" t="n">
        <v>0.302043756462198</v>
      </c>
      <c r="W669" s="0" t="n">
        <f aca="false">Q669-V669</f>
        <v>0</v>
      </c>
    </row>
    <row r="670" customFormat="false" ht="15" hidden="false" customHeight="false" outlineLevel="0" collapsed="false">
      <c r="A670" s="0" t="s">
        <v>704</v>
      </c>
      <c r="B670" s="0" t="s">
        <v>3013</v>
      </c>
      <c r="C670" s="0" t="n">
        <v>44.2840962549974</v>
      </c>
      <c r="D670" s="0" t="n">
        <f aca="false">SUMPRODUCT(Risk_Inputs!B670:AJ670,Risk_Coefs!$B$2:$AJ$2)</f>
        <v>-0.673784996949607</v>
      </c>
      <c r="E670" s="0" t="n">
        <f aca="false">1/(1+EXP(-MAX(-25,MIN(25,D670))))</f>
        <v>0.337649835434897</v>
      </c>
      <c r="F670" s="0" t="n">
        <f aca="false">SUMPRODUCT(Risk_Inputs!B670:AJ670,Risk_Coefs!$B$3:$AJ$3)</f>
        <v>8.43178330324213</v>
      </c>
      <c r="G670" s="0" t="n">
        <f aca="false">MAX(0,F670)</f>
        <v>8.43178330324213</v>
      </c>
      <c r="H670" s="0" t="n">
        <f aca="false">(SUMPRODUCT(--ISNUMBER($E$2:$E$800),--($E$2:$E$800&lt;E670))+(SUMPRODUCT(--ISNUMBER($E$2:$E$800),--($E$2:$E$800=E670))+1)/2)/COUNT($E$2:$E$800)</f>
        <v>0.774718397997497</v>
      </c>
      <c r="I670" s="0" t="n">
        <f aca="false">(SUMPRODUCT(--ISNUMBER($G$2:$G$800),--($G$2:$G$800&lt;G670))+(SUMPRODUCT(--ISNUMBER($G$2:$G$800),--($G$2:$G$800=G670))+1)/2)/COUNT($G$2:$G$800)</f>
        <v>0.595744680851064</v>
      </c>
      <c r="J670" s="0" t="n">
        <v>6.88089451628741</v>
      </c>
      <c r="K670" s="0" t="n">
        <v>2.17798932640993</v>
      </c>
      <c r="L670" s="0" t="n">
        <v>0.259627866724355</v>
      </c>
      <c r="M670" s="0" t="n">
        <f aca="false">IF(OR(B670="NW",COUNT(Risk_Rank_Keys!B670)=0),0.5,(SUMPRODUCT(--ISNUMBER(Risk_Rank_Keys!$B$2:$B$800),--(Risk_Rank_Keys!$B$2:$B$800&lt;Risk_Rank_Keys!B670))+(SUMPRODUCT(--ISNUMBER(Risk_Rank_Keys!$B$2:$B$800),--(Risk_Rank_Keys!$B$2:$B$800=Risk_Rank_Keys!B670))+1)/2)/COUNT(Risk_Rank_Keys!$B$2:$B$800))</f>
        <v>0.299860529986053</v>
      </c>
      <c r="N670" s="0" t="n">
        <f aca="false">IF(OR(B670="NW",COUNT(Risk_Rank_Keys!C670)=0),0.5,(SUMPRODUCT(--ISNUMBER(Risk_Rank_Keys!$C$2:$C$800),--(Risk_Rank_Keys!$C$2:$C$800&lt;Risk_Rank_Keys!C670))+(SUMPRODUCT(--ISNUMBER(Risk_Rank_Keys!$C$2:$C$800),--(Risk_Rank_Keys!$C$2:$C$800=Risk_Rank_Keys!C670))+1)/2)/COUNT(Risk_Rank_Keys!$C$2:$C$800))</f>
        <v>0.309623430962343</v>
      </c>
      <c r="O670" s="0" t="n">
        <f aca="false">IF(OR(B670="NW",COUNT(Risk_Rank_Keys!D670)=0),0.5,(SUMPRODUCT(--ISNUMBER(Risk_Rank_Keys!$D$2:$D$800),--(Risk_Rank_Keys!$D$2:$D$800&lt;Risk_Rank_Keys!D670))+(SUMPRODUCT(--ISNUMBER(Risk_Rank_Keys!$D$2:$D$800),--(Risk_Rank_Keys!$D$2:$D$800=Risk_Rank_Keys!D670))+1)/2)/COUNT(Risk_Rank_Keys!$D$2:$D$800))</f>
        <v>0.629009762900976</v>
      </c>
      <c r="P670" s="0" t="n">
        <f aca="false">AVERAGE(M670:O670)</f>
        <v>0.412831241283124</v>
      </c>
      <c r="Q670" s="0" t="n">
        <f aca="false">0.4*H670+0.4*I670+0.2*P670</f>
        <v>0.630751479796049</v>
      </c>
      <c r="R670" s="0" t="n">
        <f aca="false">PERCENTILE($Q$2:$Q$800,0.75)</f>
        <v>0.667715717403612</v>
      </c>
      <c r="S670" s="1" t="b">
        <f aca="false">OR(Q670&gt;=R670,AND(B670="CW",COUNT(J670:L670)&lt;3))</f>
        <v>0</v>
      </c>
      <c r="T670" s="0" t="n">
        <v>0.337649835434897</v>
      </c>
      <c r="U670" s="0" t="n">
        <v>8.43178330324213</v>
      </c>
      <c r="V670" s="0" t="n">
        <v>0.630751479796049</v>
      </c>
      <c r="W670" s="0" t="n">
        <f aca="false">Q670-V670</f>
        <v>0</v>
      </c>
    </row>
    <row r="671" customFormat="false" ht="15" hidden="false" customHeight="false" outlineLevel="0" collapsed="false">
      <c r="A671" s="0" t="s">
        <v>705</v>
      </c>
      <c r="B671" s="0" t="s">
        <v>3013</v>
      </c>
      <c r="C671" s="0" t="n">
        <v>-15.7238337065399</v>
      </c>
      <c r="D671" s="0" t="n">
        <f aca="false">SUMPRODUCT(Risk_Inputs!B671:AJ671,Risk_Coefs!$B$2:$AJ$2)</f>
        <v>-1.02538649898241</v>
      </c>
      <c r="E671" s="0" t="n">
        <f aca="false">1/(1+EXP(-MAX(-25,MIN(25,D671))))</f>
        <v>0.263979504663708</v>
      </c>
      <c r="F671" s="0" t="n">
        <f aca="false">SUMPRODUCT(Risk_Inputs!B671:AJ671,Risk_Coefs!$B$3:$AJ$3)</f>
        <v>7.05651209446445</v>
      </c>
      <c r="G671" s="0" t="n">
        <f aca="false">MAX(0,F671)</f>
        <v>7.05651209446445</v>
      </c>
      <c r="H671" s="0" t="n">
        <f aca="false">(SUMPRODUCT(--ISNUMBER($E$2:$E$800),--($E$2:$E$800&lt;E671))+(SUMPRODUCT(--ISNUMBER($E$2:$E$800),--($E$2:$E$800=E671))+1)/2)/COUNT($E$2:$E$800)</f>
        <v>0.359198998748436</v>
      </c>
      <c r="I671" s="0" t="n">
        <f aca="false">(SUMPRODUCT(--ISNUMBER($G$2:$G$800),--($G$2:$G$800&lt;G671))+(SUMPRODUCT(--ISNUMBER($G$2:$G$800),--($G$2:$G$800=G671))+1)/2)/COUNT($G$2:$G$800)</f>
        <v>0.424280350438048</v>
      </c>
      <c r="J671" s="0" t="n">
        <v>6.20205908361722</v>
      </c>
      <c r="K671" s="0" t="n">
        <v>2.8823205434184</v>
      </c>
      <c r="L671" s="0" t="n">
        <v>0.220304754910969</v>
      </c>
      <c r="M671" s="0" t="n">
        <f aca="false">IF(OR(B671="NW",COUNT(Risk_Rank_Keys!B671)=0),0.5,(SUMPRODUCT(--ISNUMBER(Risk_Rank_Keys!$B$2:$B$800),--(Risk_Rank_Keys!$B$2:$B$800&lt;Risk_Rank_Keys!B671))+(SUMPRODUCT(--ISNUMBER(Risk_Rank_Keys!$B$2:$B$800),--(Risk_Rank_Keys!$B$2:$B$800=Risk_Rank_Keys!B671))+1)/2)/COUNT(Risk_Rank_Keys!$B$2:$B$800))</f>
        <v>0.238493723849372</v>
      </c>
      <c r="N671" s="0" t="n">
        <f aca="false">IF(OR(B671="NW",COUNT(Risk_Rank_Keys!C671)=0),0.5,(SUMPRODUCT(--ISNUMBER(Risk_Rank_Keys!$C$2:$C$800),--(Risk_Rank_Keys!$C$2:$C$800&lt;Risk_Rank_Keys!C671))+(SUMPRODUCT(--ISNUMBER(Risk_Rank_Keys!$C$2:$C$800),--(Risk_Rank_Keys!$C$2:$C$800=Risk_Rank_Keys!C671))+1)/2)/COUNT(Risk_Rank_Keys!$C$2:$C$800))</f>
        <v>0.454672245467225</v>
      </c>
      <c r="O671" s="0" t="n">
        <f aca="false">IF(OR(B671="NW",COUNT(Risk_Rank_Keys!D671)=0),0.5,(SUMPRODUCT(--ISNUMBER(Risk_Rank_Keys!$D$2:$D$800),--(Risk_Rank_Keys!$D$2:$D$800&lt;Risk_Rank_Keys!D671))+(SUMPRODUCT(--ISNUMBER(Risk_Rank_Keys!$D$2:$D$800),--(Risk_Rank_Keys!$D$2:$D$800=Risk_Rank_Keys!D671))+1)/2)/COUNT(Risk_Rank_Keys!$D$2:$D$800))</f>
        <v>0.439330543933054</v>
      </c>
      <c r="P671" s="0" t="n">
        <f aca="false">AVERAGE(M671:O671)</f>
        <v>0.377498837749884</v>
      </c>
      <c r="Q671" s="0" t="n">
        <f aca="false">0.4*H671+0.4*I671+0.2*P671</f>
        <v>0.38889150722457</v>
      </c>
      <c r="R671" s="0" t="n">
        <f aca="false">PERCENTILE($Q$2:$Q$800,0.75)</f>
        <v>0.667715717403612</v>
      </c>
      <c r="S671" s="1" t="b">
        <f aca="false">OR(Q671&gt;=R671,AND(B671="CW",COUNT(J671:L671)&lt;3))</f>
        <v>0</v>
      </c>
      <c r="T671" s="0" t="n">
        <v>0.263979504663708</v>
      </c>
      <c r="U671" s="0" t="n">
        <v>7.05651209446445</v>
      </c>
      <c r="V671" s="0" t="n">
        <v>0.38889150722457</v>
      </c>
      <c r="W671" s="0" t="n">
        <f aca="false">Q671-V671</f>
        <v>0</v>
      </c>
    </row>
    <row r="672" customFormat="false" ht="15" hidden="false" customHeight="false" outlineLevel="0" collapsed="false">
      <c r="A672" s="0" t="s">
        <v>706</v>
      </c>
      <c r="B672" s="0" t="s">
        <v>3013</v>
      </c>
      <c r="C672" s="0" t="n">
        <v>-33.4635507142994</v>
      </c>
      <c r="D672" s="0" t="n">
        <f aca="false">SUMPRODUCT(Risk_Inputs!B672:AJ672,Risk_Coefs!$B$2:$AJ$2)</f>
        <v>-1.06133387379666</v>
      </c>
      <c r="E672" s="0" t="n">
        <f aca="false">1/(1+EXP(-MAX(-25,MIN(25,D672))))</f>
        <v>0.257054632210327</v>
      </c>
      <c r="F672" s="0" t="n">
        <f aca="false">SUMPRODUCT(Risk_Inputs!B672:AJ672,Risk_Coefs!$B$3:$AJ$3)</f>
        <v>7.95454980933509</v>
      </c>
      <c r="G672" s="0" t="n">
        <f aca="false">MAX(0,F672)</f>
        <v>7.95454980933509</v>
      </c>
      <c r="H672" s="0" t="n">
        <f aca="false">(SUMPRODUCT(--ISNUMBER($E$2:$E$800),--($E$2:$E$800&lt;E672))+(SUMPRODUCT(--ISNUMBER($E$2:$E$800),--($E$2:$E$800=E672))+1)/2)/COUNT($E$2:$E$800)</f>
        <v>0.312891113892365</v>
      </c>
      <c r="I672" s="0" t="n">
        <f aca="false">(SUMPRODUCT(--ISNUMBER($G$2:$G$800),--($G$2:$G$800&lt;G672))+(SUMPRODUCT(--ISNUMBER($G$2:$G$800),--($G$2:$G$800=G672))+1)/2)/COUNT($G$2:$G$800)</f>
        <v>0.53566958698373</v>
      </c>
      <c r="J672" s="0" t="n">
        <v>13.430665202239</v>
      </c>
      <c r="K672" s="0" t="n">
        <v>2.85520054384772</v>
      </c>
      <c r="L672" s="0" t="n">
        <v>0.271923861318835</v>
      </c>
      <c r="M672" s="0" t="n">
        <f aca="false">IF(OR(B672="NW",COUNT(Risk_Rank_Keys!B672)=0),0.5,(SUMPRODUCT(--ISNUMBER(Risk_Rank_Keys!$B$2:$B$800),--(Risk_Rank_Keys!$B$2:$B$800&lt;Risk_Rank_Keys!B672))+(SUMPRODUCT(--ISNUMBER(Risk_Rank_Keys!$B$2:$B$800),--(Risk_Rank_Keys!$B$2:$B$800=Risk_Rank_Keys!B672))+1)/2)/COUNT(Risk_Rank_Keys!$B$2:$B$800))</f>
        <v>0.659693165969317</v>
      </c>
      <c r="N672" s="0" t="n">
        <f aca="false">IF(OR(B672="NW",COUNT(Risk_Rank_Keys!C672)=0),0.5,(SUMPRODUCT(--ISNUMBER(Risk_Rank_Keys!$C$2:$C$800),--(Risk_Rank_Keys!$C$2:$C$800&lt;Risk_Rank_Keys!C672))+(SUMPRODUCT(--ISNUMBER(Risk_Rank_Keys!$C$2:$C$800),--(Risk_Rank_Keys!$C$2:$C$800=Risk_Rank_Keys!C672))+1)/2)/COUNT(Risk_Rank_Keys!$C$2:$C$800))</f>
        <v>0.450488145048815</v>
      </c>
      <c r="O672" s="0" t="n">
        <f aca="false">IF(OR(B672="NW",COUNT(Risk_Rank_Keys!D672)=0),0.5,(SUMPRODUCT(--ISNUMBER(Risk_Rank_Keys!$D$2:$D$800),--(Risk_Rank_Keys!$D$2:$D$800&lt;Risk_Rank_Keys!D672))+(SUMPRODUCT(--ISNUMBER(Risk_Rank_Keys!$D$2:$D$800),--(Risk_Rank_Keys!$D$2:$D$800=Risk_Rank_Keys!D672))+1)/2)/COUNT(Risk_Rank_Keys!$D$2:$D$800))</f>
        <v>0.669456066945607</v>
      </c>
      <c r="P672" s="0" t="n">
        <f aca="false">AVERAGE(M672:O672)</f>
        <v>0.593212459321246</v>
      </c>
      <c r="Q672" s="0" t="n">
        <f aca="false">0.4*H672+0.4*I672+0.2*P672</f>
        <v>0.458066772214687</v>
      </c>
      <c r="R672" s="0" t="n">
        <f aca="false">PERCENTILE($Q$2:$Q$800,0.75)</f>
        <v>0.667715717403612</v>
      </c>
      <c r="S672" s="1" t="b">
        <f aca="false">OR(Q672&gt;=R672,AND(B672="CW",COUNT(J672:L672)&lt;3))</f>
        <v>0</v>
      </c>
      <c r="T672" s="0" t="n">
        <v>0.257054632210327</v>
      </c>
      <c r="U672" s="0" t="n">
        <v>7.95454980933509</v>
      </c>
      <c r="V672" s="0" t="n">
        <v>0.458066772214687</v>
      </c>
      <c r="W672" s="0" t="n">
        <f aca="false">Q672-V672</f>
        <v>0</v>
      </c>
    </row>
    <row r="673" customFormat="false" ht="15" hidden="false" customHeight="false" outlineLevel="0" collapsed="false">
      <c r="A673" s="0" t="s">
        <v>707</v>
      </c>
      <c r="B673" s="0" t="s">
        <v>3013</v>
      </c>
      <c r="C673" s="0" t="n">
        <v>71.2559045018978</v>
      </c>
      <c r="D673" s="0" t="n">
        <f aca="false">SUMPRODUCT(Risk_Inputs!B673:AJ673,Risk_Coefs!$B$2:$AJ$2)</f>
        <v>-0.889601211432139</v>
      </c>
      <c r="E673" s="0" t="n">
        <f aca="false">1/(1+EXP(-MAX(-25,MIN(25,D673))))</f>
        <v>0.291192130250117</v>
      </c>
      <c r="F673" s="0" t="n">
        <f aca="false">SUMPRODUCT(Risk_Inputs!B673:AJ673,Risk_Coefs!$B$3:$AJ$3)</f>
        <v>11.0006649639371</v>
      </c>
      <c r="G673" s="0" t="n">
        <f aca="false">MAX(0,F673)</f>
        <v>11.0006649639371</v>
      </c>
      <c r="H673" s="0" t="n">
        <f aca="false">(SUMPRODUCT(--ISNUMBER($E$2:$E$800),--($E$2:$E$800&lt;E673))+(SUMPRODUCT(--ISNUMBER($E$2:$E$800),--($E$2:$E$800=E673))+1)/2)/COUNT($E$2:$E$800)</f>
        <v>0.529411764705882</v>
      </c>
      <c r="I673" s="0" t="n">
        <f aca="false">(SUMPRODUCT(--ISNUMBER($G$2:$G$800),--($G$2:$G$800&lt;G673))+(SUMPRODUCT(--ISNUMBER($G$2:$G$800),--($G$2:$G$800=G673))+1)/2)/COUNT($G$2:$G$800)</f>
        <v>0.879849812265332</v>
      </c>
      <c r="J673" s="0" t="n">
        <v>9.40489703259313</v>
      </c>
      <c r="K673" s="0" t="n">
        <v>7.44845360824743</v>
      </c>
      <c r="L673" s="0" t="n">
        <v>0.283505154639174</v>
      </c>
      <c r="M673" s="0" t="n">
        <f aca="false">IF(OR(B673="NW",COUNT(Risk_Rank_Keys!B673)=0),0.5,(SUMPRODUCT(--ISNUMBER(Risk_Rank_Keys!$B$2:$B$800),--(Risk_Rank_Keys!$B$2:$B$800&lt;Risk_Rank_Keys!B673))+(SUMPRODUCT(--ISNUMBER(Risk_Rank_Keys!$B$2:$B$800),--(Risk_Rank_Keys!$B$2:$B$800=Risk_Rank_Keys!B673))+1)/2)/COUNT(Risk_Rank_Keys!$B$2:$B$800))</f>
        <v>0.470013947001395</v>
      </c>
      <c r="N673" s="0" t="n">
        <f aca="false">IF(OR(B673="NW",COUNT(Risk_Rank_Keys!C673)=0),0.5,(SUMPRODUCT(--ISNUMBER(Risk_Rank_Keys!$C$2:$C$800),--(Risk_Rank_Keys!$C$2:$C$800&lt;Risk_Rank_Keys!C673))+(SUMPRODUCT(--ISNUMBER(Risk_Rank_Keys!$C$2:$C$800),--(Risk_Rank_Keys!$C$2:$C$800=Risk_Rank_Keys!C673))+1)/2)/COUNT(Risk_Rank_Keys!$C$2:$C$800))</f>
        <v>0.803347280334728</v>
      </c>
      <c r="O673" s="0" t="n">
        <f aca="false">IF(OR(B673="NW",COUNT(Risk_Rank_Keys!D673)=0),0.5,(SUMPRODUCT(--ISNUMBER(Risk_Rank_Keys!$D$2:$D$800),--(Risk_Rank_Keys!$D$2:$D$800&lt;Risk_Rank_Keys!D673))+(SUMPRODUCT(--ISNUMBER(Risk_Rank_Keys!$D$2:$D$800),--(Risk_Rank_Keys!$D$2:$D$800=Risk_Rank_Keys!D673))+1)/2)/COUNT(Risk_Rank_Keys!$D$2:$D$800))</f>
        <v>0.704323570432357</v>
      </c>
      <c r="P673" s="0" t="n">
        <f aca="false">AVERAGE(M673:O673)</f>
        <v>0.659228265922827</v>
      </c>
      <c r="Q673" s="0" t="n">
        <f aca="false">0.4*H673+0.4*I673+0.2*P673</f>
        <v>0.695550283973051</v>
      </c>
      <c r="R673" s="0" t="n">
        <f aca="false">PERCENTILE($Q$2:$Q$800,0.75)</f>
        <v>0.667715717403612</v>
      </c>
      <c r="S673" s="1" t="b">
        <f aca="false">OR(Q673&gt;=R673,AND(B673="CW",COUNT(J673:L673)&lt;3))</f>
        <v>1</v>
      </c>
      <c r="T673" s="0" t="n">
        <v>0.291192130250117</v>
      </c>
      <c r="U673" s="0" t="n">
        <v>11.0006649639371</v>
      </c>
      <c r="V673" s="0" t="n">
        <v>0.695550283973051</v>
      </c>
      <c r="W673" s="0" t="n">
        <f aca="false">Q673-V673</f>
        <v>0</v>
      </c>
    </row>
    <row r="674" customFormat="false" ht="15" hidden="false" customHeight="false" outlineLevel="0" collapsed="false">
      <c r="A674" s="0" t="s">
        <v>708</v>
      </c>
      <c r="B674" s="0" t="s">
        <v>3013</v>
      </c>
      <c r="C674" s="0" t="n">
        <v>-38.7929593009099</v>
      </c>
      <c r="D674" s="0" t="n">
        <f aca="false">SUMPRODUCT(Risk_Inputs!B674:AJ674,Risk_Coefs!$B$2:$AJ$2)</f>
        <v>-1.11791781965126</v>
      </c>
      <c r="E674" s="0" t="n">
        <f aca="false">1/(1+EXP(-MAX(-25,MIN(25,D674))))</f>
        <v>0.246397710848327</v>
      </c>
      <c r="F674" s="0" t="n">
        <f aca="false">SUMPRODUCT(Risk_Inputs!B674:AJ674,Risk_Coefs!$B$3:$AJ$3)</f>
        <v>6.4918006011054</v>
      </c>
      <c r="G674" s="0" t="n">
        <f aca="false">MAX(0,F674)</f>
        <v>6.4918006011054</v>
      </c>
      <c r="H674" s="0" t="n">
        <f aca="false">(SUMPRODUCT(--ISNUMBER($E$2:$E$800),--($E$2:$E$800&lt;E674))+(SUMPRODUCT(--ISNUMBER($E$2:$E$800),--($E$2:$E$800=E674))+1)/2)/COUNT($E$2:$E$800)</f>
        <v>0.250312891113892</v>
      </c>
      <c r="I674" s="0" t="n">
        <f aca="false">(SUMPRODUCT(--ISNUMBER($G$2:$G$800),--($G$2:$G$800&lt;G674))+(SUMPRODUCT(--ISNUMBER($G$2:$G$800),--($G$2:$G$800=G674))+1)/2)/COUNT($G$2:$G$800)</f>
        <v>0.340425531914894</v>
      </c>
      <c r="J674" s="0" t="n">
        <v>9.55642755984404</v>
      </c>
      <c r="K674" s="0" t="n">
        <v>1.07554417413572</v>
      </c>
      <c r="L674" s="0" t="n">
        <v>0.192061459667093</v>
      </c>
      <c r="M674" s="0" t="n">
        <f aca="false">IF(OR(B674="NW",COUNT(Risk_Rank_Keys!B674)=0),0.5,(SUMPRODUCT(--ISNUMBER(Risk_Rank_Keys!$B$2:$B$800),--(Risk_Rank_Keys!$B$2:$B$800&lt;Risk_Rank_Keys!B674))+(SUMPRODUCT(--ISNUMBER(Risk_Rank_Keys!$B$2:$B$800),--(Risk_Rank_Keys!$B$2:$B$800=Risk_Rank_Keys!B674))+1)/2)/COUNT(Risk_Rank_Keys!$B$2:$B$800))</f>
        <v>0.479776847977685</v>
      </c>
      <c r="N674" s="0" t="n">
        <f aca="false">IF(OR(B674="NW",COUNT(Risk_Rank_Keys!C674)=0),0.5,(SUMPRODUCT(--ISNUMBER(Risk_Rank_Keys!$C$2:$C$800),--(Risk_Rank_Keys!$C$2:$C$800&lt;Risk_Rank_Keys!C674))+(SUMPRODUCT(--ISNUMBER(Risk_Rank_Keys!$C$2:$C$800),--(Risk_Rank_Keys!$C$2:$C$800=Risk_Rank_Keys!C674))+1)/2)/COUNT(Risk_Rank_Keys!$C$2:$C$800))</f>
        <v>0.0376569037656904</v>
      </c>
      <c r="O674" s="0" t="n">
        <f aca="false">IF(OR(B674="NW",COUNT(Risk_Rank_Keys!D674)=0),0.5,(SUMPRODUCT(--ISNUMBER(Risk_Rank_Keys!$D$2:$D$800),--(Risk_Rank_Keys!$D$2:$D$800&lt;Risk_Rank_Keys!D674))+(SUMPRODUCT(--ISNUMBER(Risk_Rank_Keys!$D$2:$D$800),--(Risk_Rank_Keys!$D$2:$D$800=Risk_Rank_Keys!D674))+1)/2)/COUNT(Risk_Rank_Keys!$D$2:$D$800))</f>
        <v>0.269177126917713</v>
      </c>
      <c r="P674" s="0" t="n">
        <f aca="false">AVERAGE(M674:O674)</f>
        <v>0.262203626220363</v>
      </c>
      <c r="Q674" s="0" t="n">
        <f aca="false">0.4*H674+0.4*I674+0.2*P674</f>
        <v>0.288736094455587</v>
      </c>
      <c r="R674" s="0" t="n">
        <f aca="false">PERCENTILE($Q$2:$Q$800,0.75)</f>
        <v>0.667715717403612</v>
      </c>
      <c r="S674" s="1" t="b">
        <f aca="false">OR(Q674&gt;=R674,AND(B674="CW",COUNT(J674:L674)&lt;3))</f>
        <v>0</v>
      </c>
      <c r="T674" s="0" t="n">
        <v>0.246397710848327</v>
      </c>
      <c r="U674" s="0" t="n">
        <v>6.4918006011054</v>
      </c>
      <c r="V674" s="0" t="n">
        <v>0.288736094455587</v>
      </c>
      <c r="W674" s="0" t="n">
        <f aca="false">Q674-V674</f>
        <v>0</v>
      </c>
    </row>
    <row r="675" customFormat="false" ht="15" hidden="false" customHeight="false" outlineLevel="0" collapsed="false">
      <c r="A675" s="0" t="s">
        <v>709</v>
      </c>
      <c r="B675" s="0" t="s">
        <v>3013</v>
      </c>
      <c r="C675" s="0" t="n">
        <v>-35.3494572352569</v>
      </c>
      <c r="D675" s="0" t="n">
        <f aca="false">SUMPRODUCT(Risk_Inputs!B675:AJ675,Risk_Coefs!$B$2:$AJ$2)</f>
        <v>-0.578718957817424</v>
      </c>
      <c r="E675" s="0" t="n">
        <f aca="false">1/(1+EXP(-MAX(-25,MIN(25,D675))))</f>
        <v>0.359227414692335</v>
      </c>
      <c r="F675" s="0" t="n">
        <f aca="false">SUMPRODUCT(Risk_Inputs!B675:AJ675,Risk_Coefs!$B$3:$AJ$3)</f>
        <v>10.095455569443</v>
      </c>
      <c r="G675" s="0" t="n">
        <f aca="false">MAX(0,F675)</f>
        <v>10.095455569443</v>
      </c>
      <c r="H675" s="0" t="n">
        <f aca="false">(SUMPRODUCT(--ISNUMBER($E$2:$E$800),--($E$2:$E$800&lt;E675))+(SUMPRODUCT(--ISNUMBER($E$2:$E$800),--($E$2:$E$800=E675))+1)/2)/COUNT($E$2:$E$800)</f>
        <v>0.846057571964956</v>
      </c>
      <c r="I675" s="0" t="n">
        <f aca="false">(SUMPRODUCT(--ISNUMBER($G$2:$G$800),--($G$2:$G$800&lt;G675))+(SUMPRODUCT(--ISNUMBER($G$2:$G$800),--($G$2:$G$800=G675))+1)/2)/COUNT($G$2:$G$800)</f>
        <v>0.799749687108886</v>
      </c>
      <c r="J675" s="0" t="n">
        <v>7.1313567955632</v>
      </c>
      <c r="K675" s="0" t="n">
        <v>1.62373336588939</v>
      </c>
      <c r="L675" s="0" t="n">
        <v>0.170919301672572</v>
      </c>
      <c r="M675" s="0" t="n">
        <f aca="false">IF(OR(B675="NW",COUNT(Risk_Rank_Keys!B675)=0),0.5,(SUMPRODUCT(--ISNUMBER(Risk_Rank_Keys!$B$2:$B$800),--(Risk_Rank_Keys!$B$2:$B$800&lt;Risk_Rank_Keys!B675))+(SUMPRODUCT(--ISNUMBER(Risk_Rank_Keys!$B$2:$B$800),--(Risk_Rank_Keys!$B$2:$B$800=Risk_Rank_Keys!B675))+1)/2)/COUNT(Risk_Rank_Keys!$B$2:$B$800))</f>
        <v>0.324965132496513</v>
      </c>
      <c r="N675" s="0" t="n">
        <f aca="false">IF(OR(B675="NW",COUNT(Risk_Rank_Keys!C675)=0),0.5,(SUMPRODUCT(--ISNUMBER(Risk_Rank_Keys!$C$2:$C$800),--(Risk_Rank_Keys!$C$2:$C$800&lt;Risk_Rank_Keys!C675))+(SUMPRODUCT(--ISNUMBER(Risk_Rank_Keys!$C$2:$C$800),--(Risk_Rank_Keys!$C$2:$C$800=Risk_Rank_Keys!C675))+1)/2)/COUNT(Risk_Rank_Keys!$C$2:$C$800))</f>
        <v>0.167364016736402</v>
      </c>
      <c r="O675" s="0" t="n">
        <f aca="false">IF(OR(B675="NW",COUNT(Risk_Rank_Keys!D675)=0),0.5,(SUMPRODUCT(--ISNUMBER(Risk_Rank_Keys!$D$2:$D$800),--(Risk_Rank_Keys!$D$2:$D$800&lt;Risk_Rank_Keys!D675))+(SUMPRODUCT(--ISNUMBER(Risk_Rank_Keys!$D$2:$D$800),--(Risk_Rank_Keys!$D$2:$D$800=Risk_Rank_Keys!D675))+1)/2)/COUNT(Risk_Rank_Keys!$D$2:$D$800))</f>
        <v>0.170153417015342</v>
      </c>
      <c r="P675" s="0" t="n">
        <f aca="false">AVERAGE(M675:O675)</f>
        <v>0.220827522082752</v>
      </c>
      <c r="Q675" s="0" t="n">
        <f aca="false">0.4*H675+0.4*I675+0.2*P675</f>
        <v>0.702488408046087</v>
      </c>
      <c r="R675" s="0" t="n">
        <f aca="false">PERCENTILE($Q$2:$Q$800,0.75)</f>
        <v>0.667715717403612</v>
      </c>
      <c r="S675" s="1" t="b">
        <f aca="false">OR(Q675&gt;=R675,AND(B675="CW",COUNT(J675:L675)&lt;3))</f>
        <v>1</v>
      </c>
      <c r="T675" s="0" t="n">
        <v>0.359227414692335</v>
      </c>
      <c r="U675" s="0" t="n">
        <v>10.095455569443</v>
      </c>
      <c r="V675" s="0" t="n">
        <v>0.702488408046087</v>
      </c>
      <c r="W675" s="0" t="n">
        <f aca="false">Q675-V675</f>
        <v>0</v>
      </c>
    </row>
    <row r="676" customFormat="false" ht="15" hidden="false" customHeight="false" outlineLevel="0" collapsed="false">
      <c r="A676" s="0" t="s">
        <v>710</v>
      </c>
      <c r="B676" s="0" t="s">
        <v>3013</v>
      </c>
      <c r="C676" s="0" t="n">
        <v>-42.7131791844163</v>
      </c>
      <c r="D676" s="0" t="n">
        <f aca="false">SUMPRODUCT(Risk_Inputs!B676:AJ676,Risk_Coefs!$B$2:$AJ$2)</f>
        <v>-1.25530978457053</v>
      </c>
      <c r="E676" s="0" t="n">
        <f aca="false">1/(1+EXP(-MAX(-25,MIN(25,D676))))</f>
        <v>0.221782343219164</v>
      </c>
      <c r="F676" s="0" t="n">
        <f aca="false">SUMPRODUCT(Risk_Inputs!B676:AJ676,Risk_Coefs!$B$3:$AJ$3)</f>
        <v>6.37832823252279</v>
      </c>
      <c r="G676" s="0" t="n">
        <f aca="false">MAX(0,F676)</f>
        <v>6.37832823252279</v>
      </c>
      <c r="H676" s="0" t="n">
        <f aca="false">(SUMPRODUCT(--ISNUMBER($E$2:$E$800),--($E$2:$E$800&lt;E676))+(SUMPRODUCT(--ISNUMBER($E$2:$E$800),--($E$2:$E$800=E676))+1)/2)/COUNT($E$2:$E$800)</f>
        <v>0.151439299123905</v>
      </c>
      <c r="I676" s="0" t="n">
        <f aca="false">(SUMPRODUCT(--ISNUMBER($G$2:$G$800),--($G$2:$G$800&lt;G676))+(SUMPRODUCT(--ISNUMBER($G$2:$G$800),--($G$2:$G$800=G676))+1)/2)/COUNT($G$2:$G$800)</f>
        <v>0.324155193992491</v>
      </c>
      <c r="J676" s="0" t="n">
        <v>39.0463788440352</v>
      </c>
      <c r="K676" s="0" t="n">
        <v>8.59219317782207</v>
      </c>
      <c r="L676" s="0" t="n">
        <v>0.246161059664748</v>
      </c>
      <c r="M676" s="0" t="n">
        <f aca="false">IF(OR(B676="NW",COUNT(Risk_Rank_Keys!B676)=0),0.5,(SUMPRODUCT(--ISNUMBER(Risk_Rank_Keys!$B$2:$B$800),--(Risk_Rank_Keys!$B$2:$B$800&lt;Risk_Rank_Keys!B676))+(SUMPRODUCT(--ISNUMBER(Risk_Rank_Keys!$B$2:$B$800),--(Risk_Rank_Keys!$B$2:$B$800=Risk_Rank_Keys!B676))+1)/2)/COUNT(Risk_Rank_Keys!$B$2:$B$800))</f>
        <v>0.947001394700139</v>
      </c>
      <c r="N676" s="0" t="n">
        <f aca="false">IF(OR(B676="NW",COUNT(Risk_Rank_Keys!C676)=0),0.5,(SUMPRODUCT(--ISNUMBER(Risk_Rank_Keys!$C$2:$C$800),--(Risk_Rank_Keys!$C$2:$C$800&lt;Risk_Rank_Keys!C676))+(SUMPRODUCT(--ISNUMBER(Risk_Rank_Keys!$C$2:$C$800),--(Risk_Rank_Keys!$C$2:$C$800=Risk_Rank_Keys!C676))+1)/2)/COUNT(Risk_Rank_Keys!$C$2:$C$800))</f>
        <v>0.842398884239888</v>
      </c>
      <c r="O676" s="0" t="n">
        <f aca="false">IF(OR(B676="NW",COUNT(Risk_Rank_Keys!D676)=0),0.5,(SUMPRODUCT(--ISNUMBER(Risk_Rank_Keys!$D$2:$D$800),--(Risk_Rank_Keys!$D$2:$D$800&lt;Risk_Rank_Keys!D676))+(SUMPRODUCT(--ISNUMBER(Risk_Rank_Keys!$D$2:$D$800),--(Risk_Rank_Keys!$D$2:$D$800=Risk_Rank_Keys!D676))+1)/2)/COUNT(Risk_Rank_Keys!$D$2:$D$800))</f>
        <v>0.569037656903766</v>
      </c>
      <c r="P676" s="0" t="n">
        <f aca="false">AVERAGE(M676:O676)</f>
        <v>0.786145978614598</v>
      </c>
      <c r="Q676" s="0" t="n">
        <f aca="false">0.4*H676+0.4*I676+0.2*P676</f>
        <v>0.347466992969478</v>
      </c>
      <c r="R676" s="0" t="n">
        <f aca="false">PERCENTILE($Q$2:$Q$800,0.75)</f>
        <v>0.667715717403612</v>
      </c>
      <c r="S676" s="1" t="b">
        <f aca="false">OR(Q676&gt;=R676,AND(B676="CW",COUNT(J676:L676)&lt;3))</f>
        <v>0</v>
      </c>
      <c r="T676" s="0" t="n">
        <v>0.221782343219165</v>
      </c>
      <c r="U676" s="0" t="n">
        <v>6.37832823252279</v>
      </c>
      <c r="V676" s="0" t="n">
        <v>0.347466992969478</v>
      </c>
      <c r="W676" s="0" t="n">
        <f aca="false">Q676-V676</f>
        <v>0</v>
      </c>
    </row>
    <row r="677" customFormat="false" ht="15" hidden="false" customHeight="false" outlineLevel="0" collapsed="false">
      <c r="A677" s="0" t="s">
        <v>711</v>
      </c>
      <c r="B677" s="0" t="s">
        <v>3013</v>
      </c>
      <c r="C677" s="0" t="n">
        <v>81.4502043895534</v>
      </c>
      <c r="D677" s="0" t="n">
        <f aca="false">SUMPRODUCT(Risk_Inputs!B677:AJ677,Risk_Coefs!$B$2:$AJ$2)</f>
        <v>-1.33564255138327</v>
      </c>
      <c r="E677" s="0" t="n">
        <f aca="false">1/(1+EXP(-MAX(-25,MIN(25,D677))))</f>
        <v>0.208227552708624</v>
      </c>
      <c r="F677" s="0" t="n">
        <f aca="false">SUMPRODUCT(Risk_Inputs!B677:AJ677,Risk_Coefs!$B$3:$AJ$3)</f>
        <v>7.44084953880073</v>
      </c>
      <c r="G677" s="0" t="n">
        <f aca="false">MAX(0,F677)</f>
        <v>7.44084953880073</v>
      </c>
      <c r="H677" s="0" t="n">
        <f aca="false">(SUMPRODUCT(--ISNUMBER($E$2:$E$800),--($E$2:$E$800&lt;E677))+(SUMPRODUCT(--ISNUMBER($E$2:$E$800),--($E$2:$E$800=E677))+1)/2)/COUNT($E$2:$E$800)</f>
        <v>0.118898623279099</v>
      </c>
      <c r="I677" s="0" t="n">
        <f aca="false">(SUMPRODUCT(--ISNUMBER($G$2:$G$800),--($G$2:$G$800&lt;G677))+(SUMPRODUCT(--ISNUMBER($G$2:$G$800),--($G$2:$G$800=G677))+1)/2)/COUNT($G$2:$G$800)</f>
        <v>0.471839799749687</v>
      </c>
      <c r="J677" s="0" t="n">
        <v>36.9857798137427</v>
      </c>
      <c r="K677" s="0" t="n">
        <v>14.2002037697402</v>
      </c>
      <c r="L677" s="0" t="n">
        <v>0.267447784004078</v>
      </c>
      <c r="M677" s="0" t="n">
        <f aca="false">IF(OR(B677="NW",COUNT(Risk_Rank_Keys!B677)=0),0.5,(SUMPRODUCT(--ISNUMBER(Risk_Rank_Keys!$B$2:$B$800),--(Risk_Rank_Keys!$B$2:$B$800&lt;Risk_Rank_Keys!B677))+(SUMPRODUCT(--ISNUMBER(Risk_Rank_Keys!$B$2:$B$800),--(Risk_Rank_Keys!$B$2:$B$800=Risk_Rank_Keys!B677))+1)/2)/COUNT(Risk_Rank_Keys!$B$2:$B$800))</f>
        <v>0.938633193863319</v>
      </c>
      <c r="N677" s="0" t="n">
        <f aca="false">IF(OR(B677="NW",COUNT(Risk_Rank_Keys!C677)=0),0.5,(SUMPRODUCT(--ISNUMBER(Risk_Rank_Keys!$C$2:$C$800),--(Risk_Rank_Keys!$C$2:$C$800&lt;Risk_Rank_Keys!C677))+(SUMPRODUCT(--ISNUMBER(Risk_Rank_Keys!$C$2:$C$800),--(Risk_Rank_Keys!$C$2:$C$800=Risk_Rank_Keys!C677))+1)/2)/COUNT(Risk_Rank_Keys!$C$2:$C$800))</f>
        <v>0.920502092050209</v>
      </c>
      <c r="O677" s="0" t="n">
        <f aca="false">IF(OR(B677="NW",COUNT(Risk_Rank_Keys!D677)=0),0.5,(SUMPRODUCT(--ISNUMBER(Risk_Rank_Keys!$D$2:$D$800),--(Risk_Rank_Keys!$D$2:$D$800&lt;Risk_Rank_Keys!D677))+(SUMPRODUCT(--ISNUMBER(Risk_Rank_Keys!$D$2:$D$800),--(Risk_Rank_Keys!$D$2:$D$800=Risk_Rank_Keys!D677))+1)/2)/COUNT(Risk_Rank_Keys!$D$2:$D$800))</f>
        <v>0.656903765690377</v>
      </c>
      <c r="P677" s="0" t="n">
        <f aca="false">AVERAGE(M677:O677)</f>
        <v>0.838679683867968</v>
      </c>
      <c r="Q677" s="0" t="n">
        <f aca="false">0.4*H677+0.4*I677+0.2*P677</f>
        <v>0.404031305985108</v>
      </c>
      <c r="R677" s="0" t="n">
        <f aca="false">PERCENTILE($Q$2:$Q$800,0.75)</f>
        <v>0.667715717403612</v>
      </c>
      <c r="S677" s="1" t="b">
        <f aca="false">OR(Q677&gt;=R677,AND(B677="CW",COUNT(J677:L677)&lt;3))</f>
        <v>0</v>
      </c>
      <c r="T677" s="0" t="n">
        <v>0.208227552708624</v>
      </c>
      <c r="U677" s="0" t="n">
        <v>7.44084953880073</v>
      </c>
      <c r="V677" s="0" t="n">
        <v>0.404031305985108</v>
      </c>
      <c r="W677" s="0" t="n">
        <f aca="false">Q677-V677</f>
        <v>0</v>
      </c>
    </row>
    <row r="678" customFormat="false" ht="15" hidden="false" customHeight="false" outlineLevel="0" collapsed="false">
      <c r="A678" s="0" t="s">
        <v>712</v>
      </c>
      <c r="B678" s="0" t="s">
        <v>3013</v>
      </c>
      <c r="C678" s="0" t="n">
        <v>47.6131228466453</v>
      </c>
      <c r="D678" s="0" t="n">
        <f aca="false">SUMPRODUCT(Risk_Inputs!B678:AJ678,Risk_Coefs!$B$2:$AJ$2)</f>
        <v>-1.5875121427016</v>
      </c>
      <c r="E678" s="0" t="n">
        <f aca="false">1/(1+EXP(-MAX(-25,MIN(25,D678))))</f>
        <v>0.16973420898195</v>
      </c>
      <c r="F678" s="0" t="n">
        <f aca="false">SUMPRODUCT(Risk_Inputs!B678:AJ678,Risk_Coefs!$B$3:$AJ$3)</f>
        <v>5.2951911969626</v>
      </c>
      <c r="G678" s="0" t="n">
        <f aca="false">MAX(0,F678)</f>
        <v>5.2951911969626</v>
      </c>
      <c r="H678" s="0" t="n">
        <f aca="false">(SUMPRODUCT(--ISNUMBER($E$2:$E$800),--($E$2:$E$800&lt;E678))+(SUMPRODUCT(--ISNUMBER($E$2:$E$800),--($E$2:$E$800=E678))+1)/2)/COUNT($E$2:$E$800)</f>
        <v>0.0400500625782228</v>
      </c>
      <c r="I678" s="0" t="n">
        <f aca="false">(SUMPRODUCT(--ISNUMBER($G$2:$G$800),--($G$2:$G$800&lt;G678))+(SUMPRODUCT(--ISNUMBER($G$2:$G$800),--($G$2:$G$800=G678))+1)/2)/COUNT($G$2:$G$800)</f>
        <v>0.168961201501877</v>
      </c>
      <c r="J678" s="0" t="n">
        <v>35.2651513630113</v>
      </c>
      <c r="K678" s="0" t="n">
        <v>17.8631051752922</v>
      </c>
      <c r="L678" s="0" t="n">
        <v>0.333889816360598</v>
      </c>
      <c r="M678" s="0" t="n">
        <f aca="false">IF(OR(B678="NW",COUNT(Risk_Rank_Keys!B678)=0),0.5,(SUMPRODUCT(--ISNUMBER(Risk_Rank_Keys!$B$2:$B$800),--(Risk_Rank_Keys!$B$2:$B$800&lt;Risk_Rank_Keys!B678))+(SUMPRODUCT(--ISNUMBER(Risk_Rank_Keys!$B$2:$B$800),--(Risk_Rank_Keys!$B$2:$B$800=Risk_Rank_Keys!B678))+1)/2)/COUNT(Risk_Rank_Keys!$B$2:$B$800))</f>
        <v>0.927475592747559</v>
      </c>
      <c r="N678" s="0" t="n">
        <f aca="false">IF(OR(B678="NW",COUNT(Risk_Rank_Keys!C678)=0),0.5,(SUMPRODUCT(--ISNUMBER(Risk_Rank_Keys!$C$2:$C$800),--(Risk_Rank_Keys!$C$2:$C$800&lt;Risk_Rank_Keys!C678))+(SUMPRODUCT(--ISNUMBER(Risk_Rank_Keys!$C$2:$C$800),--(Risk_Rank_Keys!$C$2:$C$800=Risk_Rank_Keys!C678))+1)/2)/COUNT(Risk_Rank_Keys!$C$2:$C$800))</f>
        <v>0.95258019525802</v>
      </c>
      <c r="O678" s="0" t="n">
        <f aca="false">IF(OR(B678="NW",COUNT(Risk_Rank_Keys!D678)=0),0.5,(SUMPRODUCT(--ISNUMBER(Risk_Rank_Keys!$D$2:$D$800),--(Risk_Rank_Keys!$D$2:$D$800&lt;Risk_Rank_Keys!D678))+(SUMPRODUCT(--ISNUMBER(Risk_Rank_Keys!$D$2:$D$800),--(Risk_Rank_Keys!$D$2:$D$800=Risk_Rank_Keys!D678))+1)/2)/COUNT(Risk_Rank_Keys!$D$2:$D$800))</f>
        <v>0.803347280334728</v>
      </c>
      <c r="P678" s="0" t="n">
        <f aca="false">AVERAGE(M678:O678)</f>
        <v>0.894467689446769</v>
      </c>
      <c r="Q678" s="0" t="n">
        <f aca="false">0.4*H678+0.4*I678+0.2*P678</f>
        <v>0.262498043521394</v>
      </c>
      <c r="R678" s="0" t="n">
        <f aca="false">PERCENTILE($Q$2:$Q$800,0.75)</f>
        <v>0.667715717403612</v>
      </c>
      <c r="S678" s="1" t="b">
        <f aca="false">OR(Q678&gt;=R678,AND(B678="CW",COUNT(J678:L678)&lt;3))</f>
        <v>0</v>
      </c>
      <c r="T678" s="0" t="n">
        <v>0.16973420898195</v>
      </c>
      <c r="U678" s="0" t="n">
        <v>5.2951911969626</v>
      </c>
      <c r="V678" s="0" t="n">
        <v>0.262498043521394</v>
      </c>
      <c r="W678" s="0" t="n">
        <f aca="false">Q678-V678</f>
        <v>0</v>
      </c>
    </row>
    <row r="679" customFormat="false" ht="15" hidden="false" customHeight="false" outlineLevel="0" collapsed="false">
      <c r="A679" s="0" t="s">
        <v>713</v>
      </c>
      <c r="B679" s="0" t="s">
        <v>3013</v>
      </c>
      <c r="C679" s="0" t="n">
        <v>52.8421067723564</v>
      </c>
      <c r="D679" s="0" t="n">
        <f aca="false">SUMPRODUCT(Risk_Inputs!B679:AJ679,Risk_Coefs!$B$2:$AJ$2)</f>
        <v>-1.07987360054836</v>
      </c>
      <c r="E679" s="0" t="n">
        <f aca="false">1/(1+EXP(-MAX(-25,MIN(25,D679))))</f>
        <v>0.253529937330347</v>
      </c>
      <c r="F679" s="0" t="n">
        <f aca="false">SUMPRODUCT(Risk_Inputs!B679:AJ679,Risk_Coefs!$B$3:$AJ$3)</f>
        <v>6.97319535340457</v>
      </c>
      <c r="G679" s="0" t="n">
        <f aca="false">MAX(0,F679)</f>
        <v>6.97319535340457</v>
      </c>
      <c r="H679" s="0" t="n">
        <f aca="false">(SUMPRODUCT(--ISNUMBER($E$2:$E$800),--($E$2:$E$800&lt;E679))+(SUMPRODUCT(--ISNUMBER($E$2:$E$800),--($E$2:$E$800=E679))+1)/2)/COUNT($E$2:$E$800)</f>
        <v>0.291614518147685</v>
      </c>
      <c r="I679" s="0" t="n">
        <f aca="false">(SUMPRODUCT(--ISNUMBER($G$2:$G$800),--($G$2:$G$800&lt;G679))+(SUMPRODUCT(--ISNUMBER($G$2:$G$800),--($G$2:$G$800=G679))+1)/2)/COUNT($G$2:$G$800)</f>
        <v>0.413016270337922</v>
      </c>
      <c r="J679" s="0" t="n">
        <v>60.7874937505332</v>
      </c>
      <c r="K679" s="0" t="n">
        <v>6.00641907381935</v>
      </c>
      <c r="L679" s="0" t="n">
        <v>0.275103163686386</v>
      </c>
      <c r="M679" s="0" t="n">
        <f aca="false">IF(OR(B679="NW",COUNT(Risk_Rank_Keys!B679)=0),0.5,(SUMPRODUCT(--ISNUMBER(Risk_Rank_Keys!$B$2:$B$800),--(Risk_Rank_Keys!$B$2:$B$800&lt;Risk_Rank_Keys!B679))+(SUMPRODUCT(--ISNUMBER(Risk_Rank_Keys!$B$2:$B$800),--(Risk_Rank_Keys!$B$2:$B$800=Risk_Rank_Keys!B679))+1)/2)/COUNT(Risk_Rank_Keys!$B$2:$B$800))</f>
        <v>0.99302649930265</v>
      </c>
      <c r="N679" s="0" t="n">
        <f aca="false">IF(OR(B679="NW",COUNT(Risk_Rank_Keys!C679)=0),0.5,(SUMPRODUCT(--ISNUMBER(Risk_Rank_Keys!$C$2:$C$800),--(Risk_Rank_Keys!$C$2:$C$800&lt;Risk_Rank_Keys!C679))+(SUMPRODUCT(--ISNUMBER(Risk_Rank_Keys!$C$2:$C$800),--(Risk_Rank_Keys!$C$2:$C$800=Risk_Rank_Keys!C679))+1)/2)/COUNT(Risk_Rank_Keys!$C$2:$C$800))</f>
        <v>0.743375174337517</v>
      </c>
      <c r="O679" s="0" t="n">
        <f aca="false">IF(OR(B679="NW",COUNT(Risk_Rank_Keys!D679)=0),0.5,(SUMPRODUCT(--ISNUMBER(Risk_Rank_Keys!$D$2:$D$800),--(Risk_Rank_Keys!$D$2:$D$800&lt;Risk_Rank_Keys!D679))+(SUMPRODUCT(--ISNUMBER(Risk_Rank_Keys!$D$2:$D$800),--(Risk_Rank_Keys!$D$2:$D$800=Risk_Rank_Keys!D679))+1)/2)/COUNT(Risk_Rank_Keys!$D$2:$D$800))</f>
        <v>0.680613668061367</v>
      </c>
      <c r="P679" s="0" t="n">
        <f aca="false">AVERAGE(M679:O679)</f>
        <v>0.805671780567178</v>
      </c>
      <c r="Q679" s="0" t="n">
        <f aca="false">0.4*H679+0.4*I679+0.2*P679</f>
        <v>0.442986671507678</v>
      </c>
      <c r="R679" s="0" t="n">
        <f aca="false">PERCENTILE($Q$2:$Q$800,0.75)</f>
        <v>0.667715717403612</v>
      </c>
      <c r="S679" s="1" t="b">
        <f aca="false">OR(Q679&gt;=R679,AND(B679="CW",COUNT(J679:L679)&lt;3))</f>
        <v>0</v>
      </c>
      <c r="T679" s="0" t="n">
        <v>0.253529937330347</v>
      </c>
      <c r="U679" s="0" t="n">
        <v>6.97319535340457</v>
      </c>
      <c r="V679" s="0" t="n">
        <v>0.442986671507679</v>
      </c>
      <c r="W679" s="0" t="n">
        <f aca="false">Q679-V679</f>
        <v>0</v>
      </c>
    </row>
    <row r="680" customFormat="false" ht="15" hidden="false" customHeight="false" outlineLevel="0" collapsed="false">
      <c r="A680" s="0" t="s">
        <v>714</v>
      </c>
      <c r="B680" s="0" t="s">
        <v>3013</v>
      </c>
      <c r="C680" s="0" t="n">
        <v>72.4755691545219</v>
      </c>
      <c r="D680" s="0" t="n">
        <f aca="false">SUMPRODUCT(Risk_Inputs!B680:AJ680,Risk_Coefs!$B$2:$AJ$2)</f>
        <v>-1.21746612066846</v>
      </c>
      <c r="E680" s="0" t="n">
        <f aca="false">1/(1+EXP(-MAX(-25,MIN(25,D680))))</f>
        <v>0.228382673645763</v>
      </c>
      <c r="F680" s="0" t="n">
        <f aca="false">SUMPRODUCT(Risk_Inputs!B680:AJ680,Risk_Coefs!$B$3:$AJ$3)</f>
        <v>8.5182177587764</v>
      </c>
      <c r="G680" s="0" t="n">
        <f aca="false">MAX(0,F680)</f>
        <v>8.5182177587764</v>
      </c>
      <c r="H680" s="0" t="n">
        <f aca="false">(SUMPRODUCT(--ISNUMBER($E$2:$E$800),--($E$2:$E$800&lt;E680))+(SUMPRODUCT(--ISNUMBER($E$2:$E$800),--($E$2:$E$800=E680))+1)/2)/COUNT($E$2:$E$800)</f>
        <v>0.166458072590738</v>
      </c>
      <c r="I680" s="0" t="n">
        <f aca="false">(SUMPRODUCT(--ISNUMBER($G$2:$G$800),--($G$2:$G$800&lt;G680))+(SUMPRODUCT(--ISNUMBER($G$2:$G$800),--($G$2:$G$800=G680))+1)/2)/COUNT($G$2:$G$800)</f>
        <v>0.607008760951189</v>
      </c>
      <c r="J680" s="0" t="n">
        <v>32.7301159494663</v>
      </c>
      <c r="K680" s="0" t="n">
        <v>10.8970769403069</v>
      </c>
      <c r="L680" s="0" t="n">
        <v>0.201590323664465</v>
      </c>
      <c r="M680" s="0" t="n">
        <f aca="false">IF(OR(B680="NW",COUNT(Risk_Rank_Keys!B680)=0),0.5,(SUMPRODUCT(--ISNUMBER(Risk_Rank_Keys!$B$2:$B$800),--(Risk_Rank_Keys!$B$2:$B$800&lt;Risk_Rank_Keys!B680))+(SUMPRODUCT(--ISNUMBER(Risk_Rank_Keys!$B$2:$B$800),--(Risk_Rank_Keys!$B$2:$B$800=Risk_Rank_Keys!B680))+1)/2)/COUNT(Risk_Rank_Keys!$B$2:$B$800))</f>
        <v>0.917712691771269</v>
      </c>
      <c r="N680" s="0" t="n">
        <f aca="false">IF(OR(B680="NW",COUNT(Risk_Rank_Keys!C680)=0),0.5,(SUMPRODUCT(--ISNUMBER(Risk_Rank_Keys!$C$2:$C$800),--(Risk_Rank_Keys!$C$2:$C$800&lt;Risk_Rank_Keys!C680))+(SUMPRODUCT(--ISNUMBER(Risk_Rank_Keys!$C$2:$C$800),--(Risk_Rank_Keys!$C$2:$C$800=Risk_Rank_Keys!C680))+1)/2)/COUNT(Risk_Rank_Keys!$C$2:$C$800))</f>
        <v>0.892608089260809</v>
      </c>
      <c r="O680" s="0" t="n">
        <f aca="false">IF(OR(B680="NW",COUNT(Risk_Rank_Keys!D680)=0),0.5,(SUMPRODUCT(--ISNUMBER(Risk_Rank_Keys!$D$2:$D$800),--(Risk_Rank_Keys!$D$2:$D$800&lt;Risk_Rank_Keys!D680))+(SUMPRODUCT(--ISNUMBER(Risk_Rank_Keys!$D$2:$D$800),--(Risk_Rank_Keys!$D$2:$D$800=Risk_Rank_Keys!D680))+1)/2)/COUNT(Risk_Rank_Keys!$D$2:$D$800))</f>
        <v>0.317991631799163</v>
      </c>
      <c r="P680" s="0" t="n">
        <f aca="false">AVERAGE(M680:O680)</f>
        <v>0.709437470943747</v>
      </c>
      <c r="Q680" s="0" t="n">
        <f aca="false">0.4*H680+0.4*I680+0.2*P680</f>
        <v>0.45127422760552</v>
      </c>
      <c r="R680" s="0" t="n">
        <f aca="false">PERCENTILE($Q$2:$Q$800,0.75)</f>
        <v>0.667715717403612</v>
      </c>
      <c r="S680" s="1" t="b">
        <f aca="false">OR(Q680&gt;=R680,AND(B680="CW",COUNT(J680:L680)&lt;3))</f>
        <v>0</v>
      </c>
      <c r="T680" s="0" t="n">
        <v>0.228382673645763</v>
      </c>
      <c r="U680" s="0" t="n">
        <v>8.51821775877639</v>
      </c>
      <c r="V680" s="0" t="n">
        <v>0.45127422760552</v>
      </c>
      <c r="W680" s="0" t="n">
        <f aca="false">Q680-V680</f>
        <v>0</v>
      </c>
    </row>
    <row r="681" customFormat="false" ht="15" hidden="false" customHeight="false" outlineLevel="0" collapsed="false">
      <c r="A681" s="0" t="s">
        <v>715</v>
      </c>
      <c r="B681" s="0" t="s">
        <v>3013</v>
      </c>
      <c r="C681" s="0" t="n">
        <v>54.5991345258673</v>
      </c>
      <c r="D681" s="0" t="n">
        <f aca="false">SUMPRODUCT(Risk_Inputs!B681:AJ681,Risk_Coefs!$B$2:$AJ$2)</f>
        <v>-1.20071099240311</v>
      </c>
      <c r="E681" s="0" t="n">
        <f aca="false">1/(1+EXP(-MAX(-25,MIN(25,D681))))</f>
        <v>0.231348759053593</v>
      </c>
      <c r="F681" s="0" t="n">
        <f aca="false">SUMPRODUCT(Risk_Inputs!B681:AJ681,Risk_Coefs!$B$3:$AJ$3)</f>
        <v>4.58662113972872</v>
      </c>
      <c r="G681" s="0" t="n">
        <f aca="false">MAX(0,F681)</f>
        <v>4.58662113972872</v>
      </c>
      <c r="H681" s="0" t="n">
        <f aca="false">(SUMPRODUCT(--ISNUMBER($E$2:$E$800),--($E$2:$E$800&lt;E681))+(SUMPRODUCT(--ISNUMBER($E$2:$E$800),--($E$2:$E$800=E681))+1)/2)/COUNT($E$2:$E$800)</f>
        <v>0.178973717146433</v>
      </c>
      <c r="I681" s="0" t="n">
        <f aca="false">(SUMPRODUCT(--ISNUMBER($G$2:$G$800),--($G$2:$G$800&lt;G681))+(SUMPRODUCT(--ISNUMBER($G$2:$G$800),--($G$2:$G$800=G681))+1)/2)/COUNT($G$2:$G$800)</f>
        <v>0.0913642052565707</v>
      </c>
      <c r="J681" s="0" t="n">
        <v>6.4018014466039</v>
      </c>
      <c r="K681" s="0" t="n">
        <v>10.1815147089506</v>
      </c>
      <c r="L681" s="0" t="n">
        <v>0.25036511579387</v>
      </c>
      <c r="M681" s="0" t="n">
        <f aca="false">IF(OR(B681="NW",COUNT(Risk_Rank_Keys!B681)=0),0.5,(SUMPRODUCT(--ISNUMBER(Risk_Rank_Keys!$B$2:$B$800),--(Risk_Rank_Keys!$B$2:$B$800&lt;Risk_Rank_Keys!B681))+(SUMPRODUCT(--ISNUMBER(Risk_Rank_Keys!$B$2:$B$800),--(Risk_Rank_Keys!$B$2:$B$800=Risk_Rank_Keys!B681))+1)/2)/COUNT(Risk_Rank_Keys!$B$2:$B$800))</f>
        <v>0.264993026499303</v>
      </c>
      <c r="N681" s="0" t="n">
        <f aca="false">IF(OR(B681="NW",COUNT(Risk_Rank_Keys!C681)=0),0.5,(SUMPRODUCT(--ISNUMBER(Risk_Rank_Keys!$C$2:$C$800),--(Risk_Rank_Keys!$C$2:$C$800&lt;Risk_Rank_Keys!C681))+(SUMPRODUCT(--ISNUMBER(Risk_Rank_Keys!$C$2:$C$800),--(Risk_Rank_Keys!$C$2:$C$800=Risk_Rank_Keys!C681))+1)/2)/COUNT(Risk_Rank_Keys!$C$2:$C$800))</f>
        <v>0.887029288702929</v>
      </c>
      <c r="O681" s="0" t="n">
        <f aca="false">IF(OR(B681="NW",COUNT(Risk_Rank_Keys!D681)=0),0.5,(SUMPRODUCT(--ISNUMBER(Risk_Rank_Keys!$D$2:$D$800),--(Risk_Rank_Keys!$D$2:$D$800&lt;Risk_Rank_Keys!D681))+(SUMPRODUCT(--ISNUMBER(Risk_Rank_Keys!$D$2:$D$800),--(Risk_Rank_Keys!$D$2:$D$800=Risk_Rank_Keys!D681))+1)/2)/COUNT(Risk_Rank_Keys!$D$2:$D$800))</f>
        <v>0.589958158995816</v>
      </c>
      <c r="P681" s="0" t="n">
        <f aca="false">AVERAGE(M681:O681)</f>
        <v>0.580660158066016</v>
      </c>
      <c r="Q681" s="0" t="n">
        <f aca="false">0.4*H681+0.4*I681+0.2*P681</f>
        <v>0.224267200574405</v>
      </c>
      <c r="R681" s="0" t="n">
        <f aca="false">PERCENTILE($Q$2:$Q$800,0.75)</f>
        <v>0.667715717403612</v>
      </c>
      <c r="S681" s="1" t="b">
        <f aca="false">OR(Q681&gt;=R681,AND(B681="CW",COUNT(J681:L681)&lt;3))</f>
        <v>0</v>
      </c>
      <c r="T681" s="0" t="n">
        <v>0.231348759053593</v>
      </c>
      <c r="U681" s="0" t="n">
        <v>4.58662113972872</v>
      </c>
      <c r="V681" s="0" t="n">
        <v>0.224267200574405</v>
      </c>
      <c r="W681" s="0" t="n">
        <f aca="false">Q681-V681</f>
        <v>0</v>
      </c>
    </row>
    <row r="682" customFormat="false" ht="15" hidden="false" customHeight="false" outlineLevel="0" collapsed="false">
      <c r="A682" s="0" t="s">
        <v>716</v>
      </c>
      <c r="B682" s="0" t="s">
        <v>3013</v>
      </c>
      <c r="C682" s="0" t="n">
        <v>-37.3074762187602</v>
      </c>
      <c r="D682" s="0" t="n">
        <f aca="false">SUMPRODUCT(Risk_Inputs!B682:AJ682,Risk_Coefs!$B$2:$AJ$2)</f>
        <v>-0.586969198142873</v>
      </c>
      <c r="E682" s="0" t="n">
        <f aca="false">1/(1+EXP(-MAX(-25,MIN(25,D682))))</f>
        <v>0.357330562747571</v>
      </c>
      <c r="F682" s="0" t="n">
        <f aca="false">SUMPRODUCT(Risk_Inputs!B682:AJ682,Risk_Coefs!$B$3:$AJ$3)</f>
        <v>10.7237354661435</v>
      </c>
      <c r="G682" s="0" t="n">
        <f aca="false">MAX(0,F682)</f>
        <v>10.7237354661435</v>
      </c>
      <c r="H682" s="0" t="n">
        <f aca="false">(SUMPRODUCT(--ISNUMBER($E$2:$E$800),--($E$2:$E$800&lt;E682))+(SUMPRODUCT(--ISNUMBER($E$2:$E$800),--($E$2:$E$800=E682))+1)/2)/COUNT($E$2:$E$800)</f>
        <v>0.83729662077597</v>
      </c>
      <c r="I682" s="0" t="n">
        <f aca="false">(SUMPRODUCT(--ISNUMBER($G$2:$G$800),--($G$2:$G$800&lt;G682))+(SUMPRODUCT(--ISNUMBER($G$2:$G$800),--($G$2:$G$800=G682))+1)/2)/COUNT($G$2:$G$800)</f>
        <v>0.858573216520651</v>
      </c>
      <c r="J682" s="0" t="n">
        <v>10.3638899403463</v>
      </c>
      <c r="K682" s="0" t="n">
        <v>9.6504005826657</v>
      </c>
      <c r="L682" s="0" t="n">
        <v>0.182083029861627</v>
      </c>
      <c r="M682" s="0" t="n">
        <f aca="false">IF(OR(B682="NW",COUNT(Risk_Rank_Keys!B682)=0),0.5,(SUMPRODUCT(--ISNUMBER(Risk_Rank_Keys!$B$2:$B$800),--(Risk_Rank_Keys!$B$2:$B$800&lt;Risk_Rank_Keys!B682))+(SUMPRODUCT(--ISNUMBER(Risk_Rank_Keys!$B$2:$B$800),--(Risk_Rank_Keys!$B$2:$B$800=Risk_Rank_Keys!B682))+1)/2)/COUNT(Risk_Rank_Keys!$B$2:$B$800))</f>
        <v>0.523012552301255</v>
      </c>
      <c r="N682" s="0" t="n">
        <f aca="false">IF(OR(B682="NW",COUNT(Risk_Rank_Keys!C682)=0),0.5,(SUMPRODUCT(--ISNUMBER(Risk_Rank_Keys!$C$2:$C$800),--(Risk_Rank_Keys!$C$2:$C$800&lt;Risk_Rank_Keys!C682))+(SUMPRODUCT(--ISNUMBER(Risk_Rank_Keys!$C$2:$C$800),--(Risk_Rank_Keys!$C$2:$C$800=Risk_Rank_Keys!C682))+1)/2)/COUNT(Risk_Rank_Keys!$C$2:$C$800))</f>
        <v>0.871687587168759</v>
      </c>
      <c r="O682" s="0" t="n">
        <f aca="false">IF(OR(B682="NW",COUNT(Risk_Rank_Keys!D682)=0),0.5,(SUMPRODUCT(--ISNUMBER(Risk_Rank_Keys!$D$2:$D$800),--(Risk_Rank_Keys!$D$2:$D$800&lt;Risk_Rank_Keys!D682))+(SUMPRODUCT(--ISNUMBER(Risk_Rank_Keys!$D$2:$D$800),--(Risk_Rank_Keys!$D$2:$D$800=Risk_Rank_Keys!D682))+1)/2)/COUNT(Risk_Rank_Keys!$D$2:$D$800))</f>
        <v>0.218967921896792</v>
      </c>
      <c r="P682" s="0" t="n">
        <f aca="false">AVERAGE(M682:O682)</f>
        <v>0.537889353788935</v>
      </c>
      <c r="Q682" s="0" t="n">
        <f aca="false">0.4*H682+0.4*I682+0.2*P682</f>
        <v>0.785925805676435</v>
      </c>
      <c r="R682" s="0" t="n">
        <f aca="false">PERCENTILE($Q$2:$Q$800,0.75)</f>
        <v>0.667715717403612</v>
      </c>
      <c r="S682" s="1" t="b">
        <f aca="false">OR(Q682&gt;=R682,AND(B682="CW",COUNT(J682:L682)&lt;3))</f>
        <v>1</v>
      </c>
      <c r="T682" s="0" t="n">
        <v>0.357330562747571</v>
      </c>
      <c r="U682" s="0" t="n">
        <v>10.7237354661435</v>
      </c>
      <c r="V682" s="0" t="n">
        <v>0.785925805676435</v>
      </c>
      <c r="W682" s="0" t="n">
        <f aca="false">Q682-V682</f>
        <v>0</v>
      </c>
    </row>
    <row r="683" customFormat="false" ht="15" hidden="false" customHeight="false" outlineLevel="0" collapsed="false">
      <c r="A683" s="0" t="s">
        <v>717</v>
      </c>
      <c r="B683" s="0" t="s">
        <v>3013</v>
      </c>
      <c r="C683" s="0" t="n">
        <v>39.8506179981781</v>
      </c>
      <c r="D683" s="0" t="n">
        <f aca="false">SUMPRODUCT(Risk_Inputs!B683:AJ683,Risk_Coefs!$B$2:$AJ$2)</f>
        <v>-0.836079776345043</v>
      </c>
      <c r="E683" s="0" t="n">
        <f aca="false">1/(1+EXP(-MAX(-25,MIN(25,D683))))</f>
        <v>0.302361070224927</v>
      </c>
      <c r="F683" s="0" t="n">
        <f aca="false">SUMPRODUCT(Risk_Inputs!B683:AJ683,Risk_Coefs!$B$3:$AJ$3)</f>
        <v>7.42121826723363</v>
      </c>
      <c r="G683" s="0" t="n">
        <f aca="false">MAX(0,F683)</f>
        <v>7.42121826723363</v>
      </c>
      <c r="H683" s="0" t="n">
        <f aca="false">(SUMPRODUCT(--ISNUMBER($E$2:$E$800),--($E$2:$E$800&lt;E683))+(SUMPRODUCT(--ISNUMBER($E$2:$E$800),--($E$2:$E$800=E683))+1)/2)/COUNT($E$2:$E$800)</f>
        <v>0.579474342928661</v>
      </c>
      <c r="I683" s="0" t="n">
        <f aca="false">(SUMPRODUCT(--ISNUMBER($G$2:$G$800),--($G$2:$G$800&lt;G683))+(SUMPRODUCT(--ISNUMBER($G$2:$G$800),--($G$2:$G$800=G683))+1)/2)/COUNT($G$2:$G$800)</f>
        <v>0.46558197747184</v>
      </c>
      <c r="J683" s="0" t="n">
        <v>5.94946733364258</v>
      </c>
      <c r="K683" s="0" t="n">
        <v>2.72215269086358</v>
      </c>
      <c r="L683" s="0" t="n">
        <v>0.219023779724661</v>
      </c>
      <c r="M683" s="0" t="n">
        <f aca="false">IF(OR(B683="NW",COUNT(Risk_Rank_Keys!B683)=0),0.5,(SUMPRODUCT(--ISNUMBER(Risk_Rank_Keys!$B$2:$B$800),--(Risk_Rank_Keys!$B$2:$B$800&lt;Risk_Rank_Keys!B683))+(SUMPRODUCT(--ISNUMBER(Risk_Rank_Keys!$B$2:$B$800),--(Risk_Rank_Keys!$B$2:$B$800=Risk_Rank_Keys!B683))+1)/2)/COUNT(Risk_Rank_Keys!$B$2:$B$800))</f>
        <v>0.223152022315202</v>
      </c>
      <c r="N683" s="0" t="n">
        <f aca="false">IF(OR(B683="NW",COUNT(Risk_Rank_Keys!C683)=0),0.5,(SUMPRODUCT(--ISNUMBER(Risk_Rank_Keys!$C$2:$C$800),--(Risk_Rank_Keys!$C$2:$C$800&lt;Risk_Rank_Keys!C683))+(SUMPRODUCT(--ISNUMBER(Risk_Rank_Keys!$C$2:$C$800),--(Risk_Rank_Keys!$C$2:$C$800=Risk_Rank_Keys!C683))+1)/2)/COUNT(Risk_Rank_Keys!$C$2:$C$800))</f>
        <v>0.428172942817294</v>
      </c>
      <c r="O683" s="0" t="n">
        <f aca="false">IF(OR(B683="NW",COUNT(Risk_Rank_Keys!D683)=0),0.5,(SUMPRODUCT(--ISNUMBER(Risk_Rank_Keys!$D$2:$D$800),--(Risk_Rank_Keys!$D$2:$D$800&lt;Risk_Rank_Keys!D683))+(SUMPRODUCT(--ISNUMBER(Risk_Rank_Keys!$D$2:$D$800),--(Risk_Rank_Keys!$D$2:$D$800=Risk_Rank_Keys!D683))+1)/2)/COUNT(Risk_Rank_Keys!$D$2:$D$800))</f>
        <v>0.433751743375174</v>
      </c>
      <c r="P683" s="0" t="n">
        <f aca="false">AVERAGE(M683:O683)</f>
        <v>0.361692236169224</v>
      </c>
      <c r="Q683" s="0" t="n">
        <f aca="false">0.4*H683+0.4*I683+0.2*P683</f>
        <v>0.490360975394045</v>
      </c>
      <c r="R683" s="0" t="n">
        <f aca="false">PERCENTILE($Q$2:$Q$800,0.75)</f>
        <v>0.667715717403612</v>
      </c>
      <c r="S683" s="1" t="b">
        <f aca="false">OR(Q683&gt;=R683,AND(B683="CW",COUNT(J683:L683)&lt;3))</f>
        <v>0</v>
      </c>
      <c r="T683" s="0" t="n">
        <v>0.302361070224927</v>
      </c>
      <c r="U683" s="0" t="n">
        <v>7.42121826723363</v>
      </c>
      <c r="V683" s="0" t="n">
        <v>0.490360975394045</v>
      </c>
      <c r="W683" s="0" t="n">
        <f aca="false">Q683-V683</f>
        <v>0</v>
      </c>
    </row>
    <row r="684" customFormat="false" ht="15" hidden="false" customHeight="false" outlineLevel="0" collapsed="false">
      <c r="A684" s="0" t="s">
        <v>718</v>
      </c>
      <c r="B684" s="0" t="s">
        <v>3013</v>
      </c>
      <c r="C684" s="0" t="n">
        <v>47.6465478507115</v>
      </c>
      <c r="D684" s="0" t="n">
        <f aca="false">SUMPRODUCT(Risk_Inputs!B684:AJ684,Risk_Coefs!$B$2:$AJ$2)</f>
        <v>-1.06262734003482</v>
      </c>
      <c r="E684" s="0" t="n">
        <f aca="false">1/(1+EXP(-MAX(-25,MIN(25,D684))))</f>
        <v>0.25680768683434</v>
      </c>
      <c r="F684" s="0" t="n">
        <f aca="false">SUMPRODUCT(Risk_Inputs!B684:AJ684,Risk_Coefs!$B$3:$AJ$3)</f>
        <v>6.04892133944276</v>
      </c>
      <c r="G684" s="0" t="n">
        <f aca="false">MAX(0,F684)</f>
        <v>6.04892133944276</v>
      </c>
      <c r="H684" s="0" t="n">
        <f aca="false">(SUMPRODUCT(--ISNUMBER($E$2:$E$800),--($E$2:$E$800&lt;E684))+(SUMPRODUCT(--ISNUMBER($E$2:$E$800),--($E$2:$E$800=E684))+1)/2)/COUNT($E$2:$E$800)</f>
        <v>0.307884856070088</v>
      </c>
      <c r="I684" s="0" t="n">
        <f aca="false">(SUMPRODUCT(--ISNUMBER($G$2:$G$800),--($G$2:$G$800&lt;G684))+(SUMPRODUCT(--ISNUMBER($G$2:$G$800),--($G$2:$G$800=G684))+1)/2)/COUNT($G$2:$G$800)</f>
        <v>0.271589486858573</v>
      </c>
      <c r="J684" s="0" t="n">
        <v>9.72869088427517</v>
      </c>
      <c r="K684" s="0" t="n">
        <v>5.27673080737949</v>
      </c>
      <c r="L684" s="0" t="n">
        <v>0.178536004760956</v>
      </c>
      <c r="M684" s="0" t="n">
        <f aca="false">IF(OR(B684="NW",COUNT(Risk_Rank_Keys!B684)=0),0.5,(SUMPRODUCT(--ISNUMBER(Risk_Rank_Keys!$B$2:$B$800),--(Risk_Rank_Keys!$B$2:$B$800&lt;Risk_Rank_Keys!B684))+(SUMPRODUCT(--ISNUMBER(Risk_Rank_Keys!$B$2:$B$800),--(Risk_Rank_Keys!$B$2:$B$800=Risk_Rank_Keys!B684))+1)/2)/COUNT(Risk_Rank_Keys!$B$2:$B$800))</f>
        <v>0.489539748953975</v>
      </c>
      <c r="N684" s="0" t="n">
        <f aca="false">IF(OR(B684="NW",COUNT(Risk_Rank_Keys!C684)=0),0.5,(SUMPRODUCT(--ISNUMBER(Risk_Rank_Keys!$C$2:$C$800),--(Risk_Rank_Keys!$C$2:$C$800&lt;Risk_Rank_Keys!C684))+(SUMPRODUCT(--ISNUMBER(Risk_Rank_Keys!$C$2:$C$800),--(Risk_Rank_Keys!$C$2:$C$800=Risk_Rank_Keys!C684))+1)/2)/COUNT(Risk_Rank_Keys!$C$2:$C$800))</f>
        <v>0.707112970711297</v>
      </c>
      <c r="O684" s="0" t="n">
        <f aca="false">IF(OR(B684="NW",COUNT(Risk_Rank_Keys!D684)=0),0.5,(SUMPRODUCT(--ISNUMBER(Risk_Rank_Keys!$D$2:$D$800),--(Risk_Rank_Keys!$D$2:$D$800&lt;Risk_Rank_Keys!D684))+(SUMPRODUCT(--ISNUMBER(Risk_Rank_Keys!$D$2:$D$800),--(Risk_Rank_Keys!$D$2:$D$800=Risk_Rank_Keys!D684))+1)/2)/COUNT(Risk_Rank_Keys!$D$2:$D$800))</f>
        <v>0.203626220362622</v>
      </c>
      <c r="P684" s="0" t="n">
        <f aca="false">AVERAGE(M684:O684)</f>
        <v>0.466759646675965</v>
      </c>
      <c r="Q684" s="0" t="n">
        <f aca="false">0.4*H684+0.4*I684+0.2*P684</f>
        <v>0.325141666506657</v>
      </c>
      <c r="R684" s="0" t="n">
        <f aca="false">PERCENTILE($Q$2:$Q$800,0.75)</f>
        <v>0.667715717403612</v>
      </c>
      <c r="S684" s="1" t="b">
        <f aca="false">OR(Q684&gt;=R684,AND(B684="CW",COUNT(J684:L684)&lt;3))</f>
        <v>0</v>
      </c>
      <c r="T684" s="0" t="n">
        <v>0.25680768683434</v>
      </c>
      <c r="U684" s="0" t="n">
        <v>6.04892133944276</v>
      </c>
      <c r="V684" s="0" t="n">
        <v>0.325141666506657</v>
      </c>
      <c r="W684" s="0" t="n">
        <f aca="false">Q684-V684</f>
        <v>0</v>
      </c>
    </row>
    <row r="685" customFormat="false" ht="15" hidden="false" customHeight="false" outlineLevel="0" collapsed="false">
      <c r="A685" s="0" t="s">
        <v>719</v>
      </c>
      <c r="B685" s="0" t="s">
        <v>3013</v>
      </c>
      <c r="C685" s="0" t="n">
        <v>-17.313971691366</v>
      </c>
      <c r="D685" s="0" t="n">
        <f aca="false">SUMPRODUCT(Risk_Inputs!B685:AJ685,Risk_Coefs!$B$2:$AJ$2)</f>
        <v>-0.482134124263971</v>
      </c>
      <c r="E685" s="0" t="n">
        <f aca="false">1/(1+EXP(-MAX(-25,MIN(25,D685))))</f>
        <v>0.381748309657286</v>
      </c>
      <c r="F685" s="0" t="n">
        <f aca="false">SUMPRODUCT(Risk_Inputs!B685:AJ685,Risk_Coefs!$B$3:$AJ$3)</f>
        <v>13.5963264626207</v>
      </c>
      <c r="G685" s="0" t="n">
        <f aca="false">MAX(0,F685)</f>
        <v>13.5963264626207</v>
      </c>
      <c r="H685" s="0" t="n">
        <f aca="false">(SUMPRODUCT(--ISNUMBER($E$2:$E$800),--($E$2:$E$800&lt;E685))+(SUMPRODUCT(--ISNUMBER($E$2:$E$800),--($E$2:$E$800=E685))+1)/2)/COUNT($E$2:$E$800)</f>
        <v>0.904881101376721</v>
      </c>
      <c r="I685" s="0" t="n">
        <f aca="false">(SUMPRODUCT(--ISNUMBER($G$2:$G$800),--($G$2:$G$800&lt;G685))+(SUMPRODUCT(--ISNUMBER($G$2:$G$800),--($G$2:$G$800=G685))+1)/2)/COUNT($G$2:$G$800)</f>
        <v>0.964956195244055</v>
      </c>
      <c r="J685" s="0" t="n">
        <v>6.17676301752951</v>
      </c>
      <c r="K685" s="0" t="n">
        <v>9.95754534928599</v>
      </c>
      <c r="L685" s="0" t="n">
        <v>0.231570822076427</v>
      </c>
      <c r="M685" s="0" t="n">
        <f aca="false">IF(OR(B685="NW",COUNT(Risk_Rank_Keys!B685)=0),0.5,(SUMPRODUCT(--ISNUMBER(Risk_Rank_Keys!$B$2:$B$800),--(Risk_Rank_Keys!$B$2:$B$800&lt;Risk_Rank_Keys!B685))+(SUMPRODUCT(--ISNUMBER(Risk_Rank_Keys!$B$2:$B$800),--(Risk_Rank_Keys!$B$2:$B$800=Risk_Rank_Keys!B685))+1)/2)/COUNT(Risk_Rank_Keys!$B$2:$B$800))</f>
        <v>0.237099023709902</v>
      </c>
      <c r="N685" s="0" t="n">
        <f aca="false">IF(OR(B685="NW",COUNT(Risk_Rank_Keys!C685)=0),0.5,(SUMPRODUCT(--ISNUMBER(Risk_Rank_Keys!$C$2:$C$800),--(Risk_Rank_Keys!$C$2:$C$800&lt;Risk_Rank_Keys!C685))+(SUMPRODUCT(--ISNUMBER(Risk_Rank_Keys!$C$2:$C$800),--(Risk_Rank_Keys!$C$2:$C$800=Risk_Rank_Keys!C685))+1)/2)/COUNT(Risk_Rank_Keys!$C$2:$C$800))</f>
        <v>0.878661087866109</v>
      </c>
      <c r="O685" s="0" t="n">
        <f aca="false">IF(OR(B685="NW",COUNT(Risk_Rank_Keys!D685)=0),0.5,(SUMPRODUCT(--ISNUMBER(Risk_Rank_Keys!$D$2:$D$800),--(Risk_Rank_Keys!$D$2:$D$800&lt;Risk_Rank_Keys!D685))+(SUMPRODUCT(--ISNUMBER(Risk_Rank_Keys!$D$2:$D$800),--(Risk_Rank_Keys!$D$2:$D$800=Risk_Rank_Keys!D685))+1)/2)/COUNT(Risk_Rank_Keys!$D$2:$D$800))</f>
        <v>0.506276150627615</v>
      </c>
      <c r="P685" s="0" t="n">
        <f aca="false">AVERAGE(M685:O685)</f>
        <v>0.540678754067875</v>
      </c>
      <c r="Q685" s="0" t="n">
        <f aca="false">0.4*H685+0.4*I685+0.2*P685</f>
        <v>0.856070669461886</v>
      </c>
      <c r="R685" s="0" t="n">
        <f aca="false">PERCENTILE($Q$2:$Q$800,0.75)</f>
        <v>0.667715717403612</v>
      </c>
      <c r="S685" s="1" t="b">
        <f aca="false">OR(Q685&gt;=R685,AND(B685="CW",COUNT(J685:L685)&lt;3))</f>
        <v>1</v>
      </c>
      <c r="T685" s="0" t="n">
        <v>0.381748309657286</v>
      </c>
      <c r="U685" s="0" t="n">
        <v>13.5963264626207</v>
      </c>
      <c r="V685" s="0" t="n">
        <v>0.856070669461886</v>
      </c>
      <c r="W685" s="0" t="n">
        <f aca="false">Q685-V685</f>
        <v>0</v>
      </c>
    </row>
    <row r="686" customFormat="false" ht="15" hidden="false" customHeight="false" outlineLevel="0" collapsed="false">
      <c r="A686" s="0" t="s">
        <v>720</v>
      </c>
      <c r="B686" s="0" t="s">
        <v>3013</v>
      </c>
      <c r="C686" s="0" t="n">
        <v>30.9670785576605</v>
      </c>
      <c r="D686" s="0" t="n">
        <f aca="false">SUMPRODUCT(Risk_Inputs!B686:AJ686,Risk_Coefs!$B$2:$AJ$2)</f>
        <v>-1.05075384266201</v>
      </c>
      <c r="E686" s="0" t="n">
        <f aca="false">1/(1+EXP(-MAX(-25,MIN(25,D686))))</f>
        <v>0.259080368611999</v>
      </c>
      <c r="F686" s="0" t="n">
        <f aca="false">SUMPRODUCT(Risk_Inputs!B686:AJ686,Risk_Coefs!$B$3:$AJ$3)</f>
        <v>6.55241932176703</v>
      </c>
      <c r="G686" s="0" t="n">
        <f aca="false">MAX(0,F686)</f>
        <v>6.55241932176703</v>
      </c>
      <c r="H686" s="0" t="n">
        <f aca="false">(SUMPRODUCT(--ISNUMBER($E$2:$E$800),--($E$2:$E$800&lt;E686))+(SUMPRODUCT(--ISNUMBER($E$2:$E$800),--($E$2:$E$800=E686))+1)/2)/COUNT($E$2:$E$800)</f>
        <v>0.32540675844806</v>
      </c>
      <c r="I686" s="0" t="n">
        <f aca="false">(SUMPRODUCT(--ISNUMBER($G$2:$G$800),--($G$2:$G$800&lt;G686))+(SUMPRODUCT(--ISNUMBER($G$2:$G$800),--($G$2:$G$800=G686))+1)/2)/COUNT($G$2:$G$800)</f>
        <v>0.351689612015019</v>
      </c>
      <c r="J686" s="0" t="n">
        <v>11.3929046617325</v>
      </c>
      <c r="K686" s="0" t="n">
        <v>5.12260257344016</v>
      </c>
      <c r="L686" s="0" t="n">
        <v>0.206360767176498</v>
      </c>
      <c r="M686" s="0" t="n">
        <f aca="false">IF(OR(B686="NW",COUNT(Risk_Rank_Keys!B686)=0),0.5,(SUMPRODUCT(--ISNUMBER(Risk_Rank_Keys!$B$2:$B$800),--(Risk_Rank_Keys!$B$2:$B$800&lt;Risk_Rank_Keys!B686))+(SUMPRODUCT(--ISNUMBER(Risk_Rank_Keys!$B$2:$B$800),--(Risk_Rank_Keys!$B$2:$B$800=Risk_Rank_Keys!B686))+1)/2)/COUNT(Risk_Rank_Keys!$B$2:$B$800))</f>
        <v>0.566248256624826</v>
      </c>
      <c r="N686" s="0" t="n">
        <f aca="false">IF(OR(B686="NW",COUNT(Risk_Rank_Keys!C686)=0),0.5,(SUMPRODUCT(--ISNUMBER(Risk_Rank_Keys!$C$2:$C$800),--(Risk_Rank_Keys!$C$2:$C$800&lt;Risk_Rank_Keys!C686))+(SUMPRODUCT(--ISNUMBER(Risk_Rank_Keys!$C$2:$C$800),--(Risk_Rank_Keys!$C$2:$C$800=Risk_Rank_Keys!C686))+1)/2)/COUNT(Risk_Rank_Keys!$C$2:$C$800))</f>
        <v>0.697350069735007</v>
      </c>
      <c r="O686" s="0" t="n">
        <f aca="false">IF(OR(B686="NW",COUNT(Risk_Rank_Keys!D686)=0),0.5,(SUMPRODUCT(--ISNUMBER(Risk_Rank_Keys!$D$2:$D$800),--(Risk_Rank_Keys!$D$2:$D$800&lt;Risk_Rank_Keys!D686))+(SUMPRODUCT(--ISNUMBER(Risk_Rank_Keys!$D$2:$D$800),--(Risk_Rank_Keys!$D$2:$D$800=Risk_Rank_Keys!D686))+1)/2)/COUNT(Risk_Rank_Keys!$D$2:$D$800))</f>
        <v>0.352859135285914</v>
      </c>
      <c r="P686" s="0" t="n">
        <f aca="false">AVERAGE(M686:O686)</f>
        <v>0.538819153881915</v>
      </c>
      <c r="Q686" s="0" t="n">
        <f aca="false">0.4*H686+0.4*I686+0.2*P686</f>
        <v>0.378602378961615</v>
      </c>
      <c r="R686" s="0" t="n">
        <f aca="false">PERCENTILE($Q$2:$Q$800,0.75)</f>
        <v>0.667715717403612</v>
      </c>
      <c r="S686" s="1" t="b">
        <f aca="false">OR(Q686&gt;=R686,AND(B686="CW",COUNT(J686:L686)&lt;3))</f>
        <v>0</v>
      </c>
      <c r="T686" s="0" t="n">
        <v>0.259080368611999</v>
      </c>
      <c r="U686" s="0" t="n">
        <v>6.55241932176703</v>
      </c>
      <c r="V686" s="0" t="n">
        <v>0.378602378961615</v>
      </c>
      <c r="W686" s="0" t="n">
        <f aca="false">Q686-V686</f>
        <v>0</v>
      </c>
    </row>
    <row r="687" customFormat="false" ht="15" hidden="false" customHeight="false" outlineLevel="0" collapsed="false">
      <c r="A687" s="0" t="s">
        <v>721</v>
      </c>
      <c r="B687" s="0" t="s">
        <v>3013</v>
      </c>
      <c r="C687" s="0" t="n">
        <v>50.2811123331294</v>
      </c>
      <c r="D687" s="0" t="n">
        <f aca="false">SUMPRODUCT(Risk_Inputs!B687:AJ687,Risk_Coefs!$B$2:$AJ$2)</f>
        <v>-1.01979541605309</v>
      </c>
      <c r="E687" s="0" t="n">
        <f aca="false">1/(1+EXP(-MAX(-25,MIN(25,D687))))</f>
        <v>0.2650672529219</v>
      </c>
      <c r="F687" s="0" t="n">
        <f aca="false">SUMPRODUCT(Risk_Inputs!B687:AJ687,Risk_Coefs!$B$3:$AJ$3)</f>
        <v>4.11674662272448</v>
      </c>
      <c r="G687" s="0" t="n">
        <f aca="false">MAX(0,F687)</f>
        <v>4.11674662272448</v>
      </c>
      <c r="H687" s="0" t="n">
        <f aca="false">(SUMPRODUCT(--ISNUMBER($E$2:$E$800),--($E$2:$E$800&lt;E687))+(SUMPRODUCT(--ISNUMBER($E$2:$E$800),--($E$2:$E$800=E687))+1)/2)/COUNT($E$2:$E$800)</f>
        <v>0.370463078848561</v>
      </c>
      <c r="I687" s="0" t="n">
        <f aca="false">(SUMPRODUCT(--ISNUMBER($G$2:$G$800),--($G$2:$G$800&lt;G687))+(SUMPRODUCT(--ISNUMBER($G$2:$G$800),--($G$2:$G$800=G687))+1)/2)/COUNT($G$2:$G$800)</f>
        <v>0.0613266583229036</v>
      </c>
      <c r="J687" s="0" t="n">
        <v>7.3753850532216</v>
      </c>
      <c r="K687" s="0" t="n">
        <v>7.08765315739869</v>
      </c>
      <c r="L687" s="0" t="n">
        <v>0.226201696512732</v>
      </c>
      <c r="M687" s="0" t="n">
        <f aca="false">IF(OR(B687="NW",COUNT(Risk_Rank_Keys!B687)=0),0.5,(SUMPRODUCT(--ISNUMBER(Risk_Rank_Keys!$B$2:$B$800),--(Risk_Rank_Keys!$B$2:$B$800&lt;Risk_Rank_Keys!B687))+(SUMPRODUCT(--ISNUMBER(Risk_Rank_Keys!$B$2:$B$800),--(Risk_Rank_Keys!$B$2:$B$800=Risk_Rank_Keys!B687))+1)/2)/COUNT(Risk_Rank_Keys!$B$2:$B$800))</f>
        <v>0.344490934449093</v>
      </c>
      <c r="N687" s="0" t="n">
        <f aca="false">IF(OR(B687="NW",COUNT(Risk_Rank_Keys!C687)=0),0.5,(SUMPRODUCT(--ISNUMBER(Risk_Rank_Keys!$C$2:$C$800),--(Risk_Rank_Keys!$C$2:$C$800&lt;Risk_Rank_Keys!C687))+(SUMPRODUCT(--ISNUMBER(Risk_Rank_Keys!$C$2:$C$800),--(Risk_Rank_Keys!$C$2:$C$800=Risk_Rank_Keys!C687))+1)/2)/COUNT(Risk_Rank_Keys!$C$2:$C$800))</f>
        <v>0.789400278940028</v>
      </c>
      <c r="O687" s="0" t="n">
        <f aca="false">IF(OR(B687="NW",COUNT(Risk_Rank_Keys!D687)=0),0.5,(SUMPRODUCT(--ISNUMBER(Risk_Rank_Keys!$D$2:$D$800),--(Risk_Rank_Keys!$D$2:$D$800&lt;Risk_Rank_Keys!D687))+(SUMPRODUCT(--ISNUMBER(Risk_Rank_Keys!$D$2:$D$800),--(Risk_Rank_Keys!$D$2:$D$800=Risk_Rank_Keys!D687))+1)/2)/COUNT(Risk_Rank_Keys!$D$2:$D$800))</f>
        <v>0.472803347280335</v>
      </c>
      <c r="P687" s="0" t="n">
        <f aca="false">AVERAGE(M687:O687)</f>
        <v>0.535564853556485</v>
      </c>
      <c r="Q687" s="0" t="n">
        <f aca="false">0.4*H687+0.4*I687+0.2*P687</f>
        <v>0.279828865579883</v>
      </c>
      <c r="R687" s="0" t="n">
        <f aca="false">PERCENTILE($Q$2:$Q$800,0.75)</f>
        <v>0.667715717403612</v>
      </c>
      <c r="S687" s="1" t="b">
        <f aca="false">OR(Q687&gt;=R687,AND(B687="CW",COUNT(J687:L687)&lt;3))</f>
        <v>0</v>
      </c>
      <c r="T687" s="0" t="n">
        <v>0.2650672529219</v>
      </c>
      <c r="U687" s="0" t="n">
        <v>4.11674662272448</v>
      </c>
      <c r="V687" s="0" t="n">
        <v>0.279828865579883</v>
      </c>
      <c r="W687" s="0" t="n">
        <f aca="false">Q687-V687</f>
        <v>0</v>
      </c>
    </row>
    <row r="688" customFormat="false" ht="15" hidden="false" customHeight="false" outlineLevel="0" collapsed="false">
      <c r="A688" s="0" t="s">
        <v>722</v>
      </c>
      <c r="B688" s="0" t="s">
        <v>3013</v>
      </c>
      <c r="C688" s="0" t="n">
        <v>10.9921807874669</v>
      </c>
      <c r="D688" s="0" t="n">
        <f aca="false">SUMPRODUCT(Risk_Inputs!B688:AJ688,Risk_Coefs!$B$2:$AJ$2)</f>
        <v>-0.8839744825873</v>
      </c>
      <c r="E688" s="0" t="n">
        <f aca="false">1/(1+EXP(-MAX(-25,MIN(25,D688))))</f>
        <v>0.292354846009273</v>
      </c>
      <c r="F688" s="0" t="n">
        <f aca="false">SUMPRODUCT(Risk_Inputs!B688:AJ688,Risk_Coefs!$B$3:$AJ$3)</f>
        <v>8.00218308109179</v>
      </c>
      <c r="G688" s="0" t="n">
        <f aca="false">MAX(0,F688)</f>
        <v>8.00218308109179</v>
      </c>
      <c r="H688" s="0" t="n">
        <f aca="false">(SUMPRODUCT(--ISNUMBER($E$2:$E$800),--($E$2:$E$800&lt;E688))+(SUMPRODUCT(--ISNUMBER($E$2:$E$800),--($E$2:$E$800=E688))+1)/2)/COUNT($E$2:$E$800)</f>
        <v>0.538172715894869</v>
      </c>
      <c r="I688" s="0" t="n">
        <f aca="false">(SUMPRODUCT(--ISNUMBER($G$2:$G$800),--($G$2:$G$800&lt;G688))+(SUMPRODUCT(--ISNUMBER($G$2:$G$800),--($G$2:$G$800=G688))+1)/2)/COUNT($G$2:$G$800)</f>
        <v>0.543178973717146</v>
      </c>
      <c r="J688" s="0" t="n">
        <v>11.4850814836307</v>
      </c>
      <c r="K688" s="0" t="n">
        <v>6.90909090909092</v>
      </c>
      <c r="L688" s="0" t="n">
        <v>0.207792207792211</v>
      </c>
      <c r="M688" s="0" t="n">
        <f aca="false">IF(OR(B688="NW",COUNT(Risk_Rank_Keys!B688)=0),0.5,(SUMPRODUCT(--ISNUMBER(Risk_Rank_Keys!$B$2:$B$800),--(Risk_Rank_Keys!$B$2:$B$800&lt;Risk_Rank_Keys!B688))+(SUMPRODUCT(--ISNUMBER(Risk_Rank_Keys!$B$2:$B$800),--(Risk_Rank_Keys!$B$2:$B$800=Risk_Rank_Keys!B688))+1)/2)/COUNT(Risk_Rank_Keys!$B$2:$B$800))</f>
        <v>0.571827057182706</v>
      </c>
      <c r="N688" s="0" t="n">
        <f aca="false">IF(OR(B688="NW",COUNT(Risk_Rank_Keys!C688)=0),0.5,(SUMPRODUCT(--ISNUMBER(Risk_Rank_Keys!$C$2:$C$800),--(Risk_Rank_Keys!$C$2:$C$800&lt;Risk_Rank_Keys!C688))+(SUMPRODUCT(--ISNUMBER(Risk_Rank_Keys!$C$2:$C$800),--(Risk_Rank_Keys!$C$2:$C$800=Risk_Rank_Keys!C688))+1)/2)/COUNT(Risk_Rank_Keys!$C$2:$C$800))</f>
        <v>0.783821478382148</v>
      </c>
      <c r="O688" s="0" t="n">
        <f aca="false">IF(OR(B688="NW",COUNT(Risk_Rank_Keys!D688)=0),0.5,(SUMPRODUCT(--ISNUMBER(Risk_Rank_Keys!$D$2:$D$800),--(Risk_Rank_Keys!$D$2:$D$800&lt;Risk_Rank_Keys!D688))+(SUMPRODUCT(--ISNUMBER(Risk_Rank_Keys!$D$2:$D$800),--(Risk_Rank_Keys!$D$2:$D$800=Risk_Rank_Keys!D688))+1)/2)/COUNT(Risk_Rank_Keys!$D$2:$D$800))</f>
        <v>0.362622036262204</v>
      </c>
      <c r="P688" s="0" t="n">
        <f aca="false">AVERAGE(M688:O688)</f>
        <v>0.572756857275686</v>
      </c>
      <c r="Q688" s="0" t="n">
        <f aca="false">0.4*H688+0.4*I688+0.2*P688</f>
        <v>0.547092047299943</v>
      </c>
      <c r="R688" s="0" t="n">
        <f aca="false">PERCENTILE($Q$2:$Q$800,0.75)</f>
        <v>0.667715717403612</v>
      </c>
      <c r="S688" s="1" t="b">
        <f aca="false">OR(Q688&gt;=R688,AND(B688="CW",COUNT(J688:L688)&lt;3))</f>
        <v>0</v>
      </c>
      <c r="T688" s="0" t="n">
        <v>0.292354846009273</v>
      </c>
      <c r="U688" s="0" t="n">
        <v>8.00218308109179</v>
      </c>
      <c r="V688" s="0" t="n">
        <v>0.547092047299943</v>
      </c>
      <c r="W688" s="0" t="n">
        <f aca="false">Q688-V688</f>
        <v>0</v>
      </c>
    </row>
    <row r="689" customFormat="false" ht="15" hidden="false" customHeight="false" outlineLevel="0" collapsed="false">
      <c r="A689" s="0" t="s">
        <v>723</v>
      </c>
      <c r="B689" s="0" t="s">
        <v>33</v>
      </c>
      <c r="C689" s="0" t="n">
        <v>13.3975829478092</v>
      </c>
      <c r="D689" s="0" t="n">
        <f aca="false">SUMPRODUCT(Risk_Inputs!B689:AJ689,Risk_Coefs!$B$2:$AJ$2)</f>
        <v>-0.612626055355147</v>
      </c>
      <c r="E689" s="0" t="n">
        <f aca="false">1/(1+EXP(-MAX(-25,MIN(25,D689))))</f>
        <v>0.351460392171585</v>
      </c>
      <c r="F689" s="0" t="n">
        <f aca="false">SUMPRODUCT(Risk_Inputs!B689:AJ689,Risk_Coefs!$B$3:$AJ$3)</f>
        <v>10.5876915043217</v>
      </c>
      <c r="G689" s="0" t="n">
        <f aca="false">MAX(0,F689)</f>
        <v>10.5876915043217</v>
      </c>
      <c r="H689" s="0" t="n">
        <f aca="false">(SUMPRODUCT(--ISNUMBER($E$2:$E$800),--($E$2:$E$800&lt;E689))+(SUMPRODUCT(--ISNUMBER($E$2:$E$800),--($E$2:$E$800=E689))+1)/2)/COUNT($E$2:$E$800)</f>
        <v>0.821026282853567</v>
      </c>
      <c r="I689" s="0" t="n">
        <f aca="false">(SUMPRODUCT(--ISNUMBER($G$2:$G$800),--($G$2:$G$800&lt;G689))+(SUMPRODUCT(--ISNUMBER($G$2:$G$800),--($G$2:$G$800=G689))+1)/2)/COUNT($G$2:$G$800)</f>
        <v>0.848560700876095</v>
      </c>
      <c r="M689" s="0" t="n">
        <f aca="false">IF(OR(B689="NW",COUNT(Risk_Rank_Keys!B689)=0),0.5,(SUMPRODUCT(--ISNUMBER(Risk_Rank_Keys!$B$2:$B$800),--(Risk_Rank_Keys!$B$2:$B$800&lt;Risk_Rank_Keys!B689))+(SUMPRODUCT(--ISNUMBER(Risk_Rank_Keys!$B$2:$B$800),--(Risk_Rank_Keys!$B$2:$B$800=Risk_Rank_Keys!B689))+1)/2)/COUNT(Risk_Rank_Keys!$B$2:$B$800))</f>
        <v>0.5</v>
      </c>
      <c r="N689" s="0" t="n">
        <f aca="false">IF(OR(B689="NW",COUNT(Risk_Rank_Keys!C689)=0),0.5,(SUMPRODUCT(--ISNUMBER(Risk_Rank_Keys!$C$2:$C$800),--(Risk_Rank_Keys!$C$2:$C$800&lt;Risk_Rank_Keys!C689))+(SUMPRODUCT(--ISNUMBER(Risk_Rank_Keys!$C$2:$C$800),--(Risk_Rank_Keys!$C$2:$C$800=Risk_Rank_Keys!C689))+1)/2)/COUNT(Risk_Rank_Keys!$C$2:$C$800))</f>
        <v>0.5</v>
      </c>
      <c r="O689" s="0" t="n">
        <f aca="false">IF(OR(B689="NW",COUNT(Risk_Rank_Keys!D689)=0),0.5,(SUMPRODUCT(--ISNUMBER(Risk_Rank_Keys!$D$2:$D$800),--(Risk_Rank_Keys!$D$2:$D$800&lt;Risk_Rank_Keys!D689))+(SUMPRODUCT(--ISNUMBER(Risk_Rank_Keys!$D$2:$D$800),--(Risk_Rank_Keys!$D$2:$D$800=Risk_Rank_Keys!D689))+1)/2)/COUNT(Risk_Rank_Keys!$D$2:$D$800))</f>
        <v>0.5</v>
      </c>
      <c r="P689" s="0" t="n">
        <f aca="false">AVERAGE(M689:O689)</f>
        <v>0.5</v>
      </c>
      <c r="Q689" s="0" t="n">
        <f aca="false">0.4*H689+0.4*I689+0.2*P689</f>
        <v>0.767834793491865</v>
      </c>
      <c r="R689" s="0" t="n">
        <f aca="false">PERCENTILE($Q$2:$Q$800,0.75)</f>
        <v>0.667715717403612</v>
      </c>
      <c r="S689" s="1" t="b">
        <f aca="false">OR(Q689&gt;=R689,AND(B689="CW",COUNT(J689:L689)&lt;3))</f>
        <v>1</v>
      </c>
      <c r="T689" s="0" t="n">
        <v>0.351460392171585</v>
      </c>
      <c r="U689" s="0" t="n">
        <v>10.5876915043217</v>
      </c>
      <c r="V689" s="0" t="n">
        <v>0.767834793491865</v>
      </c>
      <c r="W689" s="0" t="n">
        <f aca="false">Q689-V689</f>
        <v>0</v>
      </c>
    </row>
    <row r="690" customFormat="false" ht="15" hidden="false" customHeight="false" outlineLevel="0" collapsed="false">
      <c r="A690" s="0" t="s">
        <v>724</v>
      </c>
      <c r="B690" s="0" t="s">
        <v>3013</v>
      </c>
      <c r="C690" s="0" t="n">
        <v>-44.2936509681363</v>
      </c>
      <c r="D690" s="0" t="n">
        <f aca="false">SUMPRODUCT(Risk_Inputs!B690:AJ690,Risk_Coefs!$B$2:$AJ$2)</f>
        <v>-0.630774851087705</v>
      </c>
      <c r="E690" s="0" t="n">
        <f aca="false">1/(1+EXP(-MAX(-25,MIN(25,D690))))</f>
        <v>0.347334863441508</v>
      </c>
      <c r="F690" s="0" t="n">
        <f aca="false">SUMPRODUCT(Risk_Inputs!B690:AJ690,Risk_Coefs!$B$3:$AJ$3)</f>
        <v>11.8190163537978</v>
      </c>
      <c r="G690" s="0" t="n">
        <f aca="false">MAX(0,F690)</f>
        <v>11.8190163537978</v>
      </c>
      <c r="H690" s="0" t="n">
        <f aca="false">(SUMPRODUCT(--ISNUMBER($E$2:$E$800),--($E$2:$E$800&lt;E690))+(SUMPRODUCT(--ISNUMBER($E$2:$E$800),--($E$2:$E$800=E690))+1)/2)/COUNT($E$2:$E$800)</f>
        <v>0.807259073842303</v>
      </c>
      <c r="I690" s="0" t="n">
        <f aca="false">(SUMPRODUCT(--ISNUMBER($G$2:$G$800),--($G$2:$G$800&lt;G690))+(SUMPRODUCT(--ISNUMBER($G$2:$G$800),--($G$2:$G$800=G690))+1)/2)/COUNT($G$2:$G$800)</f>
        <v>0.912390488110138</v>
      </c>
      <c r="J690" s="0" t="n">
        <v>5.79825618431384</v>
      </c>
      <c r="K690" s="0" t="n">
        <v>7.80542986425339</v>
      </c>
      <c r="L690" s="0" t="n">
        <v>0.226244343891401</v>
      </c>
      <c r="M690" s="0" t="n">
        <f aca="false">IF(OR(B690="NW",COUNT(Risk_Rank_Keys!B690)=0),0.5,(SUMPRODUCT(--ISNUMBER(Risk_Rank_Keys!$B$2:$B$800),--(Risk_Rank_Keys!$B$2:$B$800&lt;Risk_Rank_Keys!B690))+(SUMPRODUCT(--ISNUMBER(Risk_Rank_Keys!$B$2:$B$800),--(Risk_Rank_Keys!$B$2:$B$800=Risk_Rank_Keys!B690))+1)/2)/COUNT(Risk_Rank_Keys!$B$2:$B$800))</f>
        <v>0.207810320781032</v>
      </c>
      <c r="N690" s="0" t="n">
        <f aca="false">IF(OR(B690="NW",COUNT(Risk_Rank_Keys!C690)=0),0.5,(SUMPRODUCT(--ISNUMBER(Risk_Rank_Keys!$C$2:$C$800),--(Risk_Rank_Keys!$C$2:$C$800&lt;Risk_Rank_Keys!C690))+(SUMPRODUCT(--ISNUMBER(Risk_Rank_Keys!$C$2:$C$800),--(Risk_Rank_Keys!$C$2:$C$800=Risk_Rank_Keys!C690))+1)/2)/COUNT(Risk_Rank_Keys!$C$2:$C$800))</f>
        <v>0.817294281729428</v>
      </c>
      <c r="O690" s="0" t="n">
        <f aca="false">IF(OR(B690="NW",COUNT(Risk_Rank_Keys!D690)=0),0.5,(SUMPRODUCT(--ISNUMBER(Risk_Rank_Keys!$D$2:$D$800),--(Risk_Rank_Keys!$D$2:$D$800&lt;Risk_Rank_Keys!D690))+(SUMPRODUCT(--ISNUMBER(Risk_Rank_Keys!$D$2:$D$800),--(Risk_Rank_Keys!$D$2:$D$800=Risk_Rank_Keys!D690))+1)/2)/COUNT(Risk_Rank_Keys!$D$2:$D$800))</f>
        <v>0.474198047419805</v>
      </c>
      <c r="P690" s="0" t="n">
        <f aca="false">AVERAGE(M690:O690)</f>
        <v>0.499767549976755</v>
      </c>
      <c r="Q690" s="0" t="n">
        <f aca="false">0.4*H690+0.4*I690+0.2*P690</f>
        <v>0.787813334776327</v>
      </c>
      <c r="R690" s="0" t="n">
        <f aca="false">PERCENTILE($Q$2:$Q$800,0.75)</f>
        <v>0.667715717403612</v>
      </c>
      <c r="S690" s="1" t="b">
        <f aca="false">OR(Q690&gt;=R690,AND(B690="CW",COUNT(J690:L690)&lt;3))</f>
        <v>1</v>
      </c>
      <c r="T690" s="0" t="n">
        <v>0.347334863441508</v>
      </c>
      <c r="U690" s="0" t="n">
        <v>11.8190163537978</v>
      </c>
      <c r="V690" s="0" t="n">
        <v>0.787813334776327</v>
      </c>
      <c r="W690" s="0" t="n">
        <f aca="false">Q690-V690</f>
        <v>0</v>
      </c>
    </row>
    <row r="691" customFormat="false" ht="15" hidden="false" customHeight="false" outlineLevel="0" collapsed="false">
      <c r="A691" s="0" t="s">
        <v>725</v>
      </c>
      <c r="B691" s="0" t="s">
        <v>3013</v>
      </c>
      <c r="C691" s="0" t="n">
        <v>25.3690211888177</v>
      </c>
      <c r="D691" s="0" t="n">
        <f aca="false">SUMPRODUCT(Risk_Inputs!B691:AJ691,Risk_Coefs!$B$2:$AJ$2)</f>
        <v>-1.12402490092629</v>
      </c>
      <c r="E691" s="0" t="n">
        <f aca="false">1/(1+EXP(-MAX(-25,MIN(25,D691))))</f>
        <v>0.245265469194749</v>
      </c>
      <c r="F691" s="0" t="n">
        <f aca="false">SUMPRODUCT(Risk_Inputs!B691:AJ691,Risk_Coefs!$B$3:$AJ$3)</f>
        <v>6.6105394108325</v>
      </c>
      <c r="G691" s="0" t="n">
        <f aca="false">MAX(0,F691)</f>
        <v>6.6105394108325</v>
      </c>
      <c r="H691" s="0" t="n">
        <f aca="false">(SUMPRODUCT(--ISNUMBER($E$2:$E$800),--($E$2:$E$800&lt;E691))+(SUMPRODUCT(--ISNUMBER($E$2:$E$800),--($E$2:$E$800=E691))+1)/2)/COUNT($E$2:$E$800)</f>
        <v>0.245306633291615</v>
      </c>
      <c r="I691" s="0" t="n">
        <f aca="false">(SUMPRODUCT(--ISNUMBER($G$2:$G$800),--($G$2:$G$800&lt;G691))+(SUMPRODUCT(--ISNUMBER($G$2:$G$800),--($G$2:$G$800=G691))+1)/2)/COUNT($G$2:$G$800)</f>
        <v>0.362953692115144</v>
      </c>
      <c r="J691" s="0" t="n">
        <v>6.16906759228682</v>
      </c>
      <c r="K691" s="0" t="n">
        <v>1.5904879555281</v>
      </c>
      <c r="L691" s="0" t="n">
        <v>0.123533045089563</v>
      </c>
      <c r="M691" s="0" t="n">
        <f aca="false">IF(OR(B691="NW",COUNT(Risk_Rank_Keys!B691)=0),0.5,(SUMPRODUCT(--ISNUMBER(Risk_Rank_Keys!$B$2:$B$800),--(Risk_Rank_Keys!$B$2:$B$800&lt;Risk_Rank_Keys!B691))+(SUMPRODUCT(--ISNUMBER(Risk_Rank_Keys!$B$2:$B$800),--(Risk_Rank_Keys!$B$2:$B$800=Risk_Rank_Keys!B691))+1)/2)/COUNT(Risk_Rank_Keys!$B$2:$B$800))</f>
        <v>0.235704323570432</v>
      </c>
      <c r="N691" s="0" t="n">
        <f aca="false">IF(OR(B691="NW",COUNT(Risk_Rank_Keys!C691)=0),0.5,(SUMPRODUCT(--ISNUMBER(Risk_Rank_Keys!$C$2:$C$800),--(Risk_Rank_Keys!$C$2:$C$800&lt;Risk_Rank_Keys!C691))+(SUMPRODUCT(--ISNUMBER(Risk_Rank_Keys!$C$2:$C$800),--(Risk_Rank_Keys!$C$2:$C$800=Risk_Rank_Keys!C691))+1)/2)/COUNT(Risk_Rank_Keys!$C$2:$C$800))</f>
        <v>0.153417015341702</v>
      </c>
      <c r="O691" s="0" t="n">
        <f aca="false">IF(OR(B691="NW",COUNT(Risk_Rank_Keys!D691)=0),0.5,(SUMPRODUCT(--ISNUMBER(Risk_Rank_Keys!$D$2:$D$800),--(Risk_Rank_Keys!$D$2:$D$800&lt;Risk_Rank_Keys!D691))+(SUMPRODUCT(--ISNUMBER(Risk_Rank_Keys!$D$2:$D$800),--(Risk_Rank_Keys!$D$2:$D$800=Risk_Rank_Keys!D691))+1)/2)/COUNT(Risk_Rank_Keys!$D$2:$D$800))</f>
        <v>0.0474198047419805</v>
      </c>
      <c r="P691" s="0" t="n">
        <f aca="false">AVERAGE(M691:O691)</f>
        <v>0.145513714551371</v>
      </c>
      <c r="Q691" s="0" t="n">
        <f aca="false">0.4*H691+0.4*I691+0.2*P691</f>
        <v>0.272406873072978</v>
      </c>
      <c r="R691" s="0" t="n">
        <f aca="false">PERCENTILE($Q$2:$Q$800,0.75)</f>
        <v>0.667715717403612</v>
      </c>
      <c r="S691" s="1" t="b">
        <f aca="false">OR(Q691&gt;=R691,AND(B691="CW",COUNT(J691:L691)&lt;3))</f>
        <v>0</v>
      </c>
      <c r="T691" s="0" t="n">
        <v>0.245265469194749</v>
      </c>
      <c r="U691" s="0" t="n">
        <v>6.6105394108325</v>
      </c>
      <c r="V691" s="0" t="n">
        <v>0.272406873072978</v>
      </c>
      <c r="W691" s="0" t="n">
        <f aca="false">Q691-V691</f>
        <v>0</v>
      </c>
    </row>
    <row r="692" customFormat="false" ht="15" hidden="false" customHeight="false" outlineLevel="0" collapsed="false">
      <c r="A692" s="0" t="s">
        <v>726</v>
      </c>
      <c r="B692" s="0" t="s">
        <v>3013</v>
      </c>
      <c r="C692" s="0" t="n">
        <v>47.0588253177228</v>
      </c>
      <c r="D692" s="0" t="n">
        <f aca="false">SUMPRODUCT(Risk_Inputs!B692:AJ692,Risk_Coefs!$B$2:$AJ$2)</f>
        <v>-1.14017442091976</v>
      </c>
      <c r="E692" s="0" t="n">
        <f aca="false">1/(1+EXP(-MAX(-25,MIN(25,D692))))</f>
        <v>0.242288338544808</v>
      </c>
      <c r="F692" s="0" t="n">
        <f aca="false">SUMPRODUCT(Risk_Inputs!B692:AJ692,Risk_Coefs!$B$3:$AJ$3)</f>
        <v>5.56772983790861</v>
      </c>
      <c r="G692" s="0" t="n">
        <f aca="false">MAX(0,F692)</f>
        <v>5.56772983790861</v>
      </c>
      <c r="H692" s="0" t="n">
        <f aca="false">(SUMPRODUCT(--ISNUMBER($E$2:$E$800),--($E$2:$E$800&lt;E692))+(SUMPRODUCT(--ISNUMBER($E$2:$E$800),--($E$2:$E$800=E692))+1)/2)/COUNT($E$2:$E$800)</f>
        <v>0.23279098873592</v>
      </c>
      <c r="I692" s="0" t="n">
        <f aca="false">(SUMPRODUCT(--ISNUMBER($G$2:$G$800),--($G$2:$G$800&lt;G692))+(SUMPRODUCT(--ISNUMBER($G$2:$G$800),--($G$2:$G$800=G692))+1)/2)/COUNT($G$2:$G$800)</f>
        <v>0.211514392991239</v>
      </c>
      <c r="J692" s="0" t="n">
        <v>7.33142141363163</v>
      </c>
      <c r="K692" s="0" t="n">
        <v>5.37313432835821</v>
      </c>
      <c r="L692" s="0" t="n">
        <v>0.21890547263682</v>
      </c>
      <c r="M692" s="0" t="n">
        <f aca="false">IF(OR(B692="NW",COUNT(Risk_Rank_Keys!B692)=0),0.5,(SUMPRODUCT(--ISNUMBER(Risk_Rank_Keys!$B$2:$B$800),--(Risk_Rank_Keys!$B$2:$B$800&lt;Risk_Rank_Keys!B692))+(SUMPRODUCT(--ISNUMBER(Risk_Rank_Keys!$B$2:$B$800),--(Risk_Rank_Keys!$B$2:$B$800=Risk_Rank_Keys!B692))+1)/2)/COUNT(Risk_Rank_Keys!$B$2:$B$800))</f>
        <v>0.338912133891213</v>
      </c>
      <c r="N692" s="0" t="n">
        <f aca="false">IF(OR(B692="NW",COUNT(Risk_Rank_Keys!C692)=0),0.5,(SUMPRODUCT(--ISNUMBER(Risk_Rank_Keys!$C$2:$C$800),--(Risk_Rank_Keys!$C$2:$C$800&lt;Risk_Rank_Keys!C692))+(SUMPRODUCT(--ISNUMBER(Risk_Rank_Keys!$C$2:$C$800),--(Risk_Rank_Keys!$C$2:$C$800=Risk_Rank_Keys!C692))+1)/2)/COUNT(Risk_Rank_Keys!$C$2:$C$800))</f>
        <v>0.712691771269177</v>
      </c>
      <c r="O692" s="0" t="n">
        <f aca="false">IF(OR(B692="NW",COUNT(Risk_Rank_Keys!D692)=0),0.5,(SUMPRODUCT(--ISNUMBER(Risk_Rank_Keys!$D$2:$D$800),--(Risk_Rank_Keys!$D$2:$D$800&lt;Risk_Rank_Keys!D692))+(SUMPRODUCT(--ISNUMBER(Risk_Rank_Keys!$D$2:$D$800),--(Risk_Rank_Keys!$D$2:$D$800=Risk_Rank_Keys!D692))+1)/2)/COUNT(Risk_Rank_Keys!$D$2:$D$800))</f>
        <v>0.429567642956764</v>
      </c>
      <c r="P692" s="0" t="n">
        <f aca="false">AVERAGE(M692:O692)</f>
        <v>0.493723849372385</v>
      </c>
      <c r="Q692" s="0" t="n">
        <f aca="false">0.4*H692+0.4*I692+0.2*P692</f>
        <v>0.276466922565341</v>
      </c>
      <c r="R692" s="0" t="n">
        <f aca="false">PERCENTILE($Q$2:$Q$800,0.75)</f>
        <v>0.667715717403612</v>
      </c>
      <c r="S692" s="1" t="b">
        <f aca="false">OR(Q692&gt;=R692,AND(B692="CW",COUNT(J692:L692)&lt;3))</f>
        <v>0</v>
      </c>
      <c r="T692" s="0" t="n">
        <v>0.242288338544808</v>
      </c>
      <c r="U692" s="0" t="n">
        <v>5.56772983790861</v>
      </c>
      <c r="V692" s="0" t="n">
        <v>0.276466922565341</v>
      </c>
      <c r="W692" s="0" t="n">
        <f aca="false">Q692-V692</f>
        <v>0</v>
      </c>
    </row>
    <row r="693" customFormat="false" ht="15" hidden="false" customHeight="false" outlineLevel="0" collapsed="false">
      <c r="A693" s="0" t="s">
        <v>727</v>
      </c>
      <c r="B693" s="0" t="s">
        <v>3013</v>
      </c>
      <c r="C693" s="0" t="n">
        <v>24.8227457753986</v>
      </c>
      <c r="D693" s="0" t="n">
        <f aca="false">SUMPRODUCT(Risk_Inputs!B693:AJ693,Risk_Coefs!$B$2:$AJ$2)</f>
        <v>-1.07707261192081</v>
      </c>
      <c r="E693" s="0" t="n">
        <f aca="false">1/(1+EXP(-MAX(-25,MIN(25,D693))))</f>
        <v>0.254060397315033</v>
      </c>
      <c r="F693" s="0" t="n">
        <f aca="false">SUMPRODUCT(Risk_Inputs!B693:AJ693,Risk_Coefs!$B$3:$AJ$3)</f>
        <v>5.73978827910694</v>
      </c>
      <c r="G693" s="0" t="n">
        <f aca="false">MAX(0,F693)</f>
        <v>5.73978827910694</v>
      </c>
      <c r="H693" s="0" t="n">
        <f aca="false">(SUMPRODUCT(--ISNUMBER($E$2:$E$800),--($E$2:$E$800&lt;E693))+(SUMPRODUCT(--ISNUMBER($E$2:$E$800),--($E$2:$E$800=E693))+1)/2)/COUNT($E$2:$E$800)</f>
        <v>0.295369211514393</v>
      </c>
      <c r="I693" s="0" t="n">
        <f aca="false">(SUMPRODUCT(--ISNUMBER($G$2:$G$800),--($G$2:$G$800&lt;G693))+(SUMPRODUCT(--ISNUMBER($G$2:$G$800),--($G$2:$G$800=G693))+1)/2)/COUNT($G$2:$G$800)</f>
        <v>0.23153942428035</v>
      </c>
      <c r="J693" s="0" t="n">
        <v>4.91261441479115</v>
      </c>
      <c r="K693" s="0" t="n">
        <v>1.5030380556444</v>
      </c>
      <c r="L693" s="0" t="n">
        <v>0.159897665494084</v>
      </c>
      <c r="M693" s="0" t="n">
        <f aca="false">IF(OR(B693="NW",COUNT(Risk_Rank_Keys!B693)=0),0.5,(SUMPRODUCT(--ISNUMBER(Risk_Rank_Keys!$B$2:$B$800),--(Risk_Rank_Keys!$B$2:$B$800&lt;Risk_Rank_Keys!B693))+(SUMPRODUCT(--ISNUMBER(Risk_Rank_Keys!$B$2:$B$800),--(Risk_Rank_Keys!$B$2:$B$800=Risk_Rank_Keys!B693))+1)/2)/COUNT(Risk_Rank_Keys!$B$2:$B$800))</f>
        <v>0.125523012552301</v>
      </c>
      <c r="N693" s="0" t="n">
        <f aca="false">IF(OR(B693="NW",COUNT(Risk_Rank_Keys!C693)=0),0.5,(SUMPRODUCT(--ISNUMBER(Risk_Rank_Keys!$C$2:$C$800),--(Risk_Rank_Keys!$C$2:$C$800&lt;Risk_Rank_Keys!C693))+(SUMPRODUCT(--ISNUMBER(Risk_Rank_Keys!$C$2:$C$800),--(Risk_Rank_Keys!$C$2:$C$800=Risk_Rank_Keys!C693))+1)/2)/COUNT(Risk_Rank_Keys!$C$2:$C$800))</f>
        <v>0.132496513249651</v>
      </c>
      <c r="O693" s="0" t="n">
        <f aca="false">IF(OR(B693="NW",COUNT(Risk_Rank_Keys!D693)=0),0.5,(SUMPRODUCT(--ISNUMBER(Risk_Rank_Keys!$D$2:$D$800),--(Risk_Rank_Keys!$D$2:$D$800&lt;Risk_Rank_Keys!D693))+(SUMPRODUCT(--ISNUMBER(Risk_Rank_Keys!$D$2:$D$800),--(Risk_Rank_Keys!$D$2:$D$800=Risk_Rank_Keys!D693))+1)/2)/COUNT(Risk_Rank_Keys!$D$2:$D$800))</f>
        <v>0.133891213389121</v>
      </c>
      <c r="P693" s="0" t="n">
        <f aca="false">AVERAGE(M693:O693)</f>
        <v>0.130636913063691</v>
      </c>
      <c r="Q693" s="0" t="n">
        <f aca="false">0.4*H693+0.4*I693+0.2*P693</f>
        <v>0.236890836930636</v>
      </c>
      <c r="R693" s="0" t="n">
        <f aca="false">PERCENTILE($Q$2:$Q$800,0.75)</f>
        <v>0.667715717403612</v>
      </c>
      <c r="S693" s="1" t="b">
        <f aca="false">OR(Q693&gt;=R693,AND(B693="CW",COUNT(J693:L693)&lt;3))</f>
        <v>0</v>
      </c>
      <c r="T693" s="0" t="n">
        <v>0.254060397315033</v>
      </c>
      <c r="U693" s="0" t="n">
        <v>5.73978827910694</v>
      </c>
      <c r="V693" s="0" t="n">
        <v>0.236890836930636</v>
      </c>
      <c r="W693" s="0" t="n">
        <f aca="false">Q693-V693</f>
        <v>0</v>
      </c>
    </row>
    <row r="694" customFormat="false" ht="15" hidden="false" customHeight="false" outlineLevel="0" collapsed="false">
      <c r="A694" s="0" t="s">
        <v>728</v>
      </c>
      <c r="B694" s="0" t="s">
        <v>3013</v>
      </c>
      <c r="C694" s="0" t="n">
        <v>9.64373114615544</v>
      </c>
      <c r="D694" s="0" t="n">
        <f aca="false">SUMPRODUCT(Risk_Inputs!B694:AJ694,Risk_Coefs!$B$2:$AJ$2)</f>
        <v>-0.956061300694161</v>
      </c>
      <c r="E694" s="0" t="n">
        <f aca="false">1/(1+EXP(-MAX(-25,MIN(25,D694))))</f>
        <v>0.277667480707349</v>
      </c>
      <c r="F694" s="0" t="n">
        <f aca="false">SUMPRODUCT(Risk_Inputs!B694:AJ694,Risk_Coefs!$B$3:$AJ$3)</f>
        <v>6.05671731555936</v>
      </c>
      <c r="G694" s="0" t="n">
        <f aca="false">MAX(0,F694)</f>
        <v>6.05671731555936</v>
      </c>
      <c r="H694" s="0" t="n">
        <f aca="false">(SUMPRODUCT(--ISNUMBER($E$2:$E$800),--($E$2:$E$800&lt;E694))+(SUMPRODUCT(--ISNUMBER($E$2:$E$800),--($E$2:$E$800=E694))+1)/2)/COUNT($E$2:$E$800)</f>
        <v>0.450563204005006</v>
      </c>
      <c r="I694" s="0" t="n">
        <f aca="false">(SUMPRODUCT(--ISNUMBER($G$2:$G$800),--($G$2:$G$800&lt;G694))+(SUMPRODUCT(--ISNUMBER($G$2:$G$800),--($G$2:$G$800=G694))+1)/2)/COUNT($G$2:$G$800)</f>
        <v>0.274092615769712</v>
      </c>
      <c r="J694" s="0" t="n">
        <v>8.29753138610151</v>
      </c>
      <c r="K694" s="0" t="n">
        <v>2.44873581524984</v>
      </c>
      <c r="L694" s="0" t="n">
        <v>0.199084212621928</v>
      </c>
      <c r="M694" s="0" t="n">
        <f aca="false">IF(OR(B694="NW",COUNT(Risk_Rank_Keys!B694)=0),0.5,(SUMPRODUCT(--ISNUMBER(Risk_Rank_Keys!$B$2:$B$800),--(Risk_Rank_Keys!$B$2:$B$800&lt;Risk_Rank_Keys!B694))+(SUMPRODUCT(--ISNUMBER(Risk_Rank_Keys!$B$2:$B$800),--(Risk_Rank_Keys!$B$2:$B$800=Risk_Rank_Keys!B694))+1)/2)/COUNT(Risk_Rank_Keys!$B$2:$B$800))</f>
        <v>0.401673640167364</v>
      </c>
      <c r="N694" s="0" t="n">
        <f aca="false">IF(OR(B694="NW",COUNT(Risk_Rank_Keys!C694)=0),0.5,(SUMPRODUCT(--ISNUMBER(Risk_Rank_Keys!$C$2:$C$800),--(Risk_Rank_Keys!$C$2:$C$800&lt;Risk_Rank_Keys!C694))+(SUMPRODUCT(--ISNUMBER(Risk_Rank_Keys!$C$2:$C$800),--(Risk_Rank_Keys!$C$2:$C$800=Risk_Rank_Keys!C694))+1)/2)/COUNT(Risk_Rank_Keys!$C$2:$C$800))</f>
        <v>0.376569037656904</v>
      </c>
      <c r="O694" s="0" t="n">
        <f aca="false">IF(OR(B694="NW",COUNT(Risk_Rank_Keys!D694)=0),0.5,(SUMPRODUCT(--ISNUMBER(Risk_Rank_Keys!$D$2:$D$800),--(Risk_Rank_Keys!$D$2:$D$800&lt;Risk_Rank_Keys!D694))+(SUMPRODUCT(--ISNUMBER(Risk_Rank_Keys!$D$2:$D$800),--(Risk_Rank_Keys!$D$2:$D$800=Risk_Rank_Keys!D694))+1)/2)/COUNT(Risk_Rank_Keys!$D$2:$D$800))</f>
        <v>0.309623430962343</v>
      </c>
      <c r="P694" s="0" t="n">
        <f aca="false">AVERAGE(M694:O694)</f>
        <v>0.362622036262204</v>
      </c>
      <c r="Q694" s="0" t="n">
        <f aca="false">0.4*H694+0.4*I694+0.2*P694</f>
        <v>0.362386735162328</v>
      </c>
      <c r="R694" s="0" t="n">
        <f aca="false">PERCENTILE($Q$2:$Q$800,0.75)</f>
        <v>0.667715717403612</v>
      </c>
      <c r="S694" s="1" t="b">
        <f aca="false">OR(Q694&gt;=R694,AND(B694="CW",COUNT(J694:L694)&lt;3))</f>
        <v>0</v>
      </c>
      <c r="T694" s="0" t="n">
        <v>0.277667480707349</v>
      </c>
      <c r="U694" s="0" t="n">
        <v>6.05671731555936</v>
      </c>
      <c r="V694" s="0" t="n">
        <v>0.362386735162328</v>
      </c>
      <c r="W694" s="0" t="n">
        <f aca="false">Q694-V694</f>
        <v>0</v>
      </c>
    </row>
    <row r="695" customFormat="false" ht="15" hidden="false" customHeight="false" outlineLevel="0" collapsed="false">
      <c r="A695" s="0" t="s">
        <v>729</v>
      </c>
      <c r="B695" s="0" t="s">
        <v>3013</v>
      </c>
      <c r="C695" s="0" t="n">
        <v>41.7395977026985</v>
      </c>
      <c r="D695" s="0" t="n">
        <f aca="false">SUMPRODUCT(Risk_Inputs!B695:AJ695,Risk_Coefs!$B$2:$AJ$2)</f>
        <v>-1.10777220131776</v>
      </c>
      <c r="E695" s="0" t="n">
        <f aca="false">1/(1+EXP(-MAX(-25,MIN(25,D695))))</f>
        <v>0.248286452346007</v>
      </c>
      <c r="F695" s="0" t="n">
        <f aca="false">SUMPRODUCT(Risk_Inputs!B695:AJ695,Risk_Coefs!$B$3:$AJ$3)</f>
        <v>5.14724845899183</v>
      </c>
      <c r="G695" s="0" t="n">
        <f aca="false">MAX(0,F695)</f>
        <v>5.14724845899183</v>
      </c>
      <c r="H695" s="0" t="n">
        <f aca="false">(SUMPRODUCT(--ISNUMBER($E$2:$E$800),--($E$2:$E$800&lt;E695))+(SUMPRODUCT(--ISNUMBER($E$2:$E$800),--($E$2:$E$800=E695))+1)/2)/COUNT($E$2:$E$800)</f>
        <v>0.254067584480601</v>
      </c>
      <c r="I695" s="0" t="n">
        <f aca="false">(SUMPRODUCT(--ISNUMBER($G$2:$G$800),--($G$2:$G$800&lt;G695))+(SUMPRODUCT(--ISNUMBER($G$2:$G$800),--($G$2:$G$800=G695))+1)/2)/COUNT($G$2:$G$800)</f>
        <v>0.152690863579474</v>
      </c>
      <c r="J695" s="0" t="n">
        <v>5.14850084301732</v>
      </c>
      <c r="K695" s="0" t="n">
        <v>2.38204306000917</v>
      </c>
      <c r="L695" s="0" t="n">
        <v>0.206138341731563</v>
      </c>
      <c r="M695" s="0" t="n">
        <f aca="false">IF(OR(B695="NW",COUNT(Risk_Rank_Keys!B695)=0),0.5,(SUMPRODUCT(--ISNUMBER(Risk_Rank_Keys!$B$2:$B$800),--(Risk_Rank_Keys!$B$2:$B$800&lt;Risk_Rank_Keys!B695))+(SUMPRODUCT(--ISNUMBER(Risk_Rank_Keys!$B$2:$B$800),--(Risk_Rank_Keys!$B$2:$B$800=Risk_Rank_Keys!B695))+1)/2)/COUNT(Risk_Rank_Keys!$B$2:$B$800))</f>
        <v>0.143654114365411</v>
      </c>
      <c r="N695" s="0" t="n">
        <f aca="false">IF(OR(B695="NW",COUNT(Risk_Rank_Keys!C695)=0),0.5,(SUMPRODUCT(--ISNUMBER(Risk_Rank_Keys!$C$2:$C$800),--(Risk_Rank_Keys!$C$2:$C$800&lt;Risk_Rank_Keys!C695))+(SUMPRODUCT(--ISNUMBER(Risk_Rank_Keys!$C$2:$C$800),--(Risk_Rank_Keys!$C$2:$C$800=Risk_Rank_Keys!C695))+1)/2)/COUNT(Risk_Rank_Keys!$C$2:$C$800))</f>
        <v>0.364016736401674</v>
      </c>
      <c r="O695" s="0" t="n">
        <f aca="false">IF(OR(B695="NW",COUNT(Risk_Rank_Keys!D695)=0),0.5,(SUMPRODUCT(--ISNUMBER(Risk_Rank_Keys!$D$2:$D$800),--(Risk_Rank_Keys!$D$2:$D$800&lt;Risk_Rank_Keys!D695))+(SUMPRODUCT(--ISNUMBER(Risk_Rank_Keys!$D$2:$D$800),--(Risk_Rank_Keys!$D$2:$D$800=Risk_Rank_Keys!D695))+1)/2)/COUNT(Risk_Rank_Keys!$D$2:$D$800))</f>
        <v>0.350069735006974</v>
      </c>
      <c r="P695" s="0" t="n">
        <f aca="false">AVERAGE(M695:O695)</f>
        <v>0.285913528591353</v>
      </c>
      <c r="Q695" s="0" t="n">
        <f aca="false">0.4*H695+0.4*I695+0.2*P695</f>
        <v>0.219886084942301</v>
      </c>
      <c r="R695" s="0" t="n">
        <f aca="false">PERCENTILE($Q$2:$Q$800,0.75)</f>
        <v>0.667715717403612</v>
      </c>
      <c r="S695" s="1" t="b">
        <f aca="false">OR(Q695&gt;=R695,AND(B695="CW",COUNT(J695:L695)&lt;3))</f>
        <v>0</v>
      </c>
      <c r="T695" s="0" t="n">
        <v>0.248286452346007</v>
      </c>
      <c r="U695" s="0" t="n">
        <v>5.14724845899183</v>
      </c>
      <c r="V695" s="0" t="n">
        <v>0.219886084942301</v>
      </c>
      <c r="W695" s="0" t="n">
        <f aca="false">Q695-V695</f>
        <v>0</v>
      </c>
    </row>
    <row r="696" customFormat="false" ht="15" hidden="false" customHeight="false" outlineLevel="0" collapsed="false">
      <c r="A696" s="0" t="s">
        <v>730</v>
      </c>
      <c r="B696" s="0" t="s">
        <v>3013</v>
      </c>
      <c r="C696" s="0" t="n">
        <v>3.5691091946709</v>
      </c>
      <c r="D696" s="0" t="n">
        <f aca="false">SUMPRODUCT(Risk_Inputs!B696:AJ696,Risk_Coefs!$B$2:$AJ$2)</f>
        <v>-0.731240312690532</v>
      </c>
      <c r="E696" s="0" t="n">
        <f aca="false">1/(1+EXP(-MAX(-25,MIN(25,D696))))</f>
        <v>0.324922608369108</v>
      </c>
      <c r="F696" s="0" t="n">
        <f aca="false">SUMPRODUCT(Risk_Inputs!B696:AJ696,Risk_Coefs!$B$3:$AJ$3)</f>
        <v>5.85447425911946</v>
      </c>
      <c r="G696" s="0" t="n">
        <f aca="false">MAX(0,F696)</f>
        <v>5.85447425911946</v>
      </c>
      <c r="H696" s="0" t="n">
        <f aca="false">(SUMPRODUCT(--ISNUMBER($E$2:$E$800),--($E$2:$E$800&lt;E696))+(SUMPRODUCT(--ISNUMBER($E$2:$E$800),--($E$2:$E$800=E696))+1)/2)/COUNT($E$2:$E$800)</f>
        <v>0.703379224030038</v>
      </c>
      <c r="I696" s="0" t="n">
        <f aca="false">(SUMPRODUCT(--ISNUMBER($G$2:$G$800),--($G$2:$G$800&lt;G696))+(SUMPRODUCT(--ISNUMBER($G$2:$G$800),--($G$2:$G$800=G696))+1)/2)/COUNT($G$2:$G$800)</f>
        <v>0.246558197747184</v>
      </c>
      <c r="J696" s="0" t="n">
        <v>4.83598450096732</v>
      </c>
      <c r="K696" s="0" t="n">
        <v>1.38979370249728</v>
      </c>
      <c r="L696" s="0" t="n">
        <v>0.260586319218239</v>
      </c>
      <c r="M696" s="0" t="n">
        <f aca="false">IF(OR(B696="NW",COUNT(Risk_Rank_Keys!B696)=0),0.5,(SUMPRODUCT(--ISNUMBER(Risk_Rank_Keys!$B$2:$B$800),--(Risk_Rank_Keys!$B$2:$B$800&lt;Risk_Rank_Keys!B696))+(SUMPRODUCT(--ISNUMBER(Risk_Rank_Keys!$B$2:$B$800),--(Risk_Rank_Keys!$B$2:$B$800=Risk_Rank_Keys!B696))+1)/2)/COUNT(Risk_Rank_Keys!$B$2:$B$800))</f>
        <v>0.119944211994421</v>
      </c>
      <c r="N696" s="0" t="n">
        <f aca="false">IF(OR(B696="NW",COUNT(Risk_Rank_Keys!C696)=0),0.5,(SUMPRODUCT(--ISNUMBER(Risk_Rank_Keys!$C$2:$C$800),--(Risk_Rank_Keys!$C$2:$C$800&lt;Risk_Rank_Keys!C696))+(SUMPRODUCT(--ISNUMBER(Risk_Rank_Keys!$C$2:$C$800),--(Risk_Rank_Keys!$C$2:$C$800=Risk_Rank_Keys!C696))+1)/2)/COUNT(Risk_Rank_Keys!$C$2:$C$800))</f>
        <v>0.104602510460251</v>
      </c>
      <c r="O696" s="0" t="n">
        <f aca="false">IF(OR(B696="NW",COUNT(Risk_Rank_Keys!D696)=0),0.5,(SUMPRODUCT(--ISNUMBER(Risk_Rank_Keys!$D$2:$D$800),--(Risk_Rank_Keys!$D$2:$D$800&lt;Risk_Rank_Keys!D696))+(SUMPRODUCT(--ISNUMBER(Risk_Rank_Keys!$D$2:$D$800),--(Risk_Rank_Keys!$D$2:$D$800=Risk_Rank_Keys!D696))+1)/2)/COUNT(Risk_Rank_Keys!$D$2:$D$800))</f>
        <v>0.637377963737796</v>
      </c>
      <c r="P696" s="0" t="n">
        <f aca="false">AVERAGE(M696:O696)</f>
        <v>0.287308228730823</v>
      </c>
      <c r="Q696" s="0" t="n">
        <f aca="false">0.4*H696+0.4*I696+0.2*P696</f>
        <v>0.437436614457053</v>
      </c>
      <c r="R696" s="0" t="n">
        <f aca="false">PERCENTILE($Q$2:$Q$800,0.75)</f>
        <v>0.667715717403612</v>
      </c>
      <c r="S696" s="1" t="b">
        <f aca="false">OR(Q696&gt;=R696,AND(B696="CW",COUNT(J696:L696)&lt;3))</f>
        <v>0</v>
      </c>
      <c r="T696" s="0" t="n">
        <v>0.324922608369108</v>
      </c>
      <c r="U696" s="0" t="n">
        <v>5.85447425911946</v>
      </c>
      <c r="V696" s="0" t="n">
        <v>0.437436614457053</v>
      </c>
      <c r="W696" s="0" t="n">
        <f aca="false">Q696-V696</f>
        <v>0</v>
      </c>
    </row>
    <row r="697" customFormat="false" ht="15" hidden="false" customHeight="false" outlineLevel="0" collapsed="false">
      <c r="A697" s="0" t="s">
        <v>731</v>
      </c>
      <c r="B697" s="0" t="s">
        <v>3013</v>
      </c>
      <c r="C697" s="0" t="n">
        <v>32.736964709615</v>
      </c>
      <c r="D697" s="0" t="n">
        <f aca="false">SUMPRODUCT(Risk_Inputs!B697:AJ697,Risk_Coefs!$B$2:$AJ$2)</f>
        <v>-0.986274653290685</v>
      </c>
      <c r="E697" s="0" t="n">
        <f aca="false">1/(1+EXP(-MAX(-25,MIN(25,D697))))</f>
        <v>0.271648531039677</v>
      </c>
      <c r="F697" s="0" t="n">
        <f aca="false">SUMPRODUCT(Risk_Inputs!B697:AJ697,Risk_Coefs!$B$3:$AJ$3)</f>
        <v>6.50062799870078</v>
      </c>
      <c r="G697" s="0" t="n">
        <f aca="false">MAX(0,F697)</f>
        <v>6.50062799870078</v>
      </c>
      <c r="H697" s="0" t="n">
        <f aca="false">(SUMPRODUCT(--ISNUMBER($E$2:$E$800),--($E$2:$E$800&lt;E697))+(SUMPRODUCT(--ISNUMBER($E$2:$E$800),--($E$2:$E$800=E697))+1)/2)/COUNT($E$2:$E$800)</f>
        <v>0.399249061326658</v>
      </c>
      <c r="I697" s="0" t="n">
        <f aca="false">(SUMPRODUCT(--ISNUMBER($G$2:$G$800),--($G$2:$G$800&lt;G697))+(SUMPRODUCT(--ISNUMBER($G$2:$G$800),--($G$2:$G$800=G697))+1)/2)/COUNT($G$2:$G$800)</f>
        <v>0.341677096370463</v>
      </c>
      <c r="J697" s="0" t="n">
        <v>5.30690613335184</v>
      </c>
      <c r="K697" s="0" t="n">
        <v>2.32558139534883</v>
      </c>
      <c r="L697" s="0" t="n">
        <v>0.158562367864699</v>
      </c>
      <c r="M697" s="0" t="n">
        <f aca="false">IF(OR(B697="NW",COUNT(Risk_Rank_Keys!B697)=0),0.5,(SUMPRODUCT(--ISNUMBER(Risk_Rank_Keys!$B$2:$B$800),--(Risk_Rank_Keys!$B$2:$B$800&lt;Risk_Rank_Keys!B697))+(SUMPRODUCT(--ISNUMBER(Risk_Rank_Keys!$B$2:$B$800),--(Risk_Rank_Keys!$B$2:$B$800=Risk_Rank_Keys!B697))+1)/2)/COUNT(Risk_Rank_Keys!$B$2:$B$800))</f>
        <v>0.147838214783821</v>
      </c>
      <c r="N697" s="0" t="n">
        <f aca="false">IF(OR(B697="NW",COUNT(Risk_Rank_Keys!C697)=0),0.5,(SUMPRODUCT(--ISNUMBER(Risk_Rank_Keys!$C$2:$C$800),--(Risk_Rank_Keys!$C$2:$C$800&lt;Risk_Rank_Keys!C697))+(SUMPRODUCT(--ISNUMBER(Risk_Rank_Keys!$C$2:$C$800),--(Risk_Rank_Keys!$C$2:$C$800=Risk_Rank_Keys!C697))+1)/2)/COUNT(Risk_Rank_Keys!$C$2:$C$800))</f>
        <v>0.345885634588564</v>
      </c>
      <c r="O697" s="0" t="n">
        <f aca="false">IF(OR(B697="NW",COUNT(Risk_Rank_Keys!D697)=0),0.5,(SUMPRODUCT(--ISNUMBER(Risk_Rank_Keys!$D$2:$D$800),--(Risk_Rank_Keys!$D$2:$D$800&lt;Risk_Rank_Keys!D697))+(SUMPRODUCT(--ISNUMBER(Risk_Rank_Keys!$D$2:$D$800),--(Risk_Rank_Keys!$D$2:$D$800=Risk_Rank_Keys!D697))+1)/2)/COUNT(Risk_Rank_Keys!$D$2:$D$800))</f>
        <v>0.126917712691771</v>
      </c>
      <c r="P697" s="0" t="n">
        <f aca="false">AVERAGE(M697:O697)</f>
        <v>0.206880520688052</v>
      </c>
      <c r="Q697" s="0" t="n">
        <f aca="false">0.4*H697+0.4*I697+0.2*P697</f>
        <v>0.337746567216459</v>
      </c>
      <c r="R697" s="0" t="n">
        <f aca="false">PERCENTILE($Q$2:$Q$800,0.75)</f>
        <v>0.667715717403612</v>
      </c>
      <c r="S697" s="1" t="b">
        <f aca="false">OR(Q697&gt;=R697,AND(B697="CW",COUNT(J697:L697)&lt;3))</f>
        <v>0</v>
      </c>
      <c r="T697" s="0" t="n">
        <v>0.271648531039677</v>
      </c>
      <c r="U697" s="0" t="n">
        <v>6.50062799870078</v>
      </c>
      <c r="V697" s="0" t="n">
        <v>0.337746567216459</v>
      </c>
      <c r="W697" s="0" t="n">
        <f aca="false">Q697-V697</f>
        <v>0</v>
      </c>
    </row>
    <row r="698" customFormat="false" ht="15" hidden="false" customHeight="false" outlineLevel="0" collapsed="false">
      <c r="A698" s="0" t="s">
        <v>732</v>
      </c>
      <c r="B698" s="0" t="s">
        <v>3013</v>
      </c>
      <c r="C698" s="0" t="n">
        <v>25.1612060429777</v>
      </c>
      <c r="D698" s="0" t="n">
        <f aca="false">SUMPRODUCT(Risk_Inputs!B698:AJ698,Risk_Coefs!$B$2:$AJ$2)</f>
        <v>-0.773035274165154</v>
      </c>
      <c r="E698" s="0" t="n">
        <f aca="false">1/(1+EXP(-MAX(-25,MIN(25,D698))))</f>
        <v>0.315822881553462</v>
      </c>
      <c r="F698" s="0" t="n">
        <f aca="false">SUMPRODUCT(Risk_Inputs!B698:AJ698,Risk_Coefs!$B$3:$AJ$3)</f>
        <v>10.4746706226825</v>
      </c>
      <c r="G698" s="0" t="n">
        <f aca="false">MAX(0,F698)</f>
        <v>10.4746706226825</v>
      </c>
      <c r="H698" s="0" t="n">
        <f aca="false">(SUMPRODUCT(--ISNUMBER($E$2:$E$800),--($E$2:$E$800&lt;E698))+(SUMPRODUCT(--ISNUMBER($E$2:$E$800),--($E$2:$E$800=E698))+1)/2)/COUNT($E$2:$E$800)</f>
        <v>0.643304130162703</v>
      </c>
      <c r="I698" s="0" t="n">
        <f aca="false">(SUMPRODUCT(--ISNUMBER($G$2:$G$800),--($G$2:$G$800&lt;G698))+(SUMPRODUCT(--ISNUMBER($G$2:$G$800),--($G$2:$G$800=G698))+1)/2)/COUNT($G$2:$G$800)</f>
        <v>0.83729662077597</v>
      </c>
      <c r="J698" s="0" t="n">
        <v>6.95993040069512</v>
      </c>
      <c r="K698" s="0" t="n">
        <v>2.59832710446697</v>
      </c>
      <c r="L698" s="0" t="n">
        <v>0.213561131873997</v>
      </c>
      <c r="M698" s="0" t="n">
        <f aca="false">IF(OR(B698="NW",COUNT(Risk_Rank_Keys!B698)=0),0.5,(SUMPRODUCT(--ISNUMBER(Risk_Rank_Keys!$B$2:$B$800),--(Risk_Rank_Keys!$B$2:$B$800&lt;Risk_Rank_Keys!B698))+(SUMPRODUCT(--ISNUMBER(Risk_Rank_Keys!$B$2:$B$800),--(Risk_Rank_Keys!$B$2:$B$800=Risk_Rank_Keys!B698))+1)/2)/COUNT(Risk_Rank_Keys!$B$2:$B$800))</f>
        <v>0.308228730822873</v>
      </c>
      <c r="N698" s="0" t="n">
        <f aca="false">IF(OR(B698="NW",COUNT(Risk_Rank_Keys!C698)=0),0.5,(SUMPRODUCT(--ISNUMBER(Risk_Rank_Keys!$C$2:$C$800),--(Risk_Rank_Keys!$C$2:$C$800&lt;Risk_Rank_Keys!C698))+(SUMPRODUCT(--ISNUMBER(Risk_Rank_Keys!$C$2:$C$800),--(Risk_Rank_Keys!$C$2:$C$800=Risk_Rank_Keys!C698))+1)/2)/COUNT(Risk_Rank_Keys!$C$2:$C$800))</f>
        <v>0.408647140864714</v>
      </c>
      <c r="O698" s="0" t="n">
        <f aca="false">IF(OR(B698="NW",COUNT(Risk_Rank_Keys!D698)=0),0.5,(SUMPRODUCT(--ISNUMBER(Risk_Rank_Keys!$D$2:$D$800),--(Risk_Rank_Keys!$D$2:$D$800&lt;Risk_Rank_Keys!D698))+(SUMPRODUCT(--ISNUMBER(Risk_Rank_Keys!$D$2:$D$800),--(Risk_Rank_Keys!$D$2:$D$800=Risk_Rank_Keys!D698))+1)/2)/COUNT(Risk_Rank_Keys!$D$2:$D$800))</f>
        <v>0.400278940027894</v>
      </c>
      <c r="P698" s="0" t="n">
        <f aca="false">AVERAGE(M698:O698)</f>
        <v>0.372384937238494</v>
      </c>
      <c r="Q698" s="0" t="n">
        <f aca="false">0.4*H698+0.4*I698+0.2*P698</f>
        <v>0.666717287823168</v>
      </c>
      <c r="R698" s="0" t="n">
        <f aca="false">PERCENTILE($Q$2:$Q$800,0.75)</f>
        <v>0.667715717403612</v>
      </c>
      <c r="S698" s="1" t="b">
        <f aca="false">OR(Q698&gt;=R698,AND(B698="CW",COUNT(J698:L698)&lt;3))</f>
        <v>0</v>
      </c>
      <c r="T698" s="0" t="n">
        <v>0.315822881553462</v>
      </c>
      <c r="U698" s="0" t="n">
        <v>10.4746706226825</v>
      </c>
      <c r="V698" s="0" t="n">
        <v>0.666717287823168</v>
      </c>
      <c r="W698" s="0" t="n">
        <f aca="false">Q698-V698</f>
        <v>0</v>
      </c>
    </row>
    <row r="699" customFormat="false" ht="15" hidden="false" customHeight="false" outlineLevel="0" collapsed="false">
      <c r="A699" s="0" t="s">
        <v>733</v>
      </c>
      <c r="B699" s="0" t="s">
        <v>3013</v>
      </c>
      <c r="C699" s="0" t="n">
        <v>11.3073635188515</v>
      </c>
      <c r="D699" s="0" t="n">
        <f aca="false">SUMPRODUCT(Risk_Inputs!B699:AJ699,Risk_Coefs!$B$2:$AJ$2)</f>
        <v>-0.66069826395066</v>
      </c>
      <c r="E699" s="0" t="n">
        <f aca="false">1/(1+EXP(-MAX(-25,MIN(25,D699))))</f>
        <v>0.340582773685599</v>
      </c>
      <c r="F699" s="0" t="n">
        <f aca="false">SUMPRODUCT(Risk_Inputs!B699:AJ699,Risk_Coefs!$B$3:$AJ$3)</f>
        <v>7.19177952868215</v>
      </c>
      <c r="G699" s="0" t="n">
        <f aca="false">MAX(0,F699)</f>
        <v>7.19177952868215</v>
      </c>
      <c r="H699" s="0" t="n">
        <f aca="false">(SUMPRODUCT(--ISNUMBER($E$2:$E$800),--($E$2:$E$800&lt;E699))+(SUMPRODUCT(--ISNUMBER($E$2:$E$800),--($E$2:$E$800=E699))+1)/2)/COUNT($E$2:$E$800)</f>
        <v>0.785982478097622</v>
      </c>
      <c r="I699" s="0" t="n">
        <f aca="false">(SUMPRODUCT(--ISNUMBER($G$2:$G$800),--($G$2:$G$800&lt;G699))+(SUMPRODUCT(--ISNUMBER($G$2:$G$800),--($G$2:$G$800=G699))+1)/2)/COUNT($G$2:$G$800)</f>
        <v>0.44305381727159</v>
      </c>
      <c r="J699" s="0" t="n">
        <v>7.74444531160828</v>
      </c>
      <c r="K699" s="0" t="n">
        <v>0.817995910020455</v>
      </c>
      <c r="L699" s="0" t="n">
        <v>0.159054760281758</v>
      </c>
      <c r="M699" s="0" t="n">
        <f aca="false">IF(OR(B699="NW",COUNT(Risk_Rank_Keys!B699)=0),0.5,(SUMPRODUCT(--ISNUMBER(Risk_Rank_Keys!$B$2:$B$800),--(Risk_Rank_Keys!$B$2:$B$800&lt;Risk_Rank_Keys!B699))+(SUMPRODUCT(--ISNUMBER(Risk_Rank_Keys!$B$2:$B$800),--(Risk_Rank_Keys!$B$2:$B$800=Risk_Rank_Keys!B699))+1)/2)/COUNT(Risk_Rank_Keys!$B$2:$B$800))</f>
        <v>0.369595536959554</v>
      </c>
      <c r="N699" s="0" t="n">
        <f aca="false">IF(OR(B699="NW",COUNT(Risk_Rank_Keys!C699)=0),0.5,(SUMPRODUCT(--ISNUMBER(Risk_Rank_Keys!$C$2:$C$800),--(Risk_Rank_Keys!$C$2:$C$800&lt;Risk_Rank_Keys!C699))+(SUMPRODUCT(--ISNUMBER(Risk_Rank_Keys!$C$2:$C$800),--(Risk_Rank_Keys!$C$2:$C$800=Risk_Rank_Keys!C699))+1)/2)/COUNT(Risk_Rank_Keys!$C$2:$C$800))</f>
        <v>0.0097629009762901</v>
      </c>
      <c r="O699" s="0" t="n">
        <f aca="false">IF(OR(B699="NW",COUNT(Risk_Rank_Keys!D699)=0),0.5,(SUMPRODUCT(--ISNUMBER(Risk_Rank_Keys!$D$2:$D$800),--(Risk_Rank_Keys!$D$2:$D$800&lt;Risk_Rank_Keys!D699))+(SUMPRODUCT(--ISNUMBER(Risk_Rank_Keys!$D$2:$D$800),--(Risk_Rank_Keys!$D$2:$D$800=Risk_Rank_Keys!D699))+1)/2)/COUNT(Risk_Rank_Keys!$D$2:$D$800))</f>
        <v>0.128312412831241</v>
      </c>
      <c r="P699" s="0" t="n">
        <f aca="false">AVERAGE(M699:O699)</f>
        <v>0.169223616922362</v>
      </c>
      <c r="Q699" s="0" t="n">
        <f aca="false">0.4*H699+0.4*I699+0.2*P699</f>
        <v>0.525459241532157</v>
      </c>
      <c r="R699" s="0" t="n">
        <f aca="false">PERCENTILE($Q$2:$Q$800,0.75)</f>
        <v>0.667715717403612</v>
      </c>
      <c r="S699" s="1" t="b">
        <f aca="false">OR(Q699&gt;=R699,AND(B699="CW",COUNT(J699:L699)&lt;3))</f>
        <v>0</v>
      </c>
      <c r="T699" s="0" t="n">
        <v>0.340582773685599</v>
      </c>
      <c r="U699" s="0" t="n">
        <v>7.19177952868215</v>
      </c>
      <c r="V699" s="0" t="n">
        <v>0.525459241532157</v>
      </c>
      <c r="W699" s="0" t="n">
        <f aca="false">Q699-V699</f>
        <v>0</v>
      </c>
    </row>
    <row r="700" customFormat="false" ht="15" hidden="false" customHeight="false" outlineLevel="0" collapsed="false">
      <c r="A700" s="0" t="s">
        <v>734</v>
      </c>
      <c r="B700" s="0" t="s">
        <v>3013</v>
      </c>
      <c r="C700" s="0" t="n">
        <v>19.3135880355622</v>
      </c>
      <c r="D700" s="0" t="n">
        <f aca="false">SUMPRODUCT(Risk_Inputs!B700:AJ700,Risk_Coefs!$B$2:$AJ$2)</f>
        <v>-0.920690316003347</v>
      </c>
      <c r="E700" s="0" t="n">
        <f aca="false">1/(1+EXP(-MAX(-25,MIN(25,D700))))</f>
        <v>0.284817258537678</v>
      </c>
      <c r="F700" s="0" t="n">
        <f aca="false">SUMPRODUCT(Risk_Inputs!B700:AJ700,Risk_Coefs!$B$3:$AJ$3)</f>
        <v>5.58017622497951</v>
      </c>
      <c r="G700" s="0" t="n">
        <f aca="false">MAX(0,F700)</f>
        <v>5.58017622497951</v>
      </c>
      <c r="H700" s="0" t="n">
        <f aca="false">(SUMPRODUCT(--ISNUMBER($E$2:$E$800),--($E$2:$E$800&lt;E700))+(SUMPRODUCT(--ISNUMBER($E$2:$E$800),--($E$2:$E$800=E700))+1)/2)/COUNT($E$2:$E$800)</f>
        <v>0.493116395494368</v>
      </c>
      <c r="I700" s="0" t="n">
        <f aca="false">(SUMPRODUCT(--ISNUMBER($G$2:$G$800),--($G$2:$G$800&lt;G700))+(SUMPRODUCT(--ISNUMBER($G$2:$G$800),--($G$2:$G$800=G700))+1)/2)/COUNT($G$2:$G$800)</f>
        <v>0.212765957446809</v>
      </c>
      <c r="J700" s="0" t="n">
        <v>11.0409040170658</v>
      </c>
      <c r="K700" s="0" t="n">
        <v>1.64688786631146</v>
      </c>
      <c r="L700" s="0" t="n">
        <v>0.217970452894165</v>
      </c>
      <c r="M700" s="0" t="n">
        <f aca="false">IF(OR(B700="NW",COUNT(Risk_Rank_Keys!B700)=0),0.5,(SUMPRODUCT(--ISNUMBER(Risk_Rank_Keys!$B$2:$B$800),--(Risk_Rank_Keys!$B$2:$B$800&lt;Risk_Rank_Keys!B700))+(SUMPRODUCT(--ISNUMBER(Risk_Rank_Keys!$B$2:$B$800),--(Risk_Rank_Keys!$B$2:$B$800=Risk_Rank_Keys!B700))+1)/2)/COUNT(Risk_Rank_Keys!$B$2:$B$800))</f>
        <v>0.543933054393305</v>
      </c>
      <c r="N700" s="0" t="n">
        <f aca="false">IF(OR(B700="NW",COUNT(Risk_Rank_Keys!C700)=0),0.5,(SUMPRODUCT(--ISNUMBER(Risk_Rank_Keys!$C$2:$C$800),--(Risk_Rank_Keys!$C$2:$C$800&lt;Risk_Rank_Keys!C700))+(SUMPRODUCT(--ISNUMBER(Risk_Rank_Keys!$C$2:$C$800),--(Risk_Rank_Keys!$C$2:$C$800=Risk_Rank_Keys!C700))+1)/2)/COUNT(Risk_Rank_Keys!$C$2:$C$800))</f>
        <v>0.172942817294282</v>
      </c>
      <c r="O700" s="0" t="n">
        <f aca="false">IF(OR(B700="NW",COUNT(Risk_Rank_Keys!D700)=0),0.5,(SUMPRODUCT(--ISNUMBER(Risk_Rank_Keys!$D$2:$D$800),--(Risk_Rank_Keys!$D$2:$D$800&lt;Risk_Rank_Keys!D700))+(SUMPRODUCT(--ISNUMBER(Risk_Rank_Keys!$D$2:$D$800),--(Risk_Rank_Keys!$D$2:$D$800=Risk_Rank_Keys!D700))+1)/2)/COUNT(Risk_Rank_Keys!$D$2:$D$800))</f>
        <v>0.426778242677824</v>
      </c>
      <c r="P700" s="0" t="n">
        <f aca="false">AVERAGE(M700:O700)</f>
        <v>0.381218038121804</v>
      </c>
      <c r="Q700" s="0" t="n">
        <f aca="false">0.4*H700+0.4*I700+0.2*P700</f>
        <v>0.358596548800831</v>
      </c>
      <c r="R700" s="0" t="n">
        <f aca="false">PERCENTILE($Q$2:$Q$800,0.75)</f>
        <v>0.667715717403612</v>
      </c>
      <c r="S700" s="1" t="b">
        <f aca="false">OR(Q700&gt;=R700,AND(B700="CW",COUNT(J700:L700)&lt;3))</f>
        <v>0</v>
      </c>
      <c r="T700" s="0" t="n">
        <v>0.284817258537678</v>
      </c>
      <c r="U700" s="0" t="n">
        <v>5.58017622497951</v>
      </c>
      <c r="V700" s="0" t="n">
        <v>0.358596548800831</v>
      </c>
      <c r="W700" s="0" t="n">
        <f aca="false">Q700-V700</f>
        <v>0</v>
      </c>
    </row>
    <row r="701" customFormat="false" ht="15" hidden="false" customHeight="false" outlineLevel="0" collapsed="false">
      <c r="A701" s="0" t="s">
        <v>735</v>
      </c>
      <c r="B701" s="0" t="s">
        <v>3013</v>
      </c>
      <c r="C701" s="0" t="n">
        <v>-13.494697923803</v>
      </c>
      <c r="D701" s="0" t="n">
        <f aca="false">SUMPRODUCT(Risk_Inputs!B701:AJ701,Risk_Coefs!$B$2:$AJ$2)</f>
        <v>-0.507102898104864</v>
      </c>
      <c r="E701" s="0" t="n">
        <f aca="false">1/(1+EXP(-MAX(-25,MIN(25,D701))))</f>
        <v>0.375872919023457</v>
      </c>
      <c r="F701" s="0" t="n">
        <f aca="false">SUMPRODUCT(Risk_Inputs!B701:AJ701,Risk_Coefs!$B$3:$AJ$3)</f>
        <v>9.31387648521249</v>
      </c>
      <c r="G701" s="0" t="n">
        <f aca="false">MAX(0,F701)</f>
        <v>9.31387648521249</v>
      </c>
      <c r="H701" s="0" t="n">
        <f aca="false">(SUMPRODUCT(--ISNUMBER($E$2:$E$800),--($E$2:$E$800&lt;E701))+(SUMPRODUCT(--ISNUMBER($E$2:$E$800),--($E$2:$E$800=E701))+1)/2)/COUNT($E$2:$E$800)</f>
        <v>0.887359198998749</v>
      </c>
      <c r="I701" s="0" t="n">
        <f aca="false">(SUMPRODUCT(--ISNUMBER($G$2:$G$800),--($G$2:$G$800&lt;G701))+(SUMPRODUCT(--ISNUMBER($G$2:$G$800),--($G$2:$G$800=G701))+1)/2)/COUNT($G$2:$G$800)</f>
        <v>0.714643304130163</v>
      </c>
      <c r="J701" s="0" t="n">
        <v>11.9489340293066</v>
      </c>
      <c r="K701" s="0" t="n">
        <v>6.56238077069819</v>
      </c>
      <c r="L701" s="0" t="n">
        <v>0.228920259442959</v>
      </c>
      <c r="M701" s="0" t="n">
        <f aca="false">IF(OR(B701="NW",COUNT(Risk_Rank_Keys!B701)=0),0.5,(SUMPRODUCT(--ISNUMBER(Risk_Rank_Keys!$B$2:$B$800),--(Risk_Rank_Keys!$B$2:$B$800&lt;Risk_Rank_Keys!B701))+(SUMPRODUCT(--ISNUMBER(Risk_Rank_Keys!$B$2:$B$800),--(Risk_Rank_Keys!$B$2:$B$800=Risk_Rank_Keys!B701))+1)/2)/COUNT(Risk_Rank_Keys!$B$2:$B$800))</f>
        <v>0.598326359832636</v>
      </c>
      <c r="N701" s="0" t="n">
        <f aca="false">IF(OR(B701="NW",COUNT(Risk_Rank_Keys!C701)=0),0.5,(SUMPRODUCT(--ISNUMBER(Risk_Rank_Keys!$C$2:$C$800),--(Risk_Rank_Keys!$C$2:$C$800&lt;Risk_Rank_Keys!C701))+(SUMPRODUCT(--ISNUMBER(Risk_Rank_Keys!$C$2:$C$800),--(Risk_Rank_Keys!$C$2:$C$800=Risk_Rank_Keys!C701))+1)/2)/COUNT(Risk_Rank_Keys!$C$2:$C$800))</f>
        <v>0.764295676429568</v>
      </c>
      <c r="O701" s="0" t="n">
        <f aca="false">IF(OR(B701="NW",COUNT(Risk_Rank_Keys!D701)=0),0.5,(SUMPRODUCT(--ISNUMBER(Risk_Rank_Keys!$D$2:$D$800),--(Risk_Rank_Keys!$D$2:$D$800&lt;Risk_Rank_Keys!D701))+(SUMPRODUCT(--ISNUMBER(Risk_Rank_Keys!$D$2:$D$800),--(Risk_Rank_Keys!$D$2:$D$800=Risk_Rank_Keys!D701))+1)/2)/COUNT(Risk_Rank_Keys!$D$2:$D$800))</f>
        <v>0.493723849372385</v>
      </c>
      <c r="P701" s="0" t="n">
        <f aca="false">AVERAGE(M701:O701)</f>
        <v>0.618781961878196</v>
      </c>
      <c r="Q701" s="0" t="n">
        <f aca="false">0.4*H701+0.4*I701+0.2*P701</f>
        <v>0.764557393627204</v>
      </c>
      <c r="R701" s="0" t="n">
        <f aca="false">PERCENTILE($Q$2:$Q$800,0.75)</f>
        <v>0.667715717403612</v>
      </c>
      <c r="S701" s="1" t="b">
        <f aca="false">OR(Q701&gt;=R701,AND(B701="CW",COUNT(J701:L701)&lt;3))</f>
        <v>1</v>
      </c>
      <c r="T701" s="0" t="n">
        <v>0.375872919023457</v>
      </c>
      <c r="U701" s="0" t="n">
        <v>9.31387648521249</v>
      </c>
      <c r="V701" s="0" t="n">
        <v>0.764557393627204</v>
      </c>
      <c r="W701" s="0" t="n">
        <f aca="false">Q701-V701</f>
        <v>0</v>
      </c>
    </row>
    <row r="702" customFormat="false" ht="15" hidden="false" customHeight="false" outlineLevel="0" collapsed="false">
      <c r="A702" s="0" t="s">
        <v>736</v>
      </c>
      <c r="B702" s="0" t="s">
        <v>3013</v>
      </c>
      <c r="C702" s="0" t="n">
        <v>6.00187389412688</v>
      </c>
      <c r="D702" s="0" t="n">
        <f aca="false">SUMPRODUCT(Risk_Inputs!B702:AJ702,Risk_Coefs!$B$2:$AJ$2)</f>
        <v>-0.714647967664013</v>
      </c>
      <c r="E702" s="0" t="n">
        <f aca="false">1/(1+EXP(-MAX(-25,MIN(25,D702))))</f>
        <v>0.32857262387547</v>
      </c>
      <c r="F702" s="0" t="n">
        <f aca="false">SUMPRODUCT(Risk_Inputs!B702:AJ702,Risk_Coefs!$B$3:$AJ$3)</f>
        <v>9.65496034951166</v>
      </c>
      <c r="G702" s="0" t="n">
        <f aca="false">MAX(0,F702)</f>
        <v>9.65496034951166</v>
      </c>
      <c r="H702" s="0" t="n">
        <f aca="false">(SUMPRODUCT(--ISNUMBER($E$2:$E$800),--($E$2:$E$800&lt;E702))+(SUMPRODUCT(--ISNUMBER($E$2:$E$800),--($E$2:$E$800=E702))+1)/2)/COUNT($E$2:$E$800)</f>
        <v>0.727158948685857</v>
      </c>
      <c r="I702" s="0" t="n">
        <f aca="false">(SUMPRODUCT(--ISNUMBER($G$2:$G$800),--($G$2:$G$800&lt;G702))+(SUMPRODUCT(--ISNUMBER($G$2:$G$800),--($G$2:$G$800=G702))+1)/2)/COUNT($G$2:$G$800)</f>
        <v>0.742177722152691</v>
      </c>
      <c r="J702" s="0" t="n">
        <v>6.26506708082372</v>
      </c>
      <c r="K702" s="0" t="n">
        <v>3.09571144561204</v>
      </c>
      <c r="L702" s="0" t="n">
        <v>0.198807157057659</v>
      </c>
      <c r="M702" s="0" t="n">
        <f aca="false">IF(OR(B702="NW",COUNT(Risk_Rank_Keys!B702)=0),0.5,(SUMPRODUCT(--ISNUMBER(Risk_Rank_Keys!$B$2:$B$800),--(Risk_Rank_Keys!$B$2:$B$800&lt;Risk_Rank_Keys!B702))+(SUMPRODUCT(--ISNUMBER(Risk_Rank_Keys!$B$2:$B$800),--(Risk_Rank_Keys!$B$2:$B$800=Risk_Rank_Keys!B702))+1)/2)/COUNT(Risk_Rank_Keys!$B$2:$B$800))</f>
        <v>0.245467224546722</v>
      </c>
      <c r="N702" s="0" t="n">
        <f aca="false">IF(OR(B702="NW",COUNT(Risk_Rank_Keys!C702)=0),0.5,(SUMPRODUCT(--ISNUMBER(Risk_Rank_Keys!$C$2:$C$800),--(Risk_Rank_Keys!$C$2:$C$800&lt;Risk_Rank_Keys!C702))+(SUMPRODUCT(--ISNUMBER(Risk_Rank_Keys!$C$2:$C$800),--(Risk_Rank_Keys!$C$2:$C$800=Risk_Rank_Keys!C702))+1)/2)/COUNT(Risk_Rank_Keys!$C$2:$C$800))</f>
        <v>0.478382147838215</v>
      </c>
      <c r="O702" s="0" t="n">
        <f aca="false">IF(OR(B702="NW",COUNT(Risk_Rank_Keys!D702)=0),0.5,(SUMPRODUCT(--ISNUMBER(Risk_Rank_Keys!$D$2:$D$800),--(Risk_Rank_Keys!$D$2:$D$800&lt;Risk_Rank_Keys!D702))+(SUMPRODUCT(--ISNUMBER(Risk_Rank_Keys!$D$2:$D$800),--(Risk_Rank_Keys!$D$2:$D$800=Risk_Rank_Keys!D702))+1)/2)/COUNT(Risk_Rank_Keys!$D$2:$D$800))</f>
        <v>0.306834030683403</v>
      </c>
      <c r="P702" s="0" t="n">
        <f aca="false">AVERAGE(M702:O702)</f>
        <v>0.343561134356113</v>
      </c>
      <c r="Q702" s="0" t="n">
        <f aca="false">0.4*H702+0.4*I702+0.2*P702</f>
        <v>0.656446895206642</v>
      </c>
      <c r="R702" s="0" t="n">
        <f aca="false">PERCENTILE($Q$2:$Q$800,0.75)</f>
        <v>0.667715717403612</v>
      </c>
      <c r="S702" s="1" t="b">
        <f aca="false">OR(Q702&gt;=R702,AND(B702="CW",COUNT(J702:L702)&lt;3))</f>
        <v>0</v>
      </c>
      <c r="T702" s="0" t="n">
        <v>0.32857262387547</v>
      </c>
      <c r="U702" s="0" t="n">
        <v>9.65496034951167</v>
      </c>
      <c r="V702" s="0" t="n">
        <v>0.656446895206642</v>
      </c>
      <c r="W702" s="0" t="n">
        <f aca="false">Q702-V702</f>
        <v>0</v>
      </c>
    </row>
    <row r="703" customFormat="false" ht="15" hidden="false" customHeight="false" outlineLevel="0" collapsed="false">
      <c r="A703" s="0" t="s">
        <v>737</v>
      </c>
      <c r="B703" s="0" t="s">
        <v>3013</v>
      </c>
      <c r="C703" s="0" t="n">
        <v>18.1781067978194</v>
      </c>
      <c r="D703" s="0" t="n">
        <f aca="false">SUMPRODUCT(Risk_Inputs!B703:AJ703,Risk_Coefs!$B$2:$AJ$2)</f>
        <v>-0.566890633476674</v>
      </c>
      <c r="E703" s="0" t="n">
        <f aca="false">1/(1+EXP(-MAX(-25,MIN(25,D703))))</f>
        <v>0.361954604068044</v>
      </c>
      <c r="F703" s="0" t="n">
        <f aca="false">SUMPRODUCT(Risk_Inputs!B703:AJ703,Risk_Coefs!$B$3:$AJ$3)</f>
        <v>8.34976485052764</v>
      </c>
      <c r="G703" s="0" t="n">
        <f aca="false">MAX(0,F703)</f>
        <v>8.34976485052764</v>
      </c>
      <c r="H703" s="0" t="n">
        <f aca="false">(SUMPRODUCT(--ISNUMBER($E$2:$E$800),--($E$2:$E$800&lt;E703))+(SUMPRODUCT(--ISNUMBER($E$2:$E$800),--($E$2:$E$800=E703))+1)/2)/COUNT($E$2:$E$800)</f>
        <v>0.848560700876095</v>
      </c>
      <c r="I703" s="0" t="n">
        <f aca="false">(SUMPRODUCT(--ISNUMBER($G$2:$G$800),--($G$2:$G$800&lt;G703))+(SUMPRODUCT(--ISNUMBER($G$2:$G$800),--($G$2:$G$800=G703))+1)/2)/COUNT($G$2:$G$800)</f>
        <v>0.588235294117647</v>
      </c>
      <c r="J703" s="0" t="n">
        <v>6.55596644164678</v>
      </c>
      <c r="K703" s="0" t="n">
        <v>0.974348777092868</v>
      </c>
      <c r="L703" s="0" t="n">
        <v>0.159077351362102</v>
      </c>
      <c r="M703" s="0" t="n">
        <f aca="false">IF(OR(B703="NW",COUNT(Risk_Rank_Keys!B703)=0),0.5,(SUMPRODUCT(--ISNUMBER(Risk_Rank_Keys!$B$2:$B$800),--(Risk_Rank_Keys!$B$2:$B$800&lt;Risk_Rank_Keys!B703))+(SUMPRODUCT(--ISNUMBER(Risk_Rank_Keys!$B$2:$B$800),--(Risk_Rank_Keys!$B$2:$B$800=Risk_Rank_Keys!B703))+1)/2)/COUNT(Risk_Rank_Keys!$B$2:$B$800))</f>
        <v>0.278940027894003</v>
      </c>
      <c r="N703" s="0" t="n">
        <f aca="false">IF(OR(B703="NW",COUNT(Risk_Rank_Keys!C703)=0),0.5,(SUMPRODUCT(--ISNUMBER(Risk_Rank_Keys!$C$2:$C$800),--(Risk_Rank_Keys!$C$2:$C$800&lt;Risk_Rank_Keys!C703))+(SUMPRODUCT(--ISNUMBER(Risk_Rank_Keys!$C$2:$C$800),--(Risk_Rank_Keys!$C$2:$C$800=Risk_Rank_Keys!C703))+1)/2)/COUNT(Risk_Rank_Keys!$C$2:$C$800))</f>
        <v>0.0264993026499303</v>
      </c>
      <c r="O703" s="0" t="n">
        <f aca="false">IF(OR(B703="NW",COUNT(Risk_Rank_Keys!D703)=0),0.5,(SUMPRODUCT(--ISNUMBER(Risk_Rank_Keys!$D$2:$D$800),--(Risk_Rank_Keys!$D$2:$D$800&lt;Risk_Rank_Keys!D703))+(SUMPRODUCT(--ISNUMBER(Risk_Rank_Keys!$D$2:$D$800),--(Risk_Rank_Keys!$D$2:$D$800=Risk_Rank_Keys!D703))+1)/2)/COUNT(Risk_Rank_Keys!$D$2:$D$800))</f>
        <v>0.129707112970711</v>
      </c>
      <c r="P703" s="0" t="n">
        <f aca="false">AVERAGE(M703:O703)</f>
        <v>0.145048814504881</v>
      </c>
      <c r="Q703" s="0" t="n">
        <f aca="false">0.4*H703+0.4*I703+0.2*P703</f>
        <v>0.603728160898473</v>
      </c>
      <c r="R703" s="0" t="n">
        <f aca="false">PERCENTILE($Q$2:$Q$800,0.75)</f>
        <v>0.667715717403612</v>
      </c>
      <c r="S703" s="1" t="b">
        <f aca="false">OR(Q703&gt;=R703,AND(B703="CW",COUNT(J703:L703)&lt;3))</f>
        <v>0</v>
      </c>
      <c r="T703" s="0" t="n">
        <v>0.361954604068044</v>
      </c>
      <c r="U703" s="0" t="n">
        <v>8.34976485052764</v>
      </c>
      <c r="V703" s="0" t="n">
        <v>0.603728160898473</v>
      </c>
      <c r="W703" s="0" t="n">
        <f aca="false">Q703-V703</f>
        <v>0</v>
      </c>
    </row>
    <row r="704" customFormat="false" ht="15" hidden="false" customHeight="false" outlineLevel="0" collapsed="false">
      <c r="A704" s="0" t="s">
        <v>738</v>
      </c>
      <c r="B704" s="0" t="s">
        <v>3013</v>
      </c>
      <c r="C704" s="0" t="n">
        <v>35.1057622125464</v>
      </c>
      <c r="D704" s="0" t="n">
        <f aca="false">SUMPRODUCT(Risk_Inputs!B704:AJ704,Risk_Coefs!$B$2:$AJ$2)</f>
        <v>-1.03512389237034</v>
      </c>
      <c r="E704" s="0" t="n">
        <f aca="false">1/(1+EXP(-MAX(-25,MIN(25,D704))))</f>
        <v>0.26209193734822</v>
      </c>
      <c r="F704" s="0" t="n">
        <f aca="false">SUMPRODUCT(Risk_Inputs!B704:AJ704,Risk_Coefs!$B$3:$AJ$3)</f>
        <v>10.3873069651484</v>
      </c>
      <c r="G704" s="0" t="n">
        <f aca="false">MAX(0,F704)</f>
        <v>10.3873069651484</v>
      </c>
      <c r="H704" s="0" t="n">
        <f aca="false">(SUMPRODUCT(--ISNUMBER($E$2:$E$800),--($E$2:$E$800&lt;E704))+(SUMPRODUCT(--ISNUMBER($E$2:$E$800),--($E$2:$E$800=E704))+1)/2)/COUNT($E$2:$E$800)</f>
        <v>0.34918648310388</v>
      </c>
      <c r="I704" s="0" t="n">
        <f aca="false">(SUMPRODUCT(--ISNUMBER($G$2:$G$800),--($G$2:$G$800&lt;G704))+(SUMPRODUCT(--ISNUMBER($G$2:$G$800),--($G$2:$G$800=G704))+1)/2)/COUNT($G$2:$G$800)</f>
        <v>0.827284105131414</v>
      </c>
      <c r="J704" s="0" t="n">
        <v>25.2631494592762</v>
      </c>
      <c r="K704" s="0" t="n">
        <v>9.66508918820534</v>
      </c>
      <c r="L704" s="0" t="n">
        <v>0.236621769202758</v>
      </c>
      <c r="M704" s="0" t="n">
        <f aca="false">IF(OR(B704="NW",COUNT(Risk_Rank_Keys!B704)=0),0.5,(SUMPRODUCT(--ISNUMBER(Risk_Rank_Keys!$B$2:$B$800),--(Risk_Rank_Keys!$B$2:$B$800&lt;Risk_Rank_Keys!B704))+(SUMPRODUCT(--ISNUMBER(Risk_Rank_Keys!$B$2:$B$800),--(Risk_Rank_Keys!$B$2:$B$800=Risk_Rank_Keys!B704))+1)/2)/COUNT(Risk_Rank_Keys!$B$2:$B$800))</f>
        <v>0.860529986052999</v>
      </c>
      <c r="N704" s="0" t="n">
        <f aca="false">IF(OR(B704="NW",COUNT(Risk_Rank_Keys!C704)=0),0.5,(SUMPRODUCT(--ISNUMBER(Risk_Rank_Keys!$C$2:$C$800),--(Risk_Rank_Keys!$C$2:$C$800&lt;Risk_Rank_Keys!C704))+(SUMPRODUCT(--ISNUMBER(Risk_Rank_Keys!$C$2:$C$800),--(Risk_Rank_Keys!$C$2:$C$800=Risk_Rank_Keys!C704))+1)/2)/COUNT(Risk_Rank_Keys!$C$2:$C$800))</f>
        <v>0.873082287308229</v>
      </c>
      <c r="O704" s="0" t="n">
        <f aca="false">IF(OR(B704="NW",COUNT(Risk_Rank_Keys!D704)=0),0.5,(SUMPRODUCT(--ISNUMBER(Risk_Rank_Keys!$D$2:$D$800),--(Risk_Rank_Keys!$D$2:$D$800&lt;Risk_Rank_Keys!D704))+(SUMPRODUCT(--ISNUMBER(Risk_Rank_Keys!$D$2:$D$800),--(Risk_Rank_Keys!$D$2:$D$800=Risk_Rank_Keys!D704))+1)/2)/COUNT(Risk_Rank_Keys!$D$2:$D$800))</f>
        <v>0.527196652719665</v>
      </c>
      <c r="P704" s="0" t="n">
        <f aca="false">AVERAGE(M704:O704)</f>
        <v>0.753602975360298</v>
      </c>
      <c r="Q704" s="0" t="n">
        <f aca="false">0.4*H704+0.4*I704+0.2*P704</f>
        <v>0.621308830366177</v>
      </c>
      <c r="R704" s="0" t="n">
        <f aca="false">PERCENTILE($Q$2:$Q$800,0.75)</f>
        <v>0.667715717403612</v>
      </c>
      <c r="S704" s="1" t="b">
        <f aca="false">OR(Q704&gt;=R704,AND(B704="CW",COUNT(J704:L704)&lt;3))</f>
        <v>0</v>
      </c>
      <c r="T704" s="0" t="n">
        <v>0.26209193734822</v>
      </c>
      <c r="U704" s="0" t="n">
        <v>10.3873069651484</v>
      </c>
      <c r="V704" s="0" t="n">
        <v>0.621308830366177</v>
      </c>
      <c r="W704" s="0" t="n">
        <f aca="false">Q704-V704</f>
        <v>0</v>
      </c>
    </row>
    <row r="705" customFormat="false" ht="15" hidden="false" customHeight="false" outlineLevel="0" collapsed="false">
      <c r="A705" s="0" t="s">
        <v>739</v>
      </c>
      <c r="B705" s="0" t="s">
        <v>3013</v>
      </c>
      <c r="C705" s="0" t="n">
        <v>27.0570704701063</v>
      </c>
      <c r="D705" s="0" t="n">
        <f aca="false">SUMPRODUCT(Risk_Inputs!B705:AJ705,Risk_Coefs!$B$2:$AJ$2)</f>
        <v>-0.902249549393377</v>
      </c>
      <c r="E705" s="0" t="n">
        <f aca="false">1/(1+EXP(-MAX(-25,MIN(25,D705))))</f>
        <v>0.288588433746417</v>
      </c>
      <c r="F705" s="0" t="n">
        <f aca="false">SUMPRODUCT(Risk_Inputs!B705:AJ705,Risk_Coefs!$B$3:$AJ$3)</f>
        <v>5.90765968682508</v>
      </c>
      <c r="G705" s="0" t="n">
        <f aca="false">MAX(0,F705)</f>
        <v>5.90765968682508</v>
      </c>
      <c r="H705" s="0" t="n">
        <f aca="false">(SUMPRODUCT(--ISNUMBER($E$2:$E$800),--($E$2:$E$800&lt;E705))+(SUMPRODUCT(--ISNUMBER($E$2:$E$800),--($E$2:$E$800=E705))+1)/2)/COUNT($E$2:$E$800)</f>
        <v>0.514392991239049</v>
      </c>
      <c r="I705" s="0" t="n">
        <f aca="false">(SUMPRODUCT(--ISNUMBER($G$2:$G$800),--($G$2:$G$800&lt;G705))+(SUMPRODUCT(--ISNUMBER($G$2:$G$800),--($G$2:$G$800=G705))+1)/2)/COUNT($G$2:$G$800)</f>
        <v>0.250312891113892</v>
      </c>
      <c r="J705" s="0" t="n">
        <v>6.533458925386</v>
      </c>
      <c r="K705" s="0" t="n">
        <v>1.54547757790728</v>
      </c>
      <c r="L705" s="0" t="n">
        <v>0.278692677983277</v>
      </c>
      <c r="M705" s="0" t="n">
        <f aca="false">IF(OR(B705="NW",COUNT(Risk_Rank_Keys!B705)=0),0.5,(SUMPRODUCT(--ISNUMBER(Risk_Rank_Keys!$B$2:$B$800),--(Risk_Rank_Keys!$B$2:$B$800&lt;Risk_Rank_Keys!B705))+(SUMPRODUCT(--ISNUMBER(Risk_Rank_Keys!$B$2:$B$800),--(Risk_Rank_Keys!$B$2:$B$800=Risk_Rank_Keys!B705))+1)/2)/COUNT(Risk_Rank_Keys!$B$2:$B$800))</f>
        <v>0.274755927475593</v>
      </c>
      <c r="N705" s="0" t="n">
        <f aca="false">IF(OR(B705="NW",COUNT(Risk_Rank_Keys!C705)=0),0.5,(SUMPRODUCT(--ISNUMBER(Risk_Rank_Keys!$C$2:$C$800),--(Risk_Rank_Keys!$C$2:$C$800&lt;Risk_Rank_Keys!C705))+(SUMPRODUCT(--ISNUMBER(Risk_Rank_Keys!$C$2:$C$800),--(Risk_Rank_Keys!$C$2:$C$800=Risk_Rank_Keys!C705))+1)/2)/COUNT(Risk_Rank_Keys!$C$2:$C$800))</f>
        <v>0.143654114365411</v>
      </c>
      <c r="O705" s="0" t="n">
        <f aca="false">IF(OR(B705="NW",COUNT(Risk_Rank_Keys!D705)=0),0.5,(SUMPRODUCT(--ISNUMBER(Risk_Rank_Keys!$D$2:$D$800),--(Risk_Rank_Keys!$D$2:$D$800&lt;Risk_Rank_Keys!D705))+(SUMPRODUCT(--ISNUMBER(Risk_Rank_Keys!$D$2:$D$800),--(Risk_Rank_Keys!$D$2:$D$800=Risk_Rank_Keys!D705))+1)/2)/COUNT(Risk_Rank_Keys!$D$2:$D$800))</f>
        <v>0.695955369595537</v>
      </c>
      <c r="P705" s="0" t="n">
        <f aca="false">AVERAGE(M705:O705)</f>
        <v>0.371455137145514</v>
      </c>
      <c r="Q705" s="0" t="n">
        <f aca="false">0.4*H705+0.4*I705+0.2*P705</f>
        <v>0.380173380370279</v>
      </c>
      <c r="R705" s="0" t="n">
        <f aca="false">PERCENTILE($Q$2:$Q$800,0.75)</f>
        <v>0.667715717403612</v>
      </c>
      <c r="S705" s="1" t="b">
        <f aca="false">OR(Q705&gt;=R705,AND(B705="CW",COUNT(J705:L705)&lt;3))</f>
        <v>0</v>
      </c>
      <c r="T705" s="0" t="n">
        <v>0.288588433746417</v>
      </c>
      <c r="U705" s="0" t="n">
        <v>5.90765968682509</v>
      </c>
      <c r="V705" s="0" t="n">
        <v>0.380173380370279</v>
      </c>
      <c r="W705" s="0" t="n">
        <f aca="false">Q705-V705</f>
        <v>0</v>
      </c>
    </row>
    <row r="706" customFormat="false" ht="15" hidden="false" customHeight="false" outlineLevel="0" collapsed="false">
      <c r="A706" s="0" t="s">
        <v>740</v>
      </c>
      <c r="B706" s="0" t="s">
        <v>3013</v>
      </c>
      <c r="C706" s="0" t="n">
        <v>24.0265347701455</v>
      </c>
      <c r="D706" s="0" t="n">
        <f aca="false">SUMPRODUCT(Risk_Inputs!B706:AJ706,Risk_Coefs!$B$2:$AJ$2)</f>
        <v>-1.18357203387738</v>
      </c>
      <c r="E706" s="0" t="n">
        <f aca="false">1/(1+EXP(-MAX(-25,MIN(25,D706))))</f>
        <v>0.23441054298342</v>
      </c>
      <c r="F706" s="0" t="n">
        <f aca="false">SUMPRODUCT(Risk_Inputs!B706:AJ706,Risk_Coefs!$B$3:$AJ$3)</f>
        <v>4.6554832761661</v>
      </c>
      <c r="G706" s="0" t="n">
        <f aca="false">MAX(0,F706)</f>
        <v>4.6554832761661</v>
      </c>
      <c r="H706" s="0" t="n">
        <f aca="false">(SUMPRODUCT(--ISNUMBER($E$2:$E$800),--($E$2:$E$800&lt;E706))+(SUMPRODUCT(--ISNUMBER($E$2:$E$800),--($E$2:$E$800=E706))+1)/2)/COUNT($E$2:$E$800)</f>
        <v>0.197747183979975</v>
      </c>
      <c r="I706" s="0" t="n">
        <f aca="false">(SUMPRODUCT(--ISNUMBER($G$2:$G$800),--($G$2:$G$800&lt;G706))+(SUMPRODUCT(--ISNUMBER($G$2:$G$800),--($G$2:$G$800=G706))+1)/2)/COUNT($G$2:$G$800)</f>
        <v>0.0988735919899875</v>
      </c>
      <c r="J706" s="0" t="n">
        <v>13.6551693261359</v>
      </c>
      <c r="K706" s="0" t="n">
        <v>2.22433460076044</v>
      </c>
      <c r="L706" s="0" t="n">
        <v>0.228136882129286</v>
      </c>
      <c r="M706" s="0" t="n">
        <f aca="false">IF(OR(B706="NW",COUNT(Risk_Rank_Keys!B706)=0),0.5,(SUMPRODUCT(--ISNUMBER(Risk_Rank_Keys!$B$2:$B$800),--(Risk_Rank_Keys!$B$2:$B$800&lt;Risk_Rank_Keys!B706))+(SUMPRODUCT(--ISNUMBER(Risk_Rank_Keys!$B$2:$B$800),--(Risk_Rank_Keys!$B$2:$B$800=Risk_Rank_Keys!B706))+1)/2)/COUNT(Risk_Rank_Keys!$B$2:$B$800))</f>
        <v>0.666666666666667</v>
      </c>
      <c r="N706" s="0" t="n">
        <f aca="false">IF(OR(B706="NW",COUNT(Risk_Rank_Keys!C706)=0),0.5,(SUMPRODUCT(--ISNUMBER(Risk_Rank_Keys!$C$2:$C$800),--(Risk_Rank_Keys!$C$2:$C$800&lt;Risk_Rank_Keys!C706))+(SUMPRODUCT(--ISNUMBER(Risk_Rank_Keys!$C$2:$C$800),--(Risk_Rank_Keys!$C$2:$C$800=Risk_Rank_Keys!C706))+1)/2)/COUNT(Risk_Rank_Keys!$C$2:$C$800))</f>
        <v>0.317991631799163</v>
      </c>
      <c r="O706" s="0" t="n">
        <f aca="false">IF(OR(B706="NW",COUNT(Risk_Rank_Keys!D706)=0),0.5,(SUMPRODUCT(--ISNUMBER(Risk_Rank_Keys!$D$2:$D$800),--(Risk_Rank_Keys!$D$2:$D$800&lt;Risk_Rank_Keys!D706))+(SUMPRODUCT(--ISNUMBER(Risk_Rank_Keys!$D$2:$D$800),--(Risk_Rank_Keys!$D$2:$D$800=Risk_Rank_Keys!D706))+1)/2)/COUNT(Risk_Rank_Keys!$D$2:$D$800))</f>
        <v>0.485355648535565</v>
      </c>
      <c r="P706" s="0" t="n">
        <f aca="false">AVERAGE(M706:O706)</f>
        <v>0.490004649000465</v>
      </c>
      <c r="Q706" s="0" t="n">
        <f aca="false">0.4*H706+0.4*I706+0.2*P706</f>
        <v>0.216649240188078</v>
      </c>
      <c r="R706" s="0" t="n">
        <f aca="false">PERCENTILE($Q$2:$Q$800,0.75)</f>
        <v>0.667715717403612</v>
      </c>
      <c r="S706" s="1" t="b">
        <f aca="false">OR(Q706&gt;=R706,AND(B706="CW",COUNT(J706:L706)&lt;3))</f>
        <v>0</v>
      </c>
      <c r="T706" s="0" t="n">
        <v>0.23441054298342</v>
      </c>
      <c r="U706" s="0" t="n">
        <v>4.6554832761661</v>
      </c>
      <c r="V706" s="0" t="n">
        <v>0.216649240188078</v>
      </c>
      <c r="W706" s="0" t="n">
        <f aca="false">Q706-V706</f>
        <v>0</v>
      </c>
    </row>
    <row r="707" customFormat="false" ht="15" hidden="false" customHeight="false" outlineLevel="0" collapsed="false">
      <c r="A707" s="0" t="s">
        <v>741</v>
      </c>
      <c r="B707" s="0" t="s">
        <v>3013</v>
      </c>
      <c r="C707" s="0" t="n">
        <v>12.8523305408262</v>
      </c>
      <c r="D707" s="0" t="n">
        <f aca="false">SUMPRODUCT(Risk_Inputs!B707:AJ707,Risk_Coefs!$B$2:$AJ$2)</f>
        <v>-1.03189184453062</v>
      </c>
      <c r="E707" s="0" t="n">
        <f aca="false">1/(1+EXP(-MAX(-25,MIN(25,D707))))</f>
        <v>0.262717495070144</v>
      </c>
      <c r="F707" s="0" t="n">
        <f aca="false">SUMPRODUCT(Risk_Inputs!B707:AJ707,Risk_Coefs!$B$3:$AJ$3)</f>
        <v>5.10639890470905</v>
      </c>
      <c r="G707" s="0" t="n">
        <f aca="false">MAX(0,F707)</f>
        <v>5.10639890470905</v>
      </c>
      <c r="H707" s="0" t="n">
        <f aca="false">(SUMPRODUCT(--ISNUMBER($E$2:$E$800),--($E$2:$E$800&lt;E707))+(SUMPRODUCT(--ISNUMBER($E$2:$E$800),--($E$2:$E$800=E707))+1)/2)/COUNT($E$2:$E$800)</f>
        <v>0.351689612015019</v>
      </c>
      <c r="I707" s="0" t="n">
        <f aca="false">(SUMPRODUCT(--ISNUMBER($G$2:$G$800),--($G$2:$G$800&lt;G707))+(SUMPRODUCT(--ISNUMBER($G$2:$G$800),--($G$2:$G$800=G707))+1)/2)/COUNT($G$2:$G$800)</f>
        <v>0.148936170212766</v>
      </c>
      <c r="J707" s="0" t="n">
        <v>2.53920776717606</v>
      </c>
      <c r="K707" s="0" t="n">
        <v>0.892414476945965</v>
      </c>
      <c r="L707" s="0" t="n">
        <v>0.247892910262767</v>
      </c>
      <c r="M707" s="0" t="n">
        <f aca="false">IF(OR(B707="NW",COUNT(Risk_Rank_Keys!B707)=0),0.5,(SUMPRODUCT(--ISNUMBER(Risk_Rank_Keys!$B$2:$B$800),--(Risk_Rank_Keys!$B$2:$B$800&lt;Risk_Rank_Keys!B707))+(SUMPRODUCT(--ISNUMBER(Risk_Rank_Keys!$B$2:$B$800),--(Risk_Rank_Keys!$B$2:$B$800=Risk_Rank_Keys!B707))+1)/2)/COUNT(Risk_Rank_Keys!$B$2:$B$800))</f>
        <v>0.0139470013947001</v>
      </c>
      <c r="N707" s="0" t="n">
        <f aca="false">IF(OR(B707="NW",COUNT(Risk_Rank_Keys!C707)=0),0.5,(SUMPRODUCT(--ISNUMBER(Risk_Rank_Keys!$C$2:$C$800),--(Risk_Rank_Keys!$C$2:$C$800&lt;Risk_Rank_Keys!C707))+(SUMPRODUCT(--ISNUMBER(Risk_Rank_Keys!$C$2:$C$800),--(Risk_Rank_Keys!$C$2:$C$800=Risk_Rank_Keys!C707))+1)/2)/COUNT(Risk_Rank_Keys!$C$2:$C$800))</f>
        <v>0.0195258019525802</v>
      </c>
      <c r="O707" s="0" t="n">
        <f aca="false">IF(OR(B707="NW",COUNT(Risk_Rank_Keys!D707)=0),0.5,(SUMPRODUCT(--ISNUMBER(Risk_Rank_Keys!$D$2:$D$800),--(Risk_Rank_Keys!$D$2:$D$800&lt;Risk_Rank_Keys!D707))+(SUMPRODUCT(--ISNUMBER(Risk_Rank_Keys!$D$2:$D$800),--(Risk_Rank_Keys!$D$2:$D$800=Risk_Rank_Keys!D707))+1)/2)/COUNT(Risk_Rank_Keys!$D$2:$D$800))</f>
        <v>0.577405857740586</v>
      </c>
      <c r="P707" s="0" t="n">
        <f aca="false">AVERAGE(M707:O707)</f>
        <v>0.203626220362622</v>
      </c>
      <c r="Q707" s="0" t="n">
        <f aca="false">0.4*H707+0.4*I707+0.2*P707</f>
        <v>0.240975556963638</v>
      </c>
      <c r="R707" s="0" t="n">
        <f aca="false">PERCENTILE($Q$2:$Q$800,0.75)</f>
        <v>0.667715717403612</v>
      </c>
      <c r="S707" s="1" t="b">
        <f aca="false">OR(Q707&gt;=R707,AND(B707="CW",COUNT(J707:L707)&lt;3))</f>
        <v>0</v>
      </c>
      <c r="T707" s="0" t="n">
        <v>0.262717495070144</v>
      </c>
      <c r="U707" s="0" t="n">
        <v>5.10639890470905</v>
      </c>
      <c r="V707" s="0" t="n">
        <v>0.240975556963638</v>
      </c>
      <c r="W707" s="0" t="n">
        <f aca="false">Q707-V707</f>
        <v>0</v>
      </c>
    </row>
    <row r="708" customFormat="false" ht="15" hidden="false" customHeight="false" outlineLevel="0" collapsed="false">
      <c r="A708" s="0" t="s">
        <v>742</v>
      </c>
      <c r="B708" s="0" t="s">
        <v>3013</v>
      </c>
      <c r="C708" s="0" t="n">
        <v>7.69179471825402</v>
      </c>
      <c r="D708" s="0" t="n">
        <f aca="false">SUMPRODUCT(Risk_Inputs!B708:AJ708,Risk_Coefs!$B$2:$AJ$2)</f>
        <v>-0.992813413193827</v>
      </c>
      <c r="E708" s="0" t="n">
        <f aca="false">1/(1+EXP(-MAX(-25,MIN(25,D708))))</f>
        <v>0.270356734162761</v>
      </c>
      <c r="F708" s="0" t="n">
        <f aca="false">SUMPRODUCT(Risk_Inputs!B708:AJ708,Risk_Coefs!$B$3:$AJ$3)</f>
        <v>8.27326109450557</v>
      </c>
      <c r="G708" s="0" t="n">
        <f aca="false">MAX(0,F708)</f>
        <v>8.27326109450557</v>
      </c>
      <c r="H708" s="0" t="n">
        <f aca="false">(SUMPRODUCT(--ISNUMBER($E$2:$E$800),--($E$2:$E$800&lt;E708))+(SUMPRODUCT(--ISNUMBER($E$2:$E$800),--($E$2:$E$800=E708))+1)/2)/COUNT($E$2:$E$800)</f>
        <v>0.392991239048811</v>
      </c>
      <c r="I708" s="0" t="n">
        <f aca="false">(SUMPRODUCT(--ISNUMBER($G$2:$G$800),--($G$2:$G$800&lt;G708))+(SUMPRODUCT(--ISNUMBER($G$2:$G$800),--($G$2:$G$800=G708))+1)/2)/COUNT($G$2:$G$800)</f>
        <v>0.576971214017522</v>
      </c>
      <c r="J708" s="0" t="n">
        <v>5.69994990355477</v>
      </c>
      <c r="K708" s="0" t="n">
        <v>1.9299023957409</v>
      </c>
      <c r="L708" s="0" t="n">
        <v>0.177462289263528</v>
      </c>
      <c r="M708" s="0" t="n">
        <f aca="false">IF(OR(B708="NW",COUNT(Risk_Rank_Keys!B708)=0),0.5,(SUMPRODUCT(--ISNUMBER(Risk_Rank_Keys!$B$2:$B$800),--(Risk_Rank_Keys!$B$2:$B$800&lt;Risk_Rank_Keys!B708))+(SUMPRODUCT(--ISNUMBER(Risk_Rank_Keys!$B$2:$B$800),--(Risk_Rank_Keys!$B$2:$B$800=Risk_Rank_Keys!B708))+1)/2)/COUNT(Risk_Rank_Keys!$B$2:$B$800))</f>
        <v>0.189679218967922</v>
      </c>
      <c r="N708" s="0" t="n">
        <f aca="false">IF(OR(B708="NW",COUNT(Risk_Rank_Keys!C708)=0),0.5,(SUMPRODUCT(--ISNUMBER(Risk_Rank_Keys!$C$2:$C$800),--(Risk_Rank_Keys!$C$2:$C$800&lt;Risk_Rank_Keys!C708))+(SUMPRODUCT(--ISNUMBER(Risk_Rank_Keys!$C$2:$C$800),--(Risk_Rank_Keys!$C$2:$C$800=Risk_Rank_Keys!C708))+1)/2)/COUNT(Risk_Rank_Keys!$C$2:$C$800))</f>
        <v>0.253835425383543</v>
      </c>
      <c r="O708" s="0" t="n">
        <f aca="false">IF(OR(B708="NW",COUNT(Risk_Rank_Keys!D708)=0),0.5,(SUMPRODUCT(--ISNUMBER(Risk_Rank_Keys!$D$2:$D$800),--(Risk_Rank_Keys!$D$2:$D$800&lt;Risk_Rank_Keys!D708))+(SUMPRODUCT(--ISNUMBER(Risk_Rank_Keys!$D$2:$D$800),--(Risk_Rank_Keys!$D$2:$D$800=Risk_Rank_Keys!D708))+1)/2)/COUNT(Risk_Rank_Keys!$D$2:$D$800))</f>
        <v>0.199442119944212</v>
      </c>
      <c r="P708" s="0" t="n">
        <f aca="false">AVERAGE(M708:O708)</f>
        <v>0.214318921431892</v>
      </c>
      <c r="Q708" s="0" t="n">
        <f aca="false">0.4*H708+0.4*I708+0.2*P708</f>
        <v>0.430848765512912</v>
      </c>
      <c r="R708" s="0" t="n">
        <f aca="false">PERCENTILE($Q$2:$Q$800,0.75)</f>
        <v>0.667715717403612</v>
      </c>
      <c r="S708" s="1" t="b">
        <f aca="false">OR(Q708&gt;=R708,AND(B708="CW",COUNT(J708:L708)&lt;3))</f>
        <v>0</v>
      </c>
      <c r="T708" s="0" t="n">
        <v>0.270356734162761</v>
      </c>
      <c r="U708" s="0" t="n">
        <v>8.27326109450557</v>
      </c>
      <c r="V708" s="0" t="n">
        <v>0.430848765512912</v>
      </c>
      <c r="W708" s="0" t="n">
        <f aca="false">Q708-V708</f>
        <v>0</v>
      </c>
    </row>
    <row r="709" customFormat="false" ht="15" hidden="false" customHeight="false" outlineLevel="0" collapsed="false">
      <c r="A709" s="0" t="s">
        <v>743</v>
      </c>
      <c r="B709" s="0" t="s">
        <v>3013</v>
      </c>
      <c r="C709" s="0" t="n">
        <v>10.9810959398159</v>
      </c>
      <c r="D709" s="0" t="n">
        <f aca="false">SUMPRODUCT(Risk_Inputs!B709:AJ709,Risk_Coefs!$B$2:$AJ$2)</f>
        <v>-0.885784042094225</v>
      </c>
      <c r="E709" s="0" t="n">
        <f aca="false">1/(1+EXP(-MAX(-25,MIN(25,D709))))</f>
        <v>0.291980618739689</v>
      </c>
      <c r="F709" s="0" t="n">
        <f aca="false">SUMPRODUCT(Risk_Inputs!B709:AJ709,Risk_Coefs!$B$3:$AJ$3)</f>
        <v>7.52796290687344</v>
      </c>
      <c r="G709" s="0" t="n">
        <f aca="false">MAX(0,F709)</f>
        <v>7.52796290687344</v>
      </c>
      <c r="H709" s="0" t="n">
        <f aca="false">(SUMPRODUCT(--ISNUMBER($E$2:$E$800),--($E$2:$E$800&lt;E709))+(SUMPRODUCT(--ISNUMBER($E$2:$E$800),--($E$2:$E$800=E709))+1)/2)/COUNT($E$2:$E$800)</f>
        <v>0.533166458072591</v>
      </c>
      <c r="I709" s="0" t="n">
        <f aca="false">(SUMPRODUCT(--ISNUMBER($G$2:$G$800),--($G$2:$G$800&lt;G709))+(SUMPRODUCT(--ISNUMBER($G$2:$G$800),--($G$2:$G$800=G709))+1)/2)/COUNT($G$2:$G$800)</f>
        <v>0.485607008760951</v>
      </c>
      <c r="J709" s="0" t="n">
        <v>5.64318331372278</v>
      </c>
      <c r="K709" s="0" t="n">
        <v>1.35889347245813</v>
      </c>
      <c r="L709" s="0" t="n">
        <v>0.169861684057265</v>
      </c>
      <c r="M709" s="0" t="n">
        <f aca="false">IF(OR(B709="NW",COUNT(Risk_Rank_Keys!B709)=0),0.5,(SUMPRODUCT(--ISNUMBER(Risk_Rank_Keys!$B$2:$B$800),--(Risk_Rank_Keys!$B$2:$B$800&lt;Risk_Rank_Keys!B709))+(SUMPRODUCT(--ISNUMBER(Risk_Rank_Keys!$B$2:$B$800),--(Risk_Rank_Keys!$B$2:$B$800=Risk_Rank_Keys!B709))+1)/2)/COUNT(Risk_Rank_Keys!$B$2:$B$800))</f>
        <v>0.182705718270572</v>
      </c>
      <c r="N709" s="0" t="n">
        <f aca="false">IF(OR(B709="NW",COUNT(Risk_Rank_Keys!C709)=0),0.5,(SUMPRODUCT(--ISNUMBER(Risk_Rank_Keys!$C$2:$C$800),--(Risk_Rank_Keys!$C$2:$C$800&lt;Risk_Rank_Keys!C709))+(SUMPRODUCT(--ISNUMBER(Risk_Rank_Keys!$C$2:$C$800),--(Risk_Rank_Keys!$C$2:$C$800=Risk_Rank_Keys!C709))+1)/2)/COUNT(Risk_Rank_Keys!$C$2:$C$800))</f>
        <v>0.101813110181311</v>
      </c>
      <c r="O709" s="0" t="n">
        <f aca="false">IF(OR(B709="NW",COUNT(Risk_Rank_Keys!D709)=0),0.5,(SUMPRODUCT(--ISNUMBER(Risk_Rank_Keys!$D$2:$D$800),--(Risk_Rank_Keys!$D$2:$D$800&lt;Risk_Rank_Keys!D709))+(SUMPRODUCT(--ISNUMBER(Risk_Rank_Keys!$D$2:$D$800),--(Risk_Rank_Keys!$D$2:$D$800=Risk_Rank_Keys!D709))+1)/2)/COUNT(Risk_Rank_Keys!$D$2:$D$800))</f>
        <v>0.164574616457462</v>
      </c>
      <c r="P709" s="0" t="n">
        <f aca="false">AVERAGE(M709:O709)</f>
        <v>0.149697814969782</v>
      </c>
      <c r="Q709" s="0" t="n">
        <f aca="false">0.4*H709+0.4*I709+0.2*P709</f>
        <v>0.437448949727373</v>
      </c>
      <c r="R709" s="0" t="n">
        <f aca="false">PERCENTILE($Q$2:$Q$800,0.75)</f>
        <v>0.667715717403612</v>
      </c>
      <c r="S709" s="1" t="b">
        <f aca="false">OR(Q709&gt;=R709,AND(B709="CW",COUNT(J709:L709)&lt;3))</f>
        <v>0</v>
      </c>
      <c r="T709" s="0" t="n">
        <v>0.291980618739689</v>
      </c>
      <c r="U709" s="0" t="n">
        <v>7.52796290687344</v>
      </c>
      <c r="V709" s="0" t="n">
        <v>0.437448949727373</v>
      </c>
      <c r="W709" s="0" t="n">
        <f aca="false">Q709-V709</f>
        <v>0</v>
      </c>
    </row>
    <row r="710" customFormat="false" ht="15" hidden="false" customHeight="false" outlineLevel="0" collapsed="false">
      <c r="A710" s="0" t="s">
        <v>744</v>
      </c>
      <c r="B710" s="0" t="s">
        <v>3013</v>
      </c>
      <c r="C710" s="0" t="n">
        <v>-39.4425653851407</v>
      </c>
      <c r="D710" s="0" t="n">
        <f aca="false">SUMPRODUCT(Risk_Inputs!B710:AJ710,Risk_Coefs!$B$2:$AJ$2)</f>
        <v>-1.06777344996901</v>
      </c>
      <c r="E710" s="0" t="n">
        <f aca="false">1/(1+EXP(-MAX(-25,MIN(25,D710))))</f>
        <v>0.255826742974204</v>
      </c>
      <c r="F710" s="0" t="n">
        <f aca="false">SUMPRODUCT(Risk_Inputs!B710:AJ710,Risk_Coefs!$B$3:$AJ$3)</f>
        <v>4.42435218779488</v>
      </c>
      <c r="G710" s="0" t="n">
        <f aca="false">MAX(0,F710)</f>
        <v>4.42435218779488</v>
      </c>
      <c r="H710" s="0" t="n">
        <f aca="false">(SUMPRODUCT(--ISNUMBER($E$2:$E$800),--($E$2:$E$800&lt;E710))+(SUMPRODUCT(--ISNUMBER($E$2:$E$800),--($E$2:$E$800=E710))+1)/2)/COUNT($E$2:$E$800)</f>
        <v>0.300375469336671</v>
      </c>
      <c r="I710" s="0" t="n">
        <f aca="false">(SUMPRODUCT(--ISNUMBER($G$2:$G$800),--($G$2:$G$800&lt;G710))+(SUMPRODUCT(--ISNUMBER($G$2:$G$800),--($G$2:$G$800=G710))+1)/2)/COUNT($G$2:$G$800)</f>
        <v>0.0826032540675845</v>
      </c>
      <c r="J710" s="0" t="n">
        <v>5.61458147892323</v>
      </c>
      <c r="K710" s="0" t="n">
        <v>2.04419889502762</v>
      </c>
      <c r="L710" s="0" t="n">
        <v>0.220994475138125</v>
      </c>
      <c r="M710" s="0" t="n">
        <f aca="false">IF(OR(B710="NW",COUNT(Risk_Rank_Keys!B710)=0),0.5,(SUMPRODUCT(--ISNUMBER(Risk_Rank_Keys!$B$2:$B$800),--(Risk_Rank_Keys!$B$2:$B$800&lt;Risk_Rank_Keys!B710))+(SUMPRODUCT(--ISNUMBER(Risk_Rank_Keys!$B$2:$B$800),--(Risk_Rank_Keys!$B$2:$B$800=Risk_Rank_Keys!B710))+1)/2)/COUNT(Risk_Rank_Keys!$B$2:$B$800))</f>
        <v>0.179916317991632</v>
      </c>
      <c r="N710" s="0" t="n">
        <f aca="false">IF(OR(B710="NW",COUNT(Risk_Rank_Keys!C710)=0),0.5,(SUMPRODUCT(--ISNUMBER(Risk_Rank_Keys!$C$2:$C$800),--(Risk_Rank_Keys!$C$2:$C$800&lt;Risk_Rank_Keys!C710))+(SUMPRODUCT(--ISNUMBER(Risk_Rank_Keys!$C$2:$C$800),--(Risk_Rank_Keys!$C$2:$C$800=Risk_Rank_Keys!C710))+1)/2)/COUNT(Risk_Rank_Keys!$C$2:$C$800))</f>
        <v>0.283124128312413</v>
      </c>
      <c r="O710" s="0" t="n">
        <f aca="false">IF(OR(B710="NW",COUNT(Risk_Rank_Keys!D710)=0),0.5,(SUMPRODUCT(--ISNUMBER(Risk_Rank_Keys!$D$2:$D$800),--(Risk_Rank_Keys!$D$2:$D$800&lt;Risk_Rank_Keys!D710))+(SUMPRODUCT(--ISNUMBER(Risk_Rank_Keys!$D$2:$D$800),--(Risk_Rank_Keys!$D$2:$D$800=Risk_Rank_Keys!D710))+1)/2)/COUNT(Risk_Rank_Keys!$D$2:$D$800))</f>
        <v>0.444909344490934</v>
      </c>
      <c r="P710" s="0" t="n">
        <f aca="false">AVERAGE(M710:O710)</f>
        <v>0.302649930264993</v>
      </c>
      <c r="Q710" s="0" t="n">
        <f aca="false">0.4*H710+0.4*I710+0.2*P710</f>
        <v>0.213721475414701</v>
      </c>
      <c r="R710" s="0" t="n">
        <f aca="false">PERCENTILE($Q$2:$Q$800,0.75)</f>
        <v>0.667715717403612</v>
      </c>
      <c r="S710" s="1" t="b">
        <f aca="false">OR(Q710&gt;=R710,AND(B710="CW",COUNT(J710:L710)&lt;3))</f>
        <v>0</v>
      </c>
      <c r="T710" s="0" t="n">
        <v>0.255826742974204</v>
      </c>
      <c r="U710" s="0" t="n">
        <v>4.42435218779488</v>
      </c>
      <c r="V710" s="0" t="n">
        <v>0.213721475414701</v>
      </c>
      <c r="W710" s="0" t="n">
        <f aca="false">Q710-V710</f>
        <v>0</v>
      </c>
    </row>
    <row r="711" customFormat="false" ht="15" hidden="false" customHeight="false" outlineLevel="0" collapsed="false">
      <c r="A711" s="0" t="s">
        <v>745</v>
      </c>
      <c r="B711" s="0" t="s">
        <v>3013</v>
      </c>
      <c r="C711" s="0" t="n">
        <v>-6.83060535556575</v>
      </c>
      <c r="D711" s="0" t="n">
        <f aca="false">SUMPRODUCT(Risk_Inputs!B711:AJ711,Risk_Coefs!$B$2:$AJ$2)</f>
        <v>-1.57612154142812</v>
      </c>
      <c r="E711" s="0" t="n">
        <f aca="false">1/(1+EXP(-MAX(-25,MIN(25,D711))))</f>
        <v>0.171345467869545</v>
      </c>
      <c r="F711" s="0" t="n">
        <f aca="false">SUMPRODUCT(Risk_Inputs!B711:AJ711,Risk_Coefs!$B$3:$AJ$3)</f>
        <v>3.99035189695822</v>
      </c>
      <c r="G711" s="0" t="n">
        <f aca="false">MAX(0,F711)</f>
        <v>3.99035189695822</v>
      </c>
      <c r="H711" s="0" t="n">
        <f aca="false">(SUMPRODUCT(--ISNUMBER($E$2:$E$800),--($E$2:$E$800&lt;E711))+(SUMPRODUCT(--ISNUMBER($E$2:$E$800),--($E$2:$E$800=E711))+1)/2)/COUNT($E$2:$E$800)</f>
        <v>0.0425531914893617</v>
      </c>
      <c r="I711" s="0" t="n">
        <f aca="false">(SUMPRODUCT(--ISNUMBER($G$2:$G$800),--($G$2:$G$800&lt;G711))+(SUMPRODUCT(--ISNUMBER($G$2:$G$800),--($G$2:$G$800=G711))+1)/2)/COUNT($G$2:$G$800)</f>
        <v>0.0513141426783479</v>
      </c>
      <c r="J711" s="0" t="n">
        <v>14.6807324993744</v>
      </c>
      <c r="K711" s="0" t="n">
        <v>18.3108341986847</v>
      </c>
      <c r="L711" s="0" t="n">
        <v>0.346140533056416</v>
      </c>
      <c r="M711" s="0" t="n">
        <f aca="false">IF(OR(B711="NW",COUNT(Risk_Rank_Keys!B711)=0),0.5,(SUMPRODUCT(--ISNUMBER(Risk_Rank_Keys!$B$2:$B$800),--(Risk_Rank_Keys!$B$2:$B$800&lt;Risk_Rank_Keys!B711))+(SUMPRODUCT(--ISNUMBER(Risk_Rank_Keys!$B$2:$B$800),--(Risk_Rank_Keys!$B$2:$B$800=Risk_Rank_Keys!B711))+1)/2)/COUNT(Risk_Rank_Keys!$B$2:$B$800))</f>
        <v>0.700139470013947</v>
      </c>
      <c r="N711" s="0" t="n">
        <f aca="false">IF(OR(B711="NW",COUNT(Risk_Rank_Keys!C711)=0),0.5,(SUMPRODUCT(--ISNUMBER(Risk_Rank_Keys!$C$2:$C$800),--(Risk_Rank_Keys!$C$2:$C$800&lt;Risk_Rank_Keys!C711))+(SUMPRODUCT(--ISNUMBER(Risk_Rank_Keys!$C$2:$C$800),--(Risk_Rank_Keys!$C$2:$C$800=Risk_Rank_Keys!C711))+1)/2)/COUNT(Risk_Rank_Keys!$C$2:$C$800))</f>
        <v>0.95397489539749</v>
      </c>
      <c r="O711" s="0" t="n">
        <f aca="false">IF(OR(B711="NW",COUNT(Risk_Rank_Keys!D711)=0),0.5,(SUMPRODUCT(--ISNUMBER(Risk_Rank_Keys!$D$2:$D$800),--(Risk_Rank_Keys!$D$2:$D$800&lt;Risk_Rank_Keys!D711))+(SUMPRODUCT(--ISNUMBER(Risk_Rank_Keys!$D$2:$D$800),--(Risk_Rank_Keys!$D$2:$D$800=Risk_Rank_Keys!D711))+1)/2)/COUNT(Risk_Rank_Keys!$D$2:$D$800))</f>
        <v>0.827057182705718</v>
      </c>
      <c r="P711" s="0" t="n">
        <f aca="false">AVERAGE(M711:O711)</f>
        <v>0.827057182705718</v>
      </c>
      <c r="Q711" s="0" t="n">
        <f aca="false">0.4*H711+0.4*I711+0.2*P711</f>
        <v>0.202958370208228</v>
      </c>
      <c r="R711" s="0" t="n">
        <f aca="false">PERCENTILE($Q$2:$Q$800,0.75)</f>
        <v>0.667715717403612</v>
      </c>
      <c r="S711" s="1" t="b">
        <f aca="false">OR(Q711&gt;=R711,AND(B711="CW",COUNT(J711:L711)&lt;3))</f>
        <v>0</v>
      </c>
      <c r="T711" s="0" t="n">
        <v>0.171345467869545</v>
      </c>
      <c r="U711" s="0" t="n">
        <v>3.99035189695822</v>
      </c>
      <c r="V711" s="0" t="n">
        <v>0.202958370208228</v>
      </c>
      <c r="W711" s="0" t="n">
        <f aca="false">Q711-V711</f>
        <v>0</v>
      </c>
    </row>
    <row r="712" customFormat="false" ht="15" hidden="false" customHeight="false" outlineLevel="0" collapsed="false">
      <c r="A712" s="0" t="s">
        <v>746</v>
      </c>
      <c r="B712" s="0" t="s">
        <v>3013</v>
      </c>
      <c r="C712" s="0" t="n">
        <v>0.690526592151045</v>
      </c>
      <c r="D712" s="0" t="n">
        <f aca="false">SUMPRODUCT(Risk_Inputs!B712:AJ712,Risk_Coefs!$B$2:$AJ$2)</f>
        <v>-0.751964182424546</v>
      </c>
      <c r="E712" s="0" t="n">
        <f aca="false">1/(1+EXP(-MAX(-25,MIN(25,D712))))</f>
        <v>0.320393466017046</v>
      </c>
      <c r="F712" s="0" t="n">
        <f aca="false">SUMPRODUCT(Risk_Inputs!B712:AJ712,Risk_Coefs!$B$3:$AJ$3)</f>
        <v>6.7312391312787</v>
      </c>
      <c r="G712" s="0" t="n">
        <f aca="false">MAX(0,F712)</f>
        <v>6.7312391312787</v>
      </c>
      <c r="H712" s="0" t="n">
        <f aca="false">(SUMPRODUCT(--ISNUMBER($E$2:$E$800),--($E$2:$E$800&lt;E712))+(SUMPRODUCT(--ISNUMBER($E$2:$E$800),--($E$2:$E$800=E712))+1)/2)/COUNT($E$2:$E$800)</f>
        <v>0.672090112640801</v>
      </c>
      <c r="I712" s="0" t="n">
        <f aca="false">(SUMPRODUCT(--ISNUMBER($G$2:$G$800),--($G$2:$G$800&lt;G712))+(SUMPRODUCT(--ISNUMBER($G$2:$G$800),--($G$2:$G$800=G712))+1)/2)/COUNT($G$2:$G$800)</f>
        <v>0.381727158948686</v>
      </c>
      <c r="J712" s="0" t="n">
        <v>2.68957157046005</v>
      </c>
      <c r="K712" s="0" t="n">
        <v>2.02020202020202</v>
      </c>
      <c r="L712" s="0" t="n">
        <v>0.133409567371819</v>
      </c>
      <c r="M712" s="0" t="n">
        <f aca="false">IF(OR(B712="NW",COUNT(Risk_Rank_Keys!B712)=0),0.5,(SUMPRODUCT(--ISNUMBER(Risk_Rank_Keys!$B$2:$B$800),--(Risk_Rank_Keys!$B$2:$B$800&lt;Risk_Rank_Keys!B712))+(SUMPRODUCT(--ISNUMBER(Risk_Rank_Keys!$B$2:$B$800),--(Risk_Rank_Keys!$B$2:$B$800=Risk_Rank_Keys!B712))+1)/2)/COUNT(Risk_Rank_Keys!$B$2:$B$800))</f>
        <v>0.0195258019525802</v>
      </c>
      <c r="N712" s="0" t="n">
        <f aca="false">IF(OR(B712="NW",COUNT(Risk_Rank_Keys!C712)=0),0.5,(SUMPRODUCT(--ISNUMBER(Risk_Rank_Keys!$C$2:$C$800),--(Risk_Rank_Keys!$C$2:$C$800&lt;Risk_Rank_Keys!C712))+(SUMPRODUCT(--ISNUMBER(Risk_Rank_Keys!$C$2:$C$800),--(Risk_Rank_Keys!$C$2:$C$800=Risk_Rank_Keys!C712))+1)/2)/COUNT(Risk_Rank_Keys!$C$2:$C$800))</f>
        <v>0.273361227336123</v>
      </c>
      <c r="O712" s="0" t="n">
        <f aca="false">IF(OR(B712="NW",COUNT(Risk_Rank_Keys!D712)=0),0.5,(SUMPRODUCT(--ISNUMBER(Risk_Rank_Keys!$D$2:$D$800),--(Risk_Rank_Keys!$D$2:$D$800&lt;Risk_Rank_Keys!D712))+(SUMPRODUCT(--ISNUMBER(Risk_Rank_Keys!$D$2:$D$800),--(Risk_Rank_Keys!$D$2:$D$800=Risk_Rank_Keys!D712))+1)/2)/COUNT(Risk_Rank_Keys!$D$2:$D$800))</f>
        <v>0.0725244072524407</v>
      </c>
      <c r="P712" s="0" t="n">
        <f aca="false">AVERAGE(M712:O712)</f>
        <v>0.121803812180381</v>
      </c>
      <c r="Q712" s="0" t="n">
        <f aca="false">0.4*H712+0.4*I712+0.2*P712</f>
        <v>0.445887671071871</v>
      </c>
      <c r="R712" s="0" t="n">
        <f aca="false">PERCENTILE($Q$2:$Q$800,0.75)</f>
        <v>0.667715717403612</v>
      </c>
      <c r="S712" s="1" t="b">
        <f aca="false">OR(Q712&gt;=R712,AND(B712="CW",COUNT(J712:L712)&lt;3))</f>
        <v>0</v>
      </c>
      <c r="T712" s="0" t="n">
        <v>0.320393466017046</v>
      </c>
      <c r="U712" s="0" t="n">
        <v>6.73123913127871</v>
      </c>
      <c r="V712" s="0" t="n">
        <v>0.445887671071871</v>
      </c>
      <c r="W712" s="0" t="n">
        <f aca="false">Q712-V712</f>
        <v>0</v>
      </c>
    </row>
    <row r="713" customFormat="false" ht="15" hidden="false" customHeight="false" outlineLevel="0" collapsed="false">
      <c r="A713" s="0" t="s">
        <v>747</v>
      </c>
      <c r="B713" s="0" t="s">
        <v>3013</v>
      </c>
      <c r="C713" s="0" t="n">
        <v>-4.69413114753077</v>
      </c>
      <c r="D713" s="0" t="n">
        <f aca="false">SUMPRODUCT(Risk_Inputs!B713:AJ713,Risk_Coefs!$B$2:$AJ$2)</f>
        <v>-0.919554762839886</v>
      </c>
      <c r="E713" s="0" t="n">
        <f aca="false">1/(1+EXP(-MAX(-25,MIN(25,D713))))</f>
        <v>0.285048623124612</v>
      </c>
      <c r="F713" s="0" t="n">
        <f aca="false">SUMPRODUCT(Risk_Inputs!B713:AJ713,Risk_Coefs!$B$3:$AJ$3)</f>
        <v>4.59310180144413</v>
      </c>
      <c r="G713" s="0" t="n">
        <f aca="false">MAX(0,F713)</f>
        <v>4.59310180144413</v>
      </c>
      <c r="H713" s="0" t="n">
        <f aca="false">(SUMPRODUCT(--ISNUMBER($E$2:$E$800),--($E$2:$E$800&lt;E713))+(SUMPRODUCT(--ISNUMBER($E$2:$E$800),--($E$2:$E$800=E713))+1)/2)/COUNT($E$2:$E$800)</f>
        <v>0.494367959949937</v>
      </c>
      <c r="I713" s="0" t="n">
        <f aca="false">(SUMPRODUCT(--ISNUMBER($G$2:$G$800),--($G$2:$G$800&lt;G713))+(SUMPRODUCT(--ISNUMBER($G$2:$G$800),--($G$2:$G$800=G713))+1)/2)/COUNT($G$2:$G$800)</f>
        <v>0.0926157697121402</v>
      </c>
      <c r="J713" s="0" t="n">
        <v>3.93994290945499</v>
      </c>
      <c r="K713" s="0" t="n">
        <v>0.959821428571431</v>
      </c>
      <c r="L713" s="0" t="n">
        <v>0.200892857142858</v>
      </c>
      <c r="M713" s="0" t="n">
        <f aca="false">IF(OR(B713="NW",COUNT(Risk_Rank_Keys!B713)=0),0.5,(SUMPRODUCT(--ISNUMBER(Risk_Rank_Keys!$B$2:$B$800),--(Risk_Rank_Keys!$B$2:$B$800&lt;Risk_Rank_Keys!B713))+(SUMPRODUCT(--ISNUMBER(Risk_Rank_Keys!$B$2:$B$800),--(Risk_Rank_Keys!$B$2:$B$800=Risk_Rank_Keys!B713))+1)/2)/COUNT(Risk_Rank_Keys!$B$2:$B$800))</f>
        <v>0.0725244072524407</v>
      </c>
      <c r="N713" s="0" t="n">
        <f aca="false">IF(OR(B713="NW",COUNT(Risk_Rank_Keys!C713)=0),0.5,(SUMPRODUCT(--ISNUMBER(Risk_Rank_Keys!$C$2:$C$800),--(Risk_Rank_Keys!$C$2:$C$800&lt;Risk_Rank_Keys!C713))+(SUMPRODUCT(--ISNUMBER(Risk_Rank_Keys!$C$2:$C$800),--(Risk_Rank_Keys!$C$2:$C$800=Risk_Rank_Keys!C713))+1)/2)/COUNT(Risk_Rank_Keys!$C$2:$C$800))</f>
        <v>0.0237099023709902</v>
      </c>
      <c r="O713" s="0" t="n">
        <f aca="false">IF(OR(B713="NW",COUNT(Risk_Rank_Keys!D713)=0),0.5,(SUMPRODUCT(--ISNUMBER(Risk_Rank_Keys!$D$2:$D$800),--(Risk_Rank_Keys!$D$2:$D$800&lt;Risk_Rank_Keys!D713))+(SUMPRODUCT(--ISNUMBER(Risk_Rank_Keys!$D$2:$D$800),--(Risk_Rank_Keys!$D$2:$D$800=Risk_Rank_Keys!D713))+1)/2)/COUNT(Risk_Rank_Keys!$D$2:$D$800))</f>
        <v>0.316596931659693</v>
      </c>
      <c r="P713" s="0" t="n">
        <f aca="false">AVERAGE(M713:O713)</f>
        <v>0.137610413761041</v>
      </c>
      <c r="Q713" s="0" t="n">
        <f aca="false">0.4*H713+0.4*I713+0.2*P713</f>
        <v>0.262315574617039</v>
      </c>
      <c r="R713" s="0" t="n">
        <f aca="false">PERCENTILE($Q$2:$Q$800,0.75)</f>
        <v>0.667715717403612</v>
      </c>
      <c r="S713" s="1" t="b">
        <f aca="false">OR(Q713&gt;=R713,AND(B713="CW",COUNT(J713:L713)&lt;3))</f>
        <v>0</v>
      </c>
      <c r="T713" s="0" t="n">
        <v>0.285048623124612</v>
      </c>
      <c r="U713" s="0" t="n">
        <v>4.59310180144413</v>
      </c>
      <c r="V713" s="0" t="n">
        <v>0.262315574617039</v>
      </c>
      <c r="W713" s="0" t="n">
        <f aca="false">Q713-V713</f>
        <v>0</v>
      </c>
    </row>
    <row r="714" customFormat="false" ht="15" hidden="false" customHeight="false" outlineLevel="0" collapsed="false">
      <c r="A714" s="0" t="s">
        <v>748</v>
      </c>
      <c r="B714" s="0" t="s">
        <v>3013</v>
      </c>
      <c r="C714" s="0" t="n">
        <v>22.1921309927897</v>
      </c>
      <c r="D714" s="0" t="n">
        <f aca="false">SUMPRODUCT(Risk_Inputs!B714:AJ714,Risk_Coefs!$B$2:$AJ$2)</f>
        <v>-1.18426061817592</v>
      </c>
      <c r="E714" s="0" t="n">
        <f aca="false">1/(1+EXP(-MAX(-25,MIN(25,D714))))</f>
        <v>0.234286990702767</v>
      </c>
      <c r="F714" s="0" t="n">
        <f aca="false">SUMPRODUCT(Risk_Inputs!B714:AJ714,Risk_Coefs!$B$3:$AJ$3)</f>
        <v>5.96932509875213</v>
      </c>
      <c r="G714" s="0" t="n">
        <f aca="false">MAX(0,F714)</f>
        <v>5.96932509875213</v>
      </c>
      <c r="H714" s="0" t="n">
        <f aca="false">(SUMPRODUCT(--ISNUMBER($E$2:$E$800),--($E$2:$E$800&lt;E714))+(SUMPRODUCT(--ISNUMBER($E$2:$E$800),--($E$2:$E$800=E714))+1)/2)/COUNT($E$2:$E$800)</f>
        <v>0.196495619524406</v>
      </c>
      <c r="I714" s="0" t="n">
        <f aca="false">(SUMPRODUCT(--ISNUMBER($G$2:$G$800),--($G$2:$G$800&lt;G714))+(SUMPRODUCT(--ISNUMBER($G$2:$G$800),--($G$2:$G$800=G714))+1)/2)/COUNT($G$2:$G$800)</f>
        <v>0.261576971214018</v>
      </c>
      <c r="J714" s="0" t="n">
        <v>16.8945786053726</v>
      </c>
      <c r="K714" s="0" t="n">
        <v>6.0856498873028</v>
      </c>
      <c r="L714" s="0" t="n">
        <v>0.262960180315548</v>
      </c>
      <c r="M714" s="0" t="n">
        <f aca="false">IF(OR(B714="NW",COUNT(Risk_Rank_Keys!B714)=0),0.5,(SUMPRODUCT(--ISNUMBER(Risk_Rank_Keys!$B$2:$B$800),--(Risk_Rank_Keys!$B$2:$B$800&lt;Risk_Rank_Keys!B714))+(SUMPRODUCT(--ISNUMBER(Risk_Rank_Keys!$B$2:$B$800),--(Risk_Rank_Keys!$B$2:$B$800=Risk_Rank_Keys!B714))+1)/2)/COUNT(Risk_Rank_Keys!$B$2:$B$800))</f>
        <v>0.744769874476987</v>
      </c>
      <c r="N714" s="0" t="n">
        <f aca="false">IF(OR(B714="NW",COUNT(Risk_Rank_Keys!C714)=0),0.5,(SUMPRODUCT(--ISNUMBER(Risk_Rank_Keys!$C$2:$C$800),--(Risk_Rank_Keys!$C$2:$C$800&lt;Risk_Rank_Keys!C714))+(SUMPRODUCT(--ISNUMBER(Risk_Rank_Keys!$C$2:$C$800),--(Risk_Rank_Keys!$C$2:$C$800=Risk_Rank_Keys!C714))+1)/2)/COUNT(Risk_Rank_Keys!$C$2:$C$800))</f>
        <v>0.748953974895398</v>
      </c>
      <c r="O714" s="0" t="n">
        <f aca="false">IF(OR(B714="NW",COUNT(Risk_Rank_Keys!D714)=0),0.5,(SUMPRODUCT(--ISNUMBER(Risk_Rank_Keys!$D$2:$D$800),--(Risk_Rank_Keys!$D$2:$D$800&lt;Risk_Rank_Keys!D714))+(SUMPRODUCT(--ISNUMBER(Risk_Rank_Keys!$D$2:$D$800),--(Risk_Rank_Keys!$D$2:$D$800=Risk_Rank_Keys!D714))+1)/2)/COUNT(Risk_Rank_Keys!$D$2:$D$800))</f>
        <v>0.645746164574616</v>
      </c>
      <c r="P714" s="0" t="n">
        <f aca="false">AVERAGE(M714:O714)</f>
        <v>0.713156671315667</v>
      </c>
      <c r="Q714" s="0" t="n">
        <f aca="false">0.4*H714+0.4*I714+0.2*P714</f>
        <v>0.325860370558503</v>
      </c>
      <c r="R714" s="0" t="n">
        <f aca="false">PERCENTILE($Q$2:$Q$800,0.75)</f>
        <v>0.667715717403612</v>
      </c>
      <c r="S714" s="1" t="b">
        <f aca="false">OR(Q714&gt;=R714,AND(B714="CW",COUNT(J714:L714)&lt;3))</f>
        <v>0</v>
      </c>
      <c r="T714" s="0" t="n">
        <v>0.234286990702767</v>
      </c>
      <c r="U714" s="0" t="n">
        <v>5.96932509875213</v>
      </c>
      <c r="V714" s="0" t="n">
        <v>0.325860370558503</v>
      </c>
      <c r="W714" s="0" t="n">
        <f aca="false">Q714-V714</f>
        <v>0</v>
      </c>
    </row>
    <row r="715" customFormat="false" ht="15" hidden="false" customHeight="false" outlineLevel="0" collapsed="false">
      <c r="A715" s="0" t="s">
        <v>749</v>
      </c>
      <c r="B715" s="0" t="s">
        <v>3013</v>
      </c>
      <c r="C715" s="0" t="n">
        <v>3.66044056138007</v>
      </c>
      <c r="D715" s="0" t="n">
        <f aca="false">SUMPRODUCT(Risk_Inputs!B715:AJ715,Risk_Coefs!$B$2:$AJ$2)</f>
        <v>-0.782777088564125</v>
      </c>
      <c r="E715" s="0" t="n">
        <f aca="false">1/(1+EXP(-MAX(-25,MIN(25,D715))))</f>
        <v>0.31372166874923</v>
      </c>
      <c r="F715" s="0" t="n">
        <f aca="false">SUMPRODUCT(Risk_Inputs!B715:AJ715,Risk_Coefs!$B$3:$AJ$3)</f>
        <v>4.91366264171179</v>
      </c>
      <c r="G715" s="0" t="n">
        <f aca="false">MAX(0,F715)</f>
        <v>4.91366264171179</v>
      </c>
      <c r="H715" s="0" t="n">
        <f aca="false">(SUMPRODUCT(--ISNUMBER($E$2:$E$800),--($E$2:$E$800&lt;E715))+(SUMPRODUCT(--ISNUMBER($E$2:$E$800),--($E$2:$E$800=E715))+1)/2)/COUNT($E$2:$E$800)</f>
        <v>0.637046307884856</v>
      </c>
      <c r="I715" s="0" t="n">
        <f aca="false">(SUMPRODUCT(--ISNUMBER($G$2:$G$800),--($G$2:$G$800&lt;G715))+(SUMPRODUCT(--ISNUMBER($G$2:$G$800),--($G$2:$G$800=G715))+1)/2)/COUNT($G$2:$G$800)</f>
        <v>0.127659574468085</v>
      </c>
      <c r="J715" s="0" t="n">
        <v>7.39460271432193</v>
      </c>
      <c r="K715" s="0" t="n">
        <v>1.906941266209</v>
      </c>
      <c r="L715" s="0" t="n">
        <v>0.152555301296711</v>
      </c>
      <c r="M715" s="0" t="n">
        <f aca="false">IF(OR(B715="NW",COUNT(Risk_Rank_Keys!B715)=0),0.5,(SUMPRODUCT(--ISNUMBER(Risk_Rank_Keys!$B$2:$B$800),--(Risk_Rank_Keys!$B$2:$B$800&lt;Risk_Rank_Keys!B715))+(SUMPRODUCT(--ISNUMBER(Risk_Rank_Keys!$B$2:$B$800),--(Risk_Rank_Keys!$B$2:$B$800=Risk_Rank_Keys!B715))+1)/2)/COUNT(Risk_Rank_Keys!$B$2:$B$800))</f>
        <v>0.350069735006974</v>
      </c>
      <c r="N715" s="0" t="n">
        <f aca="false">IF(OR(B715="NW",COUNT(Risk_Rank_Keys!C715)=0),0.5,(SUMPRODUCT(--ISNUMBER(Risk_Rank_Keys!$C$2:$C$800),--(Risk_Rank_Keys!$C$2:$C$800&lt;Risk_Rank_Keys!C715))+(SUMPRODUCT(--ISNUMBER(Risk_Rank_Keys!$C$2:$C$800),--(Risk_Rank_Keys!$C$2:$C$800=Risk_Rank_Keys!C715))+1)/2)/COUNT(Risk_Rank_Keys!$C$2:$C$800))</f>
        <v>0.249651324965133</v>
      </c>
      <c r="O715" s="0" t="n">
        <f aca="false">IF(OR(B715="NW",COUNT(Risk_Rank_Keys!D715)=0),0.5,(SUMPRODUCT(--ISNUMBER(Risk_Rank_Keys!$D$2:$D$800),--(Risk_Rank_Keys!$D$2:$D$800&lt;Risk_Rank_Keys!D715))+(SUMPRODUCT(--ISNUMBER(Risk_Rank_Keys!$D$2:$D$800),--(Risk_Rank_Keys!$D$2:$D$800=Risk_Rank_Keys!D715))+1)/2)/COUNT(Risk_Rank_Keys!$D$2:$D$800))</f>
        <v>0.114365411436541</v>
      </c>
      <c r="P715" s="0" t="n">
        <f aca="false">AVERAGE(M715:O715)</f>
        <v>0.238028823802882</v>
      </c>
      <c r="Q715" s="0" t="n">
        <f aca="false">0.4*H715+0.4*I715+0.2*P715</f>
        <v>0.353488117701753</v>
      </c>
      <c r="R715" s="0" t="n">
        <f aca="false">PERCENTILE($Q$2:$Q$800,0.75)</f>
        <v>0.667715717403612</v>
      </c>
      <c r="S715" s="1" t="b">
        <f aca="false">OR(Q715&gt;=R715,AND(B715="CW",COUNT(J715:L715)&lt;3))</f>
        <v>0</v>
      </c>
      <c r="T715" s="0" t="n">
        <v>0.31372166874923</v>
      </c>
      <c r="U715" s="0" t="n">
        <v>4.91366264171179</v>
      </c>
      <c r="V715" s="0" t="n">
        <v>0.353488117701753</v>
      </c>
      <c r="W715" s="0" t="n">
        <f aca="false">Q715-V715</f>
        <v>0</v>
      </c>
    </row>
    <row r="716" customFormat="false" ht="15" hidden="false" customHeight="false" outlineLevel="0" collapsed="false">
      <c r="A716" s="0" t="s">
        <v>750</v>
      </c>
      <c r="B716" s="0" t="s">
        <v>3013</v>
      </c>
      <c r="C716" s="0" t="n">
        <v>6.24959067080945</v>
      </c>
      <c r="D716" s="0" t="n">
        <f aca="false">SUMPRODUCT(Risk_Inputs!B716:AJ716,Risk_Coefs!$B$2:$AJ$2)</f>
        <v>-0.707621222934608</v>
      </c>
      <c r="E716" s="0" t="n">
        <f aca="false">1/(1+EXP(-MAX(-25,MIN(25,D716))))</f>
        <v>0.330124675863384</v>
      </c>
      <c r="F716" s="0" t="n">
        <f aca="false">SUMPRODUCT(Risk_Inputs!B716:AJ716,Risk_Coefs!$B$3:$AJ$3)</f>
        <v>9.35248402033043</v>
      </c>
      <c r="G716" s="0" t="n">
        <f aca="false">MAX(0,F716)</f>
        <v>9.35248402033043</v>
      </c>
      <c r="H716" s="0" t="n">
        <f aca="false">(SUMPRODUCT(--ISNUMBER($E$2:$E$800),--($E$2:$E$800&lt;E716))+(SUMPRODUCT(--ISNUMBER($E$2:$E$800),--($E$2:$E$800=E716))+1)/2)/COUNT($E$2:$E$800)</f>
        <v>0.732165206508135</v>
      </c>
      <c r="I716" s="0" t="n">
        <f aca="false">(SUMPRODUCT(--ISNUMBER($G$2:$G$800),--($G$2:$G$800&lt;G716))+(SUMPRODUCT(--ISNUMBER($G$2:$G$800),--($G$2:$G$800=G716))+1)/2)/COUNT($G$2:$G$800)</f>
        <v>0.717146433041302</v>
      </c>
      <c r="J716" s="0" t="n">
        <v>5.53319726901462</v>
      </c>
      <c r="K716" s="0" t="n">
        <v>1.00366724570545</v>
      </c>
      <c r="L716" s="0" t="n">
        <v>0.15441034549315</v>
      </c>
      <c r="M716" s="0" t="n">
        <f aca="false">IF(OR(B716="NW",COUNT(Risk_Rank_Keys!B716)=0),0.5,(SUMPRODUCT(--ISNUMBER(Risk_Rank_Keys!$B$2:$B$800),--(Risk_Rank_Keys!$B$2:$B$800&lt;Risk_Rank_Keys!B716))+(SUMPRODUCT(--ISNUMBER(Risk_Rank_Keys!$B$2:$B$800),--(Risk_Rank_Keys!$B$2:$B$800=Risk_Rank_Keys!B716))+1)/2)/COUNT(Risk_Rank_Keys!$B$2:$B$800))</f>
        <v>0.171548117154812</v>
      </c>
      <c r="N716" s="0" t="n">
        <f aca="false">IF(OR(B716="NW",COUNT(Risk_Rank_Keys!C716)=0),0.5,(SUMPRODUCT(--ISNUMBER(Risk_Rank_Keys!$C$2:$C$800),--(Risk_Rank_Keys!$C$2:$C$800&lt;Risk_Rank_Keys!C716))+(SUMPRODUCT(--ISNUMBER(Risk_Rank_Keys!$C$2:$C$800),--(Risk_Rank_Keys!$C$2:$C$800=Risk_Rank_Keys!C716))+1)/2)/COUNT(Risk_Rank_Keys!$C$2:$C$800))</f>
        <v>0.0278940027894003</v>
      </c>
      <c r="O716" s="0" t="n">
        <f aca="false">IF(OR(B716="NW",COUNT(Risk_Rank_Keys!D716)=0),0.5,(SUMPRODUCT(--ISNUMBER(Risk_Rank_Keys!$D$2:$D$800),--(Risk_Rank_Keys!$D$2:$D$800&lt;Risk_Rank_Keys!D716))+(SUMPRODUCT(--ISNUMBER(Risk_Rank_Keys!$D$2:$D$800),--(Risk_Rank_Keys!$D$2:$D$800=Risk_Rank_Keys!D716))+1)/2)/COUNT(Risk_Rank_Keys!$D$2:$D$800))</f>
        <v>0.117154811715481</v>
      </c>
      <c r="P716" s="0" t="n">
        <f aca="false">AVERAGE(M716:O716)</f>
        <v>0.105532310553231</v>
      </c>
      <c r="Q716" s="0" t="n">
        <f aca="false">0.4*H716+0.4*I716+0.2*P716</f>
        <v>0.600831117930421</v>
      </c>
      <c r="R716" s="0" t="n">
        <f aca="false">PERCENTILE($Q$2:$Q$800,0.75)</f>
        <v>0.667715717403612</v>
      </c>
      <c r="S716" s="1" t="b">
        <f aca="false">OR(Q716&gt;=R716,AND(B716="CW",COUNT(J716:L716)&lt;3))</f>
        <v>0</v>
      </c>
      <c r="T716" s="0" t="n">
        <v>0.330124675863383</v>
      </c>
      <c r="U716" s="0" t="n">
        <v>9.35248402033043</v>
      </c>
      <c r="V716" s="0" t="n">
        <v>0.600831117930421</v>
      </c>
      <c r="W716" s="0" t="n">
        <f aca="false">Q716-V716</f>
        <v>0</v>
      </c>
    </row>
    <row r="717" customFormat="false" ht="15" hidden="false" customHeight="false" outlineLevel="0" collapsed="false">
      <c r="A717" s="0" t="s">
        <v>751</v>
      </c>
      <c r="B717" s="0" t="s">
        <v>3013</v>
      </c>
      <c r="C717" s="0" t="n">
        <v>9.68326747167893</v>
      </c>
      <c r="D717" s="0" t="n">
        <f aca="false">SUMPRODUCT(Risk_Inputs!B717:AJ717,Risk_Coefs!$B$2:$AJ$2)</f>
        <v>-0.952144435719226</v>
      </c>
      <c r="E717" s="0" t="n">
        <f aca="false">1/(1+EXP(-MAX(-25,MIN(25,D717))))</f>
        <v>0.27845376319031</v>
      </c>
      <c r="F717" s="0" t="n">
        <f aca="false">SUMPRODUCT(Risk_Inputs!B717:AJ717,Risk_Coefs!$B$3:$AJ$3)</f>
        <v>4.9528091488097</v>
      </c>
      <c r="G717" s="0" t="n">
        <f aca="false">MAX(0,F717)</f>
        <v>4.9528091488097</v>
      </c>
      <c r="H717" s="0" t="n">
        <f aca="false">(SUMPRODUCT(--ISNUMBER($E$2:$E$800),--($E$2:$E$800&lt;E717))+(SUMPRODUCT(--ISNUMBER($E$2:$E$800),--($E$2:$E$800=E717))+1)/2)/COUNT($E$2:$E$800)</f>
        <v>0.458072590738423</v>
      </c>
      <c r="I717" s="0" t="n">
        <f aca="false">(SUMPRODUCT(--ISNUMBER($G$2:$G$800),--($G$2:$G$800&lt;G717))+(SUMPRODUCT(--ISNUMBER($G$2:$G$800),--($G$2:$G$800=G717))+1)/2)/COUNT($G$2:$G$800)</f>
        <v>0.133917396745932</v>
      </c>
      <c r="J717" s="0" t="n">
        <v>3.72098732754359</v>
      </c>
      <c r="K717" s="0" t="n">
        <v>1.08492330714552</v>
      </c>
      <c r="L717" s="0" t="n">
        <v>0.205761316872432</v>
      </c>
      <c r="M717" s="0" t="n">
        <f aca="false">IF(OR(B717="NW",COUNT(Risk_Rank_Keys!B717)=0),0.5,(SUMPRODUCT(--ISNUMBER(Risk_Rank_Keys!$B$2:$B$800),--(Risk_Rank_Keys!$B$2:$B$800&lt;Risk_Rank_Keys!B717))+(SUMPRODUCT(--ISNUMBER(Risk_Rank_Keys!$B$2:$B$800),--(Risk_Rank_Keys!$B$2:$B$800=Risk_Rank_Keys!B717))+1)/2)/COUNT(Risk_Rank_Keys!$B$2:$B$800))</f>
        <v>0.0585774058577406</v>
      </c>
      <c r="N717" s="0" t="n">
        <f aca="false">IF(OR(B717="NW",COUNT(Risk_Rank_Keys!C717)=0),0.5,(SUMPRODUCT(--ISNUMBER(Risk_Rank_Keys!$C$2:$C$800),--(Risk_Rank_Keys!$C$2:$C$800&lt;Risk_Rank_Keys!C717))+(SUMPRODUCT(--ISNUMBER(Risk_Rank_Keys!$C$2:$C$800),--(Risk_Rank_Keys!$C$2:$C$800=Risk_Rank_Keys!C717))+1)/2)/COUNT(Risk_Rank_Keys!$C$2:$C$800))</f>
        <v>0.0390516039051604</v>
      </c>
      <c r="O717" s="0" t="n">
        <f aca="false">IF(OR(B717="NW",COUNT(Risk_Rank_Keys!D717)=0),0.5,(SUMPRODUCT(--ISNUMBER(Risk_Rank_Keys!$D$2:$D$800),--(Risk_Rank_Keys!$D$2:$D$800&lt;Risk_Rank_Keys!D717))+(SUMPRODUCT(--ISNUMBER(Risk_Rank_Keys!$D$2:$D$800),--(Risk_Rank_Keys!$D$2:$D$800=Risk_Rank_Keys!D717))+1)/2)/COUNT(Risk_Rank_Keys!$D$2:$D$800))</f>
        <v>0.343096234309623</v>
      </c>
      <c r="P717" s="0" t="n">
        <f aca="false">AVERAGE(M717:O717)</f>
        <v>0.146908414690841</v>
      </c>
      <c r="Q717" s="0" t="n">
        <f aca="false">0.4*H717+0.4*I717+0.2*P717</f>
        <v>0.266177677931911</v>
      </c>
      <c r="R717" s="0" t="n">
        <f aca="false">PERCENTILE($Q$2:$Q$800,0.75)</f>
        <v>0.667715717403612</v>
      </c>
      <c r="S717" s="1" t="b">
        <f aca="false">OR(Q717&gt;=R717,AND(B717="CW",COUNT(J717:L717)&lt;3))</f>
        <v>0</v>
      </c>
      <c r="T717" s="0" t="n">
        <v>0.27845376319031</v>
      </c>
      <c r="U717" s="0" t="n">
        <v>4.9528091488097</v>
      </c>
      <c r="V717" s="0" t="n">
        <v>0.266177677931911</v>
      </c>
      <c r="W717" s="0" t="n">
        <f aca="false">Q717-V717</f>
        <v>0</v>
      </c>
    </row>
    <row r="718" customFormat="false" ht="15" hidden="false" customHeight="false" outlineLevel="0" collapsed="false">
      <c r="A718" s="0" t="s">
        <v>752</v>
      </c>
      <c r="B718" s="0" t="s">
        <v>3013</v>
      </c>
      <c r="C718" s="0" t="n">
        <v>8.67989070919365</v>
      </c>
      <c r="D718" s="0" t="n">
        <f aca="false">SUMPRODUCT(Risk_Inputs!B718:AJ718,Risk_Coefs!$B$2:$AJ$2)</f>
        <v>-0.879797969430557</v>
      </c>
      <c r="E718" s="0" t="n">
        <f aca="false">1/(1+EXP(-MAX(-25,MIN(25,D718))))</f>
        <v>0.293219646353346</v>
      </c>
      <c r="F718" s="0" t="n">
        <f aca="false">SUMPRODUCT(Risk_Inputs!B718:AJ718,Risk_Coefs!$B$3:$AJ$3)</f>
        <v>6.22533436648295</v>
      </c>
      <c r="G718" s="0" t="n">
        <f aca="false">MAX(0,F718)</f>
        <v>6.22533436648295</v>
      </c>
      <c r="H718" s="0" t="n">
        <f aca="false">(SUMPRODUCT(--ISNUMBER($E$2:$E$800),--($E$2:$E$800&lt;E718))+(SUMPRODUCT(--ISNUMBER($E$2:$E$800),--($E$2:$E$800=E718))+1)/2)/COUNT($E$2:$E$800)</f>
        <v>0.541927409261577</v>
      </c>
      <c r="I718" s="0" t="n">
        <f aca="false">(SUMPRODUCT(--ISNUMBER($G$2:$G$800),--($G$2:$G$800&lt;G718))+(SUMPRODUCT(--ISNUMBER($G$2:$G$800),--($G$2:$G$800=G718))+1)/2)/COUNT($G$2:$G$800)</f>
        <v>0.296620775969962</v>
      </c>
      <c r="J718" s="0" t="n">
        <v>5.75236732039752</v>
      </c>
      <c r="K718" s="0" t="n">
        <v>0.844887348353548</v>
      </c>
      <c r="L718" s="0" t="n">
        <v>0.129982668977468</v>
      </c>
      <c r="M718" s="0" t="n">
        <f aca="false">IF(OR(B718="NW",COUNT(Risk_Rank_Keys!B718)=0),0.5,(SUMPRODUCT(--ISNUMBER(Risk_Rank_Keys!$B$2:$B$800),--(Risk_Rank_Keys!$B$2:$B$800&lt;Risk_Rank_Keys!B718))+(SUMPRODUCT(--ISNUMBER(Risk_Rank_Keys!$B$2:$B$800),--(Risk_Rank_Keys!$B$2:$B$800=Risk_Rank_Keys!B718))+1)/2)/COUNT(Risk_Rank_Keys!$B$2:$B$800))</f>
        <v>0.199442119944212</v>
      </c>
      <c r="N718" s="0" t="n">
        <f aca="false">IF(OR(B718="NW",COUNT(Risk_Rank_Keys!C718)=0),0.5,(SUMPRODUCT(--ISNUMBER(Risk_Rank_Keys!$C$2:$C$800),--(Risk_Rank_Keys!$C$2:$C$800&lt;Risk_Rank_Keys!C718))+(SUMPRODUCT(--ISNUMBER(Risk_Rank_Keys!$C$2:$C$800),--(Risk_Rank_Keys!$C$2:$C$800=Risk_Rank_Keys!C718))+1)/2)/COUNT(Risk_Rank_Keys!$C$2:$C$800))</f>
        <v>0.0125523012552301</v>
      </c>
      <c r="O718" s="0" t="n">
        <f aca="false">IF(OR(B718="NW",COUNT(Risk_Rank_Keys!D718)=0),0.5,(SUMPRODUCT(--ISNUMBER(Risk_Rank_Keys!$D$2:$D$800),--(Risk_Rank_Keys!$D$2:$D$800&lt;Risk_Rank_Keys!D718))+(SUMPRODUCT(--ISNUMBER(Risk_Rank_Keys!$D$2:$D$800),--(Risk_Rank_Keys!$D$2:$D$800=Risk_Rank_Keys!D718))+1)/2)/COUNT(Risk_Rank_Keys!$D$2:$D$800))</f>
        <v>0.0641562064156206</v>
      </c>
      <c r="P718" s="0" t="n">
        <f aca="false">AVERAGE(M718:O718)</f>
        <v>0.0920502092050209</v>
      </c>
      <c r="Q718" s="0" t="n">
        <f aca="false">0.4*H718+0.4*I718+0.2*P718</f>
        <v>0.35382931593362</v>
      </c>
      <c r="R718" s="0" t="n">
        <f aca="false">PERCENTILE($Q$2:$Q$800,0.75)</f>
        <v>0.667715717403612</v>
      </c>
      <c r="S718" s="1" t="b">
        <f aca="false">OR(Q718&gt;=R718,AND(B718="CW",COUNT(J718:L718)&lt;3))</f>
        <v>0</v>
      </c>
      <c r="T718" s="0" t="n">
        <v>0.293219646353346</v>
      </c>
      <c r="U718" s="0" t="n">
        <v>6.22533436648295</v>
      </c>
      <c r="V718" s="0" t="n">
        <v>0.35382931593362</v>
      </c>
      <c r="W718" s="0" t="n">
        <f aca="false">Q718-V718</f>
        <v>0</v>
      </c>
    </row>
    <row r="719" customFormat="false" ht="15" hidden="false" customHeight="false" outlineLevel="0" collapsed="false">
      <c r="A719" s="0" t="s">
        <v>753</v>
      </c>
      <c r="B719" s="0" t="s">
        <v>3013</v>
      </c>
      <c r="C719" s="0" t="n">
        <v>12.1083836292873</v>
      </c>
      <c r="D719" s="0" t="n">
        <f aca="false">SUMPRODUCT(Risk_Inputs!B719:AJ719,Risk_Coefs!$B$2:$AJ$2)</f>
        <v>-0.971221633839185</v>
      </c>
      <c r="E719" s="0" t="n">
        <f aca="false">1/(1+EXP(-MAX(-25,MIN(25,D719))))</f>
        <v>0.274637071650067</v>
      </c>
      <c r="F719" s="0" t="n">
        <f aca="false">SUMPRODUCT(Risk_Inputs!B719:AJ719,Risk_Coefs!$B$3:$AJ$3)</f>
        <v>8.90754064556726</v>
      </c>
      <c r="G719" s="0" t="n">
        <f aca="false">MAX(0,F719)</f>
        <v>8.90754064556726</v>
      </c>
      <c r="H719" s="0" t="n">
        <f aca="false">(SUMPRODUCT(--ISNUMBER($E$2:$E$800),--($E$2:$E$800&lt;E719))+(SUMPRODUCT(--ISNUMBER($E$2:$E$800),--($E$2:$E$800=E719))+1)/2)/COUNT($E$2:$E$800)</f>
        <v>0.421777221526909</v>
      </c>
      <c r="I719" s="0" t="n">
        <f aca="false">(SUMPRODUCT(--ISNUMBER($G$2:$G$800),--($G$2:$G$800&lt;G719))+(SUMPRODUCT(--ISNUMBER($G$2:$G$800),--($G$2:$G$800=G719))+1)/2)/COUNT($G$2:$G$800)</f>
        <v>0.664580725907384</v>
      </c>
      <c r="J719" s="0" t="n">
        <v>11.6583803580536</v>
      </c>
      <c r="K719" s="0" t="n">
        <v>4.27690471454148</v>
      </c>
      <c r="L719" s="0" t="n">
        <v>0.198925800676348</v>
      </c>
      <c r="M719" s="0" t="n">
        <f aca="false">IF(OR(B719="NW",COUNT(Risk_Rank_Keys!B719)=0),0.5,(SUMPRODUCT(--ISNUMBER(Risk_Rank_Keys!$B$2:$B$800),--(Risk_Rank_Keys!$B$2:$B$800&lt;Risk_Rank_Keys!B719))+(SUMPRODUCT(--ISNUMBER(Risk_Rank_Keys!$B$2:$B$800),--(Risk_Rank_Keys!$B$2:$B$800=Risk_Rank_Keys!B719))+1)/2)/COUNT(Risk_Rank_Keys!$B$2:$B$800))</f>
        <v>0.584379358437936</v>
      </c>
      <c r="N719" s="0" t="n">
        <f aca="false">IF(OR(B719="NW",COUNT(Risk_Rank_Keys!C719)=0),0.5,(SUMPRODUCT(--ISNUMBER(Risk_Rank_Keys!$C$2:$C$800),--(Risk_Rank_Keys!$C$2:$C$800&lt;Risk_Rank_Keys!C719))+(SUMPRODUCT(--ISNUMBER(Risk_Rank_Keys!$C$2:$C$800),--(Risk_Rank_Keys!$C$2:$C$800=Risk_Rank_Keys!C719))+1)/2)/COUNT(Risk_Rank_Keys!$C$2:$C$800))</f>
        <v>0.629009762900976</v>
      </c>
      <c r="O719" s="0" t="n">
        <f aca="false">IF(OR(B719="NW",COUNT(Risk_Rank_Keys!D719)=0),0.5,(SUMPRODUCT(--ISNUMBER(Risk_Rank_Keys!$D$2:$D$800),--(Risk_Rank_Keys!$D$2:$D$800&lt;Risk_Rank_Keys!D719))+(SUMPRODUCT(--ISNUMBER(Risk_Rank_Keys!$D$2:$D$800),--(Risk_Rank_Keys!$D$2:$D$800=Risk_Rank_Keys!D719))+1)/2)/COUNT(Risk_Rank_Keys!$D$2:$D$800))</f>
        <v>0.308228730822873</v>
      </c>
      <c r="P719" s="0" t="n">
        <f aca="false">AVERAGE(M719:O719)</f>
        <v>0.507205950720595</v>
      </c>
      <c r="Q719" s="0" t="n">
        <f aca="false">0.4*H719+0.4*I719+0.2*P719</f>
        <v>0.535984369117836</v>
      </c>
      <c r="R719" s="0" t="n">
        <f aca="false">PERCENTILE($Q$2:$Q$800,0.75)</f>
        <v>0.667715717403612</v>
      </c>
      <c r="S719" s="1" t="b">
        <f aca="false">OR(Q719&gt;=R719,AND(B719="CW",COUNT(J719:L719)&lt;3))</f>
        <v>0</v>
      </c>
      <c r="T719" s="0" t="n">
        <v>0.274637071650067</v>
      </c>
      <c r="U719" s="0" t="n">
        <v>8.90754064556726</v>
      </c>
      <c r="V719" s="0" t="n">
        <v>0.535984369117836</v>
      </c>
      <c r="W719" s="0" t="n">
        <f aca="false">Q719-V719</f>
        <v>0</v>
      </c>
    </row>
    <row r="720" customFormat="false" ht="15" hidden="false" customHeight="false" outlineLevel="0" collapsed="false">
      <c r="A720" s="0" t="s">
        <v>754</v>
      </c>
      <c r="B720" s="0" t="s">
        <v>3013</v>
      </c>
      <c r="C720" s="0" t="n">
        <v>-2.37389324357624</v>
      </c>
      <c r="D720" s="0" t="n">
        <f aca="false">SUMPRODUCT(Risk_Inputs!B720:AJ720,Risk_Coefs!$B$2:$AJ$2)</f>
        <v>-0.872172599389514</v>
      </c>
      <c r="E720" s="0" t="n">
        <f aca="false">1/(1+EXP(-MAX(-25,MIN(25,D720))))</f>
        <v>0.294802430444801</v>
      </c>
      <c r="F720" s="0" t="n">
        <f aca="false">SUMPRODUCT(Risk_Inputs!B720:AJ720,Risk_Coefs!$B$3:$AJ$3)</f>
        <v>5.89804263392102</v>
      </c>
      <c r="G720" s="0" t="n">
        <f aca="false">MAX(0,F720)</f>
        <v>5.89804263392102</v>
      </c>
      <c r="H720" s="0" t="n">
        <f aca="false">(SUMPRODUCT(--ISNUMBER($E$2:$E$800),--($E$2:$E$800&lt;E720))+(SUMPRODUCT(--ISNUMBER($E$2:$E$800),--($E$2:$E$800=E720))+1)/2)/COUNT($E$2:$E$800)</f>
        <v>0.546933667083855</v>
      </c>
      <c r="I720" s="0" t="n">
        <f aca="false">(SUMPRODUCT(--ISNUMBER($G$2:$G$800),--($G$2:$G$800&lt;G720))+(SUMPRODUCT(--ISNUMBER($G$2:$G$800),--($G$2:$G$800=G720))+1)/2)/COUNT($G$2:$G$800)</f>
        <v>0.249061326658323</v>
      </c>
      <c r="J720" s="0" t="n">
        <v>3.93194443368294</v>
      </c>
      <c r="K720" s="0" t="n">
        <v>1.20949338201735</v>
      </c>
      <c r="L720" s="0" t="n">
        <v>0.228206298493838</v>
      </c>
      <c r="M720" s="0" t="n">
        <f aca="false">IF(OR(B720="NW",COUNT(Risk_Rank_Keys!B720)=0),0.5,(SUMPRODUCT(--ISNUMBER(Risk_Rank_Keys!$B$2:$B$800),--(Risk_Rank_Keys!$B$2:$B$800&lt;Risk_Rank_Keys!B720))+(SUMPRODUCT(--ISNUMBER(Risk_Rank_Keys!$B$2:$B$800),--(Risk_Rank_Keys!$B$2:$B$800=Risk_Rank_Keys!B720))+1)/2)/COUNT(Risk_Rank_Keys!$B$2:$B$800))</f>
        <v>0.0711297071129707</v>
      </c>
      <c r="N720" s="0" t="n">
        <f aca="false">IF(OR(B720="NW",COUNT(Risk_Rank_Keys!C720)=0),0.5,(SUMPRODUCT(--ISNUMBER(Risk_Rank_Keys!$C$2:$C$800),--(Risk_Rank_Keys!$C$2:$C$800&lt;Risk_Rank_Keys!C720))+(SUMPRODUCT(--ISNUMBER(Risk_Rank_Keys!$C$2:$C$800),--(Risk_Rank_Keys!$C$2:$C$800=Risk_Rank_Keys!C720))+1)/2)/COUNT(Risk_Rank_Keys!$C$2:$C$800))</f>
        <v>0.0725244072524407</v>
      </c>
      <c r="O720" s="0" t="n">
        <f aca="false">IF(OR(B720="NW",COUNT(Risk_Rank_Keys!D720)=0),0.5,(SUMPRODUCT(--ISNUMBER(Risk_Rank_Keys!$D$2:$D$800),--(Risk_Rank_Keys!$D$2:$D$800&lt;Risk_Rank_Keys!D720))+(SUMPRODUCT(--ISNUMBER(Risk_Rank_Keys!$D$2:$D$800),--(Risk_Rank_Keys!$D$2:$D$800=Risk_Rank_Keys!D720))+1)/2)/COUNT(Risk_Rank_Keys!$D$2:$D$800))</f>
        <v>0.486750348675035</v>
      </c>
      <c r="P720" s="0" t="n">
        <f aca="false">AVERAGE(M720:O720)</f>
        <v>0.210134821013482</v>
      </c>
      <c r="Q720" s="0" t="n">
        <f aca="false">0.4*H720+0.4*I720+0.2*P720</f>
        <v>0.360424961699568</v>
      </c>
      <c r="R720" s="0" t="n">
        <f aca="false">PERCENTILE($Q$2:$Q$800,0.75)</f>
        <v>0.667715717403612</v>
      </c>
      <c r="S720" s="1" t="b">
        <f aca="false">OR(Q720&gt;=R720,AND(B720="CW",COUNT(J720:L720)&lt;3))</f>
        <v>0</v>
      </c>
      <c r="T720" s="0" t="n">
        <v>0.294802430444801</v>
      </c>
      <c r="U720" s="0" t="n">
        <v>5.89804263392102</v>
      </c>
      <c r="V720" s="0" t="n">
        <v>0.360424961699568</v>
      </c>
      <c r="W720" s="0" t="n">
        <f aca="false">Q720-V720</f>
        <v>0</v>
      </c>
    </row>
    <row r="721" customFormat="false" ht="15" hidden="false" customHeight="false" outlineLevel="0" collapsed="false">
      <c r="A721" s="0" t="s">
        <v>755</v>
      </c>
      <c r="B721" s="0" t="s">
        <v>3013</v>
      </c>
      <c r="C721" s="0" t="n">
        <v>17.761627612304</v>
      </c>
      <c r="D721" s="0" t="n">
        <f aca="false">SUMPRODUCT(Risk_Inputs!B721:AJ721,Risk_Coefs!$B$2:$AJ$2)</f>
        <v>-0.934097664551057</v>
      </c>
      <c r="E721" s="0" t="n">
        <f aca="false">1/(1+EXP(-MAX(-25,MIN(25,D721))))</f>
        <v>0.282094127176265</v>
      </c>
      <c r="F721" s="0" t="n">
        <f aca="false">SUMPRODUCT(Risk_Inputs!B721:AJ721,Risk_Coefs!$B$3:$AJ$3)</f>
        <v>7.01093286218899</v>
      </c>
      <c r="G721" s="0" t="n">
        <f aca="false">MAX(0,F721)</f>
        <v>7.01093286218899</v>
      </c>
      <c r="H721" s="0" t="n">
        <f aca="false">(SUMPRODUCT(--ISNUMBER($E$2:$E$800),--($E$2:$E$800&lt;E721))+(SUMPRODUCT(--ISNUMBER($E$2:$E$800),--($E$2:$E$800=E721))+1)/2)/COUNT($E$2:$E$800)</f>
        <v>0.470588235294118</v>
      </c>
      <c r="I721" s="0" t="n">
        <f aca="false">(SUMPRODUCT(--ISNUMBER($G$2:$G$800),--($G$2:$G$800&lt;G721))+(SUMPRODUCT(--ISNUMBER($G$2:$G$800),--($G$2:$G$800=G721))+1)/2)/COUNT($G$2:$G$800)</f>
        <v>0.416770963704631</v>
      </c>
      <c r="J721" s="0" t="n">
        <v>3.70119525712842</v>
      </c>
      <c r="K721" s="0" t="n">
        <v>0.96551724137931</v>
      </c>
      <c r="L721" s="0" t="n">
        <v>0.220689655172417</v>
      </c>
      <c r="M721" s="0" t="n">
        <f aca="false">IF(OR(B721="NW",COUNT(Risk_Rank_Keys!B721)=0),0.5,(SUMPRODUCT(--ISNUMBER(Risk_Rank_Keys!$B$2:$B$800),--(Risk_Rank_Keys!$B$2:$B$800&lt;Risk_Rank_Keys!B721))+(SUMPRODUCT(--ISNUMBER(Risk_Rank_Keys!$B$2:$B$800),--(Risk_Rank_Keys!$B$2:$B$800=Risk_Rank_Keys!B721))+1)/2)/COUNT(Risk_Rank_Keys!$B$2:$B$800))</f>
        <v>0.0557880055788006</v>
      </c>
      <c r="N721" s="0" t="n">
        <f aca="false">IF(OR(B721="NW",COUNT(Risk_Rank_Keys!C721)=0),0.5,(SUMPRODUCT(--ISNUMBER(Risk_Rank_Keys!$C$2:$C$800),--(Risk_Rank_Keys!$C$2:$C$800&lt;Risk_Rank_Keys!C721))+(SUMPRODUCT(--ISNUMBER(Risk_Rank_Keys!$C$2:$C$800),--(Risk_Rank_Keys!$C$2:$C$800=Risk_Rank_Keys!C721))+1)/2)/COUNT(Risk_Rank_Keys!$C$2:$C$800))</f>
        <v>0.0251046025104603</v>
      </c>
      <c r="O721" s="0" t="n">
        <f aca="false">IF(OR(B721="NW",COUNT(Risk_Rank_Keys!D721)=0),0.5,(SUMPRODUCT(--ISNUMBER(Risk_Rank_Keys!$D$2:$D$800),--(Risk_Rank_Keys!$D$2:$D$800&lt;Risk_Rank_Keys!D721))+(SUMPRODUCT(--ISNUMBER(Risk_Rank_Keys!$D$2:$D$800),--(Risk_Rank_Keys!$D$2:$D$800=Risk_Rank_Keys!D721))+1)/2)/COUNT(Risk_Rank_Keys!$D$2:$D$800))</f>
        <v>0.440725244072524</v>
      </c>
      <c r="P721" s="0" t="n">
        <f aca="false">AVERAGE(M721:O721)</f>
        <v>0.173872617387262</v>
      </c>
      <c r="Q721" s="0" t="n">
        <f aca="false">0.4*H721+0.4*I721+0.2*P721</f>
        <v>0.389718203076952</v>
      </c>
      <c r="R721" s="0" t="n">
        <f aca="false">PERCENTILE($Q$2:$Q$800,0.75)</f>
        <v>0.667715717403612</v>
      </c>
      <c r="S721" s="1" t="b">
        <f aca="false">OR(Q721&gt;=R721,AND(B721="CW",COUNT(J721:L721)&lt;3))</f>
        <v>0</v>
      </c>
      <c r="T721" s="0" t="n">
        <v>0.282094127176265</v>
      </c>
      <c r="U721" s="0" t="n">
        <v>7.01093286218899</v>
      </c>
      <c r="V721" s="0" t="n">
        <v>0.389718203076952</v>
      </c>
      <c r="W721" s="0" t="n">
        <f aca="false">Q721-V721</f>
        <v>0</v>
      </c>
    </row>
    <row r="722" customFormat="false" ht="15" hidden="false" customHeight="false" outlineLevel="0" collapsed="false">
      <c r="A722" s="0" t="s">
        <v>756</v>
      </c>
      <c r="B722" s="0" t="s">
        <v>3013</v>
      </c>
      <c r="C722" s="0" t="n">
        <v>13.8033950160473</v>
      </c>
      <c r="D722" s="0" t="n">
        <f aca="false">SUMPRODUCT(Risk_Inputs!B722:AJ722,Risk_Coefs!$B$2:$AJ$2)</f>
        <v>-0.674681222105072</v>
      </c>
      <c r="E722" s="0" t="n">
        <f aca="false">1/(1+EXP(-MAX(-25,MIN(25,D722))))</f>
        <v>0.337449430641393</v>
      </c>
      <c r="F722" s="0" t="n">
        <f aca="false">SUMPRODUCT(Risk_Inputs!B722:AJ722,Risk_Coefs!$B$3:$AJ$3)</f>
        <v>9.96243026048143</v>
      </c>
      <c r="G722" s="0" t="n">
        <f aca="false">MAX(0,F722)</f>
        <v>9.96243026048143</v>
      </c>
      <c r="H722" s="0" t="n">
        <f aca="false">(SUMPRODUCT(--ISNUMBER($E$2:$E$800),--($E$2:$E$800&lt;E722))+(SUMPRODUCT(--ISNUMBER($E$2:$E$800),--($E$2:$E$800=E722))+1)/2)/COUNT($E$2:$E$800)</f>
        <v>0.770963704630788</v>
      </c>
      <c r="I722" s="0" t="n">
        <f aca="false">(SUMPRODUCT(--ISNUMBER($G$2:$G$800),--($G$2:$G$800&lt;G722))+(SUMPRODUCT(--ISNUMBER($G$2:$G$800),--($G$2:$G$800=G722))+1)/2)/COUNT($G$2:$G$800)</f>
        <v>0.784730913642053</v>
      </c>
      <c r="J722" s="0" t="n">
        <v>7.95548013152603</v>
      </c>
      <c r="K722" s="0" t="n">
        <v>1.70141385094657</v>
      </c>
      <c r="L722" s="0" t="n">
        <v>0.191708602923559</v>
      </c>
      <c r="M722" s="0" t="n">
        <f aca="false">IF(OR(B722="NW",COUNT(Risk_Rank_Keys!B722)=0),0.5,(SUMPRODUCT(--ISNUMBER(Risk_Rank_Keys!$B$2:$B$800),--(Risk_Rank_Keys!$B$2:$B$800&lt;Risk_Rank_Keys!B722))+(SUMPRODUCT(--ISNUMBER(Risk_Rank_Keys!$B$2:$B$800),--(Risk_Rank_Keys!$B$2:$B$800=Risk_Rank_Keys!B722))+1)/2)/COUNT(Risk_Rank_Keys!$B$2:$B$800))</f>
        <v>0.384937238493724</v>
      </c>
      <c r="N722" s="0" t="n">
        <f aca="false">IF(OR(B722="NW",COUNT(Risk_Rank_Keys!C722)=0),0.5,(SUMPRODUCT(--ISNUMBER(Risk_Rank_Keys!$C$2:$C$800),--(Risk_Rank_Keys!$C$2:$C$800&lt;Risk_Rank_Keys!C722))+(SUMPRODUCT(--ISNUMBER(Risk_Rank_Keys!$C$2:$C$800),--(Risk_Rank_Keys!$C$2:$C$800=Risk_Rank_Keys!C722))+1)/2)/COUNT(Risk_Rank_Keys!$C$2:$C$800))</f>
        <v>0.192468619246862</v>
      </c>
      <c r="O722" s="0" t="n">
        <f aca="false">IF(OR(B722="NW",COUNT(Risk_Rank_Keys!D722)=0),0.5,(SUMPRODUCT(--ISNUMBER(Risk_Rank_Keys!$D$2:$D$800),--(Risk_Rank_Keys!$D$2:$D$800&lt;Risk_Rank_Keys!D722))+(SUMPRODUCT(--ISNUMBER(Risk_Rank_Keys!$D$2:$D$800),--(Risk_Rank_Keys!$D$2:$D$800=Risk_Rank_Keys!D722))+1)/2)/COUNT(Risk_Rank_Keys!$D$2:$D$800))</f>
        <v>0.263598326359833</v>
      </c>
      <c r="P722" s="0" t="n">
        <f aca="false">AVERAGE(M722:O722)</f>
        <v>0.280334728033473</v>
      </c>
      <c r="Q722" s="0" t="n">
        <f aca="false">0.4*H722+0.4*I722+0.2*P722</f>
        <v>0.678344792915831</v>
      </c>
      <c r="R722" s="0" t="n">
        <f aca="false">PERCENTILE($Q$2:$Q$800,0.75)</f>
        <v>0.667715717403612</v>
      </c>
      <c r="S722" s="1" t="b">
        <f aca="false">OR(Q722&gt;=R722,AND(B722="CW",COUNT(J722:L722)&lt;3))</f>
        <v>1</v>
      </c>
      <c r="T722" s="0" t="n">
        <v>0.337449430641393</v>
      </c>
      <c r="U722" s="0" t="n">
        <v>9.96243026048143</v>
      </c>
      <c r="V722" s="0" t="n">
        <v>0.678344792915831</v>
      </c>
      <c r="W722" s="0" t="n">
        <f aca="false">Q722-V722</f>
        <v>0</v>
      </c>
    </row>
    <row r="723" customFormat="false" ht="15" hidden="false" customHeight="false" outlineLevel="0" collapsed="false">
      <c r="A723" s="0" t="s">
        <v>757</v>
      </c>
      <c r="B723" s="0" t="s">
        <v>3013</v>
      </c>
      <c r="C723" s="0" t="n">
        <v>26.1352351411737</v>
      </c>
      <c r="D723" s="0" t="n">
        <f aca="false">SUMPRODUCT(Risk_Inputs!B723:AJ723,Risk_Coefs!$B$2:$AJ$2)</f>
        <v>-0.765032656952993</v>
      </c>
      <c r="E723" s="0" t="n">
        <f aca="false">1/(1+EXP(-MAX(-25,MIN(25,D723))))</f>
        <v>0.317554620556193</v>
      </c>
      <c r="F723" s="0" t="n">
        <f aca="false">SUMPRODUCT(Risk_Inputs!B723:AJ723,Risk_Coefs!$B$3:$AJ$3)</f>
        <v>7.96529574015114</v>
      </c>
      <c r="G723" s="0" t="n">
        <f aca="false">MAX(0,F723)</f>
        <v>7.96529574015114</v>
      </c>
      <c r="H723" s="0" t="n">
        <f aca="false">(SUMPRODUCT(--ISNUMBER($E$2:$E$800),--($E$2:$E$800&lt;E723))+(SUMPRODUCT(--ISNUMBER($E$2:$E$800),--($E$2:$E$800=E723))+1)/2)/COUNT($E$2:$E$800)</f>
        <v>0.655819774718398</v>
      </c>
      <c r="I723" s="0" t="n">
        <f aca="false">(SUMPRODUCT(--ISNUMBER($G$2:$G$800),--($G$2:$G$800&lt;G723))+(SUMPRODUCT(--ISNUMBER($G$2:$G$800),--($G$2:$G$800=G723))+1)/2)/COUNT($G$2:$G$800)</f>
        <v>0.538172715894869</v>
      </c>
      <c r="J723" s="0" t="n">
        <v>7.25581799956986</v>
      </c>
      <c r="K723" s="0" t="n">
        <v>1.20218579234973</v>
      </c>
      <c r="L723" s="0" t="n">
        <v>0.140515222482441</v>
      </c>
      <c r="M723" s="0" t="n">
        <f aca="false">IF(OR(B723="NW",COUNT(Risk_Rank_Keys!B723)=0),0.5,(SUMPRODUCT(--ISNUMBER(Risk_Rank_Keys!$B$2:$B$800),--(Risk_Rank_Keys!$B$2:$B$800&lt;Risk_Rank_Keys!B723))+(SUMPRODUCT(--ISNUMBER(Risk_Rank_Keys!$B$2:$B$800),--(Risk_Rank_Keys!$B$2:$B$800=Risk_Rank_Keys!B723))+1)/2)/COUNT(Risk_Rank_Keys!$B$2:$B$800))</f>
        <v>0.333333333333333</v>
      </c>
      <c r="N723" s="0" t="n">
        <f aca="false">IF(OR(B723="NW",COUNT(Risk_Rank_Keys!C723)=0),0.5,(SUMPRODUCT(--ISNUMBER(Risk_Rank_Keys!$C$2:$C$800),--(Risk_Rank_Keys!$C$2:$C$800&lt;Risk_Rank_Keys!C723))+(SUMPRODUCT(--ISNUMBER(Risk_Rank_Keys!$C$2:$C$800),--(Risk_Rank_Keys!$C$2:$C$800=Risk_Rank_Keys!C723))+1)/2)/COUNT(Risk_Rank_Keys!$C$2:$C$800))</f>
        <v>0.0697350069735007</v>
      </c>
      <c r="O723" s="0" t="n">
        <f aca="false">IF(OR(B723="NW",COUNT(Risk_Rank_Keys!D723)=0),0.5,(SUMPRODUCT(--ISNUMBER(Risk_Rank_Keys!$D$2:$D$800),--(Risk_Rank_Keys!$D$2:$D$800&lt;Risk_Rank_Keys!D723))+(SUMPRODUCT(--ISNUMBER(Risk_Rank_Keys!$D$2:$D$800),--(Risk_Rank_Keys!$D$2:$D$800=Risk_Rank_Keys!D723))+1)/2)/COUNT(Risk_Rank_Keys!$D$2:$D$800))</f>
        <v>0.0878661087866109</v>
      </c>
      <c r="P723" s="0" t="n">
        <f aca="false">AVERAGE(M723:O723)</f>
        <v>0.163644816364482</v>
      </c>
      <c r="Q723" s="0" t="n">
        <f aca="false">0.4*H723+0.4*I723+0.2*P723</f>
        <v>0.510325959518203</v>
      </c>
      <c r="R723" s="0" t="n">
        <f aca="false">PERCENTILE($Q$2:$Q$800,0.75)</f>
        <v>0.667715717403612</v>
      </c>
      <c r="S723" s="1" t="b">
        <f aca="false">OR(Q723&gt;=R723,AND(B723="CW",COUNT(J723:L723)&lt;3))</f>
        <v>0</v>
      </c>
      <c r="T723" s="0" t="n">
        <v>0.317554620556193</v>
      </c>
      <c r="U723" s="0" t="n">
        <v>7.96529574015114</v>
      </c>
      <c r="V723" s="0" t="n">
        <v>0.510325959518203</v>
      </c>
      <c r="W723" s="0" t="n">
        <f aca="false">Q723-V723</f>
        <v>0</v>
      </c>
    </row>
    <row r="724" customFormat="false" ht="15" hidden="false" customHeight="false" outlineLevel="0" collapsed="false">
      <c r="A724" s="0" t="s">
        <v>758</v>
      </c>
      <c r="B724" s="0" t="s">
        <v>3013</v>
      </c>
      <c r="C724" s="0" t="n">
        <v>31.6786667076533</v>
      </c>
      <c r="D724" s="0" t="n">
        <f aca="false">SUMPRODUCT(Risk_Inputs!B724:AJ724,Risk_Coefs!$B$2:$AJ$2)</f>
        <v>-0.801683729020569</v>
      </c>
      <c r="E724" s="0" t="n">
        <f aca="false">1/(1+EXP(-MAX(-25,MIN(25,D724))))</f>
        <v>0.309665468161453</v>
      </c>
      <c r="F724" s="0" t="n">
        <f aca="false">SUMPRODUCT(Risk_Inputs!B724:AJ724,Risk_Coefs!$B$3:$AJ$3)</f>
        <v>6.02760003253211</v>
      </c>
      <c r="G724" s="0" t="n">
        <f aca="false">MAX(0,F724)</f>
        <v>6.02760003253211</v>
      </c>
      <c r="H724" s="0" t="n">
        <f aca="false">(SUMPRODUCT(--ISNUMBER($E$2:$E$800),--($E$2:$E$800&lt;E724))+(SUMPRODUCT(--ISNUMBER($E$2:$E$800),--($E$2:$E$800=E724))+1)/2)/COUNT($E$2:$E$800)</f>
        <v>0.617021276595745</v>
      </c>
      <c r="I724" s="0" t="n">
        <f aca="false">(SUMPRODUCT(--ISNUMBER($G$2:$G$800),--($G$2:$G$800&lt;G724))+(SUMPRODUCT(--ISNUMBER($G$2:$G$800),--($G$2:$G$800=G724))+1)/2)/COUNT($G$2:$G$800)</f>
        <v>0.270337922403004</v>
      </c>
      <c r="J724" s="0" t="n">
        <v>8.14187413294911</v>
      </c>
      <c r="K724" s="0" t="n">
        <v>1.58761270090161</v>
      </c>
      <c r="L724" s="0" t="n">
        <v>0.137201097608773</v>
      </c>
      <c r="M724" s="0" t="n">
        <f aca="false">IF(OR(B724="NW",COUNT(Risk_Rank_Keys!B724)=0),0.5,(SUMPRODUCT(--ISNUMBER(Risk_Rank_Keys!$B$2:$B$800),--(Risk_Rank_Keys!$B$2:$B$800&lt;Risk_Rank_Keys!B724))+(SUMPRODUCT(--ISNUMBER(Risk_Rank_Keys!$B$2:$B$800),--(Risk_Rank_Keys!$B$2:$B$800=Risk_Rank_Keys!B724))+1)/2)/COUNT(Risk_Rank_Keys!$B$2:$B$800))</f>
        <v>0.391910739191074</v>
      </c>
      <c r="N724" s="0" t="n">
        <f aca="false">IF(OR(B724="NW",COUNT(Risk_Rank_Keys!C724)=0),0.5,(SUMPRODUCT(--ISNUMBER(Risk_Rank_Keys!$C$2:$C$800),--(Risk_Rank_Keys!$C$2:$C$800&lt;Risk_Rank_Keys!C724))+(SUMPRODUCT(--ISNUMBER(Risk_Rank_Keys!$C$2:$C$800),--(Risk_Rank_Keys!$C$2:$C$800=Risk_Rank_Keys!C724))+1)/2)/COUNT(Risk_Rank_Keys!$C$2:$C$800))</f>
        <v>0.152022315202232</v>
      </c>
      <c r="O724" s="0" t="n">
        <f aca="false">IF(OR(B724="NW",COUNT(Risk_Rank_Keys!D724)=0),0.5,(SUMPRODUCT(--ISNUMBER(Risk_Rank_Keys!$D$2:$D$800),--(Risk_Rank_Keys!$D$2:$D$800&lt;Risk_Rank_Keys!D724))+(SUMPRODUCT(--ISNUMBER(Risk_Rank_Keys!$D$2:$D$800),--(Risk_Rank_Keys!$D$2:$D$800=Risk_Rank_Keys!D724))+1)/2)/COUNT(Risk_Rank_Keys!$D$2:$D$800))</f>
        <v>0.0808926080892608</v>
      </c>
      <c r="P724" s="0" t="n">
        <f aca="false">AVERAGE(M724:O724)</f>
        <v>0.208275220827522</v>
      </c>
      <c r="Q724" s="0" t="n">
        <f aca="false">0.4*H724+0.4*I724+0.2*P724</f>
        <v>0.396598723765004</v>
      </c>
      <c r="R724" s="0" t="n">
        <f aca="false">PERCENTILE($Q$2:$Q$800,0.75)</f>
        <v>0.667715717403612</v>
      </c>
      <c r="S724" s="1" t="b">
        <f aca="false">OR(Q724&gt;=R724,AND(B724="CW",COUNT(J724:L724)&lt;3))</f>
        <v>0</v>
      </c>
      <c r="T724" s="0" t="n">
        <v>0.309665468161453</v>
      </c>
      <c r="U724" s="0" t="n">
        <v>6.02760003253211</v>
      </c>
      <c r="V724" s="0" t="n">
        <v>0.396598723765004</v>
      </c>
      <c r="W724" s="0" t="n">
        <f aca="false">Q724-V724</f>
        <v>0</v>
      </c>
    </row>
    <row r="725" customFormat="false" ht="15" hidden="false" customHeight="false" outlineLevel="0" collapsed="false">
      <c r="A725" s="0" t="s">
        <v>759</v>
      </c>
      <c r="B725" s="0" t="s">
        <v>3013</v>
      </c>
      <c r="C725" s="0" t="n">
        <v>-36.970173236981</v>
      </c>
      <c r="D725" s="0" t="n">
        <f aca="false">SUMPRODUCT(Risk_Inputs!B725:AJ725,Risk_Coefs!$B$2:$AJ$2)</f>
        <v>-1.17258527993576</v>
      </c>
      <c r="E725" s="0" t="n">
        <f aca="false">1/(1+EXP(-MAX(-25,MIN(25,D725))))</f>
        <v>0.23638800072279</v>
      </c>
      <c r="F725" s="0" t="n">
        <f aca="false">SUMPRODUCT(Risk_Inputs!B725:AJ725,Risk_Coefs!$B$3:$AJ$3)</f>
        <v>8.52950923326881</v>
      </c>
      <c r="G725" s="0" t="n">
        <f aca="false">MAX(0,F725)</f>
        <v>8.52950923326881</v>
      </c>
      <c r="H725" s="0" t="n">
        <f aca="false">(SUMPRODUCT(--ISNUMBER($E$2:$E$800),--($E$2:$E$800&lt;E725))+(SUMPRODUCT(--ISNUMBER($E$2:$E$800),--($E$2:$E$800=E725))+1)/2)/COUNT($E$2:$E$800)</f>
        <v>0.206508135168961</v>
      </c>
      <c r="I725" s="0" t="n">
        <f aca="false">(SUMPRODUCT(--ISNUMBER($G$2:$G$800),--($G$2:$G$800&lt;G725))+(SUMPRODUCT(--ISNUMBER($G$2:$G$800),--($G$2:$G$800=G725))+1)/2)/COUNT($G$2:$G$800)</f>
        <v>0.612015018773467</v>
      </c>
      <c r="J725" s="0" t="n">
        <v>35.2795416443755</v>
      </c>
      <c r="K725" s="0" t="n">
        <v>15.7909215955983</v>
      </c>
      <c r="L725" s="0" t="n">
        <v>0.110041265474547</v>
      </c>
      <c r="M725" s="0" t="n">
        <f aca="false">IF(OR(B725="NW",COUNT(Risk_Rank_Keys!B725)=0),0.5,(SUMPRODUCT(--ISNUMBER(Risk_Rank_Keys!$B$2:$B$800),--(Risk_Rank_Keys!$B$2:$B$800&lt;Risk_Rank_Keys!B725))+(SUMPRODUCT(--ISNUMBER(Risk_Rank_Keys!$B$2:$B$800),--(Risk_Rank_Keys!$B$2:$B$800=Risk_Rank_Keys!B725))+1)/2)/COUNT(Risk_Rank_Keys!$B$2:$B$800))</f>
        <v>0.928870292887029</v>
      </c>
      <c r="N725" s="0" t="n">
        <f aca="false">IF(OR(B725="NW",COUNT(Risk_Rank_Keys!C725)=0),0.5,(SUMPRODUCT(--ISNUMBER(Risk_Rank_Keys!$C$2:$C$800),--(Risk_Rank_Keys!$C$2:$C$800&lt;Risk_Rank_Keys!C725))+(SUMPRODUCT(--ISNUMBER(Risk_Rank_Keys!$C$2:$C$800),--(Risk_Rank_Keys!$C$2:$C$800=Risk_Rank_Keys!C725))+1)/2)/COUNT(Risk_Rank_Keys!$C$2:$C$800))</f>
        <v>0.938633193863319</v>
      </c>
      <c r="O725" s="0" t="n">
        <f aca="false">IF(OR(B725="NW",COUNT(Risk_Rank_Keys!D725)=0),0.5,(SUMPRODUCT(--ISNUMBER(Risk_Rank_Keys!$D$2:$D$800),--(Risk_Rank_Keys!$D$2:$D$800&lt;Risk_Rank_Keys!D725))+(SUMPRODUCT(--ISNUMBER(Risk_Rank_Keys!$D$2:$D$800),--(Risk_Rank_Keys!$D$2:$D$800=Risk_Rank_Keys!D725))+1)/2)/COUNT(Risk_Rank_Keys!$D$2:$D$800))</f>
        <v>0.0306834030683403</v>
      </c>
      <c r="P725" s="0" t="n">
        <f aca="false">AVERAGE(M725:O725)</f>
        <v>0.632728963272896</v>
      </c>
      <c r="Q725" s="0" t="n">
        <f aca="false">0.4*H725+0.4*I725+0.2*P725</f>
        <v>0.453955054231551</v>
      </c>
      <c r="R725" s="0" t="n">
        <f aca="false">PERCENTILE($Q$2:$Q$800,0.75)</f>
        <v>0.667715717403612</v>
      </c>
      <c r="S725" s="1" t="b">
        <f aca="false">OR(Q725&gt;=R725,AND(B725="CW",COUNT(J725:L725)&lt;3))</f>
        <v>0</v>
      </c>
      <c r="T725" s="0" t="n">
        <v>0.23638800072279</v>
      </c>
      <c r="U725" s="0" t="n">
        <v>8.52950923326881</v>
      </c>
      <c r="V725" s="0" t="n">
        <v>0.453955054231551</v>
      </c>
      <c r="W725" s="0" t="n">
        <f aca="false">Q725-V725</f>
        <v>0</v>
      </c>
    </row>
    <row r="726" customFormat="false" ht="15" hidden="false" customHeight="false" outlineLevel="0" collapsed="false">
      <c r="A726" s="0" t="s">
        <v>760</v>
      </c>
      <c r="B726" s="0" t="s">
        <v>3013</v>
      </c>
      <c r="C726" s="0" t="n">
        <v>35.1421973244435</v>
      </c>
      <c r="D726" s="0" t="n">
        <f aca="false">SUMPRODUCT(Risk_Inputs!B726:AJ726,Risk_Coefs!$B$2:$AJ$2)</f>
        <v>-0.819663350247025</v>
      </c>
      <c r="E726" s="0" t="n">
        <f aca="false">1/(1+EXP(-MAX(-25,MIN(25,D726))))</f>
        <v>0.305835125963001</v>
      </c>
      <c r="F726" s="0" t="n">
        <f aca="false">SUMPRODUCT(Risk_Inputs!B726:AJ726,Risk_Coefs!$B$3:$AJ$3)</f>
        <v>10.1581549123048</v>
      </c>
      <c r="G726" s="0" t="n">
        <f aca="false">MAX(0,F726)</f>
        <v>10.1581549123048</v>
      </c>
      <c r="H726" s="0" t="n">
        <f aca="false">(SUMPRODUCT(--ISNUMBER($E$2:$E$800),--($E$2:$E$800&lt;E726))+(SUMPRODUCT(--ISNUMBER($E$2:$E$800),--($E$2:$E$800=E726))+1)/2)/COUNT($E$2:$E$800)</f>
        <v>0.596996245306633</v>
      </c>
      <c r="I726" s="0" t="n">
        <f aca="false">(SUMPRODUCT(--ISNUMBER($G$2:$G$800),--($G$2:$G$800&lt;G726))+(SUMPRODUCT(--ISNUMBER($G$2:$G$800),--($G$2:$G$800=G726))+1)/2)/COUNT($G$2:$G$800)</f>
        <v>0.807259073842303</v>
      </c>
      <c r="J726" s="0" t="n">
        <v>9.14716487173155</v>
      </c>
      <c r="K726" s="0" t="n">
        <v>2.73167714668591</v>
      </c>
      <c r="L726" s="0" t="n">
        <v>0.123698587774455</v>
      </c>
      <c r="M726" s="0" t="n">
        <f aca="false">IF(OR(B726="NW",COUNT(Risk_Rank_Keys!B726)=0),0.5,(SUMPRODUCT(--ISNUMBER(Risk_Rank_Keys!$B$2:$B$800),--(Risk_Rank_Keys!$B$2:$B$800&lt;Risk_Rank_Keys!B726))+(SUMPRODUCT(--ISNUMBER(Risk_Rank_Keys!$B$2:$B$800),--(Risk_Rank_Keys!$B$2:$B$800=Risk_Rank_Keys!B726))+1)/2)/COUNT(Risk_Rank_Keys!$B$2:$B$800))</f>
        <v>0.454672245467225</v>
      </c>
      <c r="N726" s="0" t="n">
        <f aca="false">IF(OR(B726="NW",COUNT(Risk_Rank_Keys!C726)=0),0.5,(SUMPRODUCT(--ISNUMBER(Risk_Rank_Keys!$C$2:$C$800),--(Risk_Rank_Keys!$C$2:$C$800&lt;Risk_Rank_Keys!C726))+(SUMPRODUCT(--ISNUMBER(Risk_Rank_Keys!$C$2:$C$800),--(Risk_Rank_Keys!$C$2:$C$800=Risk_Rank_Keys!C726))+1)/2)/COUNT(Risk_Rank_Keys!$C$2:$C$800))</f>
        <v>0.429567642956764</v>
      </c>
      <c r="O726" s="0" t="n">
        <f aca="false">IF(OR(B726="NW",COUNT(Risk_Rank_Keys!D726)=0),0.5,(SUMPRODUCT(--ISNUMBER(Risk_Rank_Keys!$D$2:$D$800),--(Risk_Rank_Keys!$D$2:$D$800&lt;Risk_Rank_Keys!D726))+(SUMPRODUCT(--ISNUMBER(Risk_Rank_Keys!$D$2:$D$800),--(Risk_Rank_Keys!$D$2:$D$800=Risk_Rank_Keys!D726))+1)/2)/COUNT(Risk_Rank_Keys!$D$2:$D$800))</f>
        <v>0.0488145048814505</v>
      </c>
      <c r="P726" s="0" t="n">
        <f aca="false">AVERAGE(M726:O726)</f>
        <v>0.311018131101813</v>
      </c>
      <c r="Q726" s="0" t="n">
        <f aca="false">0.4*H726+0.4*I726+0.2*P726</f>
        <v>0.623905753879937</v>
      </c>
      <c r="R726" s="0" t="n">
        <f aca="false">PERCENTILE($Q$2:$Q$800,0.75)</f>
        <v>0.667715717403612</v>
      </c>
      <c r="S726" s="1" t="b">
        <f aca="false">OR(Q726&gt;=R726,AND(B726="CW",COUNT(J726:L726)&lt;3))</f>
        <v>0</v>
      </c>
      <c r="T726" s="0" t="n">
        <v>0.305835125963001</v>
      </c>
      <c r="U726" s="0" t="n">
        <v>10.1581549123048</v>
      </c>
      <c r="V726" s="0" t="n">
        <v>0.623905753879937</v>
      </c>
      <c r="W726" s="0" t="n">
        <f aca="false">Q726-V726</f>
        <v>0</v>
      </c>
    </row>
    <row r="727" customFormat="false" ht="15" hidden="false" customHeight="false" outlineLevel="0" collapsed="false">
      <c r="A727" s="0" t="s">
        <v>761</v>
      </c>
      <c r="B727" s="0" t="s">
        <v>3013</v>
      </c>
      <c r="C727" s="0" t="n">
        <v>13.8904513523786</v>
      </c>
      <c r="D727" s="0" t="n">
        <f aca="false">SUMPRODUCT(Risk_Inputs!B727:AJ727,Risk_Coefs!$B$2:$AJ$2)</f>
        <v>-0.526702527599568</v>
      </c>
      <c r="E727" s="0" t="n">
        <f aca="false">1/(1+EXP(-MAX(-25,MIN(25,D727))))</f>
        <v>0.371286298934279</v>
      </c>
      <c r="F727" s="0" t="n">
        <f aca="false">SUMPRODUCT(Risk_Inputs!B727:AJ727,Risk_Coefs!$B$3:$AJ$3)</f>
        <v>11.5488374888948</v>
      </c>
      <c r="G727" s="0" t="n">
        <f aca="false">MAX(0,F727)</f>
        <v>11.5488374888948</v>
      </c>
      <c r="H727" s="0" t="n">
        <f aca="false">(SUMPRODUCT(--ISNUMBER($E$2:$E$800),--($E$2:$E$800&lt;E727))+(SUMPRODUCT(--ISNUMBER($E$2:$E$800),--($E$2:$E$800=E727))+1)/2)/COUNT($E$2:$E$800)</f>
        <v>0.879849812265332</v>
      </c>
      <c r="I727" s="0" t="n">
        <f aca="false">(SUMPRODUCT(--ISNUMBER($G$2:$G$800),--($G$2:$G$800&lt;G727))+(SUMPRODUCT(--ISNUMBER($G$2:$G$800),--($G$2:$G$800=G727))+1)/2)/COUNT($G$2:$G$800)</f>
        <v>0.904881101376721</v>
      </c>
      <c r="J727" s="0" t="n">
        <v>9.34601598899875</v>
      </c>
      <c r="K727" s="0" t="n">
        <v>1.05185909980432</v>
      </c>
      <c r="L727" s="0" t="n">
        <v>0.0733855185909938</v>
      </c>
      <c r="M727" s="0" t="n">
        <f aca="false">IF(OR(B727="NW",COUNT(Risk_Rank_Keys!B727)=0),0.5,(SUMPRODUCT(--ISNUMBER(Risk_Rank_Keys!$B$2:$B$800),--(Risk_Rank_Keys!$B$2:$B$800&lt;Risk_Rank_Keys!B727))+(SUMPRODUCT(--ISNUMBER(Risk_Rank_Keys!$B$2:$B$800),--(Risk_Rank_Keys!$B$2:$B$800=Risk_Rank_Keys!B727))+1)/2)/COUNT(Risk_Rank_Keys!$B$2:$B$800))</f>
        <v>0.463040446304045</v>
      </c>
      <c r="N727" s="0" t="n">
        <f aca="false">IF(OR(B727="NW",COUNT(Risk_Rank_Keys!C727)=0),0.5,(SUMPRODUCT(--ISNUMBER(Risk_Rank_Keys!$C$2:$C$800),--(Risk_Rank_Keys!$C$2:$C$800&lt;Risk_Rank_Keys!C727))+(SUMPRODUCT(--ISNUMBER(Risk_Rank_Keys!$C$2:$C$800),--(Risk_Rank_Keys!$C$2:$C$800=Risk_Rank_Keys!C727))+1)/2)/COUNT(Risk_Rank_Keys!$C$2:$C$800))</f>
        <v>0.0334728033472803</v>
      </c>
      <c r="O727" s="0" t="n">
        <f aca="false">IF(OR(B727="NW",COUNT(Risk_Rank_Keys!D727)=0),0.5,(SUMPRODUCT(--ISNUMBER(Risk_Rank_Keys!$D$2:$D$800),--(Risk_Rank_Keys!$D$2:$D$800&lt;Risk_Rank_Keys!D727))+(SUMPRODUCT(--ISNUMBER(Risk_Rank_Keys!$D$2:$D$800),--(Risk_Rank_Keys!$D$2:$D$800=Risk_Rank_Keys!D727))+1)/2)/COUNT(Risk_Rank_Keys!$D$2:$D$800))</f>
        <v>0.00418410041841004</v>
      </c>
      <c r="P727" s="0" t="n">
        <f aca="false">AVERAGE(M727:O727)</f>
        <v>0.166899116689912</v>
      </c>
      <c r="Q727" s="0" t="n">
        <f aca="false">0.4*H727+0.4*I727+0.2*P727</f>
        <v>0.747272188794803</v>
      </c>
      <c r="R727" s="0" t="n">
        <f aca="false">PERCENTILE($Q$2:$Q$800,0.75)</f>
        <v>0.667715717403612</v>
      </c>
      <c r="S727" s="1" t="b">
        <f aca="false">OR(Q727&gt;=R727,AND(B727="CW",COUNT(J727:L727)&lt;3))</f>
        <v>1</v>
      </c>
      <c r="T727" s="0" t="n">
        <v>0.371286298934279</v>
      </c>
      <c r="U727" s="0" t="n">
        <v>11.5488374888949</v>
      </c>
      <c r="V727" s="0" t="n">
        <v>0.747272188794803</v>
      </c>
      <c r="W727" s="0" t="n">
        <f aca="false">Q727-V727</f>
        <v>0</v>
      </c>
    </row>
    <row r="728" customFormat="false" ht="15" hidden="false" customHeight="false" outlineLevel="0" collapsed="false">
      <c r="A728" s="0" t="s">
        <v>762</v>
      </c>
      <c r="B728" s="0" t="s">
        <v>3013</v>
      </c>
      <c r="C728" s="0" t="n">
        <v>2.78709178884214</v>
      </c>
      <c r="D728" s="0" t="n">
        <f aca="false">SUMPRODUCT(Risk_Inputs!B728:AJ728,Risk_Coefs!$B$2:$AJ$2)</f>
        <v>-0.840947994179575</v>
      </c>
      <c r="E728" s="0" t="n">
        <f aca="false">1/(1+EXP(-MAX(-25,MIN(25,D728))))</f>
        <v>0.3013351630387</v>
      </c>
      <c r="F728" s="0" t="n">
        <f aca="false">SUMPRODUCT(Risk_Inputs!B728:AJ728,Risk_Coefs!$B$3:$AJ$3)</f>
        <v>8.95616625397774</v>
      </c>
      <c r="G728" s="0" t="n">
        <f aca="false">MAX(0,F728)</f>
        <v>8.95616625397774</v>
      </c>
      <c r="H728" s="0" t="n">
        <f aca="false">(SUMPRODUCT(--ISNUMBER($E$2:$E$800),--($E$2:$E$800&lt;E728))+(SUMPRODUCT(--ISNUMBER($E$2:$E$800),--($E$2:$E$800=E728))+1)/2)/COUNT($E$2:$E$800)</f>
        <v>0.575719649561952</v>
      </c>
      <c r="I728" s="0" t="n">
        <f aca="false">(SUMPRODUCT(--ISNUMBER($G$2:$G$800),--($G$2:$G$800&lt;G728))+(SUMPRODUCT(--ISNUMBER($G$2:$G$800),--($G$2:$G$800=G728))+1)/2)/COUNT($G$2:$G$800)</f>
        <v>0.675844806007509</v>
      </c>
      <c r="J728" s="0" t="n">
        <v>16.943187929016</v>
      </c>
      <c r="K728" s="0" t="n">
        <v>4.0275299515677</v>
      </c>
      <c r="L728" s="0" t="n">
        <v>0.203925567167979</v>
      </c>
      <c r="M728" s="0" t="n">
        <f aca="false">IF(OR(B728="NW",COUNT(Risk_Rank_Keys!B728)=0),0.5,(SUMPRODUCT(--ISNUMBER(Risk_Rank_Keys!$B$2:$B$800),--(Risk_Rank_Keys!$B$2:$B$800&lt;Risk_Rank_Keys!B728))+(SUMPRODUCT(--ISNUMBER(Risk_Rank_Keys!$B$2:$B$800),--(Risk_Rank_Keys!$B$2:$B$800=Risk_Rank_Keys!B728))+1)/2)/COUNT(Risk_Rank_Keys!$B$2:$B$800))</f>
        <v>0.747559274755927</v>
      </c>
      <c r="N728" s="0" t="n">
        <f aca="false">IF(OR(B728="NW",COUNT(Risk_Rank_Keys!C728)=0),0.5,(SUMPRODUCT(--ISNUMBER(Risk_Rank_Keys!$C$2:$C$800),--(Risk_Rank_Keys!$C$2:$C$800&lt;Risk_Rank_Keys!C728))+(SUMPRODUCT(--ISNUMBER(Risk_Rank_Keys!$C$2:$C$800),--(Risk_Rank_Keys!$C$2:$C$800=Risk_Rank_Keys!C728))+1)/2)/COUNT(Risk_Rank_Keys!$C$2:$C$800))</f>
        <v>0.601115760111576</v>
      </c>
      <c r="O728" s="0" t="n">
        <f aca="false">IF(OR(B728="NW",COUNT(Risk_Rank_Keys!D728)=0),0.5,(SUMPRODUCT(--ISNUMBER(Risk_Rank_Keys!$D$2:$D$800),--(Risk_Rank_Keys!$D$2:$D$800&lt;Risk_Rank_Keys!D728))+(SUMPRODUCT(--ISNUMBER(Risk_Rank_Keys!$D$2:$D$800),--(Risk_Rank_Keys!$D$2:$D$800=Risk_Rank_Keys!D728))+1)/2)/COUNT(Risk_Rank_Keys!$D$2:$D$800))</f>
        <v>0.337517433751743</v>
      </c>
      <c r="P728" s="0" t="n">
        <f aca="false">AVERAGE(M728:O728)</f>
        <v>0.562064156206416</v>
      </c>
      <c r="Q728" s="0" t="n">
        <f aca="false">0.4*H728+0.4*I728+0.2*P728</f>
        <v>0.613038613469068</v>
      </c>
      <c r="R728" s="0" t="n">
        <f aca="false">PERCENTILE($Q$2:$Q$800,0.75)</f>
        <v>0.667715717403612</v>
      </c>
      <c r="S728" s="1" t="b">
        <f aca="false">OR(Q728&gt;=R728,AND(B728="CW",COUNT(J728:L728)&lt;3))</f>
        <v>0</v>
      </c>
      <c r="T728" s="0" t="n">
        <v>0.3013351630387</v>
      </c>
      <c r="U728" s="0" t="n">
        <v>8.95616625397774</v>
      </c>
      <c r="V728" s="0" t="n">
        <v>0.613038613469068</v>
      </c>
      <c r="W728" s="0" t="n">
        <f aca="false">Q728-V728</f>
        <v>0</v>
      </c>
    </row>
    <row r="729" customFormat="false" ht="15" hidden="false" customHeight="false" outlineLevel="0" collapsed="false">
      <c r="A729" s="0" t="s">
        <v>763</v>
      </c>
      <c r="B729" s="0" t="s">
        <v>3013</v>
      </c>
      <c r="C729" s="0" t="n">
        <v>-13.3826845176093</v>
      </c>
      <c r="D729" s="0" t="n">
        <f aca="false">SUMPRODUCT(Risk_Inputs!B729:AJ729,Risk_Coefs!$B$2:$AJ$2)</f>
        <v>0.148529800691638</v>
      </c>
      <c r="E729" s="0" t="n">
        <f aca="false">1/(1+EXP(-MAX(-25,MIN(25,D729))))</f>
        <v>0.537064335208131</v>
      </c>
      <c r="F729" s="0" t="n">
        <f aca="false">SUMPRODUCT(Risk_Inputs!B729:AJ729,Risk_Coefs!$B$3:$AJ$3)</f>
        <v>14.4045225699646</v>
      </c>
      <c r="G729" s="0" t="n">
        <f aca="false">MAX(0,F729)</f>
        <v>14.4045225699646</v>
      </c>
      <c r="H729" s="0" t="n">
        <f aca="false">(SUMPRODUCT(--ISNUMBER($E$2:$E$800),--($E$2:$E$800&lt;E729))+(SUMPRODUCT(--ISNUMBER($E$2:$E$800),--($E$2:$E$800=E729))+1)/2)/COUNT($E$2:$E$800)</f>
        <v>1</v>
      </c>
      <c r="I729" s="0" t="n">
        <f aca="false">(SUMPRODUCT(--ISNUMBER($G$2:$G$800),--($G$2:$G$800&lt;G729))+(SUMPRODUCT(--ISNUMBER($G$2:$G$800),--($G$2:$G$800=G729))+1)/2)/COUNT($G$2:$G$800)</f>
        <v>0.978723404255319</v>
      </c>
      <c r="J729" s="0" t="n">
        <v>7.68360153513898</v>
      </c>
      <c r="K729" s="0" t="n">
        <v>0.729467991447611</v>
      </c>
      <c r="L729" s="0" t="n">
        <v>0.150924412023643</v>
      </c>
      <c r="M729" s="0" t="n">
        <f aca="false">IF(OR(B729="NW",COUNT(Risk_Rank_Keys!B729)=0),0.5,(SUMPRODUCT(--ISNUMBER(Risk_Rank_Keys!$B$2:$B$800),--(Risk_Rank_Keys!$B$2:$B$800&lt;Risk_Rank_Keys!B729))+(SUMPRODUCT(--ISNUMBER(Risk_Rank_Keys!$B$2:$B$800),--(Risk_Rank_Keys!$B$2:$B$800=Risk_Rank_Keys!B729))+1)/2)/COUNT(Risk_Rank_Keys!$B$2:$B$800))</f>
        <v>0.366806136680614</v>
      </c>
      <c r="N729" s="0" t="n">
        <f aca="false">IF(OR(B729="NW",COUNT(Risk_Rank_Keys!C729)=0),0.5,(SUMPRODUCT(--ISNUMBER(Risk_Rank_Keys!$C$2:$C$800),--(Risk_Rank_Keys!$C$2:$C$800&lt;Risk_Rank_Keys!C729))+(SUMPRODUCT(--ISNUMBER(Risk_Rank_Keys!$C$2:$C$800),--(Risk_Rank_Keys!$C$2:$C$800=Risk_Rank_Keys!C729))+1)/2)/COUNT(Risk_Rank_Keys!$C$2:$C$800))</f>
        <v>0.00557880055788006</v>
      </c>
      <c r="O729" s="0" t="n">
        <f aca="false">IF(OR(B729="NW",COUNT(Risk_Rank_Keys!D729)=0),0.5,(SUMPRODUCT(--ISNUMBER(Risk_Rank_Keys!$D$2:$D$800),--(Risk_Rank_Keys!$D$2:$D$800&lt;Risk_Rank_Keys!D729))+(SUMPRODUCT(--ISNUMBER(Risk_Rank_Keys!$D$2:$D$800),--(Risk_Rank_Keys!$D$2:$D$800=Risk_Rank_Keys!D729))+1)/2)/COUNT(Risk_Rank_Keys!$D$2:$D$800))</f>
        <v>0.108786610878661</v>
      </c>
      <c r="P729" s="0" t="n">
        <f aca="false">AVERAGE(M729:O729)</f>
        <v>0.160390516039052</v>
      </c>
      <c r="Q729" s="0" t="n">
        <f aca="false">0.4*H729+0.4*I729+0.2*P729</f>
        <v>0.823567464909938</v>
      </c>
      <c r="R729" s="0" t="n">
        <f aca="false">PERCENTILE($Q$2:$Q$800,0.75)</f>
        <v>0.667715717403612</v>
      </c>
      <c r="S729" s="1" t="b">
        <f aca="false">OR(Q729&gt;=R729,AND(B729="CW",COUNT(J729:L729)&lt;3))</f>
        <v>1</v>
      </c>
      <c r="T729" s="0" t="n">
        <v>0.537064335208131</v>
      </c>
      <c r="U729" s="0" t="n">
        <v>14.4045225699646</v>
      </c>
      <c r="V729" s="0" t="n">
        <v>0.823567464909938</v>
      </c>
      <c r="W729" s="0" t="n">
        <f aca="false">Q729-V729</f>
        <v>0</v>
      </c>
    </row>
    <row r="730" customFormat="false" ht="15" hidden="false" customHeight="false" outlineLevel="0" collapsed="false">
      <c r="A730" s="0" t="s">
        <v>764</v>
      </c>
      <c r="B730" s="0" t="s">
        <v>3013</v>
      </c>
      <c r="C730" s="0" t="n">
        <v>68.6927437121288</v>
      </c>
      <c r="D730" s="0" t="n">
        <f aca="false">SUMPRODUCT(Risk_Inputs!B730:AJ730,Risk_Coefs!$B$2:$AJ$2)</f>
        <v>-0.73488981832549</v>
      </c>
      <c r="E730" s="0" t="n">
        <f aca="false">1/(1+EXP(-MAX(-25,MIN(25,D730))))</f>
        <v>0.324122608990985</v>
      </c>
      <c r="F730" s="0" t="n">
        <f aca="false">SUMPRODUCT(Risk_Inputs!B730:AJ730,Risk_Coefs!$B$3:$AJ$3)</f>
        <v>9.74610253881585</v>
      </c>
      <c r="G730" s="0" t="n">
        <f aca="false">MAX(0,F730)</f>
        <v>9.74610253881585</v>
      </c>
      <c r="H730" s="0" t="n">
        <f aca="false">(SUMPRODUCT(--ISNUMBER($E$2:$E$800),--($E$2:$E$800&lt;E730))+(SUMPRODUCT(--ISNUMBER($E$2:$E$800),--($E$2:$E$800=E730))+1)/2)/COUNT($E$2:$E$800)</f>
        <v>0.699624530663329</v>
      </c>
      <c r="I730" s="0" t="n">
        <f aca="false">(SUMPRODUCT(--ISNUMBER($G$2:$G$800),--($G$2:$G$800&lt;G730))+(SUMPRODUCT(--ISNUMBER($G$2:$G$800),--($G$2:$G$800=G730))+1)/2)/COUNT($G$2:$G$800)</f>
        <v>0.758448060075094</v>
      </c>
      <c r="J730" s="0" t="n">
        <v>22.9253470642822</v>
      </c>
      <c r="K730" s="0" t="n">
        <v>9.04761904761908</v>
      </c>
      <c r="L730" s="0" t="n">
        <v>0.163690476190471</v>
      </c>
      <c r="M730" s="0" t="n">
        <f aca="false">IF(OR(B730="NW",COUNT(Risk_Rank_Keys!B730)=0),0.5,(SUMPRODUCT(--ISNUMBER(Risk_Rank_Keys!$B$2:$B$800),--(Risk_Rank_Keys!$B$2:$B$800&lt;Risk_Rank_Keys!B730))+(SUMPRODUCT(--ISNUMBER(Risk_Rank_Keys!$B$2:$B$800),--(Risk_Rank_Keys!$B$2:$B$800=Risk_Rank_Keys!B730))+1)/2)/COUNT(Risk_Rank_Keys!$B$2:$B$800))</f>
        <v>0.835425383542538</v>
      </c>
      <c r="N730" s="0" t="n">
        <f aca="false">IF(OR(B730="NW",COUNT(Risk_Rank_Keys!C730)=0),0.5,(SUMPRODUCT(--ISNUMBER(Risk_Rank_Keys!$C$2:$C$800),--(Risk_Rank_Keys!$C$2:$C$800&lt;Risk_Rank_Keys!C730))+(SUMPRODUCT(--ISNUMBER(Risk_Rank_Keys!$C$2:$C$800),--(Risk_Rank_Keys!$C$2:$C$800=Risk_Rank_Keys!C730))+1)/2)/COUNT(Risk_Rank_Keys!$C$2:$C$800))</f>
        <v>0.847977684797769</v>
      </c>
      <c r="O730" s="0" t="n">
        <f aca="false">IF(OR(B730="NW",COUNT(Risk_Rank_Keys!D730)=0),0.5,(SUMPRODUCT(--ISNUMBER(Risk_Rank_Keys!$D$2:$D$800),--(Risk_Rank_Keys!$D$2:$D$800&lt;Risk_Rank_Keys!D730))+(SUMPRODUCT(--ISNUMBER(Risk_Rank_Keys!$D$2:$D$800),--(Risk_Rank_Keys!$D$2:$D$800=Risk_Rank_Keys!D730))+1)/2)/COUNT(Risk_Rank_Keys!$D$2:$D$800))</f>
        <v>0.149232914923292</v>
      </c>
      <c r="P730" s="0" t="n">
        <f aca="false">AVERAGE(M730:O730)</f>
        <v>0.610878661087866</v>
      </c>
      <c r="Q730" s="0" t="n">
        <f aca="false">0.4*H730+0.4*I730+0.2*P730</f>
        <v>0.705404768512943</v>
      </c>
      <c r="R730" s="0" t="n">
        <f aca="false">PERCENTILE($Q$2:$Q$800,0.75)</f>
        <v>0.667715717403612</v>
      </c>
      <c r="S730" s="1" t="b">
        <f aca="false">OR(Q730&gt;=R730,AND(B730="CW",COUNT(J730:L730)&lt;3))</f>
        <v>1</v>
      </c>
      <c r="T730" s="0" t="n">
        <v>0.324122608990985</v>
      </c>
      <c r="U730" s="0" t="n">
        <v>9.74610253881585</v>
      </c>
      <c r="V730" s="0" t="n">
        <v>0.705404768512943</v>
      </c>
      <c r="W730" s="0" t="n">
        <f aca="false">Q730-V730</f>
        <v>0</v>
      </c>
    </row>
    <row r="731" customFormat="false" ht="15" hidden="false" customHeight="false" outlineLevel="0" collapsed="false">
      <c r="A731" s="0" t="s">
        <v>765</v>
      </c>
      <c r="B731" s="0" t="s">
        <v>3013</v>
      </c>
      <c r="C731" s="0" t="n">
        <v>103.697999672002</v>
      </c>
      <c r="D731" s="0" t="n">
        <f aca="false">SUMPRODUCT(Risk_Inputs!B731:AJ731,Risk_Coefs!$B$2:$AJ$2)</f>
        <v>-1.26363680680186</v>
      </c>
      <c r="E731" s="0" t="n">
        <f aca="false">1/(1+EXP(-MAX(-25,MIN(25,D731))))</f>
        <v>0.220348471525751</v>
      </c>
      <c r="F731" s="0" t="n">
        <f aca="false">SUMPRODUCT(Risk_Inputs!B731:AJ731,Risk_Coefs!$B$3:$AJ$3)</f>
        <v>12.3780888749703</v>
      </c>
      <c r="G731" s="0" t="n">
        <f aca="false">MAX(0,F731)</f>
        <v>12.3780888749703</v>
      </c>
      <c r="H731" s="0" t="n">
        <f aca="false">(SUMPRODUCT(--ISNUMBER($E$2:$E$800),--($E$2:$E$800&lt;E731))+(SUMPRODUCT(--ISNUMBER($E$2:$E$800),--($E$2:$E$800=E731))+1)/2)/COUNT($E$2:$E$800)</f>
        <v>0.145181476846058</v>
      </c>
      <c r="I731" s="0" t="n">
        <f aca="false">(SUMPRODUCT(--ISNUMBER($G$2:$G$800),--($G$2:$G$800&lt;G731))+(SUMPRODUCT(--ISNUMBER($G$2:$G$800),--($G$2:$G$800=G731))+1)/2)/COUNT($G$2:$G$800)</f>
        <v>0.934918648310388</v>
      </c>
      <c r="J731" s="0" t="n">
        <v>55.0468694763738</v>
      </c>
      <c r="K731" s="0" t="n">
        <v>47.3856209150327</v>
      </c>
      <c r="L731" s="0" t="n">
        <v>0.0980392156862782</v>
      </c>
      <c r="M731" s="0" t="n">
        <f aca="false">IF(OR(B731="NW",COUNT(Risk_Rank_Keys!B731)=0),0.5,(SUMPRODUCT(--ISNUMBER(Risk_Rank_Keys!$B$2:$B$800),--(Risk_Rank_Keys!$B$2:$B$800&lt;Risk_Rank_Keys!B731))+(SUMPRODUCT(--ISNUMBER(Risk_Rank_Keys!$B$2:$B$800),--(Risk_Rank_Keys!$B$2:$B$800=Risk_Rank_Keys!B731))+1)/2)/COUNT(Risk_Rank_Keys!$B$2:$B$800))</f>
        <v>0.98326359832636</v>
      </c>
      <c r="N731" s="0" t="n">
        <f aca="false">IF(OR(B731="NW",COUNT(Risk_Rank_Keys!C731)=0),0.5,(SUMPRODUCT(--ISNUMBER(Risk_Rank_Keys!$C$2:$C$800),--(Risk_Rank_Keys!$C$2:$C$800&lt;Risk_Rank_Keys!C731))+(SUMPRODUCT(--ISNUMBER(Risk_Rank_Keys!$C$2:$C$800),--(Risk_Rank_Keys!$C$2:$C$800=Risk_Rank_Keys!C731))+1)/2)/COUNT(Risk_Rank_Keys!$C$2:$C$800))</f>
        <v>1</v>
      </c>
      <c r="O731" s="0" t="n">
        <f aca="false">IF(OR(B731="NW",COUNT(Risk_Rank_Keys!D731)=0),0.5,(SUMPRODUCT(--ISNUMBER(Risk_Rank_Keys!$D$2:$D$800),--(Risk_Rank_Keys!$D$2:$D$800&lt;Risk_Rank_Keys!D731))+(SUMPRODUCT(--ISNUMBER(Risk_Rank_Keys!$D$2:$D$800),--(Risk_Rank_Keys!$D$2:$D$800=Risk_Rank_Keys!D731))+1)/2)/COUNT(Risk_Rank_Keys!$D$2:$D$800))</f>
        <v>0.0167364016736402</v>
      </c>
      <c r="P731" s="0" t="n">
        <f aca="false">AVERAGE(M731:O731)</f>
        <v>0.666666666666667</v>
      </c>
      <c r="Q731" s="0" t="n">
        <f aca="false">0.4*H731+0.4*I731+0.2*P731</f>
        <v>0.565373383395912</v>
      </c>
      <c r="R731" s="0" t="n">
        <f aca="false">PERCENTILE($Q$2:$Q$800,0.75)</f>
        <v>0.667715717403612</v>
      </c>
      <c r="S731" s="1" t="b">
        <f aca="false">OR(Q731&gt;=R731,AND(B731="CW",COUNT(J731:L731)&lt;3))</f>
        <v>0</v>
      </c>
      <c r="T731" s="0" t="n">
        <v>0.220348471525751</v>
      </c>
      <c r="U731" s="0" t="n">
        <v>12.3780888749703</v>
      </c>
      <c r="V731" s="0" t="n">
        <v>0.565373383395912</v>
      </c>
      <c r="W731" s="0" t="n">
        <f aca="false">Q731-V731</f>
        <v>0</v>
      </c>
    </row>
    <row r="732" customFormat="false" ht="15" hidden="false" customHeight="false" outlineLevel="0" collapsed="false">
      <c r="A732" s="0" t="s">
        <v>766</v>
      </c>
      <c r="B732" s="0" t="s">
        <v>3013</v>
      </c>
      <c r="C732" s="0" t="n">
        <v>31.695393823832</v>
      </c>
      <c r="D732" s="0" t="n">
        <f aca="false">SUMPRODUCT(Risk_Inputs!B732:AJ732,Risk_Coefs!$B$2:$AJ$2)</f>
        <v>-0.894854991484913</v>
      </c>
      <c r="E732" s="0" t="n">
        <f aca="false">1/(1+EXP(-MAX(-25,MIN(25,D732))))</f>
        <v>0.290108944643239</v>
      </c>
      <c r="F732" s="0" t="n">
        <f aca="false">SUMPRODUCT(Risk_Inputs!B732:AJ732,Risk_Coefs!$B$3:$AJ$3)</f>
        <v>6.60613600642507</v>
      </c>
      <c r="G732" s="0" t="n">
        <f aca="false">MAX(0,F732)</f>
        <v>6.60613600642507</v>
      </c>
      <c r="H732" s="0" t="n">
        <f aca="false">(SUMPRODUCT(--ISNUMBER($E$2:$E$800),--($E$2:$E$800&lt;E732))+(SUMPRODUCT(--ISNUMBER($E$2:$E$800),--($E$2:$E$800=E732))+1)/2)/COUNT($E$2:$E$800)</f>
        <v>0.524405506883605</v>
      </c>
      <c r="I732" s="0" t="n">
        <f aca="false">(SUMPRODUCT(--ISNUMBER($G$2:$G$800),--($G$2:$G$800&lt;G732))+(SUMPRODUCT(--ISNUMBER($G$2:$G$800),--($G$2:$G$800=G732))+1)/2)/COUNT($G$2:$G$800)</f>
        <v>0.361702127659575</v>
      </c>
      <c r="J732" s="0" t="n">
        <v>7.46396973770537</v>
      </c>
      <c r="K732" s="0" t="n">
        <v>2.27317651709824</v>
      </c>
      <c r="L732" s="0" t="n">
        <v>0.197667523225934</v>
      </c>
      <c r="M732" s="0" t="n">
        <f aca="false">IF(OR(B732="NW",COUNT(Risk_Rank_Keys!B732)=0),0.5,(SUMPRODUCT(--ISNUMBER(Risk_Rank_Keys!$B$2:$B$800),--(Risk_Rank_Keys!$B$2:$B$800&lt;Risk_Rank_Keys!B732))+(SUMPRODUCT(--ISNUMBER(Risk_Rank_Keys!$B$2:$B$800),--(Risk_Rank_Keys!$B$2:$B$800=Risk_Rank_Keys!B732))+1)/2)/COUNT(Risk_Rank_Keys!$B$2:$B$800))</f>
        <v>0.354253835425384</v>
      </c>
      <c r="N732" s="0" t="n">
        <f aca="false">IF(OR(B732="NW",COUNT(Risk_Rank_Keys!C732)=0),0.5,(SUMPRODUCT(--ISNUMBER(Risk_Rank_Keys!$C$2:$C$800),--(Risk_Rank_Keys!$C$2:$C$800&lt;Risk_Rank_Keys!C732))+(SUMPRODUCT(--ISNUMBER(Risk_Rank_Keys!$C$2:$C$800),--(Risk_Rank_Keys!$C$2:$C$800=Risk_Rank_Keys!C732))+1)/2)/COUNT(Risk_Rank_Keys!$C$2:$C$800))</f>
        <v>0.330543933054393</v>
      </c>
      <c r="O732" s="0" t="n">
        <f aca="false">IF(OR(B732="NW",COUNT(Risk_Rank_Keys!D732)=0),0.5,(SUMPRODUCT(--ISNUMBER(Risk_Rank_Keys!$D$2:$D$800),--(Risk_Rank_Keys!$D$2:$D$800&lt;Risk_Rank_Keys!D732))+(SUMPRODUCT(--ISNUMBER(Risk_Rank_Keys!$D$2:$D$800),--(Risk_Rank_Keys!$D$2:$D$800=Risk_Rank_Keys!D732))+1)/2)/COUNT(Risk_Rank_Keys!$D$2:$D$800))</f>
        <v>0.301255230125523</v>
      </c>
      <c r="P732" s="0" t="n">
        <f aca="false">AVERAGE(M732:O732)</f>
        <v>0.328684332868433</v>
      </c>
      <c r="Q732" s="0" t="n">
        <f aca="false">0.4*H732+0.4*I732+0.2*P732</f>
        <v>0.420179920390958</v>
      </c>
      <c r="R732" s="0" t="n">
        <f aca="false">PERCENTILE($Q$2:$Q$800,0.75)</f>
        <v>0.667715717403612</v>
      </c>
      <c r="S732" s="1" t="b">
        <f aca="false">OR(Q732&gt;=R732,AND(B732="CW",COUNT(J732:L732)&lt;3))</f>
        <v>0</v>
      </c>
      <c r="T732" s="0" t="n">
        <v>0.290108944643239</v>
      </c>
      <c r="U732" s="0" t="n">
        <v>6.60613600642507</v>
      </c>
      <c r="V732" s="0" t="n">
        <v>0.420179920390958</v>
      </c>
      <c r="W732" s="0" t="n">
        <f aca="false">Q732-V732</f>
        <v>0</v>
      </c>
    </row>
    <row r="733" customFormat="false" ht="15" hidden="false" customHeight="false" outlineLevel="0" collapsed="false">
      <c r="A733" s="0" t="s">
        <v>767</v>
      </c>
      <c r="B733" s="0" t="s">
        <v>3013</v>
      </c>
      <c r="C733" s="0" t="n">
        <v>7.67195099565182</v>
      </c>
      <c r="D733" s="0" t="n">
        <f aca="false">SUMPRODUCT(Risk_Inputs!B733:AJ733,Risk_Coefs!$B$2:$AJ$2)</f>
        <v>-0.953625049487852</v>
      </c>
      <c r="E733" s="0" t="n">
        <f aca="false">1/(1+EXP(-MAX(-25,MIN(25,D733))))</f>
        <v>0.27815637992476</v>
      </c>
      <c r="F733" s="0" t="n">
        <f aca="false">SUMPRODUCT(Risk_Inputs!B733:AJ733,Risk_Coefs!$B$3:$AJ$3)</f>
        <v>5.29915419754926</v>
      </c>
      <c r="G733" s="0" t="n">
        <f aca="false">MAX(0,F733)</f>
        <v>5.29915419754926</v>
      </c>
      <c r="H733" s="0" t="n">
        <f aca="false">(SUMPRODUCT(--ISNUMBER($E$2:$E$800),--($E$2:$E$800&lt;E733))+(SUMPRODUCT(--ISNUMBER($E$2:$E$800),--($E$2:$E$800=E733))+1)/2)/COUNT($E$2:$E$800)</f>
        <v>0.454317897371715</v>
      </c>
      <c r="I733" s="0" t="n">
        <f aca="false">(SUMPRODUCT(--ISNUMBER($G$2:$G$800),--($G$2:$G$800&lt;G733))+(SUMPRODUCT(--ISNUMBER($G$2:$G$800),--($G$2:$G$800=G733))+1)/2)/COUNT($G$2:$G$800)</f>
        <v>0.171464330413016</v>
      </c>
      <c r="J733" s="0" t="n">
        <v>3.78472631215082</v>
      </c>
      <c r="K733" s="0" t="n">
        <v>1.27388535031846</v>
      </c>
      <c r="L733" s="0" t="n">
        <v>0.197671864704592</v>
      </c>
      <c r="M733" s="0" t="n">
        <f aca="false">IF(OR(B733="NW",COUNT(Risk_Rank_Keys!B733)=0),0.5,(SUMPRODUCT(--ISNUMBER(Risk_Rank_Keys!$B$2:$B$800),--(Risk_Rank_Keys!$B$2:$B$800&lt;Risk_Rank_Keys!B733))+(SUMPRODUCT(--ISNUMBER(Risk_Rank_Keys!$B$2:$B$800),--(Risk_Rank_Keys!$B$2:$B$800=Risk_Rank_Keys!B733))+1)/2)/COUNT(Risk_Rank_Keys!$B$2:$B$800))</f>
        <v>0.0627615062761506</v>
      </c>
      <c r="N733" s="0" t="n">
        <f aca="false">IF(OR(B733="NW",COUNT(Risk_Rank_Keys!C733)=0),0.5,(SUMPRODUCT(--ISNUMBER(Risk_Rank_Keys!$C$2:$C$800),--(Risk_Rank_Keys!$C$2:$C$800&lt;Risk_Rank_Keys!C733))+(SUMPRODUCT(--ISNUMBER(Risk_Rank_Keys!$C$2:$C$800),--(Risk_Rank_Keys!$C$2:$C$800=Risk_Rank_Keys!C733))+1)/2)/COUNT(Risk_Rank_Keys!$C$2:$C$800))</f>
        <v>0.0836820083682008</v>
      </c>
      <c r="O733" s="0" t="n">
        <f aca="false">IF(OR(B733="NW",COUNT(Risk_Rank_Keys!D733)=0),0.5,(SUMPRODUCT(--ISNUMBER(Risk_Rank_Keys!$D$2:$D$800),--(Risk_Rank_Keys!$D$2:$D$800&lt;Risk_Rank_Keys!D733))+(SUMPRODUCT(--ISNUMBER(Risk_Rank_Keys!$D$2:$D$800),--(Risk_Rank_Keys!$D$2:$D$800=Risk_Rank_Keys!D733))+1)/2)/COUNT(Risk_Rank_Keys!$D$2:$D$800))</f>
        <v>0.302649930264993</v>
      </c>
      <c r="P733" s="0" t="n">
        <f aca="false">AVERAGE(M733:O733)</f>
        <v>0.149697814969782</v>
      </c>
      <c r="Q733" s="0" t="n">
        <f aca="false">0.4*H733+0.4*I733+0.2*P733</f>
        <v>0.280252454107849</v>
      </c>
      <c r="R733" s="0" t="n">
        <f aca="false">PERCENTILE($Q$2:$Q$800,0.75)</f>
        <v>0.667715717403612</v>
      </c>
      <c r="S733" s="1" t="b">
        <f aca="false">OR(Q733&gt;=R733,AND(B733="CW",COUNT(J733:L733)&lt;3))</f>
        <v>0</v>
      </c>
      <c r="T733" s="0" t="n">
        <v>0.27815637992476</v>
      </c>
      <c r="U733" s="0" t="n">
        <v>5.29915419754926</v>
      </c>
      <c r="V733" s="0" t="n">
        <v>0.280252454107849</v>
      </c>
      <c r="W733" s="0" t="n">
        <f aca="false">Q733-V733</f>
        <v>0</v>
      </c>
    </row>
    <row r="734" customFormat="false" ht="15" hidden="false" customHeight="false" outlineLevel="0" collapsed="false">
      <c r="A734" s="0" t="s">
        <v>768</v>
      </c>
      <c r="B734" s="0" t="s">
        <v>33</v>
      </c>
      <c r="C734" s="0" t="n">
        <v>-3.95222160407788</v>
      </c>
      <c r="D734" s="0" t="n">
        <f aca="false">SUMPRODUCT(Risk_Inputs!B734:AJ734,Risk_Coefs!$B$2:$AJ$2)</f>
        <v>-0.743582022732447</v>
      </c>
      <c r="E734" s="0" t="n">
        <f aca="false">1/(1+EXP(-MAX(-25,MIN(25,D734))))</f>
        <v>0.322221351144175</v>
      </c>
      <c r="F734" s="0" t="n">
        <f aca="false">SUMPRODUCT(Risk_Inputs!B734:AJ734,Risk_Coefs!$B$3:$AJ$3)</f>
        <v>8.38050862381333</v>
      </c>
      <c r="G734" s="0" t="n">
        <f aca="false">MAX(0,F734)</f>
        <v>8.38050862381333</v>
      </c>
      <c r="H734" s="0" t="n">
        <f aca="false">(SUMPRODUCT(--ISNUMBER($E$2:$E$800),--($E$2:$E$800&lt;E734))+(SUMPRODUCT(--ISNUMBER($E$2:$E$800),--($E$2:$E$800=E734))+1)/2)/COUNT($E$2:$E$800)</f>
        <v>0.682102628285357</v>
      </c>
      <c r="I734" s="0" t="n">
        <f aca="false">(SUMPRODUCT(--ISNUMBER($G$2:$G$800),--($G$2:$G$800&lt;G734))+(SUMPRODUCT(--ISNUMBER($G$2:$G$800),--($G$2:$G$800=G734))+1)/2)/COUNT($G$2:$G$800)</f>
        <v>0.589486858573217</v>
      </c>
      <c r="M734" s="0" t="n">
        <f aca="false">IF(OR(B734="NW",COUNT(Risk_Rank_Keys!B734)=0),0.5,(SUMPRODUCT(--ISNUMBER(Risk_Rank_Keys!$B$2:$B$800),--(Risk_Rank_Keys!$B$2:$B$800&lt;Risk_Rank_Keys!B734))+(SUMPRODUCT(--ISNUMBER(Risk_Rank_Keys!$B$2:$B$800),--(Risk_Rank_Keys!$B$2:$B$800=Risk_Rank_Keys!B734))+1)/2)/COUNT(Risk_Rank_Keys!$B$2:$B$800))</f>
        <v>0.5</v>
      </c>
      <c r="N734" s="0" t="n">
        <f aca="false">IF(OR(B734="NW",COUNT(Risk_Rank_Keys!C734)=0),0.5,(SUMPRODUCT(--ISNUMBER(Risk_Rank_Keys!$C$2:$C$800),--(Risk_Rank_Keys!$C$2:$C$800&lt;Risk_Rank_Keys!C734))+(SUMPRODUCT(--ISNUMBER(Risk_Rank_Keys!$C$2:$C$800),--(Risk_Rank_Keys!$C$2:$C$800=Risk_Rank_Keys!C734))+1)/2)/COUNT(Risk_Rank_Keys!$C$2:$C$800))</f>
        <v>0.5</v>
      </c>
      <c r="O734" s="0" t="n">
        <f aca="false">IF(OR(B734="NW",COUNT(Risk_Rank_Keys!D734)=0),0.5,(SUMPRODUCT(--ISNUMBER(Risk_Rank_Keys!$D$2:$D$800),--(Risk_Rank_Keys!$D$2:$D$800&lt;Risk_Rank_Keys!D734))+(SUMPRODUCT(--ISNUMBER(Risk_Rank_Keys!$D$2:$D$800),--(Risk_Rank_Keys!$D$2:$D$800=Risk_Rank_Keys!D734))+1)/2)/COUNT(Risk_Rank_Keys!$D$2:$D$800))</f>
        <v>0.5</v>
      </c>
      <c r="P734" s="0" t="n">
        <f aca="false">AVERAGE(M734:O734)</f>
        <v>0.5</v>
      </c>
      <c r="Q734" s="0" t="n">
        <f aca="false">0.4*H734+0.4*I734+0.2*P734</f>
        <v>0.608635794743429</v>
      </c>
      <c r="R734" s="0" t="n">
        <f aca="false">PERCENTILE($Q$2:$Q$800,0.75)</f>
        <v>0.667715717403612</v>
      </c>
      <c r="S734" s="1" t="b">
        <f aca="false">OR(Q734&gt;=R734,AND(B734="CW",COUNT(J734:L734)&lt;3))</f>
        <v>0</v>
      </c>
      <c r="T734" s="0" t="n">
        <v>0.322221351144175</v>
      </c>
      <c r="U734" s="0" t="n">
        <v>8.38050862381332</v>
      </c>
      <c r="V734" s="0" t="n">
        <v>0.608635794743429</v>
      </c>
      <c r="W734" s="0" t="n">
        <f aca="false">Q734-V734</f>
        <v>0</v>
      </c>
    </row>
    <row r="735" customFormat="false" ht="15" hidden="false" customHeight="false" outlineLevel="0" collapsed="false">
      <c r="A735" s="0" t="s">
        <v>769</v>
      </c>
      <c r="B735" s="0" t="s">
        <v>33</v>
      </c>
      <c r="C735" s="0" t="n">
        <v>7.5795901088763</v>
      </c>
      <c r="D735" s="0" t="n">
        <f aca="false">SUMPRODUCT(Risk_Inputs!B735:AJ735,Risk_Coefs!$B$2:$AJ$2)</f>
        <v>-0.627437657647123</v>
      </c>
      <c r="E735" s="0" t="n">
        <f aca="false">1/(1+EXP(-MAX(-25,MIN(25,D735))))</f>
        <v>0.348091767942456</v>
      </c>
      <c r="F735" s="0" t="n">
        <f aca="false">SUMPRODUCT(Risk_Inputs!B735:AJ735,Risk_Coefs!$B$3:$AJ$3)</f>
        <v>9.67642623576774</v>
      </c>
      <c r="G735" s="0" t="n">
        <f aca="false">MAX(0,F735)</f>
        <v>9.67642623576774</v>
      </c>
      <c r="H735" s="0" t="n">
        <f aca="false">(SUMPRODUCT(--ISNUMBER($E$2:$E$800),--($E$2:$E$800&lt;E735))+(SUMPRODUCT(--ISNUMBER($E$2:$E$800),--($E$2:$E$800=E735))+1)/2)/COUNT($E$2:$E$800)</f>
        <v>0.809762202753442</v>
      </c>
      <c r="I735" s="0" t="n">
        <f aca="false">(SUMPRODUCT(--ISNUMBER($G$2:$G$800),--($G$2:$G$800&lt;G735))+(SUMPRODUCT(--ISNUMBER($G$2:$G$800),--($G$2:$G$800=G735))+1)/2)/COUNT($G$2:$G$800)</f>
        <v>0.745932415519399</v>
      </c>
      <c r="M735" s="0" t="n">
        <f aca="false">IF(OR(B735="NW",COUNT(Risk_Rank_Keys!B735)=0),0.5,(SUMPRODUCT(--ISNUMBER(Risk_Rank_Keys!$B$2:$B$800),--(Risk_Rank_Keys!$B$2:$B$800&lt;Risk_Rank_Keys!B735))+(SUMPRODUCT(--ISNUMBER(Risk_Rank_Keys!$B$2:$B$800),--(Risk_Rank_Keys!$B$2:$B$800=Risk_Rank_Keys!B735))+1)/2)/COUNT(Risk_Rank_Keys!$B$2:$B$800))</f>
        <v>0.5</v>
      </c>
      <c r="N735" s="0" t="n">
        <f aca="false">IF(OR(B735="NW",COUNT(Risk_Rank_Keys!C735)=0),0.5,(SUMPRODUCT(--ISNUMBER(Risk_Rank_Keys!$C$2:$C$800),--(Risk_Rank_Keys!$C$2:$C$800&lt;Risk_Rank_Keys!C735))+(SUMPRODUCT(--ISNUMBER(Risk_Rank_Keys!$C$2:$C$800),--(Risk_Rank_Keys!$C$2:$C$800=Risk_Rank_Keys!C735))+1)/2)/COUNT(Risk_Rank_Keys!$C$2:$C$800))</f>
        <v>0.5</v>
      </c>
      <c r="O735" s="0" t="n">
        <f aca="false">IF(OR(B735="NW",COUNT(Risk_Rank_Keys!D735)=0),0.5,(SUMPRODUCT(--ISNUMBER(Risk_Rank_Keys!$D$2:$D$800),--(Risk_Rank_Keys!$D$2:$D$800&lt;Risk_Rank_Keys!D735))+(SUMPRODUCT(--ISNUMBER(Risk_Rank_Keys!$D$2:$D$800),--(Risk_Rank_Keys!$D$2:$D$800=Risk_Rank_Keys!D735))+1)/2)/COUNT(Risk_Rank_Keys!$D$2:$D$800))</f>
        <v>0.5</v>
      </c>
      <c r="P735" s="0" t="n">
        <f aca="false">AVERAGE(M735:O735)</f>
        <v>0.5</v>
      </c>
      <c r="Q735" s="0" t="n">
        <f aca="false">0.4*H735+0.4*I735+0.2*P735</f>
        <v>0.722277847309136</v>
      </c>
      <c r="R735" s="0" t="n">
        <f aca="false">PERCENTILE($Q$2:$Q$800,0.75)</f>
        <v>0.667715717403612</v>
      </c>
      <c r="S735" s="1" t="b">
        <f aca="false">OR(Q735&gt;=R735,AND(B735="CW",COUNT(J735:L735)&lt;3))</f>
        <v>1</v>
      </c>
      <c r="T735" s="0" t="n">
        <v>0.348091767942455</v>
      </c>
      <c r="U735" s="0" t="n">
        <v>9.67642623576774</v>
      </c>
      <c r="V735" s="0" t="n">
        <v>0.722277847309136</v>
      </c>
      <c r="W735" s="0" t="n">
        <f aca="false">Q735-V735</f>
        <v>0</v>
      </c>
    </row>
    <row r="736" customFormat="false" ht="15" hidden="false" customHeight="false" outlineLevel="0" collapsed="false">
      <c r="A736" s="0" t="s">
        <v>770</v>
      </c>
      <c r="B736" s="0" t="s">
        <v>3013</v>
      </c>
      <c r="C736" s="0" t="n">
        <v>-1.5772480006039</v>
      </c>
      <c r="D736" s="0" t="n">
        <f aca="false">SUMPRODUCT(Risk_Inputs!B736:AJ736,Risk_Coefs!$B$2:$AJ$2)</f>
        <v>-1.15145759984961</v>
      </c>
      <c r="E736" s="0" t="n">
        <f aca="false">1/(1+EXP(-MAX(-25,MIN(25,D736))))</f>
        <v>0.240222947202026</v>
      </c>
      <c r="F736" s="0" t="n">
        <f aca="false">SUMPRODUCT(Risk_Inputs!B736:AJ736,Risk_Coefs!$B$3:$AJ$3)</f>
        <v>3.85973852752411</v>
      </c>
      <c r="G736" s="0" t="n">
        <f aca="false">MAX(0,F736)</f>
        <v>3.85973852752411</v>
      </c>
      <c r="H736" s="0" t="n">
        <f aca="false">(SUMPRODUCT(--ISNUMBER($E$2:$E$800),--($E$2:$E$800&lt;E736))+(SUMPRODUCT(--ISNUMBER($E$2:$E$800),--($E$2:$E$800=E736))+1)/2)/COUNT($E$2:$E$800)</f>
        <v>0.222778473091364</v>
      </c>
      <c r="I736" s="0" t="n">
        <f aca="false">(SUMPRODUCT(--ISNUMBER($G$2:$G$800),--($G$2:$G$800&lt;G736))+(SUMPRODUCT(--ISNUMBER($G$2:$G$800),--($G$2:$G$800=G736))+1)/2)/COUNT($G$2:$G$800)</f>
        <v>0.0463078848560701</v>
      </c>
      <c r="J736" s="0" t="n">
        <v>8.98200669745282</v>
      </c>
      <c r="K736" s="0" t="n">
        <v>5.03072196620585</v>
      </c>
      <c r="L736" s="0" t="n">
        <v>0.192012288786477</v>
      </c>
      <c r="M736" s="0" t="n">
        <f aca="false">IF(OR(B736="NW",COUNT(Risk_Rank_Keys!B736)=0),0.5,(SUMPRODUCT(--ISNUMBER(Risk_Rank_Keys!$B$2:$B$800),--(Risk_Rank_Keys!$B$2:$B$800&lt;Risk_Rank_Keys!B736))+(SUMPRODUCT(--ISNUMBER(Risk_Rank_Keys!$B$2:$B$800),--(Risk_Rank_Keys!$B$2:$B$800=Risk_Rank_Keys!B736))+1)/2)/COUNT(Risk_Rank_Keys!$B$2:$B$800))</f>
        <v>0.442119944211994</v>
      </c>
      <c r="N736" s="0" t="n">
        <f aca="false">IF(OR(B736="NW",COUNT(Risk_Rank_Keys!C736)=0),0.5,(SUMPRODUCT(--ISNUMBER(Risk_Rank_Keys!$C$2:$C$800),--(Risk_Rank_Keys!$C$2:$C$800&lt;Risk_Rank_Keys!C736))+(SUMPRODUCT(--ISNUMBER(Risk_Rank_Keys!$C$2:$C$800),--(Risk_Rank_Keys!$C$2:$C$800=Risk_Rank_Keys!C736))+1)/2)/COUNT(Risk_Rank_Keys!$C$2:$C$800))</f>
        <v>0.691771269177127</v>
      </c>
      <c r="O736" s="0" t="n">
        <f aca="false">IF(OR(B736="NW",COUNT(Risk_Rank_Keys!D736)=0),0.5,(SUMPRODUCT(--ISNUMBER(Risk_Rank_Keys!$D$2:$D$800),--(Risk_Rank_Keys!$D$2:$D$800&lt;Risk_Rank_Keys!D736))+(SUMPRODUCT(--ISNUMBER(Risk_Rank_Keys!$D$2:$D$800),--(Risk_Rank_Keys!$D$2:$D$800=Risk_Rank_Keys!D736))+1)/2)/COUNT(Risk_Rank_Keys!$D$2:$D$800))</f>
        <v>0.267782426778243</v>
      </c>
      <c r="P736" s="0" t="n">
        <f aca="false">AVERAGE(M736:O736)</f>
        <v>0.467224546722455</v>
      </c>
      <c r="Q736" s="0" t="n">
        <f aca="false">0.4*H736+0.4*I736+0.2*P736</f>
        <v>0.201079452523465</v>
      </c>
      <c r="R736" s="0" t="n">
        <f aca="false">PERCENTILE($Q$2:$Q$800,0.75)</f>
        <v>0.667715717403612</v>
      </c>
      <c r="S736" s="1" t="b">
        <f aca="false">OR(Q736&gt;=R736,AND(B736="CW",COUNT(J736:L736)&lt;3))</f>
        <v>0</v>
      </c>
      <c r="T736" s="0" t="n">
        <v>0.240222947202026</v>
      </c>
      <c r="U736" s="0" t="n">
        <v>3.85973852752411</v>
      </c>
      <c r="V736" s="0" t="n">
        <v>0.201079452523465</v>
      </c>
      <c r="W736" s="0" t="n">
        <f aca="false">Q736-V736</f>
        <v>0</v>
      </c>
    </row>
    <row r="737" customFormat="false" ht="15" hidden="false" customHeight="false" outlineLevel="0" collapsed="false">
      <c r="A737" s="0" t="s">
        <v>771</v>
      </c>
      <c r="B737" s="0" t="s">
        <v>3013</v>
      </c>
      <c r="C737" s="0" t="n">
        <v>25.8236707764498</v>
      </c>
      <c r="D737" s="0" t="n">
        <f aca="false">SUMPRODUCT(Risk_Inputs!B737:AJ737,Risk_Coefs!$B$2:$AJ$2)</f>
        <v>-0.83625105091618</v>
      </c>
      <c r="E737" s="0" t="n">
        <f aca="false">1/(1+EXP(-MAX(-25,MIN(25,D737))))</f>
        <v>0.302324942986283</v>
      </c>
      <c r="F737" s="0" t="n">
        <f aca="false">SUMPRODUCT(Risk_Inputs!B737:AJ737,Risk_Coefs!$B$3:$AJ$3)</f>
        <v>4.24548960651727</v>
      </c>
      <c r="G737" s="0" t="n">
        <f aca="false">MAX(0,F737)</f>
        <v>4.24548960651727</v>
      </c>
      <c r="H737" s="0" t="n">
        <f aca="false">(SUMPRODUCT(--ISNUMBER($E$2:$E$800),--($E$2:$E$800&lt;E737))+(SUMPRODUCT(--ISNUMBER($E$2:$E$800),--($E$2:$E$800=E737))+1)/2)/COUNT($E$2:$E$800)</f>
        <v>0.578222778473091</v>
      </c>
      <c r="I737" s="0" t="n">
        <f aca="false">(SUMPRODUCT(--ISNUMBER($G$2:$G$800),--($G$2:$G$800&lt;G737))+(SUMPRODUCT(--ISNUMBER($G$2:$G$800),--($G$2:$G$800=G737))+1)/2)/COUNT($G$2:$G$800)</f>
        <v>0.0688360450563204</v>
      </c>
      <c r="J737" s="0" t="n">
        <v>24.5837433971362</v>
      </c>
      <c r="K737" s="0" t="n">
        <v>12.6008968609865</v>
      </c>
      <c r="L737" s="0" t="n">
        <v>0.134529147982062</v>
      </c>
      <c r="M737" s="0" t="n">
        <f aca="false">IF(OR(B737="NW",COUNT(Risk_Rank_Keys!B737)=0),0.5,(SUMPRODUCT(--ISNUMBER(Risk_Rank_Keys!$B$2:$B$800),--(Risk_Rank_Keys!$B$2:$B$800&lt;Risk_Rank_Keys!B737))+(SUMPRODUCT(--ISNUMBER(Risk_Rank_Keys!$B$2:$B$800),--(Risk_Rank_Keys!$B$2:$B$800=Risk_Rank_Keys!B737))+1)/2)/COUNT(Risk_Rank_Keys!$B$2:$B$800))</f>
        <v>0.852161785216179</v>
      </c>
      <c r="N737" s="0" t="n">
        <f aca="false">IF(OR(B737="NW",COUNT(Risk_Rank_Keys!C737)=0),0.5,(SUMPRODUCT(--ISNUMBER(Risk_Rank_Keys!$C$2:$C$800),--(Risk_Rank_Keys!$C$2:$C$800&lt;Risk_Rank_Keys!C737))+(SUMPRODUCT(--ISNUMBER(Risk_Rank_Keys!$C$2:$C$800),--(Risk_Rank_Keys!$C$2:$C$800=Risk_Rank_Keys!C737))+1)/2)/COUNT(Risk_Rank_Keys!$C$2:$C$800))</f>
        <v>0.907949790794979</v>
      </c>
      <c r="O737" s="0" t="n">
        <f aca="false">IF(OR(B737="NW",COUNT(Risk_Rank_Keys!D737)=0),0.5,(SUMPRODUCT(--ISNUMBER(Risk_Rank_Keys!$D$2:$D$800),--(Risk_Rank_Keys!$D$2:$D$800&lt;Risk_Rank_Keys!D737))+(SUMPRODUCT(--ISNUMBER(Risk_Rank_Keys!$D$2:$D$800),--(Risk_Rank_Keys!$D$2:$D$800=Risk_Rank_Keys!D737))+1)/2)/COUNT(Risk_Rank_Keys!$D$2:$D$800))</f>
        <v>0.0753138075313808</v>
      </c>
      <c r="P737" s="0" t="n">
        <f aca="false">AVERAGE(M737:O737)</f>
        <v>0.611808461180846</v>
      </c>
      <c r="Q737" s="0" t="n">
        <f aca="false">0.4*H737+0.4*I737+0.2*P737</f>
        <v>0.381185221647934</v>
      </c>
      <c r="R737" s="0" t="n">
        <f aca="false">PERCENTILE($Q$2:$Q$800,0.75)</f>
        <v>0.667715717403612</v>
      </c>
      <c r="S737" s="1" t="b">
        <f aca="false">OR(Q737&gt;=R737,AND(B737="CW",COUNT(J737:L737)&lt;3))</f>
        <v>0</v>
      </c>
      <c r="T737" s="0" t="n">
        <v>0.302324942986283</v>
      </c>
      <c r="U737" s="0" t="n">
        <v>4.24548960651727</v>
      </c>
      <c r="V737" s="0" t="n">
        <v>0.381185221647934</v>
      </c>
      <c r="W737" s="0" t="n">
        <f aca="false">Q737-V737</f>
        <v>0</v>
      </c>
    </row>
    <row r="738" customFormat="false" ht="15" hidden="false" customHeight="false" outlineLevel="0" collapsed="false">
      <c r="A738" s="0" t="s">
        <v>772</v>
      </c>
      <c r="B738" s="0" t="s">
        <v>3013</v>
      </c>
      <c r="C738" s="0" t="n">
        <v>-15.6701101522417</v>
      </c>
      <c r="D738" s="0" t="n">
        <f aca="false">SUMPRODUCT(Risk_Inputs!B738:AJ738,Risk_Coefs!$B$2:$AJ$2)</f>
        <v>-0.525861241273268</v>
      </c>
      <c r="E738" s="0" t="n">
        <f aca="false">1/(1+EXP(-MAX(-25,MIN(25,D738))))</f>
        <v>0.371482703999014</v>
      </c>
      <c r="F738" s="0" t="n">
        <f aca="false">SUMPRODUCT(Risk_Inputs!B738:AJ738,Risk_Coefs!$B$3:$AJ$3)</f>
        <v>5.30338719680778</v>
      </c>
      <c r="G738" s="0" t="n">
        <f aca="false">MAX(0,F738)</f>
        <v>5.30338719680778</v>
      </c>
      <c r="H738" s="0" t="n">
        <f aca="false">(SUMPRODUCT(--ISNUMBER($E$2:$E$800),--($E$2:$E$800&lt;E738))+(SUMPRODUCT(--ISNUMBER($E$2:$E$800),--($E$2:$E$800=E738))+1)/2)/COUNT($E$2:$E$800)</f>
        <v>0.881101376720901</v>
      </c>
      <c r="I738" s="0" t="n">
        <f aca="false">(SUMPRODUCT(--ISNUMBER($G$2:$G$800),--($G$2:$G$800&lt;G738))+(SUMPRODUCT(--ISNUMBER($G$2:$G$800),--($G$2:$G$800=G738))+1)/2)/COUNT($G$2:$G$800)</f>
        <v>0.172715894868586</v>
      </c>
      <c r="J738" s="0" t="n">
        <v>8.28656905575823</v>
      </c>
      <c r="K738" s="0" t="n">
        <v>1.84569528831824</v>
      </c>
      <c r="L738" s="0" t="n">
        <v>0.194887080132987</v>
      </c>
      <c r="M738" s="0" t="n">
        <f aca="false">IF(OR(B738="NW",COUNT(Risk_Rank_Keys!B738)=0),0.5,(SUMPRODUCT(--ISNUMBER(Risk_Rank_Keys!$B$2:$B$800),--(Risk_Rank_Keys!$B$2:$B$800&lt;Risk_Rank_Keys!B738))+(SUMPRODUCT(--ISNUMBER(Risk_Rank_Keys!$B$2:$B$800),--(Risk_Rank_Keys!$B$2:$B$800=Risk_Rank_Keys!B738))+1)/2)/COUNT(Risk_Rank_Keys!$B$2:$B$800))</f>
        <v>0.397489539748954</v>
      </c>
      <c r="N738" s="0" t="n">
        <f aca="false">IF(OR(B738="NW",COUNT(Risk_Rank_Keys!C738)=0),0.5,(SUMPRODUCT(--ISNUMBER(Risk_Rank_Keys!$C$2:$C$800),--(Risk_Rank_Keys!$C$2:$C$800&lt;Risk_Rank_Keys!C738))+(SUMPRODUCT(--ISNUMBER(Risk_Rank_Keys!$C$2:$C$800),--(Risk_Rank_Keys!$C$2:$C$800=Risk_Rank_Keys!C738))+1)/2)/COUNT(Risk_Rank_Keys!$C$2:$C$800))</f>
        <v>0.228730822873082</v>
      </c>
      <c r="O738" s="0" t="n">
        <f aca="false">IF(OR(B738="NW",COUNT(Risk_Rank_Keys!D738)=0),0.5,(SUMPRODUCT(--ISNUMBER(Risk_Rank_Keys!$D$2:$D$800),--(Risk_Rank_Keys!$D$2:$D$800&lt;Risk_Rank_Keys!D738))+(SUMPRODUCT(--ISNUMBER(Risk_Rank_Keys!$D$2:$D$800),--(Risk_Rank_Keys!$D$2:$D$800=Risk_Rank_Keys!D738))+1)/2)/COUNT(Risk_Rank_Keys!$D$2:$D$800))</f>
        <v>0.283124128312413</v>
      </c>
      <c r="P738" s="0" t="n">
        <f aca="false">AVERAGE(M738:O738)</f>
        <v>0.303114830311483</v>
      </c>
      <c r="Q738" s="0" t="n">
        <f aca="false">0.4*H738+0.4*I738+0.2*P738</f>
        <v>0.482149874698091</v>
      </c>
      <c r="R738" s="0" t="n">
        <f aca="false">PERCENTILE($Q$2:$Q$800,0.75)</f>
        <v>0.667715717403612</v>
      </c>
      <c r="S738" s="1" t="b">
        <f aca="false">OR(Q738&gt;=R738,AND(B738="CW",COUNT(J738:L738)&lt;3))</f>
        <v>0</v>
      </c>
      <c r="T738" s="0" t="n">
        <v>0.371482703999014</v>
      </c>
      <c r="U738" s="0" t="n">
        <v>5.30338719680778</v>
      </c>
      <c r="V738" s="0" t="n">
        <v>0.482149874698091</v>
      </c>
      <c r="W738" s="0" t="n">
        <f aca="false">Q738-V738</f>
        <v>0</v>
      </c>
    </row>
    <row r="739" customFormat="false" ht="15" hidden="false" customHeight="false" outlineLevel="0" collapsed="false">
      <c r="A739" s="0" t="s">
        <v>773</v>
      </c>
      <c r="B739" s="0" t="s">
        <v>3013</v>
      </c>
      <c r="C739" s="0" t="n">
        <v>24.6375560683165</v>
      </c>
      <c r="D739" s="0" t="n">
        <f aca="false">SUMPRODUCT(Risk_Inputs!B739:AJ739,Risk_Coefs!$B$2:$AJ$2)</f>
        <v>-0.0595435660966715</v>
      </c>
      <c r="E739" s="0" t="n">
        <f aca="false">1/(1+EXP(-MAX(-25,MIN(25,D739))))</f>
        <v>0.485118504998715</v>
      </c>
      <c r="F739" s="0" t="n">
        <f aca="false">SUMPRODUCT(Risk_Inputs!B739:AJ739,Risk_Coefs!$B$3:$AJ$3)</f>
        <v>11.8317408437859</v>
      </c>
      <c r="G739" s="0" t="n">
        <f aca="false">MAX(0,F739)</f>
        <v>11.8317408437859</v>
      </c>
      <c r="H739" s="0" t="n">
        <f aca="false">(SUMPRODUCT(--ISNUMBER($E$2:$E$800),--($E$2:$E$800&lt;E739))+(SUMPRODUCT(--ISNUMBER($E$2:$E$800),--($E$2:$E$800=E739))+1)/2)/COUNT($E$2:$E$800)</f>
        <v>0.989987484355444</v>
      </c>
      <c r="I739" s="0" t="n">
        <f aca="false">(SUMPRODUCT(--ISNUMBER($G$2:$G$800),--($G$2:$G$800&lt;G739))+(SUMPRODUCT(--ISNUMBER($G$2:$G$800),--($G$2:$G$800=G739))+1)/2)/COUNT($G$2:$G$800)</f>
        <v>0.914893617021277</v>
      </c>
      <c r="J739" s="0" t="n">
        <v>19.8569042140763</v>
      </c>
      <c r="K739" s="0" t="n">
        <v>3.54394491697043</v>
      </c>
      <c r="L739" s="0" t="n">
        <v>0.202511138112596</v>
      </c>
      <c r="M739" s="0" t="n">
        <f aca="false">IF(OR(B739="NW",COUNT(Risk_Rank_Keys!B739)=0),0.5,(SUMPRODUCT(--ISNUMBER(Risk_Rank_Keys!$B$2:$B$800),--(Risk_Rank_Keys!$B$2:$B$800&lt;Risk_Rank_Keys!B739))+(SUMPRODUCT(--ISNUMBER(Risk_Rank_Keys!$B$2:$B$800),--(Risk_Rank_Keys!$B$2:$B$800=Risk_Rank_Keys!B739))+1)/2)/COUNT(Risk_Rank_Keys!$B$2:$B$800))</f>
        <v>0.786610878661088</v>
      </c>
      <c r="N739" s="0" t="n">
        <f aca="false">IF(OR(B739="NW",COUNT(Risk_Rank_Keys!C739)=0),0.5,(SUMPRODUCT(--ISNUMBER(Risk_Rank_Keys!$C$2:$C$800),--(Risk_Rank_Keys!$C$2:$C$800&lt;Risk_Rank_Keys!C739))+(SUMPRODUCT(--ISNUMBER(Risk_Rank_Keys!$C$2:$C$800),--(Risk_Rank_Keys!$C$2:$C$800=Risk_Rank_Keys!C739))+1)/2)/COUNT(Risk_Rank_Keys!$C$2:$C$800))</f>
        <v>0.531380753138075</v>
      </c>
      <c r="O739" s="0" t="n">
        <f aca="false">IF(OR(B739="NW",COUNT(Risk_Rank_Keys!D739)=0),0.5,(SUMPRODUCT(--ISNUMBER(Risk_Rank_Keys!$D$2:$D$800),--(Risk_Rank_Keys!$D$2:$D$800&lt;Risk_Rank_Keys!D739))+(SUMPRODUCT(--ISNUMBER(Risk_Rank_Keys!$D$2:$D$800),--(Risk_Rank_Keys!$D$2:$D$800=Risk_Rank_Keys!D739))+1)/2)/COUNT(Risk_Rank_Keys!$D$2:$D$800))</f>
        <v>0.327754532775453</v>
      </c>
      <c r="P739" s="0" t="n">
        <f aca="false">AVERAGE(M739:O739)</f>
        <v>0.548582054858206</v>
      </c>
      <c r="Q739" s="0" t="n">
        <f aca="false">0.4*H739+0.4*I739+0.2*P739</f>
        <v>0.871668851522329</v>
      </c>
      <c r="R739" s="0" t="n">
        <f aca="false">PERCENTILE($Q$2:$Q$800,0.75)</f>
        <v>0.667715717403612</v>
      </c>
      <c r="S739" s="1" t="b">
        <f aca="false">OR(Q739&gt;=R739,AND(B739="CW",COUNT(J739:L739)&lt;3))</f>
        <v>1</v>
      </c>
      <c r="T739" s="0" t="n">
        <v>0.485118504998715</v>
      </c>
      <c r="U739" s="0" t="n">
        <v>11.8317408437859</v>
      </c>
      <c r="V739" s="0" t="n">
        <v>0.871668851522329</v>
      </c>
      <c r="W739" s="0" t="n">
        <f aca="false">Q739-V739</f>
        <v>0</v>
      </c>
    </row>
    <row r="740" customFormat="false" ht="15" hidden="false" customHeight="false" outlineLevel="0" collapsed="false">
      <c r="A740" s="0" t="s">
        <v>774</v>
      </c>
      <c r="B740" s="0" t="s">
        <v>33</v>
      </c>
      <c r="C740" s="0" t="n">
        <v>75.5990813404787</v>
      </c>
      <c r="D740" s="0" t="n">
        <f aca="false">SUMPRODUCT(Risk_Inputs!B740:AJ740,Risk_Coefs!$B$2:$AJ$2)</f>
        <v>-0.139598396605841</v>
      </c>
      <c r="E740" s="0" t="n">
        <f aca="false">1/(1+EXP(-MAX(-25,MIN(25,D740))))</f>
        <v>0.465156966729541</v>
      </c>
      <c r="F740" s="0" t="n">
        <f aca="false">SUMPRODUCT(Risk_Inputs!B740:AJ740,Risk_Coefs!$B$3:$AJ$3)</f>
        <v>16.7887172265263</v>
      </c>
      <c r="G740" s="0" t="n">
        <f aca="false">MAX(0,F740)</f>
        <v>16.7887172265263</v>
      </c>
      <c r="H740" s="0" t="n">
        <f aca="false">(SUMPRODUCT(--ISNUMBER($E$2:$E$800),--($E$2:$E$800&lt;E740))+(SUMPRODUCT(--ISNUMBER($E$2:$E$800),--($E$2:$E$800=E740))+1)/2)/COUNT($E$2:$E$800)</f>
        <v>0.987484355444305</v>
      </c>
      <c r="I740" s="0" t="n">
        <f aca="false">(SUMPRODUCT(--ISNUMBER($G$2:$G$800),--($G$2:$G$800&lt;G740))+(SUMPRODUCT(--ISNUMBER($G$2:$G$800),--($G$2:$G$800=G740))+1)/2)/COUNT($G$2:$G$800)</f>
        <v>0.993742177722153</v>
      </c>
      <c r="M740" s="0" t="n">
        <f aca="false">IF(OR(B740="NW",COUNT(Risk_Rank_Keys!B740)=0),0.5,(SUMPRODUCT(--ISNUMBER(Risk_Rank_Keys!$B$2:$B$800),--(Risk_Rank_Keys!$B$2:$B$800&lt;Risk_Rank_Keys!B740))+(SUMPRODUCT(--ISNUMBER(Risk_Rank_Keys!$B$2:$B$800),--(Risk_Rank_Keys!$B$2:$B$800=Risk_Rank_Keys!B740))+1)/2)/COUNT(Risk_Rank_Keys!$B$2:$B$800))</f>
        <v>0.5</v>
      </c>
      <c r="N740" s="0" t="n">
        <f aca="false">IF(OR(B740="NW",COUNT(Risk_Rank_Keys!C740)=0),0.5,(SUMPRODUCT(--ISNUMBER(Risk_Rank_Keys!$C$2:$C$800),--(Risk_Rank_Keys!$C$2:$C$800&lt;Risk_Rank_Keys!C740))+(SUMPRODUCT(--ISNUMBER(Risk_Rank_Keys!$C$2:$C$800),--(Risk_Rank_Keys!$C$2:$C$800=Risk_Rank_Keys!C740))+1)/2)/COUNT(Risk_Rank_Keys!$C$2:$C$800))</f>
        <v>0.5</v>
      </c>
      <c r="O740" s="0" t="n">
        <f aca="false">IF(OR(B740="NW",COUNT(Risk_Rank_Keys!D740)=0),0.5,(SUMPRODUCT(--ISNUMBER(Risk_Rank_Keys!$D$2:$D$800),--(Risk_Rank_Keys!$D$2:$D$800&lt;Risk_Rank_Keys!D740))+(SUMPRODUCT(--ISNUMBER(Risk_Rank_Keys!$D$2:$D$800),--(Risk_Rank_Keys!$D$2:$D$800=Risk_Rank_Keys!D740))+1)/2)/COUNT(Risk_Rank_Keys!$D$2:$D$800))</f>
        <v>0.5</v>
      </c>
      <c r="P740" s="0" t="n">
        <f aca="false">AVERAGE(M740:O740)</f>
        <v>0.5</v>
      </c>
      <c r="Q740" s="0" t="n">
        <f aca="false">0.4*H740+0.4*I740+0.2*P740</f>
        <v>0.892490613266583</v>
      </c>
      <c r="R740" s="0" t="n">
        <f aca="false">PERCENTILE($Q$2:$Q$800,0.75)</f>
        <v>0.667715717403612</v>
      </c>
      <c r="S740" s="1" t="b">
        <f aca="false">OR(Q740&gt;=R740,AND(B740="CW",COUNT(J740:L740)&lt;3))</f>
        <v>1</v>
      </c>
      <c r="T740" s="0" t="n">
        <v>0.465156966729541</v>
      </c>
      <c r="U740" s="0" t="n">
        <v>16.7887172265263</v>
      </c>
      <c r="V740" s="0" t="n">
        <v>0.892490613266583</v>
      </c>
      <c r="W740" s="0" t="n">
        <f aca="false">Q740-V740</f>
        <v>0</v>
      </c>
    </row>
    <row r="741" customFormat="false" ht="15" hidden="false" customHeight="false" outlineLevel="0" collapsed="false">
      <c r="A741" s="0" t="s">
        <v>775</v>
      </c>
      <c r="B741" s="0" t="s">
        <v>3013</v>
      </c>
      <c r="C741" s="0" t="n">
        <v>15.4282926967327</v>
      </c>
      <c r="D741" s="0" t="n">
        <f aca="false">SUMPRODUCT(Risk_Inputs!B741:AJ741,Risk_Coefs!$B$2:$AJ$2)</f>
        <v>-0.191785976031024</v>
      </c>
      <c r="E741" s="0" t="n">
        <f aca="false">1/(1+EXP(-MAX(-25,MIN(25,D741))))</f>
        <v>0.452199930876097</v>
      </c>
      <c r="F741" s="0" t="n">
        <f aca="false">SUMPRODUCT(Risk_Inputs!B741:AJ741,Risk_Coefs!$B$3:$AJ$3)</f>
        <v>10.6215387008006</v>
      </c>
      <c r="G741" s="0" t="n">
        <f aca="false">MAX(0,F741)</f>
        <v>10.6215387008006</v>
      </c>
      <c r="H741" s="0" t="n">
        <f aca="false">(SUMPRODUCT(--ISNUMBER($E$2:$E$800),--($E$2:$E$800&lt;E741))+(SUMPRODUCT(--ISNUMBER($E$2:$E$800),--($E$2:$E$800=E741))+1)/2)/COUNT($E$2:$E$800)</f>
        <v>0.981226533166458</v>
      </c>
      <c r="I741" s="0" t="n">
        <f aca="false">(SUMPRODUCT(--ISNUMBER($G$2:$G$800),--($G$2:$G$800&lt;G741))+(SUMPRODUCT(--ISNUMBER($G$2:$G$800),--($G$2:$G$800=G741))+1)/2)/COUNT($G$2:$G$800)</f>
        <v>0.852315394242804</v>
      </c>
      <c r="J741" s="0" t="n">
        <v>11.635670004769</v>
      </c>
      <c r="K741" s="0" t="n">
        <v>2.79207085617884</v>
      </c>
      <c r="L741" s="0" t="n">
        <v>0.126528890763381</v>
      </c>
      <c r="M741" s="0" t="n">
        <f aca="false">IF(OR(B741="NW",COUNT(Risk_Rank_Keys!B741)=0),0.5,(SUMPRODUCT(--ISNUMBER(Risk_Rank_Keys!$B$2:$B$800),--(Risk_Rank_Keys!$B$2:$B$800&lt;Risk_Rank_Keys!B741))+(SUMPRODUCT(--ISNUMBER(Risk_Rank_Keys!$B$2:$B$800),--(Risk_Rank_Keys!$B$2:$B$800=Risk_Rank_Keys!B741))+1)/2)/COUNT(Risk_Rank_Keys!$B$2:$B$800))</f>
        <v>0.580195258019526</v>
      </c>
      <c r="N741" s="0" t="n">
        <f aca="false">IF(OR(B741="NW",COUNT(Risk_Rank_Keys!C741)=0),0.5,(SUMPRODUCT(--ISNUMBER(Risk_Rank_Keys!$C$2:$C$800),--(Risk_Rank_Keys!$C$2:$C$800&lt;Risk_Rank_Keys!C741))+(SUMPRODUCT(--ISNUMBER(Risk_Rank_Keys!$C$2:$C$800),--(Risk_Rank_Keys!$C$2:$C$800=Risk_Rank_Keys!C741))+1)/2)/COUNT(Risk_Rank_Keys!$C$2:$C$800))</f>
        <v>0.443514644351464</v>
      </c>
      <c r="O741" s="0" t="n">
        <f aca="false">IF(OR(B741="NW",COUNT(Risk_Rank_Keys!D741)=0),0.5,(SUMPRODUCT(--ISNUMBER(Risk_Rank_Keys!$D$2:$D$800),--(Risk_Rank_Keys!$D$2:$D$800&lt;Risk_Rank_Keys!D741))+(SUMPRODUCT(--ISNUMBER(Risk_Rank_Keys!$D$2:$D$800),--(Risk_Rank_Keys!$D$2:$D$800=Risk_Rank_Keys!D741))+1)/2)/COUNT(Risk_Rank_Keys!$D$2:$D$800))</f>
        <v>0.0557880055788006</v>
      </c>
      <c r="P741" s="0" t="n">
        <f aca="false">AVERAGE(M741:O741)</f>
        <v>0.359832635983264</v>
      </c>
      <c r="Q741" s="0" t="n">
        <f aca="false">0.4*H741+0.4*I741+0.2*P741</f>
        <v>0.805383298160358</v>
      </c>
      <c r="R741" s="0" t="n">
        <f aca="false">PERCENTILE($Q$2:$Q$800,0.75)</f>
        <v>0.667715717403612</v>
      </c>
      <c r="S741" s="1" t="b">
        <f aca="false">OR(Q741&gt;=R741,AND(B741="CW",COUNT(J741:L741)&lt;3))</f>
        <v>1</v>
      </c>
      <c r="T741" s="0" t="n">
        <v>0.452199930876097</v>
      </c>
      <c r="U741" s="0" t="n">
        <v>10.6215387008006</v>
      </c>
      <c r="V741" s="0" t="n">
        <v>0.805383298160358</v>
      </c>
      <c r="W741" s="0" t="n">
        <f aca="false">Q741-V741</f>
        <v>0</v>
      </c>
    </row>
    <row r="742" customFormat="false" ht="15" hidden="false" customHeight="false" outlineLevel="0" collapsed="false">
      <c r="A742" s="0" t="s">
        <v>776</v>
      </c>
      <c r="B742" s="0" t="s">
        <v>3013</v>
      </c>
      <c r="C742" s="0" t="n">
        <v>-12.9682550543479</v>
      </c>
      <c r="D742" s="0" t="n">
        <f aca="false">SUMPRODUCT(Risk_Inputs!B742:AJ742,Risk_Coefs!$B$2:$AJ$2)</f>
        <v>-0.415993069937659</v>
      </c>
      <c r="E742" s="0" t="n">
        <f aca="false">1/(1+EXP(-MAX(-25,MIN(25,D742))))</f>
        <v>0.397475969763478</v>
      </c>
      <c r="F742" s="0" t="n">
        <f aca="false">SUMPRODUCT(Risk_Inputs!B742:AJ742,Risk_Coefs!$B$3:$AJ$3)</f>
        <v>6.35680675144285</v>
      </c>
      <c r="G742" s="0" t="n">
        <f aca="false">MAX(0,F742)</f>
        <v>6.35680675144285</v>
      </c>
      <c r="H742" s="0" t="n">
        <f aca="false">(SUMPRODUCT(--ISNUMBER($E$2:$E$800),--($E$2:$E$800&lt;E742))+(SUMPRODUCT(--ISNUMBER($E$2:$E$800),--($E$2:$E$800=E742))+1)/2)/COUNT($E$2:$E$800)</f>
        <v>0.936170212765958</v>
      </c>
      <c r="I742" s="0" t="n">
        <f aca="false">(SUMPRODUCT(--ISNUMBER($G$2:$G$800),--($G$2:$G$800&lt;G742))+(SUMPRODUCT(--ISNUMBER($G$2:$G$800),--($G$2:$G$800=G742))+1)/2)/COUNT($G$2:$G$800)</f>
        <v>0.321652065081352</v>
      </c>
      <c r="J742" s="0" t="n">
        <v>6.22231124768088</v>
      </c>
      <c r="K742" s="0" t="n">
        <v>1.39427612957334</v>
      </c>
      <c r="L742" s="0" t="n">
        <v>0.11531607086697</v>
      </c>
      <c r="M742" s="0" t="n">
        <f aca="false">IF(OR(B742="NW",COUNT(Risk_Rank_Keys!B742)=0),0.5,(SUMPRODUCT(--ISNUMBER(Risk_Rank_Keys!$B$2:$B$800),--(Risk_Rank_Keys!$B$2:$B$800&lt;Risk_Rank_Keys!B742))+(SUMPRODUCT(--ISNUMBER(Risk_Rank_Keys!$B$2:$B$800),--(Risk_Rank_Keys!$B$2:$B$800=Risk_Rank_Keys!B742))+1)/2)/COUNT(Risk_Rank_Keys!$B$2:$B$800))</f>
        <v>0.239888423988842</v>
      </c>
      <c r="N742" s="0" t="n">
        <f aca="false">IF(OR(B742="NW",COUNT(Risk_Rank_Keys!C742)=0),0.5,(SUMPRODUCT(--ISNUMBER(Risk_Rank_Keys!$C$2:$C$800),--(Risk_Rank_Keys!$C$2:$C$800&lt;Risk_Rank_Keys!C742))+(SUMPRODUCT(--ISNUMBER(Risk_Rank_Keys!$C$2:$C$800),--(Risk_Rank_Keys!$C$2:$C$800=Risk_Rank_Keys!C742))+1)/2)/COUNT(Risk_Rank_Keys!$C$2:$C$800))</f>
        <v>0.107391910739191</v>
      </c>
      <c r="O742" s="0" t="n">
        <f aca="false">IF(OR(B742="NW",COUNT(Risk_Rank_Keys!D742)=0),0.5,(SUMPRODUCT(--ISNUMBER(Risk_Rank_Keys!$D$2:$D$800),--(Risk_Rank_Keys!$D$2:$D$800&lt;Risk_Rank_Keys!D742))+(SUMPRODUCT(--ISNUMBER(Risk_Rank_Keys!$D$2:$D$800),--(Risk_Rank_Keys!$D$2:$D$800=Risk_Rank_Keys!D742))+1)/2)/COUNT(Risk_Rank_Keys!$D$2:$D$800))</f>
        <v>0.0376569037656904</v>
      </c>
      <c r="P742" s="0" t="n">
        <f aca="false">AVERAGE(M742:O742)</f>
        <v>0.128312412831241</v>
      </c>
      <c r="Q742" s="0" t="n">
        <f aca="false">0.4*H742+0.4*I742+0.2*P742</f>
        <v>0.528791393705172</v>
      </c>
      <c r="R742" s="0" t="n">
        <f aca="false">PERCENTILE($Q$2:$Q$800,0.75)</f>
        <v>0.667715717403612</v>
      </c>
      <c r="S742" s="1" t="b">
        <f aca="false">OR(Q742&gt;=R742,AND(B742="CW",COUNT(J742:L742)&lt;3))</f>
        <v>0</v>
      </c>
      <c r="T742" s="0" t="n">
        <v>0.397475969763478</v>
      </c>
      <c r="U742" s="0" t="n">
        <v>6.35680675144285</v>
      </c>
      <c r="V742" s="0" t="n">
        <v>0.528791393705172</v>
      </c>
      <c r="W742" s="0" t="n">
        <f aca="false">Q742-V742</f>
        <v>0</v>
      </c>
    </row>
    <row r="743" customFormat="false" ht="15" hidden="false" customHeight="false" outlineLevel="0" collapsed="false">
      <c r="A743" s="0" t="s">
        <v>777</v>
      </c>
      <c r="B743" s="0" t="s">
        <v>33</v>
      </c>
      <c r="C743" s="0" t="n">
        <v>-39.2760772080976</v>
      </c>
      <c r="D743" s="0" t="n">
        <f aca="false">SUMPRODUCT(Risk_Inputs!B743:AJ743,Risk_Coefs!$B$2:$AJ$2)</f>
        <v>-0.154710582852548</v>
      </c>
      <c r="E743" s="0" t="n">
        <f aca="false">1/(1+EXP(-MAX(-25,MIN(25,D743))))</f>
        <v>0.461399317041127</v>
      </c>
      <c r="F743" s="0" t="n">
        <f aca="false">SUMPRODUCT(Risk_Inputs!B743:AJ743,Risk_Coefs!$B$3:$AJ$3)</f>
        <v>16.9595145409738</v>
      </c>
      <c r="G743" s="0" t="n">
        <f aca="false">MAX(0,F743)</f>
        <v>16.9595145409738</v>
      </c>
      <c r="H743" s="0" t="n">
        <f aca="false">(SUMPRODUCT(--ISNUMBER($E$2:$E$800),--($E$2:$E$800&lt;E743))+(SUMPRODUCT(--ISNUMBER($E$2:$E$800),--($E$2:$E$800=E743))+1)/2)/COUNT($E$2:$E$800)</f>
        <v>0.983729662077597</v>
      </c>
      <c r="I743" s="0" t="n">
        <f aca="false">(SUMPRODUCT(--ISNUMBER($G$2:$G$800),--($G$2:$G$800&lt;G743))+(SUMPRODUCT(--ISNUMBER($G$2:$G$800),--($G$2:$G$800=G743))+1)/2)/COUNT($G$2:$G$800)</f>
        <v>0.994993742177722</v>
      </c>
      <c r="M743" s="0" t="n">
        <f aca="false">IF(OR(B743="NW",COUNT(Risk_Rank_Keys!B743)=0),0.5,(SUMPRODUCT(--ISNUMBER(Risk_Rank_Keys!$B$2:$B$800),--(Risk_Rank_Keys!$B$2:$B$800&lt;Risk_Rank_Keys!B743))+(SUMPRODUCT(--ISNUMBER(Risk_Rank_Keys!$B$2:$B$800),--(Risk_Rank_Keys!$B$2:$B$800=Risk_Rank_Keys!B743))+1)/2)/COUNT(Risk_Rank_Keys!$B$2:$B$800))</f>
        <v>0.5</v>
      </c>
      <c r="N743" s="0" t="n">
        <f aca="false">IF(OR(B743="NW",COUNT(Risk_Rank_Keys!C743)=0),0.5,(SUMPRODUCT(--ISNUMBER(Risk_Rank_Keys!$C$2:$C$800),--(Risk_Rank_Keys!$C$2:$C$800&lt;Risk_Rank_Keys!C743))+(SUMPRODUCT(--ISNUMBER(Risk_Rank_Keys!$C$2:$C$800),--(Risk_Rank_Keys!$C$2:$C$800=Risk_Rank_Keys!C743))+1)/2)/COUNT(Risk_Rank_Keys!$C$2:$C$800))</f>
        <v>0.5</v>
      </c>
      <c r="O743" s="0" t="n">
        <f aca="false">IF(OR(B743="NW",COUNT(Risk_Rank_Keys!D743)=0),0.5,(SUMPRODUCT(--ISNUMBER(Risk_Rank_Keys!$D$2:$D$800),--(Risk_Rank_Keys!$D$2:$D$800&lt;Risk_Rank_Keys!D743))+(SUMPRODUCT(--ISNUMBER(Risk_Rank_Keys!$D$2:$D$800),--(Risk_Rank_Keys!$D$2:$D$800=Risk_Rank_Keys!D743))+1)/2)/COUNT(Risk_Rank_Keys!$D$2:$D$800))</f>
        <v>0.5</v>
      </c>
      <c r="P743" s="0" t="n">
        <f aca="false">AVERAGE(M743:O743)</f>
        <v>0.5</v>
      </c>
      <c r="Q743" s="0" t="n">
        <f aca="false">0.4*H743+0.4*I743+0.2*P743</f>
        <v>0.891489361702128</v>
      </c>
      <c r="R743" s="0" t="n">
        <f aca="false">PERCENTILE($Q$2:$Q$800,0.75)</f>
        <v>0.667715717403612</v>
      </c>
      <c r="S743" s="1" t="b">
        <f aca="false">OR(Q743&gt;=R743,AND(B743="CW",COUNT(J743:L743)&lt;3))</f>
        <v>1</v>
      </c>
      <c r="T743" s="0" t="n">
        <v>0.461399317041127</v>
      </c>
      <c r="U743" s="0" t="n">
        <v>16.9595145409738</v>
      </c>
      <c r="V743" s="0" t="n">
        <v>0.891489361702128</v>
      </c>
      <c r="W743" s="0" t="n">
        <f aca="false">Q743-V743</f>
        <v>0</v>
      </c>
    </row>
    <row r="744" customFormat="false" ht="15" hidden="false" customHeight="false" outlineLevel="0" collapsed="false">
      <c r="A744" s="0" t="s">
        <v>778</v>
      </c>
      <c r="B744" s="0" t="s">
        <v>33</v>
      </c>
      <c r="C744" s="0" t="n">
        <v>42.6927459204074</v>
      </c>
      <c r="D744" s="0" t="n">
        <f aca="false">SUMPRODUCT(Risk_Inputs!B744:AJ744,Risk_Coefs!$B$2:$AJ$2)</f>
        <v>-0.305930106395891</v>
      </c>
      <c r="E744" s="0" t="n">
        <f aca="false">1/(1+EXP(-MAX(-25,MIN(25,D744))))</f>
        <v>0.424108463309813</v>
      </c>
      <c r="F744" s="0" t="n">
        <f aca="false">SUMPRODUCT(Risk_Inputs!B744:AJ744,Risk_Coefs!$B$3:$AJ$3)</f>
        <v>15.0519941315586</v>
      </c>
      <c r="G744" s="0" t="n">
        <f aca="false">MAX(0,F744)</f>
        <v>15.0519941315586</v>
      </c>
      <c r="H744" s="0" t="n">
        <f aca="false">(SUMPRODUCT(--ISNUMBER($E$2:$E$800),--($E$2:$E$800&lt;E744))+(SUMPRODUCT(--ISNUMBER($E$2:$E$800),--($E$2:$E$800=E744))+1)/2)/COUNT($E$2:$E$800)</f>
        <v>0.966207759699625</v>
      </c>
      <c r="I744" s="0" t="n">
        <f aca="false">(SUMPRODUCT(--ISNUMBER($G$2:$G$800),--($G$2:$G$800&lt;G744))+(SUMPRODUCT(--ISNUMBER($G$2:$G$800),--($G$2:$G$800=G744))+1)/2)/COUNT($G$2:$G$800)</f>
        <v>0.984981226533166</v>
      </c>
      <c r="M744" s="0" t="n">
        <f aca="false">IF(OR(B744="NW",COUNT(Risk_Rank_Keys!B744)=0),0.5,(SUMPRODUCT(--ISNUMBER(Risk_Rank_Keys!$B$2:$B$800),--(Risk_Rank_Keys!$B$2:$B$800&lt;Risk_Rank_Keys!B744))+(SUMPRODUCT(--ISNUMBER(Risk_Rank_Keys!$B$2:$B$800),--(Risk_Rank_Keys!$B$2:$B$800=Risk_Rank_Keys!B744))+1)/2)/COUNT(Risk_Rank_Keys!$B$2:$B$800))</f>
        <v>0.5</v>
      </c>
      <c r="N744" s="0" t="n">
        <f aca="false">IF(OR(B744="NW",COUNT(Risk_Rank_Keys!C744)=0),0.5,(SUMPRODUCT(--ISNUMBER(Risk_Rank_Keys!$C$2:$C$800),--(Risk_Rank_Keys!$C$2:$C$800&lt;Risk_Rank_Keys!C744))+(SUMPRODUCT(--ISNUMBER(Risk_Rank_Keys!$C$2:$C$800),--(Risk_Rank_Keys!$C$2:$C$800=Risk_Rank_Keys!C744))+1)/2)/COUNT(Risk_Rank_Keys!$C$2:$C$800))</f>
        <v>0.5</v>
      </c>
      <c r="O744" s="0" t="n">
        <f aca="false">IF(OR(B744="NW",COUNT(Risk_Rank_Keys!D744)=0),0.5,(SUMPRODUCT(--ISNUMBER(Risk_Rank_Keys!$D$2:$D$800),--(Risk_Rank_Keys!$D$2:$D$800&lt;Risk_Rank_Keys!D744))+(SUMPRODUCT(--ISNUMBER(Risk_Rank_Keys!$D$2:$D$800),--(Risk_Rank_Keys!$D$2:$D$800=Risk_Rank_Keys!D744))+1)/2)/COUNT(Risk_Rank_Keys!$D$2:$D$800))</f>
        <v>0.5</v>
      </c>
      <c r="P744" s="0" t="n">
        <f aca="false">AVERAGE(M744:O744)</f>
        <v>0.5</v>
      </c>
      <c r="Q744" s="0" t="n">
        <f aca="false">0.4*H744+0.4*I744+0.2*P744</f>
        <v>0.880475594493116</v>
      </c>
      <c r="R744" s="0" t="n">
        <f aca="false">PERCENTILE($Q$2:$Q$800,0.75)</f>
        <v>0.667715717403612</v>
      </c>
      <c r="S744" s="1" t="b">
        <f aca="false">OR(Q744&gt;=R744,AND(B744="CW",COUNT(J744:L744)&lt;3))</f>
        <v>1</v>
      </c>
      <c r="T744" s="0" t="n">
        <v>0.424108463309813</v>
      </c>
      <c r="U744" s="0" t="n">
        <v>15.0519941315586</v>
      </c>
      <c r="V744" s="0" t="n">
        <v>0.880475594493116</v>
      </c>
      <c r="W744" s="0" t="n">
        <f aca="false">Q744-V744</f>
        <v>0</v>
      </c>
    </row>
    <row r="745" customFormat="false" ht="15" hidden="false" customHeight="false" outlineLevel="0" collapsed="false">
      <c r="A745" s="0" t="s">
        <v>779</v>
      </c>
      <c r="B745" s="0" t="s">
        <v>3013</v>
      </c>
      <c r="C745" s="0" t="n">
        <v>-10.4569419182046</v>
      </c>
      <c r="D745" s="0" t="n">
        <f aca="false">SUMPRODUCT(Risk_Inputs!B745:AJ745,Risk_Coefs!$B$2:$AJ$2)</f>
        <v>-0.434569471562642</v>
      </c>
      <c r="E745" s="0" t="n">
        <f aca="false">1/(1+EXP(-MAX(-25,MIN(25,D745))))</f>
        <v>0.393035713476288</v>
      </c>
      <c r="F745" s="0" t="n">
        <f aca="false">SUMPRODUCT(Risk_Inputs!B745:AJ745,Risk_Coefs!$B$3:$AJ$3)</f>
        <v>5.25005915393885</v>
      </c>
      <c r="G745" s="0" t="n">
        <f aca="false">MAX(0,F745)</f>
        <v>5.25005915393885</v>
      </c>
      <c r="H745" s="0" t="n">
        <f aca="false">(SUMPRODUCT(--ISNUMBER($E$2:$E$800),--($E$2:$E$800&lt;E745))+(SUMPRODUCT(--ISNUMBER($E$2:$E$800),--($E$2:$E$800=E745))+1)/2)/COUNT($E$2:$E$800)</f>
        <v>0.928660826032541</v>
      </c>
      <c r="I745" s="0" t="n">
        <f aca="false">(SUMPRODUCT(--ISNUMBER($G$2:$G$800),--($G$2:$G$800&lt;G745))+(SUMPRODUCT(--ISNUMBER($G$2:$G$800),--($G$2:$G$800=G745))+1)/2)/COUNT($G$2:$G$800)</f>
        <v>0.165206508135169</v>
      </c>
      <c r="J745" s="0" t="n">
        <v>9.44396509167241</v>
      </c>
      <c r="K745" s="0" t="n">
        <v>1.66666666666667</v>
      </c>
      <c r="L745" s="0" t="n">
        <v>0.170940170940167</v>
      </c>
      <c r="M745" s="0" t="n">
        <f aca="false">IF(OR(B745="NW",COUNT(Risk_Rank_Keys!B745)=0),0.5,(SUMPRODUCT(--ISNUMBER(Risk_Rank_Keys!$B$2:$B$800),--(Risk_Rank_Keys!$B$2:$B$800&lt;Risk_Rank_Keys!B745))+(SUMPRODUCT(--ISNUMBER(Risk_Rank_Keys!$B$2:$B$800),--(Risk_Rank_Keys!$B$2:$B$800=Risk_Rank_Keys!B745))+1)/2)/COUNT(Risk_Rank_Keys!$B$2:$B$800))</f>
        <v>0.474198047419805</v>
      </c>
      <c r="N745" s="0" t="n">
        <f aca="false">IF(OR(B745="NW",COUNT(Risk_Rank_Keys!C745)=0),0.5,(SUMPRODUCT(--ISNUMBER(Risk_Rank_Keys!$C$2:$C$800),--(Risk_Rank_Keys!$C$2:$C$800&lt;Risk_Rank_Keys!C745))+(SUMPRODUCT(--ISNUMBER(Risk_Rank_Keys!$C$2:$C$800),--(Risk_Rank_Keys!$C$2:$C$800=Risk_Rank_Keys!C745))+1)/2)/COUNT(Risk_Rank_Keys!$C$2:$C$800))</f>
        <v>0.177126917712692</v>
      </c>
      <c r="O745" s="0" t="n">
        <f aca="false">IF(OR(B745="NW",COUNT(Risk_Rank_Keys!D745)=0),0.5,(SUMPRODUCT(--ISNUMBER(Risk_Rank_Keys!$D$2:$D$800),--(Risk_Rank_Keys!$D$2:$D$800&lt;Risk_Rank_Keys!D745))+(SUMPRODUCT(--ISNUMBER(Risk_Rank_Keys!$D$2:$D$800),--(Risk_Rank_Keys!$D$2:$D$800=Risk_Rank_Keys!D745))+1)/2)/COUNT(Risk_Rank_Keys!$D$2:$D$800))</f>
        <v>0.171548117154812</v>
      </c>
      <c r="P745" s="0" t="n">
        <f aca="false">AVERAGE(M745:O745)</f>
        <v>0.274291027429103</v>
      </c>
      <c r="Q745" s="0" t="n">
        <f aca="false">0.4*H745+0.4*I745+0.2*P745</f>
        <v>0.492405139152904</v>
      </c>
      <c r="R745" s="0" t="n">
        <f aca="false">PERCENTILE($Q$2:$Q$800,0.75)</f>
        <v>0.667715717403612</v>
      </c>
      <c r="S745" s="1" t="b">
        <f aca="false">OR(Q745&gt;=R745,AND(B745="CW",COUNT(J745:L745)&lt;3))</f>
        <v>0</v>
      </c>
      <c r="T745" s="0" t="n">
        <v>0.393035713476288</v>
      </c>
      <c r="U745" s="0" t="n">
        <v>5.25005915393885</v>
      </c>
      <c r="V745" s="0" t="n">
        <v>0.492405139152904</v>
      </c>
      <c r="W745" s="0" t="n">
        <f aca="false">Q745-V745</f>
        <v>0</v>
      </c>
    </row>
    <row r="746" customFormat="false" ht="15" hidden="false" customHeight="false" outlineLevel="0" collapsed="false">
      <c r="A746" s="0" t="s">
        <v>780</v>
      </c>
      <c r="B746" s="0" t="s">
        <v>3013</v>
      </c>
      <c r="C746" s="0" t="n">
        <v>73.722058746507</v>
      </c>
      <c r="D746" s="0" t="n">
        <f aca="false">SUMPRODUCT(Risk_Inputs!B746:AJ746,Risk_Coefs!$B$2:$AJ$2)</f>
        <v>-0.000215213547136924</v>
      </c>
      <c r="E746" s="0" t="n">
        <f aca="false">1/(1+EXP(-MAX(-25,MIN(25,D746))))</f>
        <v>0.499946196613423</v>
      </c>
      <c r="F746" s="0" t="n">
        <f aca="false">SUMPRODUCT(Risk_Inputs!B746:AJ746,Risk_Coefs!$B$3:$AJ$3)</f>
        <v>15.1511748412364</v>
      </c>
      <c r="G746" s="0" t="n">
        <f aca="false">MAX(0,F746)</f>
        <v>15.1511748412364</v>
      </c>
      <c r="H746" s="0" t="n">
        <f aca="false">(SUMPRODUCT(--ISNUMBER($E$2:$E$800),--($E$2:$E$800&lt;E746))+(SUMPRODUCT(--ISNUMBER($E$2:$E$800),--($E$2:$E$800=E746))+1)/2)/COUNT($E$2:$E$800)</f>
        <v>0.994993742177722</v>
      </c>
      <c r="I746" s="0" t="n">
        <f aca="false">(SUMPRODUCT(--ISNUMBER($G$2:$G$800),--($G$2:$G$800&lt;G746))+(SUMPRODUCT(--ISNUMBER($G$2:$G$800),--($G$2:$G$800=G746))+1)/2)/COUNT($G$2:$G$800)</f>
        <v>0.986232790988736</v>
      </c>
      <c r="J746" s="0" t="n">
        <v>11.4151715594095</v>
      </c>
      <c r="K746" s="0" t="n">
        <v>1.54448553404395</v>
      </c>
      <c r="L746" s="0" t="n">
        <v>0.184903197737654</v>
      </c>
      <c r="M746" s="0" t="n">
        <f aca="false">IF(OR(B746="NW",COUNT(Risk_Rank_Keys!B746)=0),0.5,(SUMPRODUCT(--ISNUMBER(Risk_Rank_Keys!$B$2:$B$800),--(Risk_Rank_Keys!$B$2:$B$800&lt;Risk_Rank_Keys!B746))+(SUMPRODUCT(--ISNUMBER(Risk_Rank_Keys!$B$2:$B$800),--(Risk_Rank_Keys!$B$2:$B$800=Risk_Rank_Keys!B746))+1)/2)/COUNT(Risk_Rank_Keys!$B$2:$B$800))</f>
        <v>0.569037656903766</v>
      </c>
      <c r="N746" s="0" t="n">
        <f aca="false">IF(OR(B746="NW",COUNT(Risk_Rank_Keys!C746)=0),0.5,(SUMPRODUCT(--ISNUMBER(Risk_Rank_Keys!$C$2:$C$800),--(Risk_Rank_Keys!$C$2:$C$800&lt;Risk_Rank_Keys!C746))+(SUMPRODUCT(--ISNUMBER(Risk_Rank_Keys!$C$2:$C$800),--(Risk_Rank_Keys!$C$2:$C$800=Risk_Rank_Keys!C746))+1)/2)/COUNT(Risk_Rank_Keys!$C$2:$C$800))</f>
        <v>0.142259414225941</v>
      </c>
      <c r="O746" s="0" t="n">
        <f aca="false">IF(OR(B746="NW",COUNT(Risk_Rank_Keys!D746)=0),0.5,(SUMPRODUCT(--ISNUMBER(Risk_Rank_Keys!$D$2:$D$800),--(Risk_Rank_Keys!$D$2:$D$800&lt;Risk_Rank_Keys!D746))+(SUMPRODUCT(--ISNUMBER(Risk_Rank_Keys!$D$2:$D$800),--(Risk_Rank_Keys!$D$2:$D$800=Risk_Rank_Keys!D746))+1)/2)/COUNT(Risk_Rank_Keys!$D$2:$D$800))</f>
        <v>0.231520223152022</v>
      </c>
      <c r="P746" s="0" t="n">
        <f aca="false">AVERAGE(M746:O746)</f>
        <v>0.314272431427243</v>
      </c>
      <c r="Q746" s="0" t="n">
        <f aca="false">0.4*H746+0.4*I746+0.2*P746</f>
        <v>0.855345099552032</v>
      </c>
      <c r="R746" s="0" t="n">
        <f aca="false">PERCENTILE($Q$2:$Q$800,0.75)</f>
        <v>0.667715717403612</v>
      </c>
      <c r="S746" s="1" t="b">
        <f aca="false">OR(Q746&gt;=R746,AND(B746="CW",COUNT(J746:L746)&lt;3))</f>
        <v>1</v>
      </c>
      <c r="T746" s="0" t="n">
        <v>0.499946196613423</v>
      </c>
      <c r="U746" s="0" t="n">
        <v>15.1511748412364</v>
      </c>
      <c r="V746" s="0" t="n">
        <v>0.855345099552032</v>
      </c>
      <c r="W746" s="0" t="n">
        <f aca="false">Q746-V746</f>
        <v>0</v>
      </c>
    </row>
    <row r="747" customFormat="false" ht="15" hidden="false" customHeight="false" outlineLevel="0" collapsed="false">
      <c r="A747" s="0" t="s">
        <v>781</v>
      </c>
      <c r="B747" s="0" t="s">
        <v>33</v>
      </c>
      <c r="C747" s="0" t="n">
        <v>55.728603852728</v>
      </c>
      <c r="D747" s="0" t="n">
        <f aca="false">SUMPRODUCT(Risk_Inputs!B747:AJ747,Risk_Coefs!$B$2:$AJ$2)</f>
        <v>-0.0446724212373569</v>
      </c>
      <c r="E747" s="0" t="n">
        <f aca="false">1/(1+EXP(-MAX(-25,MIN(25,D747))))</f>
        <v>0.488833751599476</v>
      </c>
      <c r="F747" s="0" t="n">
        <f aca="false">SUMPRODUCT(Risk_Inputs!B747:AJ747,Risk_Coefs!$B$3:$AJ$3)</f>
        <v>18.1449188446752</v>
      </c>
      <c r="G747" s="0" t="n">
        <f aca="false">MAX(0,F747)</f>
        <v>18.1449188446752</v>
      </c>
      <c r="H747" s="0" t="n">
        <f aca="false">(SUMPRODUCT(--ISNUMBER($E$2:$E$800),--($E$2:$E$800&lt;E747))+(SUMPRODUCT(--ISNUMBER($E$2:$E$800),--($E$2:$E$800=E747))+1)/2)/COUNT($E$2:$E$800)</f>
        <v>0.991239048811014</v>
      </c>
      <c r="I747" s="0" t="n">
        <f aca="false">(SUMPRODUCT(--ISNUMBER($G$2:$G$800),--($G$2:$G$800&lt;G747))+(SUMPRODUCT(--ISNUMBER($G$2:$G$800),--($G$2:$G$800=G747))+1)/2)/COUNT($G$2:$G$800)</f>
        <v>0.996245306633292</v>
      </c>
      <c r="M747" s="0" t="n">
        <f aca="false">IF(OR(B747="NW",COUNT(Risk_Rank_Keys!B747)=0),0.5,(SUMPRODUCT(--ISNUMBER(Risk_Rank_Keys!$B$2:$B$800),--(Risk_Rank_Keys!$B$2:$B$800&lt;Risk_Rank_Keys!B747))+(SUMPRODUCT(--ISNUMBER(Risk_Rank_Keys!$B$2:$B$800),--(Risk_Rank_Keys!$B$2:$B$800=Risk_Rank_Keys!B747))+1)/2)/COUNT(Risk_Rank_Keys!$B$2:$B$800))</f>
        <v>0.5</v>
      </c>
      <c r="N747" s="0" t="n">
        <f aca="false">IF(OR(B747="NW",COUNT(Risk_Rank_Keys!C747)=0),0.5,(SUMPRODUCT(--ISNUMBER(Risk_Rank_Keys!$C$2:$C$800),--(Risk_Rank_Keys!$C$2:$C$800&lt;Risk_Rank_Keys!C747))+(SUMPRODUCT(--ISNUMBER(Risk_Rank_Keys!$C$2:$C$800),--(Risk_Rank_Keys!$C$2:$C$800=Risk_Rank_Keys!C747))+1)/2)/COUNT(Risk_Rank_Keys!$C$2:$C$800))</f>
        <v>0.5</v>
      </c>
      <c r="O747" s="0" t="n">
        <f aca="false">IF(OR(B747="NW",COUNT(Risk_Rank_Keys!D747)=0),0.5,(SUMPRODUCT(--ISNUMBER(Risk_Rank_Keys!$D$2:$D$800),--(Risk_Rank_Keys!$D$2:$D$800&lt;Risk_Rank_Keys!D747))+(SUMPRODUCT(--ISNUMBER(Risk_Rank_Keys!$D$2:$D$800),--(Risk_Rank_Keys!$D$2:$D$800=Risk_Rank_Keys!D747))+1)/2)/COUNT(Risk_Rank_Keys!$D$2:$D$800))</f>
        <v>0.5</v>
      </c>
      <c r="P747" s="0" t="n">
        <f aca="false">AVERAGE(M747:O747)</f>
        <v>0.5</v>
      </c>
      <c r="Q747" s="0" t="n">
        <f aca="false">0.4*H747+0.4*I747+0.2*P747</f>
        <v>0.894993742177722</v>
      </c>
      <c r="R747" s="0" t="n">
        <f aca="false">PERCENTILE($Q$2:$Q$800,0.75)</f>
        <v>0.667715717403612</v>
      </c>
      <c r="S747" s="1" t="b">
        <f aca="false">OR(Q747&gt;=R747,AND(B747="CW",COUNT(J747:L747)&lt;3))</f>
        <v>1</v>
      </c>
      <c r="T747" s="0" t="n">
        <v>0.488833751599476</v>
      </c>
      <c r="U747" s="0" t="n">
        <v>18.1449188446752</v>
      </c>
      <c r="V747" s="0" t="n">
        <v>0.894993742177722</v>
      </c>
      <c r="W747" s="0" t="n">
        <f aca="false">Q747-V747</f>
        <v>0</v>
      </c>
    </row>
    <row r="748" customFormat="false" ht="15" hidden="false" customHeight="false" outlineLevel="0" collapsed="false">
      <c r="A748" s="0" t="s">
        <v>782</v>
      </c>
      <c r="B748" s="0" t="s">
        <v>3013</v>
      </c>
      <c r="C748" s="0" t="n">
        <v>71.4037528892845</v>
      </c>
      <c r="D748" s="0" t="n">
        <f aca="false">SUMPRODUCT(Risk_Inputs!B748:AJ748,Risk_Coefs!$B$2:$AJ$2)</f>
        <v>-1.0414507246302</v>
      </c>
      <c r="E748" s="0" t="n">
        <f aca="false">1/(1+EXP(-MAX(-25,MIN(25,D748))))</f>
        <v>0.26087017262842</v>
      </c>
      <c r="F748" s="0" t="n">
        <f aca="false">SUMPRODUCT(Risk_Inputs!B748:AJ748,Risk_Coefs!$B$3:$AJ$3)</f>
        <v>8.62503490553511</v>
      </c>
      <c r="G748" s="0" t="n">
        <f aca="false">MAX(0,F748)</f>
        <v>8.62503490553511</v>
      </c>
      <c r="H748" s="0" t="n">
        <f aca="false">(SUMPRODUCT(--ISNUMBER($E$2:$E$800),--($E$2:$E$800&lt;E748))+(SUMPRODUCT(--ISNUMBER($E$2:$E$800),--($E$2:$E$800=E748))+1)/2)/COUNT($E$2:$E$800)</f>
        <v>0.337922403003755</v>
      </c>
      <c r="I748" s="0" t="n">
        <f aca="false">(SUMPRODUCT(--ISNUMBER($G$2:$G$800),--($G$2:$G$800&lt;G748))+(SUMPRODUCT(--ISNUMBER($G$2:$G$800),--($G$2:$G$800=G748))+1)/2)/COUNT($G$2:$G$800)</f>
        <v>0.6270337922403</v>
      </c>
      <c r="J748" s="0" t="n">
        <v>35.7905312068322</v>
      </c>
      <c r="K748" s="0" t="n">
        <v>9.97227173697761</v>
      </c>
      <c r="L748" s="0" t="n">
        <v>0.178253119429597</v>
      </c>
      <c r="M748" s="0" t="n">
        <f aca="false">IF(OR(B748="NW",COUNT(Risk_Rank_Keys!B748)=0),0.5,(SUMPRODUCT(--ISNUMBER(Risk_Rank_Keys!$B$2:$B$800),--(Risk_Rank_Keys!$B$2:$B$800&lt;Risk_Rank_Keys!B748))+(SUMPRODUCT(--ISNUMBER(Risk_Rank_Keys!$B$2:$B$800),--(Risk_Rank_Keys!$B$2:$B$800=Risk_Rank_Keys!B748))+1)/2)/COUNT(Risk_Rank_Keys!$B$2:$B$800))</f>
        <v>0.934449093444909</v>
      </c>
      <c r="N748" s="0" t="n">
        <f aca="false">IF(OR(B748="NW",COUNT(Risk_Rank_Keys!C748)=0),0.5,(SUMPRODUCT(--ISNUMBER(Risk_Rank_Keys!$C$2:$C$800),--(Risk_Rank_Keys!$C$2:$C$800&lt;Risk_Rank_Keys!C748))+(SUMPRODUCT(--ISNUMBER(Risk_Rank_Keys!$C$2:$C$800),--(Risk_Rank_Keys!$C$2:$C$800=Risk_Rank_Keys!C748))+1)/2)/COUNT(Risk_Rank_Keys!$C$2:$C$800))</f>
        <v>0.880055788005579</v>
      </c>
      <c r="O748" s="0" t="n">
        <f aca="false">IF(OR(B748="NW",COUNT(Risk_Rank_Keys!D748)=0),0.5,(SUMPRODUCT(--ISNUMBER(Risk_Rank_Keys!$D$2:$D$800),--(Risk_Rank_Keys!$D$2:$D$800&lt;Risk_Rank_Keys!D748))+(SUMPRODUCT(--ISNUMBER(Risk_Rank_Keys!$D$2:$D$800),--(Risk_Rank_Keys!$D$2:$D$800=Risk_Rank_Keys!D748))+1)/2)/COUNT(Risk_Rank_Keys!$D$2:$D$800))</f>
        <v>0.200836820083682</v>
      </c>
      <c r="P748" s="0" t="n">
        <f aca="false">AVERAGE(M748:O748)</f>
        <v>0.671780567178057</v>
      </c>
      <c r="Q748" s="0" t="n">
        <f aca="false">0.4*H748+0.4*I748+0.2*P748</f>
        <v>0.520338591533234</v>
      </c>
      <c r="R748" s="0" t="n">
        <f aca="false">PERCENTILE($Q$2:$Q$800,0.75)</f>
        <v>0.667715717403612</v>
      </c>
      <c r="S748" s="1" t="b">
        <f aca="false">OR(Q748&gt;=R748,AND(B748="CW",COUNT(J748:L748)&lt;3))</f>
        <v>0</v>
      </c>
      <c r="T748" s="0" t="n">
        <v>0.26087017262842</v>
      </c>
      <c r="U748" s="0" t="n">
        <v>8.62503490553511</v>
      </c>
      <c r="V748" s="0" t="n">
        <v>0.520338591533234</v>
      </c>
      <c r="W748" s="0" t="n">
        <f aca="false">Q748-V748</f>
        <v>0</v>
      </c>
    </row>
    <row r="749" customFormat="false" ht="15" hidden="false" customHeight="false" outlineLevel="0" collapsed="false">
      <c r="A749" s="0" t="s">
        <v>783</v>
      </c>
      <c r="B749" s="0" t="s">
        <v>3013</v>
      </c>
      <c r="C749" s="0" t="n">
        <v>19.7741868034009</v>
      </c>
      <c r="D749" s="0" t="n">
        <f aca="false">SUMPRODUCT(Risk_Inputs!B749:AJ749,Risk_Coefs!$B$2:$AJ$2)</f>
        <v>-0.493024073673508</v>
      </c>
      <c r="E749" s="0" t="n">
        <f aca="false">1/(1+EXP(-MAX(-25,MIN(25,D749))))</f>
        <v>0.379181432377768</v>
      </c>
      <c r="F749" s="0" t="n">
        <f aca="false">SUMPRODUCT(Risk_Inputs!B749:AJ749,Risk_Coefs!$B$3:$AJ$3)</f>
        <v>12.6309421410091</v>
      </c>
      <c r="G749" s="0" t="n">
        <f aca="false">MAX(0,F749)</f>
        <v>12.6309421410091</v>
      </c>
      <c r="H749" s="0" t="n">
        <f aca="false">(SUMPRODUCT(--ISNUMBER($E$2:$E$800),--($E$2:$E$800&lt;E749))+(SUMPRODUCT(--ISNUMBER($E$2:$E$800),--($E$2:$E$800=E749))+1)/2)/COUNT($E$2:$E$800)</f>
        <v>0.897371714643304</v>
      </c>
      <c r="I749" s="0" t="n">
        <f aca="false">(SUMPRODUCT(--ISNUMBER($G$2:$G$800),--($G$2:$G$800&lt;G749))+(SUMPRODUCT(--ISNUMBER($G$2:$G$800),--($G$2:$G$800=G749))+1)/2)/COUNT($G$2:$G$800)</f>
        <v>0.946182728410513</v>
      </c>
      <c r="J749" s="0" t="n">
        <v>11.538325773486</v>
      </c>
      <c r="K749" s="0" t="n">
        <v>2.55914467697907</v>
      </c>
      <c r="L749" s="0" t="n">
        <v>0.193357597816195</v>
      </c>
      <c r="M749" s="0" t="n">
        <f aca="false">IF(OR(B749="NW",COUNT(Risk_Rank_Keys!B749)=0),0.5,(SUMPRODUCT(--ISNUMBER(Risk_Rank_Keys!$B$2:$B$800),--(Risk_Rank_Keys!$B$2:$B$800&lt;Risk_Rank_Keys!B749))+(SUMPRODUCT(--ISNUMBER(Risk_Rank_Keys!$B$2:$B$800),--(Risk_Rank_Keys!$B$2:$B$800=Risk_Rank_Keys!B749))+1)/2)/COUNT(Risk_Rank_Keys!$B$2:$B$800))</f>
        <v>0.574616457461646</v>
      </c>
      <c r="N749" s="0" t="n">
        <f aca="false">IF(OR(B749="NW",COUNT(Risk_Rank_Keys!C749)=0),0.5,(SUMPRODUCT(--ISNUMBER(Risk_Rank_Keys!$C$2:$C$800),--(Risk_Rank_Keys!$C$2:$C$800&lt;Risk_Rank_Keys!C749))+(SUMPRODUCT(--ISNUMBER(Risk_Rank_Keys!$C$2:$C$800),--(Risk_Rank_Keys!$C$2:$C$800=Risk_Rank_Keys!C749))+1)/2)/COUNT(Risk_Rank_Keys!$C$2:$C$800))</f>
        <v>0.397489539748954</v>
      </c>
      <c r="O749" s="0" t="n">
        <f aca="false">IF(OR(B749="NW",COUNT(Risk_Rank_Keys!D749)=0),0.5,(SUMPRODUCT(--ISNUMBER(Risk_Rank_Keys!$D$2:$D$800),--(Risk_Rank_Keys!$D$2:$D$800&lt;Risk_Rank_Keys!D749))+(SUMPRODUCT(--ISNUMBER(Risk_Rank_Keys!$D$2:$D$800),--(Risk_Rank_Keys!$D$2:$D$800=Risk_Rank_Keys!D749))+1)/2)/COUNT(Risk_Rank_Keys!$D$2:$D$800))</f>
        <v>0.274755927475593</v>
      </c>
      <c r="P749" s="0" t="n">
        <f aca="false">AVERAGE(M749:O749)</f>
        <v>0.415620641562064</v>
      </c>
      <c r="Q749" s="0" t="n">
        <f aca="false">0.4*H749+0.4*I749+0.2*P749</f>
        <v>0.82054590553394</v>
      </c>
      <c r="R749" s="0" t="n">
        <f aca="false">PERCENTILE($Q$2:$Q$800,0.75)</f>
        <v>0.667715717403612</v>
      </c>
      <c r="S749" s="1" t="b">
        <f aca="false">OR(Q749&gt;=R749,AND(B749="CW",COUNT(J749:L749)&lt;3))</f>
        <v>1</v>
      </c>
      <c r="T749" s="0" t="n">
        <v>0.379181432377768</v>
      </c>
      <c r="U749" s="0" t="n">
        <v>12.6309421410091</v>
      </c>
      <c r="V749" s="0" t="n">
        <v>0.82054590553394</v>
      </c>
      <c r="W749" s="0" t="n">
        <f aca="false">Q749-V749</f>
        <v>0</v>
      </c>
    </row>
    <row r="750" customFormat="false" ht="15" hidden="false" customHeight="false" outlineLevel="0" collapsed="false">
      <c r="A750" s="0" t="s">
        <v>784</v>
      </c>
      <c r="B750" s="0" t="s">
        <v>33</v>
      </c>
      <c r="C750" s="0" t="n">
        <v>21.9681828857342</v>
      </c>
      <c r="D750" s="0" t="n">
        <f aca="false">SUMPRODUCT(Risk_Inputs!B750:AJ750,Risk_Coefs!$B$2:$AJ$2)</f>
        <v>-0.0318387793620561</v>
      </c>
      <c r="E750" s="0" t="n">
        <f aca="false">1/(1+EXP(-MAX(-25,MIN(25,D750))))</f>
        <v>0.492040977491774</v>
      </c>
      <c r="F750" s="0" t="n">
        <f aca="false">SUMPRODUCT(Risk_Inputs!B750:AJ750,Risk_Coefs!$B$3:$AJ$3)</f>
        <v>18.6333424363671</v>
      </c>
      <c r="G750" s="0" t="n">
        <f aca="false">MAX(0,F750)</f>
        <v>18.6333424363671</v>
      </c>
      <c r="H750" s="0" t="n">
        <f aca="false">(SUMPRODUCT(--ISNUMBER($E$2:$E$800),--($E$2:$E$800&lt;E750))+(SUMPRODUCT(--ISNUMBER($E$2:$E$800),--($E$2:$E$800=E750))+1)/2)/COUNT($E$2:$E$800)</f>
        <v>0.992490613266583</v>
      </c>
      <c r="I750" s="0" t="n">
        <f aca="false">(SUMPRODUCT(--ISNUMBER($G$2:$G$800),--($G$2:$G$800&lt;G750))+(SUMPRODUCT(--ISNUMBER($G$2:$G$800),--($G$2:$G$800=G750))+1)/2)/COUNT($G$2:$G$800)</f>
        <v>0.997496871088861</v>
      </c>
      <c r="M750" s="0" t="n">
        <f aca="false">IF(OR(B750="NW",COUNT(Risk_Rank_Keys!B750)=0),0.5,(SUMPRODUCT(--ISNUMBER(Risk_Rank_Keys!$B$2:$B$800),--(Risk_Rank_Keys!$B$2:$B$800&lt;Risk_Rank_Keys!B750))+(SUMPRODUCT(--ISNUMBER(Risk_Rank_Keys!$B$2:$B$800),--(Risk_Rank_Keys!$B$2:$B$800=Risk_Rank_Keys!B750))+1)/2)/COUNT(Risk_Rank_Keys!$B$2:$B$800))</f>
        <v>0.5</v>
      </c>
      <c r="N750" s="0" t="n">
        <f aca="false">IF(OR(B750="NW",COUNT(Risk_Rank_Keys!C750)=0),0.5,(SUMPRODUCT(--ISNUMBER(Risk_Rank_Keys!$C$2:$C$800),--(Risk_Rank_Keys!$C$2:$C$800&lt;Risk_Rank_Keys!C750))+(SUMPRODUCT(--ISNUMBER(Risk_Rank_Keys!$C$2:$C$800),--(Risk_Rank_Keys!$C$2:$C$800=Risk_Rank_Keys!C750))+1)/2)/COUNT(Risk_Rank_Keys!$C$2:$C$800))</f>
        <v>0.5</v>
      </c>
      <c r="O750" s="0" t="n">
        <f aca="false">IF(OR(B750="NW",COUNT(Risk_Rank_Keys!D750)=0),0.5,(SUMPRODUCT(--ISNUMBER(Risk_Rank_Keys!$D$2:$D$800),--(Risk_Rank_Keys!$D$2:$D$800&lt;Risk_Rank_Keys!D750))+(SUMPRODUCT(--ISNUMBER(Risk_Rank_Keys!$D$2:$D$800),--(Risk_Rank_Keys!$D$2:$D$800=Risk_Rank_Keys!D750))+1)/2)/COUNT(Risk_Rank_Keys!$D$2:$D$800))</f>
        <v>0.5</v>
      </c>
      <c r="P750" s="0" t="n">
        <f aca="false">AVERAGE(M750:O750)</f>
        <v>0.5</v>
      </c>
      <c r="Q750" s="0" t="n">
        <f aca="false">0.4*H750+0.4*I750+0.2*P750</f>
        <v>0.895994993742178</v>
      </c>
      <c r="R750" s="0" t="n">
        <f aca="false">PERCENTILE($Q$2:$Q$800,0.75)</f>
        <v>0.667715717403612</v>
      </c>
      <c r="S750" s="1" t="b">
        <f aca="false">OR(Q750&gt;=R750,AND(B750="CW",COUNT(J750:L750)&lt;3))</f>
        <v>1</v>
      </c>
      <c r="T750" s="0" t="n">
        <v>0.492040977491774</v>
      </c>
      <c r="U750" s="0" t="n">
        <v>18.6333424363671</v>
      </c>
      <c r="V750" s="0" t="n">
        <v>0.895994993742178</v>
      </c>
      <c r="W750" s="0" t="n">
        <f aca="false">Q750-V750</f>
        <v>0</v>
      </c>
    </row>
    <row r="751" customFormat="false" ht="15" hidden="false" customHeight="false" outlineLevel="0" collapsed="false">
      <c r="A751" s="0" t="s">
        <v>785</v>
      </c>
      <c r="B751" s="0" t="s">
        <v>3013</v>
      </c>
      <c r="C751" s="0" t="n">
        <v>13.8679992522828</v>
      </c>
      <c r="D751" s="0" t="n">
        <f aca="false">SUMPRODUCT(Risk_Inputs!B751:AJ751,Risk_Coefs!$B$2:$AJ$2)</f>
        <v>-0.727509482697582</v>
      </c>
      <c r="E751" s="0" t="n">
        <f aca="false">1/(1+EXP(-MAX(-25,MIN(25,D751))))</f>
        <v>0.325741492051072</v>
      </c>
      <c r="F751" s="0" t="n">
        <f aca="false">SUMPRODUCT(Risk_Inputs!B751:AJ751,Risk_Coefs!$B$3:$AJ$3)</f>
        <v>4.92422208543104</v>
      </c>
      <c r="G751" s="0" t="n">
        <f aca="false">MAX(0,F751)</f>
        <v>4.92422208543104</v>
      </c>
      <c r="H751" s="0" t="n">
        <f aca="false">(SUMPRODUCT(--ISNUMBER($E$2:$E$800),--($E$2:$E$800&lt;E751))+(SUMPRODUCT(--ISNUMBER($E$2:$E$800),--($E$2:$E$800=E751))+1)/2)/COUNT($E$2:$E$800)</f>
        <v>0.709637046307885</v>
      </c>
      <c r="I751" s="0" t="n">
        <f aca="false">(SUMPRODUCT(--ISNUMBER($G$2:$G$800),--($G$2:$G$800&lt;G751))+(SUMPRODUCT(--ISNUMBER($G$2:$G$800),--($G$2:$G$800=G751))+1)/2)/COUNT($G$2:$G$800)</f>
        <v>0.131414267834793</v>
      </c>
      <c r="J751" s="0" t="n">
        <v>8.54349337720173</v>
      </c>
      <c r="K751" s="0" t="n">
        <v>3.92655367231639</v>
      </c>
      <c r="L751" s="0" t="n">
        <v>0.254237288135595</v>
      </c>
      <c r="M751" s="0" t="n">
        <f aca="false">IF(OR(B751="NW",COUNT(Risk_Rank_Keys!B751)=0),0.5,(SUMPRODUCT(--ISNUMBER(Risk_Rank_Keys!$B$2:$B$800),--(Risk_Rank_Keys!$B$2:$B$800&lt;Risk_Rank_Keys!B751))+(SUMPRODUCT(--ISNUMBER(Risk_Rank_Keys!$B$2:$B$800),--(Risk_Rank_Keys!$B$2:$B$800=Risk_Rank_Keys!B751))+1)/2)/COUNT(Risk_Rank_Keys!$B$2:$B$800))</f>
        <v>0.422594142259414</v>
      </c>
      <c r="N751" s="0" t="n">
        <f aca="false">IF(OR(B751="NW",COUNT(Risk_Rank_Keys!C751)=0),0.5,(SUMPRODUCT(--ISNUMBER(Risk_Rank_Keys!$C$2:$C$800),--(Risk_Rank_Keys!$C$2:$C$800&lt;Risk_Rank_Keys!C751))+(SUMPRODUCT(--ISNUMBER(Risk_Rank_Keys!$C$2:$C$800),--(Risk_Rank_Keys!$C$2:$C$800=Risk_Rank_Keys!C751))+1)/2)/COUNT(Risk_Rank_Keys!$C$2:$C$800))</f>
        <v>0.587168758716876</v>
      </c>
      <c r="O751" s="0" t="n">
        <f aca="false">IF(OR(B751="NW",COUNT(Risk_Rank_Keys!D751)=0),0.5,(SUMPRODUCT(--ISNUMBER(Risk_Rank_Keys!$D$2:$D$800),--(Risk_Rank_Keys!$D$2:$D$800&lt;Risk_Rank_Keys!D751))+(SUMPRODUCT(--ISNUMBER(Risk_Rank_Keys!$D$2:$D$800),--(Risk_Rank_Keys!$D$2:$D$800=Risk_Rank_Keys!D751))+1)/2)/COUNT(Risk_Rank_Keys!$D$2:$D$800))</f>
        <v>0.608089260808926</v>
      </c>
      <c r="P751" s="0" t="n">
        <f aca="false">AVERAGE(M751:O751)</f>
        <v>0.539284053928405</v>
      </c>
      <c r="Q751" s="0" t="n">
        <f aca="false">0.4*H751+0.4*I751+0.2*P751</f>
        <v>0.444277336442752</v>
      </c>
      <c r="R751" s="0" t="n">
        <f aca="false">PERCENTILE($Q$2:$Q$800,0.75)</f>
        <v>0.667715717403612</v>
      </c>
      <c r="S751" s="1" t="b">
        <f aca="false">OR(Q751&gt;=R751,AND(B751="CW",COUNT(J751:L751)&lt;3))</f>
        <v>0</v>
      </c>
      <c r="T751" s="0" t="n">
        <v>0.325741492051072</v>
      </c>
      <c r="U751" s="0" t="n">
        <v>4.92422208543105</v>
      </c>
      <c r="V751" s="0" t="n">
        <v>0.444277336442752</v>
      </c>
      <c r="W751" s="0" t="n">
        <f aca="false">Q751-V751</f>
        <v>0</v>
      </c>
    </row>
    <row r="752" customFormat="false" ht="15" hidden="false" customHeight="false" outlineLevel="0" collapsed="false">
      <c r="A752" s="0" t="s">
        <v>786</v>
      </c>
      <c r="B752" s="0" t="s">
        <v>3013</v>
      </c>
      <c r="C752" s="0" t="n">
        <v>2.81429305705275</v>
      </c>
      <c r="D752" s="0" t="n">
        <f aca="false">SUMPRODUCT(Risk_Inputs!B752:AJ752,Risk_Coefs!$B$2:$AJ$2)</f>
        <v>-0.922363607785457</v>
      </c>
      <c r="E752" s="0" t="n">
        <f aca="false">1/(1+EXP(-MAX(-25,MIN(25,D752))))</f>
        <v>0.284476537806568</v>
      </c>
      <c r="F752" s="0" t="n">
        <f aca="false">SUMPRODUCT(Risk_Inputs!B752:AJ752,Risk_Coefs!$B$3:$AJ$3)</f>
        <v>7.5514377338262</v>
      </c>
      <c r="G752" s="0" t="n">
        <f aca="false">MAX(0,F752)</f>
        <v>7.5514377338262</v>
      </c>
      <c r="H752" s="0" t="n">
        <f aca="false">(SUMPRODUCT(--ISNUMBER($E$2:$E$800),--($E$2:$E$800&lt;E752))+(SUMPRODUCT(--ISNUMBER($E$2:$E$800),--($E$2:$E$800=E752))+1)/2)/COUNT($E$2:$E$800)</f>
        <v>0.485607008760951</v>
      </c>
      <c r="I752" s="0" t="n">
        <f aca="false">(SUMPRODUCT(--ISNUMBER($G$2:$G$800),--($G$2:$G$800&lt;G752))+(SUMPRODUCT(--ISNUMBER($G$2:$G$800),--($G$2:$G$800=G752))+1)/2)/COUNT($G$2:$G$800)</f>
        <v>0.48936170212766</v>
      </c>
      <c r="J752" s="0" t="n">
        <v>23.0390421720048</v>
      </c>
      <c r="K752" s="0" t="n">
        <v>3.08046638836909</v>
      </c>
      <c r="L752" s="0" t="n">
        <v>0.0863682164963244</v>
      </c>
      <c r="M752" s="0" t="n">
        <f aca="false">IF(OR(B752="NW",COUNT(Risk_Rank_Keys!B752)=0),0.5,(SUMPRODUCT(--ISNUMBER(Risk_Rank_Keys!$B$2:$B$800),--(Risk_Rank_Keys!$B$2:$B$800&lt;Risk_Rank_Keys!B752))+(SUMPRODUCT(--ISNUMBER(Risk_Rank_Keys!$B$2:$B$800),--(Risk_Rank_Keys!$B$2:$B$800=Risk_Rank_Keys!B752))+1)/2)/COUNT(Risk_Rank_Keys!$B$2:$B$800))</f>
        <v>0.836820083682008</v>
      </c>
      <c r="N752" s="0" t="n">
        <f aca="false">IF(OR(B752="NW",COUNT(Risk_Rank_Keys!C752)=0),0.5,(SUMPRODUCT(--ISNUMBER(Risk_Rank_Keys!$C$2:$C$800),--(Risk_Rank_Keys!$C$2:$C$800&lt;Risk_Rank_Keys!C752))+(SUMPRODUCT(--ISNUMBER(Risk_Rank_Keys!$C$2:$C$800),--(Risk_Rank_Keys!$C$2:$C$800=Risk_Rank_Keys!C752))+1)/2)/COUNT(Risk_Rank_Keys!$C$2:$C$800))</f>
        <v>0.474198047419805</v>
      </c>
      <c r="O752" s="0" t="n">
        <f aca="false">IF(OR(B752="NW",COUNT(Risk_Rank_Keys!D752)=0),0.5,(SUMPRODUCT(--ISNUMBER(Risk_Rank_Keys!$D$2:$D$800),--(Risk_Rank_Keys!$D$2:$D$800&lt;Risk_Rank_Keys!D752))+(SUMPRODUCT(--ISNUMBER(Risk_Rank_Keys!$D$2:$D$800),--(Risk_Rank_Keys!$D$2:$D$800=Risk_Rank_Keys!D752))+1)/2)/COUNT(Risk_Rank_Keys!$D$2:$D$800))</f>
        <v>0.0111576011157601</v>
      </c>
      <c r="P752" s="0" t="n">
        <f aca="false">AVERAGE(M752:O752)</f>
        <v>0.440725244072524</v>
      </c>
      <c r="Q752" s="0" t="n">
        <f aca="false">0.4*H752+0.4*I752+0.2*P752</f>
        <v>0.478132533169949</v>
      </c>
      <c r="R752" s="0" t="n">
        <f aca="false">PERCENTILE($Q$2:$Q$800,0.75)</f>
        <v>0.667715717403612</v>
      </c>
      <c r="S752" s="1" t="b">
        <f aca="false">OR(Q752&gt;=R752,AND(B752="CW",COUNT(J752:L752)&lt;3))</f>
        <v>0</v>
      </c>
      <c r="T752" s="0" t="n">
        <v>0.284476537806568</v>
      </c>
      <c r="U752" s="0" t="n">
        <v>7.5514377338262</v>
      </c>
      <c r="V752" s="0" t="n">
        <v>0.478132533169949</v>
      </c>
      <c r="W752" s="0" t="n">
        <f aca="false">Q752-V752</f>
        <v>0</v>
      </c>
    </row>
    <row r="753" customFormat="false" ht="15" hidden="false" customHeight="false" outlineLevel="0" collapsed="false">
      <c r="A753" s="0" t="s">
        <v>787</v>
      </c>
      <c r="B753" s="0" t="s">
        <v>3013</v>
      </c>
      <c r="C753" s="0" t="n">
        <v>-39.9310023855034</v>
      </c>
      <c r="D753" s="0" t="n">
        <f aca="false">SUMPRODUCT(Risk_Inputs!B753:AJ753,Risk_Coefs!$B$2:$AJ$2)</f>
        <v>-0.911007763424195</v>
      </c>
      <c r="E753" s="0" t="n">
        <f aca="false">1/(1+EXP(-MAX(-25,MIN(25,D753))))</f>
        <v>0.286793661954087</v>
      </c>
      <c r="F753" s="0" t="n">
        <f aca="false">SUMPRODUCT(Risk_Inputs!B753:AJ753,Risk_Coefs!$B$3:$AJ$3)</f>
        <v>7.61723647242244</v>
      </c>
      <c r="G753" s="0" t="n">
        <f aca="false">MAX(0,F753)</f>
        <v>7.61723647242244</v>
      </c>
      <c r="H753" s="0" t="n">
        <f aca="false">(SUMPRODUCT(--ISNUMBER($E$2:$E$800),--($E$2:$E$800&lt;E753))+(SUMPRODUCT(--ISNUMBER($E$2:$E$800),--($E$2:$E$800=E753))+1)/2)/COUNT($E$2:$E$800)</f>
        <v>0.504380475594493</v>
      </c>
      <c r="I753" s="0" t="n">
        <f aca="false">(SUMPRODUCT(--ISNUMBER($G$2:$G$800),--($G$2:$G$800&lt;G753))+(SUMPRODUCT(--ISNUMBER($G$2:$G$800),--($G$2:$G$800=G753))+1)/2)/COUNT($G$2:$G$800)</f>
        <v>0.499374217772215</v>
      </c>
      <c r="J753" s="0" t="n">
        <v>19.4088341100982</v>
      </c>
      <c r="K753" s="0" t="n">
        <v>3.99779937649</v>
      </c>
      <c r="L753" s="0" t="n">
        <v>0.275077938749312</v>
      </c>
      <c r="M753" s="0" t="n">
        <f aca="false">IF(OR(B753="NW",COUNT(Risk_Rank_Keys!B753)=0),0.5,(SUMPRODUCT(--ISNUMBER(Risk_Rank_Keys!$B$2:$B$800),--(Risk_Rank_Keys!$B$2:$B$800&lt;Risk_Rank_Keys!B753))+(SUMPRODUCT(--ISNUMBER(Risk_Rank_Keys!$B$2:$B$800),--(Risk_Rank_Keys!$B$2:$B$800=Risk_Rank_Keys!B753))+1)/2)/COUNT(Risk_Rank_Keys!$B$2:$B$800))</f>
        <v>0.781032078103208</v>
      </c>
      <c r="N753" s="0" t="n">
        <f aca="false">IF(OR(B753="NW",COUNT(Risk_Rank_Keys!C753)=0),0.5,(SUMPRODUCT(--ISNUMBER(Risk_Rank_Keys!$C$2:$C$800),--(Risk_Rank_Keys!$C$2:$C$800&lt;Risk_Rank_Keys!C753))+(SUMPRODUCT(--ISNUMBER(Risk_Rank_Keys!$C$2:$C$800),--(Risk_Rank_Keys!$C$2:$C$800=Risk_Rank_Keys!C753))+1)/2)/COUNT(Risk_Rank_Keys!$C$2:$C$800))</f>
        <v>0.598326359832636</v>
      </c>
      <c r="O753" s="0" t="n">
        <f aca="false">IF(OR(B753="NW",COUNT(Risk_Rank_Keys!D753)=0),0.5,(SUMPRODUCT(--ISNUMBER(Risk_Rank_Keys!$D$2:$D$800),--(Risk_Rank_Keys!$D$2:$D$800&lt;Risk_Rank_Keys!D753))+(SUMPRODUCT(--ISNUMBER(Risk_Rank_Keys!$D$2:$D$800),--(Risk_Rank_Keys!$D$2:$D$800=Risk_Rank_Keys!D753))+1)/2)/COUNT(Risk_Rank_Keys!$D$2:$D$800))</f>
        <v>0.679218967921897</v>
      </c>
      <c r="P753" s="0" t="n">
        <f aca="false">AVERAGE(M753:O753)</f>
        <v>0.686192468619247</v>
      </c>
      <c r="Q753" s="0" t="n">
        <f aca="false">0.4*H753+0.4*I753+0.2*P753</f>
        <v>0.538740371070533</v>
      </c>
      <c r="R753" s="0" t="n">
        <f aca="false">PERCENTILE($Q$2:$Q$800,0.75)</f>
        <v>0.667715717403612</v>
      </c>
      <c r="S753" s="1" t="b">
        <f aca="false">OR(Q753&gt;=R753,AND(B753="CW",COUNT(J753:L753)&lt;3))</f>
        <v>0</v>
      </c>
      <c r="T753" s="0" t="n">
        <v>0.286793661954087</v>
      </c>
      <c r="U753" s="0" t="n">
        <v>7.61723647242244</v>
      </c>
      <c r="V753" s="0" t="n">
        <v>0.538740371070533</v>
      </c>
      <c r="W753" s="0" t="n">
        <f aca="false">Q753-V753</f>
        <v>0</v>
      </c>
    </row>
    <row r="754" customFormat="false" ht="15" hidden="false" customHeight="false" outlineLevel="0" collapsed="false">
      <c r="A754" s="0" t="s">
        <v>788</v>
      </c>
      <c r="B754" s="0" t="s">
        <v>33</v>
      </c>
      <c r="C754" s="0" t="n">
        <v>19.4787886983517</v>
      </c>
      <c r="D754" s="0" t="n">
        <f aca="false">SUMPRODUCT(Risk_Inputs!B754:AJ754,Risk_Coefs!$B$2:$AJ$2)</f>
        <v>-0.463000514067165</v>
      </c>
      <c r="E754" s="0" t="n">
        <f aca="false">1/(1+EXP(-MAX(-25,MIN(25,D754))))</f>
        <v>0.386274260347157</v>
      </c>
      <c r="F754" s="0" t="n">
        <f aca="false">SUMPRODUCT(Risk_Inputs!B754:AJ754,Risk_Coefs!$B$3:$AJ$3)</f>
        <v>11.7569982543299</v>
      </c>
      <c r="G754" s="0" t="n">
        <f aca="false">MAX(0,F754)</f>
        <v>11.7569982543299</v>
      </c>
      <c r="H754" s="0" t="n">
        <f aca="false">(SUMPRODUCT(--ISNUMBER($E$2:$E$800),--($E$2:$E$800&lt;E754))+(SUMPRODUCT(--ISNUMBER($E$2:$E$800),--($E$2:$E$800=E754))+1)/2)/COUNT($E$2:$E$800)</f>
        <v>0.917396745932416</v>
      </c>
      <c r="I754" s="0" t="n">
        <f aca="false">(SUMPRODUCT(--ISNUMBER($G$2:$G$800),--($G$2:$G$800&lt;G754))+(SUMPRODUCT(--ISNUMBER($G$2:$G$800),--($G$2:$G$800=G754))+1)/2)/COUNT($G$2:$G$800)</f>
        <v>0.911138923654568</v>
      </c>
      <c r="M754" s="0" t="n">
        <f aca="false">IF(OR(B754="NW",COUNT(Risk_Rank_Keys!B754)=0),0.5,(SUMPRODUCT(--ISNUMBER(Risk_Rank_Keys!$B$2:$B$800),--(Risk_Rank_Keys!$B$2:$B$800&lt;Risk_Rank_Keys!B754))+(SUMPRODUCT(--ISNUMBER(Risk_Rank_Keys!$B$2:$B$800),--(Risk_Rank_Keys!$B$2:$B$800=Risk_Rank_Keys!B754))+1)/2)/COUNT(Risk_Rank_Keys!$B$2:$B$800))</f>
        <v>0.5</v>
      </c>
      <c r="N754" s="0" t="n">
        <f aca="false">IF(OR(B754="NW",COUNT(Risk_Rank_Keys!C754)=0),0.5,(SUMPRODUCT(--ISNUMBER(Risk_Rank_Keys!$C$2:$C$800),--(Risk_Rank_Keys!$C$2:$C$800&lt;Risk_Rank_Keys!C754))+(SUMPRODUCT(--ISNUMBER(Risk_Rank_Keys!$C$2:$C$800),--(Risk_Rank_Keys!$C$2:$C$800=Risk_Rank_Keys!C754))+1)/2)/COUNT(Risk_Rank_Keys!$C$2:$C$800))</f>
        <v>0.5</v>
      </c>
      <c r="O754" s="0" t="n">
        <f aca="false">IF(OR(B754="NW",COUNT(Risk_Rank_Keys!D754)=0),0.5,(SUMPRODUCT(--ISNUMBER(Risk_Rank_Keys!$D$2:$D$800),--(Risk_Rank_Keys!$D$2:$D$800&lt;Risk_Rank_Keys!D754))+(SUMPRODUCT(--ISNUMBER(Risk_Rank_Keys!$D$2:$D$800),--(Risk_Rank_Keys!$D$2:$D$800=Risk_Rank_Keys!D754))+1)/2)/COUNT(Risk_Rank_Keys!$D$2:$D$800))</f>
        <v>0.5</v>
      </c>
      <c r="P754" s="0" t="n">
        <f aca="false">AVERAGE(M754:O754)</f>
        <v>0.5</v>
      </c>
      <c r="Q754" s="0" t="n">
        <f aca="false">0.4*H754+0.4*I754+0.2*P754</f>
        <v>0.831414267834793</v>
      </c>
      <c r="R754" s="0" t="n">
        <f aca="false">PERCENTILE($Q$2:$Q$800,0.75)</f>
        <v>0.667715717403612</v>
      </c>
      <c r="S754" s="1" t="b">
        <f aca="false">OR(Q754&gt;=R754,AND(B754="CW",COUNT(J754:L754)&lt;3))</f>
        <v>1</v>
      </c>
      <c r="T754" s="0" t="n">
        <v>0.386274260347157</v>
      </c>
      <c r="U754" s="0" t="n">
        <v>11.7569982543299</v>
      </c>
      <c r="V754" s="0" t="n">
        <v>0.831414267834793</v>
      </c>
      <c r="W754" s="0" t="n">
        <f aca="false">Q754-V754</f>
        <v>0</v>
      </c>
    </row>
    <row r="755" customFormat="false" ht="15" hidden="false" customHeight="false" outlineLevel="0" collapsed="false">
      <c r="A755" s="0" t="s">
        <v>789</v>
      </c>
      <c r="B755" s="0" t="s">
        <v>3013</v>
      </c>
      <c r="C755" s="0" t="n">
        <v>16.7119709940505</v>
      </c>
      <c r="D755" s="0" t="n">
        <f aca="false">SUMPRODUCT(Risk_Inputs!B755:AJ755,Risk_Coefs!$B$2:$AJ$2)</f>
        <v>-0.962790306282413</v>
      </c>
      <c r="E755" s="0" t="n">
        <f aca="false">1/(1+EXP(-MAX(-25,MIN(25,D755))))</f>
        <v>0.276319877029902</v>
      </c>
      <c r="F755" s="0" t="n">
        <f aca="false">SUMPRODUCT(Risk_Inputs!B755:AJ755,Risk_Coefs!$B$3:$AJ$3)</f>
        <v>6.1808968385534</v>
      </c>
      <c r="G755" s="0" t="n">
        <f aca="false">MAX(0,F755)</f>
        <v>6.1808968385534</v>
      </c>
      <c r="H755" s="0" t="n">
        <f aca="false">(SUMPRODUCT(--ISNUMBER($E$2:$E$800),--($E$2:$E$800&lt;E755))+(SUMPRODUCT(--ISNUMBER($E$2:$E$800),--($E$2:$E$800=E755))+1)/2)/COUNT($E$2:$E$800)</f>
        <v>0.435544430538173</v>
      </c>
      <c r="I755" s="0" t="n">
        <f aca="false">(SUMPRODUCT(--ISNUMBER($G$2:$G$800),--($G$2:$G$800&lt;G755))+(SUMPRODUCT(--ISNUMBER($G$2:$G$800),--($G$2:$G$800=G755))+1)/2)/COUNT($G$2:$G$800)</f>
        <v>0.291614518147685</v>
      </c>
      <c r="J755" s="0" t="n">
        <v>12.7076744547135</v>
      </c>
      <c r="K755" s="0" t="n">
        <v>2.55237690098905</v>
      </c>
      <c r="L755" s="0" t="n">
        <v>0.202063171328303</v>
      </c>
      <c r="M755" s="0" t="n">
        <f aca="false">IF(OR(B755="NW",COUNT(Risk_Rank_Keys!B755)=0),0.5,(SUMPRODUCT(--ISNUMBER(Risk_Rank_Keys!$B$2:$B$800),--(Risk_Rank_Keys!$B$2:$B$800&lt;Risk_Rank_Keys!B755))+(SUMPRODUCT(--ISNUMBER(Risk_Rank_Keys!$B$2:$B$800),--(Risk_Rank_Keys!$B$2:$B$800=Risk_Rank_Keys!B755))+1)/2)/COUNT(Risk_Rank_Keys!$B$2:$B$800))</f>
        <v>0.623430962343096</v>
      </c>
      <c r="N755" s="0" t="n">
        <f aca="false">IF(OR(B755="NW",COUNT(Risk_Rank_Keys!C755)=0),0.5,(SUMPRODUCT(--ISNUMBER(Risk_Rank_Keys!$C$2:$C$800),--(Risk_Rank_Keys!$C$2:$C$800&lt;Risk_Rank_Keys!C755))+(SUMPRODUCT(--ISNUMBER(Risk_Rank_Keys!$C$2:$C$800),--(Risk_Rank_Keys!$C$2:$C$800=Risk_Rank_Keys!C755))+1)/2)/COUNT(Risk_Rank_Keys!$C$2:$C$800))</f>
        <v>0.394700139470014</v>
      </c>
      <c r="O755" s="0" t="n">
        <f aca="false">IF(OR(B755="NW",COUNT(Risk_Rank_Keys!D755)=0),0.5,(SUMPRODUCT(--ISNUMBER(Risk_Rank_Keys!$D$2:$D$800),--(Risk_Rank_Keys!$D$2:$D$800&lt;Risk_Rank_Keys!D755))+(SUMPRODUCT(--ISNUMBER(Risk_Rank_Keys!$D$2:$D$800),--(Risk_Rank_Keys!$D$2:$D$800=Risk_Rank_Keys!D755))+1)/2)/COUNT(Risk_Rank_Keys!$D$2:$D$800))</f>
        <v>0.323570432357043</v>
      </c>
      <c r="P755" s="0" t="n">
        <f aca="false">AVERAGE(M755:O755)</f>
        <v>0.447233844723385</v>
      </c>
      <c r="Q755" s="0" t="n">
        <f aca="false">0.4*H755+0.4*I755+0.2*P755</f>
        <v>0.38031034841902</v>
      </c>
      <c r="R755" s="0" t="n">
        <f aca="false">PERCENTILE($Q$2:$Q$800,0.75)</f>
        <v>0.667715717403612</v>
      </c>
      <c r="S755" s="1" t="b">
        <f aca="false">OR(Q755&gt;=R755,AND(B755="CW",COUNT(J755:L755)&lt;3))</f>
        <v>0</v>
      </c>
      <c r="T755" s="0" t="n">
        <v>0.276319877029902</v>
      </c>
      <c r="U755" s="0" t="n">
        <v>6.1808968385534</v>
      </c>
      <c r="V755" s="0" t="n">
        <v>0.38031034841902</v>
      </c>
      <c r="W755" s="0" t="n">
        <f aca="false">Q755-V755</f>
        <v>0</v>
      </c>
    </row>
    <row r="756" customFormat="false" ht="15" hidden="false" customHeight="false" outlineLevel="0" collapsed="false">
      <c r="A756" s="0" t="s">
        <v>790</v>
      </c>
      <c r="B756" s="0" t="s">
        <v>3013</v>
      </c>
      <c r="C756" s="0" t="n">
        <v>35.6111796190705</v>
      </c>
      <c r="D756" s="0" t="n">
        <f aca="false">SUMPRODUCT(Risk_Inputs!B756:AJ756,Risk_Coefs!$B$2:$AJ$2)</f>
        <v>-0.588082809355782</v>
      </c>
      <c r="E756" s="0" t="n">
        <f aca="false">1/(1+EXP(-MAX(-25,MIN(25,D756))))</f>
        <v>0.357074867670685</v>
      </c>
      <c r="F756" s="0" t="n">
        <f aca="false">SUMPRODUCT(Risk_Inputs!B756:AJ756,Risk_Coefs!$B$3:$AJ$3)</f>
        <v>7.41767895072718</v>
      </c>
      <c r="G756" s="0" t="n">
        <f aca="false">MAX(0,F756)</f>
        <v>7.41767895072718</v>
      </c>
      <c r="H756" s="0" t="n">
        <f aca="false">(SUMPRODUCT(--ISNUMBER($E$2:$E$800),--($E$2:$E$800&lt;E756))+(SUMPRODUCT(--ISNUMBER($E$2:$E$800),--($E$2:$E$800=E756))+1)/2)/COUNT($E$2:$E$800)</f>
        <v>0.834793491864831</v>
      </c>
      <c r="I756" s="0" t="n">
        <f aca="false">(SUMPRODUCT(--ISNUMBER($G$2:$G$800),--($G$2:$G$800&lt;G756))+(SUMPRODUCT(--ISNUMBER($G$2:$G$800),--($G$2:$G$800=G756))+1)/2)/COUNT($G$2:$G$800)</f>
        <v>0.46433041301627</v>
      </c>
      <c r="J756" s="0" t="n">
        <v>5.42045788386919</v>
      </c>
      <c r="K756" s="0" t="n">
        <v>1.33115366651097</v>
      </c>
      <c r="L756" s="0" t="n">
        <v>0.210182157870155</v>
      </c>
      <c r="M756" s="0" t="n">
        <f aca="false">IF(OR(B756="NW",COUNT(Risk_Rank_Keys!B756)=0),0.5,(SUMPRODUCT(--ISNUMBER(Risk_Rank_Keys!$B$2:$B$800),--(Risk_Rank_Keys!$B$2:$B$800&lt;Risk_Rank_Keys!B756))+(SUMPRODUCT(--ISNUMBER(Risk_Rank_Keys!$B$2:$B$800),--(Risk_Rank_Keys!$B$2:$B$800=Risk_Rank_Keys!B756))+1)/2)/COUNT(Risk_Rank_Keys!$B$2:$B$800))</f>
        <v>0.161785216178522</v>
      </c>
      <c r="N756" s="0" t="n">
        <f aca="false">IF(OR(B756="NW",COUNT(Risk_Rank_Keys!C756)=0),0.5,(SUMPRODUCT(--ISNUMBER(Risk_Rank_Keys!$C$2:$C$800),--(Risk_Rank_Keys!$C$2:$C$800&lt;Risk_Rank_Keys!C756))+(SUMPRODUCT(--ISNUMBER(Risk_Rank_Keys!$C$2:$C$800),--(Risk_Rank_Keys!$C$2:$C$800=Risk_Rank_Keys!C756))+1)/2)/COUNT(Risk_Rank_Keys!$C$2:$C$800))</f>
        <v>0.0920502092050209</v>
      </c>
      <c r="O756" s="0" t="n">
        <f aca="false">IF(OR(B756="NW",COUNT(Risk_Rank_Keys!D756)=0),0.5,(SUMPRODUCT(--ISNUMBER(Risk_Rank_Keys!$D$2:$D$800),--(Risk_Rank_Keys!$D$2:$D$800&lt;Risk_Rank_Keys!D756))+(SUMPRODUCT(--ISNUMBER(Risk_Rank_Keys!$D$2:$D$800),--(Risk_Rank_Keys!$D$2:$D$800=Risk_Rank_Keys!D756))+1)/2)/COUNT(Risk_Rank_Keys!$D$2:$D$800))</f>
        <v>0.377963737796374</v>
      </c>
      <c r="P756" s="0" t="n">
        <f aca="false">AVERAGE(M756:O756)</f>
        <v>0.210599721059972</v>
      </c>
      <c r="Q756" s="0" t="n">
        <f aca="false">0.4*H756+0.4*I756+0.2*P756</f>
        <v>0.561769506164435</v>
      </c>
      <c r="R756" s="0" t="n">
        <f aca="false">PERCENTILE($Q$2:$Q$800,0.75)</f>
        <v>0.667715717403612</v>
      </c>
      <c r="S756" s="1" t="b">
        <f aca="false">OR(Q756&gt;=R756,AND(B756="CW",COUNT(J756:L756)&lt;3))</f>
        <v>0</v>
      </c>
      <c r="T756" s="0" t="n">
        <v>0.357074867670685</v>
      </c>
      <c r="U756" s="0" t="n">
        <v>7.41767895072719</v>
      </c>
      <c r="V756" s="0" t="n">
        <v>0.561769506164435</v>
      </c>
      <c r="W756" s="0" t="n">
        <f aca="false">Q756-V756</f>
        <v>0</v>
      </c>
    </row>
    <row r="757" customFormat="false" ht="15" hidden="false" customHeight="false" outlineLevel="0" collapsed="false">
      <c r="A757" s="0" t="s">
        <v>791</v>
      </c>
      <c r="B757" s="0" t="s">
        <v>33</v>
      </c>
      <c r="C757" s="0" t="n">
        <v>50.1104494979788</v>
      </c>
      <c r="D757" s="0" t="n">
        <f aca="false">SUMPRODUCT(Risk_Inputs!B757:AJ757,Risk_Coefs!$B$2:$AJ$2)</f>
        <v>-0.405342628793991</v>
      </c>
      <c r="E757" s="0" t="n">
        <f aca="false">1/(1+EXP(-MAX(-25,MIN(25,D757))))</f>
        <v>0.400029395395398</v>
      </c>
      <c r="F757" s="0" t="n">
        <f aca="false">SUMPRODUCT(Risk_Inputs!B757:AJ757,Risk_Coefs!$B$3:$AJ$3)</f>
        <v>12.085001711488</v>
      </c>
      <c r="G757" s="0" t="n">
        <f aca="false">MAX(0,F757)</f>
        <v>12.085001711488</v>
      </c>
      <c r="H757" s="0" t="n">
        <f aca="false">(SUMPRODUCT(--ISNUMBER($E$2:$E$800),--($E$2:$E$800&lt;E757))+(SUMPRODUCT(--ISNUMBER($E$2:$E$800),--($E$2:$E$800=E757))+1)/2)/COUNT($E$2:$E$800)</f>
        <v>0.941176470588235</v>
      </c>
      <c r="I757" s="0" t="n">
        <f aca="false">(SUMPRODUCT(--ISNUMBER($G$2:$G$800),--($G$2:$G$800&lt;G757))+(SUMPRODUCT(--ISNUMBER($G$2:$G$800),--($G$2:$G$800=G757))+1)/2)/COUNT($G$2:$G$800)</f>
        <v>0.921151439299124</v>
      </c>
      <c r="M757" s="0" t="n">
        <f aca="false">IF(OR(B757="NW",COUNT(Risk_Rank_Keys!B757)=0),0.5,(SUMPRODUCT(--ISNUMBER(Risk_Rank_Keys!$B$2:$B$800),--(Risk_Rank_Keys!$B$2:$B$800&lt;Risk_Rank_Keys!B757))+(SUMPRODUCT(--ISNUMBER(Risk_Rank_Keys!$B$2:$B$800),--(Risk_Rank_Keys!$B$2:$B$800=Risk_Rank_Keys!B757))+1)/2)/COUNT(Risk_Rank_Keys!$B$2:$B$800))</f>
        <v>0.5</v>
      </c>
      <c r="N757" s="0" t="n">
        <f aca="false">IF(OR(B757="NW",COUNT(Risk_Rank_Keys!C757)=0),0.5,(SUMPRODUCT(--ISNUMBER(Risk_Rank_Keys!$C$2:$C$800),--(Risk_Rank_Keys!$C$2:$C$800&lt;Risk_Rank_Keys!C757))+(SUMPRODUCT(--ISNUMBER(Risk_Rank_Keys!$C$2:$C$800),--(Risk_Rank_Keys!$C$2:$C$800=Risk_Rank_Keys!C757))+1)/2)/COUNT(Risk_Rank_Keys!$C$2:$C$800))</f>
        <v>0.5</v>
      </c>
      <c r="O757" s="0" t="n">
        <f aca="false">IF(OR(B757="NW",COUNT(Risk_Rank_Keys!D757)=0),0.5,(SUMPRODUCT(--ISNUMBER(Risk_Rank_Keys!$D$2:$D$800),--(Risk_Rank_Keys!$D$2:$D$800&lt;Risk_Rank_Keys!D757))+(SUMPRODUCT(--ISNUMBER(Risk_Rank_Keys!$D$2:$D$800),--(Risk_Rank_Keys!$D$2:$D$800=Risk_Rank_Keys!D757))+1)/2)/COUNT(Risk_Rank_Keys!$D$2:$D$800))</f>
        <v>0.5</v>
      </c>
      <c r="P757" s="0" t="n">
        <f aca="false">AVERAGE(M757:O757)</f>
        <v>0.5</v>
      </c>
      <c r="Q757" s="0" t="n">
        <f aca="false">0.4*H757+0.4*I757+0.2*P757</f>
        <v>0.844931163954944</v>
      </c>
      <c r="R757" s="0" t="n">
        <f aca="false">PERCENTILE($Q$2:$Q$800,0.75)</f>
        <v>0.667715717403612</v>
      </c>
      <c r="S757" s="1" t="b">
        <f aca="false">OR(Q757&gt;=R757,AND(B757="CW",COUNT(J757:L757)&lt;3))</f>
        <v>1</v>
      </c>
      <c r="T757" s="0" t="n">
        <v>0.400029395395398</v>
      </c>
      <c r="U757" s="0" t="n">
        <v>12.085001711488</v>
      </c>
      <c r="V757" s="0" t="n">
        <v>0.844931163954944</v>
      </c>
      <c r="W757" s="0" t="n">
        <f aca="false">Q757-V757</f>
        <v>0</v>
      </c>
    </row>
    <row r="758" customFormat="false" ht="15" hidden="false" customHeight="false" outlineLevel="0" collapsed="false">
      <c r="A758" s="0" t="s">
        <v>792</v>
      </c>
      <c r="B758" s="0" t="s">
        <v>33</v>
      </c>
      <c r="C758" s="0" t="n">
        <v>31.2968886371379</v>
      </c>
      <c r="D758" s="0" t="n">
        <f aca="false">SUMPRODUCT(Risk_Inputs!B758:AJ758,Risk_Coefs!$B$2:$AJ$2)</f>
        <v>-0.449365360299367</v>
      </c>
      <c r="E758" s="0" t="n">
        <f aca="false">1/(1+EXP(-MAX(-25,MIN(25,D758))))</f>
        <v>0.389511667916587</v>
      </c>
      <c r="F758" s="0" t="n">
        <f aca="false">SUMPRODUCT(Risk_Inputs!B758:AJ758,Risk_Coefs!$B$3:$AJ$3)</f>
        <v>11.2736078749146</v>
      </c>
      <c r="G758" s="0" t="n">
        <f aca="false">MAX(0,F758)</f>
        <v>11.2736078749146</v>
      </c>
      <c r="H758" s="0" t="n">
        <f aca="false">(SUMPRODUCT(--ISNUMBER($E$2:$E$800),--($E$2:$E$800&lt;E758))+(SUMPRODUCT(--ISNUMBER($E$2:$E$800),--($E$2:$E$800=E758))+1)/2)/COUNT($E$2:$E$800)</f>
        <v>0.922403003754693</v>
      </c>
      <c r="I758" s="0" t="n">
        <f aca="false">(SUMPRODUCT(--ISNUMBER($G$2:$G$800),--($G$2:$G$800&lt;G758))+(SUMPRODUCT(--ISNUMBER($G$2:$G$800),--($G$2:$G$800=G758))+1)/2)/COUNT($G$2:$G$800)</f>
        <v>0.898623279098874</v>
      </c>
      <c r="M758" s="0" t="n">
        <f aca="false">IF(OR(B758="NW",COUNT(Risk_Rank_Keys!B758)=0),0.5,(SUMPRODUCT(--ISNUMBER(Risk_Rank_Keys!$B$2:$B$800),--(Risk_Rank_Keys!$B$2:$B$800&lt;Risk_Rank_Keys!B758))+(SUMPRODUCT(--ISNUMBER(Risk_Rank_Keys!$B$2:$B$800),--(Risk_Rank_Keys!$B$2:$B$800=Risk_Rank_Keys!B758))+1)/2)/COUNT(Risk_Rank_Keys!$B$2:$B$800))</f>
        <v>0.5</v>
      </c>
      <c r="N758" s="0" t="n">
        <f aca="false">IF(OR(B758="NW",COUNT(Risk_Rank_Keys!C758)=0),0.5,(SUMPRODUCT(--ISNUMBER(Risk_Rank_Keys!$C$2:$C$800),--(Risk_Rank_Keys!$C$2:$C$800&lt;Risk_Rank_Keys!C758))+(SUMPRODUCT(--ISNUMBER(Risk_Rank_Keys!$C$2:$C$800),--(Risk_Rank_Keys!$C$2:$C$800=Risk_Rank_Keys!C758))+1)/2)/COUNT(Risk_Rank_Keys!$C$2:$C$800))</f>
        <v>0.5</v>
      </c>
      <c r="O758" s="0" t="n">
        <f aca="false">IF(OR(B758="NW",COUNT(Risk_Rank_Keys!D758)=0),0.5,(SUMPRODUCT(--ISNUMBER(Risk_Rank_Keys!$D$2:$D$800),--(Risk_Rank_Keys!$D$2:$D$800&lt;Risk_Rank_Keys!D758))+(SUMPRODUCT(--ISNUMBER(Risk_Rank_Keys!$D$2:$D$800),--(Risk_Rank_Keys!$D$2:$D$800=Risk_Rank_Keys!D758))+1)/2)/COUNT(Risk_Rank_Keys!$D$2:$D$800))</f>
        <v>0.5</v>
      </c>
      <c r="P758" s="0" t="n">
        <f aca="false">AVERAGE(M758:O758)</f>
        <v>0.5</v>
      </c>
      <c r="Q758" s="0" t="n">
        <f aca="false">0.4*H758+0.4*I758+0.2*P758</f>
        <v>0.828410513141427</v>
      </c>
      <c r="R758" s="0" t="n">
        <f aca="false">PERCENTILE($Q$2:$Q$800,0.75)</f>
        <v>0.667715717403612</v>
      </c>
      <c r="S758" s="1" t="b">
        <f aca="false">OR(Q758&gt;=R758,AND(B758="CW",COUNT(J758:L758)&lt;3))</f>
        <v>1</v>
      </c>
      <c r="T758" s="0" t="n">
        <v>0.389511667916587</v>
      </c>
      <c r="U758" s="0" t="n">
        <v>11.2736078749146</v>
      </c>
      <c r="V758" s="0" t="n">
        <v>0.828410513141427</v>
      </c>
      <c r="W758" s="0" t="n">
        <f aca="false">Q758-V758</f>
        <v>0</v>
      </c>
    </row>
    <row r="759" customFormat="false" ht="15" hidden="false" customHeight="false" outlineLevel="0" collapsed="false">
      <c r="A759" s="0" t="s">
        <v>793</v>
      </c>
      <c r="B759" s="0" t="s">
        <v>3013</v>
      </c>
      <c r="C759" s="0" t="n">
        <v>-0.0967989566916007</v>
      </c>
      <c r="D759" s="0" t="n">
        <f aca="false">SUMPRODUCT(Risk_Inputs!B759:AJ759,Risk_Coefs!$B$2:$AJ$2)</f>
        <v>-0.360439348400031</v>
      </c>
      <c r="E759" s="0" t="n">
        <f aca="false">1/(1+EXP(-MAX(-25,MIN(25,D759))))</f>
        <v>0.410853216244915</v>
      </c>
      <c r="F759" s="0" t="n">
        <f aca="false">SUMPRODUCT(Risk_Inputs!B759:AJ759,Risk_Coefs!$B$3:$AJ$3)</f>
        <v>10.2114074902289</v>
      </c>
      <c r="G759" s="0" t="n">
        <f aca="false">MAX(0,F759)</f>
        <v>10.2114074902289</v>
      </c>
      <c r="H759" s="0" t="n">
        <f aca="false">(SUMPRODUCT(--ISNUMBER($E$2:$E$800),--($E$2:$E$800&lt;E759))+(SUMPRODUCT(--ISNUMBER($E$2:$E$800),--($E$2:$E$800=E759))+1)/2)/COUNT($E$2:$E$800)</f>
        <v>0.957446808510638</v>
      </c>
      <c r="I759" s="0" t="n">
        <f aca="false">(SUMPRODUCT(--ISNUMBER($G$2:$G$800),--($G$2:$G$800&lt;G759))+(SUMPRODUCT(--ISNUMBER($G$2:$G$800),--($G$2:$G$800=G759))+1)/2)/COUNT($G$2:$G$800)</f>
        <v>0.811013767209011</v>
      </c>
      <c r="J759" s="0" t="n">
        <v>4.62415110044287</v>
      </c>
      <c r="K759" s="0" t="n">
        <v>1.54941896788705</v>
      </c>
      <c r="L759" s="0" t="n">
        <v>0.174934399600154</v>
      </c>
      <c r="M759" s="0" t="n">
        <f aca="false">IF(OR(B759="NW",COUNT(Risk_Rank_Keys!B759)=0),0.5,(SUMPRODUCT(--ISNUMBER(Risk_Rank_Keys!$B$2:$B$800),--(Risk_Rank_Keys!$B$2:$B$800&lt;Risk_Rank_Keys!B759))+(SUMPRODUCT(--ISNUMBER(Risk_Rank_Keys!$B$2:$B$800),--(Risk_Rank_Keys!$B$2:$B$800=Risk_Rank_Keys!B759))+1)/2)/COUNT(Risk_Rank_Keys!$B$2:$B$800))</f>
        <v>0.108786610878661</v>
      </c>
      <c r="N759" s="0" t="n">
        <f aca="false">IF(OR(B759="NW",COUNT(Risk_Rank_Keys!C759)=0),0.5,(SUMPRODUCT(--ISNUMBER(Risk_Rank_Keys!$C$2:$C$800),--(Risk_Rank_Keys!$C$2:$C$800&lt;Risk_Rank_Keys!C759))+(SUMPRODUCT(--ISNUMBER(Risk_Rank_Keys!$C$2:$C$800),--(Risk_Rank_Keys!$C$2:$C$800=Risk_Rank_Keys!C759))+1)/2)/COUNT(Risk_Rank_Keys!$C$2:$C$800))</f>
        <v>0.146443514644351</v>
      </c>
      <c r="O759" s="0" t="n">
        <f aca="false">IF(OR(B759="NW",COUNT(Risk_Rank_Keys!D759)=0),0.5,(SUMPRODUCT(--ISNUMBER(Risk_Rank_Keys!$D$2:$D$800),--(Risk_Rank_Keys!$D$2:$D$800&lt;Risk_Rank_Keys!D759))+(SUMPRODUCT(--ISNUMBER(Risk_Rank_Keys!$D$2:$D$800),--(Risk_Rank_Keys!$D$2:$D$800=Risk_Rank_Keys!D759))+1)/2)/COUNT(Risk_Rank_Keys!$D$2:$D$800))</f>
        <v>0.189679218967922</v>
      </c>
      <c r="P759" s="0" t="n">
        <f aca="false">AVERAGE(M759:O759)</f>
        <v>0.148303114830311</v>
      </c>
      <c r="Q759" s="0" t="n">
        <f aca="false">0.4*H759+0.4*I759+0.2*P759</f>
        <v>0.737044853253922</v>
      </c>
      <c r="R759" s="0" t="n">
        <f aca="false">PERCENTILE($Q$2:$Q$800,0.75)</f>
        <v>0.667715717403612</v>
      </c>
      <c r="S759" s="1" t="b">
        <f aca="false">OR(Q759&gt;=R759,AND(B759="CW",COUNT(J759:L759)&lt;3))</f>
        <v>1</v>
      </c>
      <c r="T759" s="0" t="n">
        <v>0.410853216244915</v>
      </c>
      <c r="U759" s="0" t="n">
        <v>10.2114074902289</v>
      </c>
      <c r="V759" s="0" t="n">
        <v>0.737044853253922</v>
      </c>
      <c r="W759" s="0" t="n">
        <f aca="false">Q759-V759</f>
        <v>0</v>
      </c>
    </row>
    <row r="760" customFormat="false" ht="15" hidden="false" customHeight="false" outlineLevel="0" collapsed="false">
      <c r="A760" s="0" t="s">
        <v>794</v>
      </c>
      <c r="B760" s="0" t="s">
        <v>33</v>
      </c>
      <c r="C760" s="0" t="n">
        <v>-43.9806106551875</v>
      </c>
      <c r="D760" s="0" t="n">
        <f aca="false">SUMPRODUCT(Risk_Inputs!B760:AJ760,Risk_Coefs!$B$2:$AJ$2)</f>
        <v>-0.440830773353812</v>
      </c>
      <c r="E760" s="0" t="n">
        <f aca="false">1/(1+EXP(-MAX(-25,MIN(25,D760))))</f>
        <v>0.391543030407226</v>
      </c>
      <c r="F760" s="0" t="n">
        <f aca="false">SUMPRODUCT(Risk_Inputs!B760:AJ760,Risk_Coefs!$B$3:$AJ$3)</f>
        <v>12.0601758921503</v>
      </c>
      <c r="G760" s="0" t="n">
        <f aca="false">MAX(0,F760)</f>
        <v>12.0601758921503</v>
      </c>
      <c r="H760" s="0" t="n">
        <f aca="false">(SUMPRODUCT(--ISNUMBER($E$2:$E$800),--($E$2:$E$800&lt;E760))+(SUMPRODUCT(--ISNUMBER($E$2:$E$800),--($E$2:$E$800=E760))+1)/2)/COUNT($E$2:$E$800)</f>
        <v>0.924906132665832</v>
      </c>
      <c r="I760" s="0" t="n">
        <f aca="false">(SUMPRODUCT(--ISNUMBER($G$2:$G$800),--($G$2:$G$800&lt;G760))+(SUMPRODUCT(--ISNUMBER($G$2:$G$800),--($G$2:$G$800=G760))+1)/2)/COUNT($G$2:$G$800)</f>
        <v>0.919899874843554</v>
      </c>
      <c r="M760" s="0" t="n">
        <f aca="false">IF(OR(B760="NW",COUNT(Risk_Rank_Keys!B760)=0),0.5,(SUMPRODUCT(--ISNUMBER(Risk_Rank_Keys!$B$2:$B$800),--(Risk_Rank_Keys!$B$2:$B$800&lt;Risk_Rank_Keys!B760))+(SUMPRODUCT(--ISNUMBER(Risk_Rank_Keys!$B$2:$B$800),--(Risk_Rank_Keys!$B$2:$B$800=Risk_Rank_Keys!B760))+1)/2)/COUNT(Risk_Rank_Keys!$B$2:$B$800))</f>
        <v>0.5</v>
      </c>
      <c r="N760" s="0" t="n">
        <f aca="false">IF(OR(B760="NW",COUNT(Risk_Rank_Keys!C760)=0),0.5,(SUMPRODUCT(--ISNUMBER(Risk_Rank_Keys!$C$2:$C$800),--(Risk_Rank_Keys!$C$2:$C$800&lt;Risk_Rank_Keys!C760))+(SUMPRODUCT(--ISNUMBER(Risk_Rank_Keys!$C$2:$C$800),--(Risk_Rank_Keys!$C$2:$C$800=Risk_Rank_Keys!C760))+1)/2)/COUNT(Risk_Rank_Keys!$C$2:$C$800))</f>
        <v>0.5</v>
      </c>
      <c r="O760" s="0" t="n">
        <f aca="false">IF(OR(B760="NW",COUNT(Risk_Rank_Keys!D760)=0),0.5,(SUMPRODUCT(--ISNUMBER(Risk_Rank_Keys!$D$2:$D$800),--(Risk_Rank_Keys!$D$2:$D$800&lt;Risk_Rank_Keys!D760))+(SUMPRODUCT(--ISNUMBER(Risk_Rank_Keys!$D$2:$D$800),--(Risk_Rank_Keys!$D$2:$D$800=Risk_Rank_Keys!D760))+1)/2)/COUNT(Risk_Rank_Keys!$D$2:$D$800))</f>
        <v>0.5</v>
      </c>
      <c r="P760" s="0" t="n">
        <f aca="false">AVERAGE(M760:O760)</f>
        <v>0.5</v>
      </c>
      <c r="Q760" s="0" t="n">
        <f aca="false">0.4*H760+0.4*I760+0.2*P760</f>
        <v>0.837922403003755</v>
      </c>
      <c r="R760" s="0" t="n">
        <f aca="false">PERCENTILE($Q$2:$Q$800,0.75)</f>
        <v>0.667715717403612</v>
      </c>
      <c r="S760" s="1" t="b">
        <f aca="false">OR(Q760&gt;=R760,AND(B760="CW",COUNT(J760:L760)&lt;3))</f>
        <v>1</v>
      </c>
      <c r="T760" s="0" t="n">
        <v>0.391543030407226</v>
      </c>
      <c r="U760" s="0" t="n">
        <v>12.0601758921503</v>
      </c>
      <c r="V760" s="0" t="n">
        <v>0.837922403003755</v>
      </c>
      <c r="W760" s="0" t="n">
        <f aca="false">Q760-V760</f>
        <v>0</v>
      </c>
    </row>
    <row r="761" customFormat="false" ht="15" hidden="false" customHeight="false" outlineLevel="0" collapsed="false">
      <c r="A761" s="0" t="s">
        <v>795</v>
      </c>
      <c r="B761" s="0" t="s">
        <v>3013</v>
      </c>
      <c r="C761" s="0" t="n">
        <v>38.0561641661326</v>
      </c>
      <c r="D761" s="0" t="n">
        <f aca="false">SUMPRODUCT(Risk_Inputs!B761:AJ761,Risk_Coefs!$B$2:$AJ$2)</f>
        <v>-1.22740890544231</v>
      </c>
      <c r="E761" s="0" t="n">
        <f aca="false">1/(1+EXP(-MAX(-25,MIN(25,D761))))</f>
        <v>0.226635249609175</v>
      </c>
      <c r="F761" s="0" t="n">
        <f aca="false">SUMPRODUCT(Risk_Inputs!B761:AJ761,Risk_Coefs!$B$3:$AJ$3)</f>
        <v>0.782033628698107</v>
      </c>
      <c r="G761" s="0" t="n">
        <f aca="false">MAX(0,F761)</f>
        <v>0.782033628698107</v>
      </c>
      <c r="H761" s="0" t="n">
        <f aca="false">(SUMPRODUCT(--ISNUMBER($E$2:$E$800),--($E$2:$E$800&lt;E761))+(SUMPRODUCT(--ISNUMBER($E$2:$E$800),--($E$2:$E$800=E761))+1)/2)/COUNT($E$2:$E$800)</f>
        <v>0.161451814768461</v>
      </c>
      <c r="I761" s="0" t="n">
        <f aca="false">(SUMPRODUCT(--ISNUMBER($G$2:$G$800),--($G$2:$G$800&lt;G761))+(SUMPRODUCT(--ISNUMBER($G$2:$G$800),--($G$2:$G$800=G761))+1)/2)/COUNT($G$2:$G$800)</f>
        <v>0.00625782227784731</v>
      </c>
      <c r="J761" s="0" t="n">
        <v>7.92645250681983</v>
      </c>
      <c r="K761" s="0" t="n">
        <v>4.52776795189247</v>
      </c>
      <c r="L761" s="0" t="n">
        <v>0.282985496993283</v>
      </c>
      <c r="M761" s="0" t="n">
        <f aca="false">IF(OR(B761="NW",COUNT(Risk_Rank_Keys!B761)=0),0.5,(SUMPRODUCT(--ISNUMBER(Risk_Rank_Keys!$B$2:$B$800),--(Risk_Rank_Keys!$B$2:$B$800&lt;Risk_Rank_Keys!B761))+(SUMPRODUCT(--ISNUMBER(Risk_Rank_Keys!$B$2:$B$800),--(Risk_Rank_Keys!$B$2:$B$800=Risk_Rank_Keys!B761))+1)/2)/COUNT(Risk_Rank_Keys!$B$2:$B$800))</f>
        <v>0.380753138075314</v>
      </c>
      <c r="N761" s="0" t="n">
        <f aca="false">IF(OR(B761="NW",COUNT(Risk_Rank_Keys!C761)=0),0.5,(SUMPRODUCT(--ISNUMBER(Risk_Rank_Keys!$C$2:$C$800),--(Risk_Rank_Keys!$C$2:$C$800&lt;Risk_Rank_Keys!C761))+(SUMPRODUCT(--ISNUMBER(Risk_Rank_Keys!$C$2:$C$800),--(Risk_Rank_Keys!$C$2:$C$800=Risk_Rank_Keys!C761))+1)/2)/COUNT(Risk_Rank_Keys!$C$2:$C$800))</f>
        <v>0.645746164574616</v>
      </c>
      <c r="O761" s="0" t="n">
        <f aca="false">IF(OR(B761="NW",COUNT(Risk_Rank_Keys!D761)=0),0.5,(SUMPRODUCT(--ISNUMBER(Risk_Rank_Keys!$D$2:$D$800),--(Risk_Rank_Keys!$D$2:$D$800&lt;Risk_Rank_Keys!D761))+(SUMPRODUCT(--ISNUMBER(Risk_Rank_Keys!$D$2:$D$800),--(Risk_Rank_Keys!$D$2:$D$800=Risk_Rank_Keys!D761))+1)/2)/COUNT(Risk_Rank_Keys!$D$2:$D$800))</f>
        <v>0.702928870292887</v>
      </c>
      <c r="P761" s="0" t="n">
        <f aca="false">AVERAGE(M761:O761)</f>
        <v>0.576476057647606</v>
      </c>
      <c r="Q761" s="0" t="n">
        <f aca="false">0.4*H761+0.4*I761+0.2*P761</f>
        <v>0.182379066348044</v>
      </c>
      <c r="R761" s="0" t="n">
        <f aca="false">PERCENTILE($Q$2:$Q$800,0.75)</f>
        <v>0.667715717403612</v>
      </c>
      <c r="S761" s="1" t="b">
        <f aca="false">OR(Q761&gt;=R761,AND(B761="CW",COUNT(J761:L761)&lt;3))</f>
        <v>0</v>
      </c>
      <c r="T761" s="0" t="n">
        <v>0.226635249609175</v>
      </c>
      <c r="U761" s="0" t="n">
        <v>0.782033628698107</v>
      </c>
      <c r="V761" s="0" t="n">
        <v>0.182379066348044</v>
      </c>
      <c r="W761" s="0" t="n">
        <f aca="false">Q761-V761</f>
        <v>0</v>
      </c>
    </row>
    <row r="762" customFormat="false" ht="15" hidden="false" customHeight="false" outlineLevel="0" collapsed="false">
      <c r="A762" s="0" t="s">
        <v>796</v>
      </c>
      <c r="B762" s="0" t="s">
        <v>3013</v>
      </c>
      <c r="C762" s="0" t="n">
        <v>27.678486091155</v>
      </c>
      <c r="D762" s="0" t="n">
        <f aca="false">SUMPRODUCT(Risk_Inputs!B762:AJ762,Risk_Coefs!$B$2:$AJ$2)</f>
        <v>-0.877011226043314</v>
      </c>
      <c r="E762" s="0" t="n">
        <f aca="false">1/(1+EXP(-MAX(-25,MIN(25,D762))))</f>
        <v>0.293797508922636</v>
      </c>
      <c r="F762" s="0" t="n">
        <f aca="false">SUMPRODUCT(Risk_Inputs!B762:AJ762,Risk_Coefs!$B$3:$AJ$3)</f>
        <v>4.72821996723518</v>
      </c>
      <c r="G762" s="0" t="n">
        <f aca="false">MAX(0,F762)</f>
        <v>4.72821996723518</v>
      </c>
      <c r="H762" s="0" t="n">
        <f aca="false">(SUMPRODUCT(--ISNUMBER($E$2:$E$800),--($E$2:$E$800&lt;E762))+(SUMPRODUCT(--ISNUMBER($E$2:$E$800),--($E$2:$E$800=E762))+1)/2)/COUNT($E$2:$E$800)</f>
        <v>0.545682102628285</v>
      </c>
      <c r="I762" s="0" t="n">
        <f aca="false">(SUMPRODUCT(--ISNUMBER($G$2:$G$800),--($G$2:$G$800&lt;G762))+(SUMPRODUCT(--ISNUMBER($G$2:$G$800),--($G$2:$G$800=G762))+1)/2)/COUNT($G$2:$G$800)</f>
        <v>0.102628285356696</v>
      </c>
      <c r="J762" s="0" t="n">
        <v>11.417316331923</v>
      </c>
      <c r="K762" s="0" t="n">
        <v>0.873831059328502</v>
      </c>
      <c r="L762" s="0" t="n">
        <v>0.260616280852367</v>
      </c>
      <c r="M762" s="0" t="n">
        <f aca="false">IF(OR(B762="NW",COUNT(Risk_Rank_Keys!B762)=0),0.5,(SUMPRODUCT(--ISNUMBER(Risk_Rank_Keys!$B$2:$B$800),--(Risk_Rank_Keys!$B$2:$B$800&lt;Risk_Rank_Keys!B762))+(SUMPRODUCT(--ISNUMBER(Risk_Rank_Keys!$B$2:$B$800),--(Risk_Rank_Keys!$B$2:$B$800=Risk_Rank_Keys!B762))+1)/2)/COUNT(Risk_Rank_Keys!$B$2:$B$800))</f>
        <v>0.570432357043236</v>
      </c>
      <c r="N762" s="0" t="n">
        <f aca="false">IF(OR(B762="NW",COUNT(Risk_Rank_Keys!C762)=0),0.5,(SUMPRODUCT(--ISNUMBER(Risk_Rank_Keys!$C$2:$C$800),--(Risk_Rank_Keys!$C$2:$C$800&lt;Risk_Rank_Keys!C762))+(SUMPRODUCT(--ISNUMBER(Risk_Rank_Keys!$C$2:$C$800),--(Risk_Rank_Keys!$C$2:$C$800=Risk_Rank_Keys!C762))+1)/2)/COUNT(Risk_Rank_Keys!$C$2:$C$800))</f>
        <v>0.0167364016736402</v>
      </c>
      <c r="O762" s="0" t="n">
        <f aca="false">IF(OR(B762="NW",COUNT(Risk_Rank_Keys!D762)=0),0.5,(SUMPRODUCT(--ISNUMBER(Risk_Rank_Keys!$D$2:$D$800),--(Risk_Rank_Keys!$D$2:$D$800&lt;Risk_Rank_Keys!D762))+(SUMPRODUCT(--ISNUMBER(Risk_Rank_Keys!$D$2:$D$800),--(Risk_Rank_Keys!$D$2:$D$800=Risk_Rank_Keys!D762))+1)/2)/COUNT(Risk_Rank_Keys!$D$2:$D$800))</f>
        <v>0.638772663877266</v>
      </c>
      <c r="P762" s="0" t="n">
        <f aca="false">AVERAGE(M762:O762)</f>
        <v>0.408647140864714</v>
      </c>
      <c r="Q762" s="0" t="n">
        <f aca="false">0.4*H762+0.4*I762+0.2*P762</f>
        <v>0.341053583366935</v>
      </c>
      <c r="R762" s="0" t="n">
        <f aca="false">PERCENTILE($Q$2:$Q$800,0.75)</f>
        <v>0.667715717403612</v>
      </c>
      <c r="S762" s="1" t="b">
        <f aca="false">OR(Q762&gt;=R762,AND(B762="CW",COUNT(J762:L762)&lt;3))</f>
        <v>0</v>
      </c>
      <c r="T762" s="0" t="n">
        <v>0.293797508922636</v>
      </c>
      <c r="U762" s="0" t="n">
        <v>4.72821996723518</v>
      </c>
      <c r="V762" s="0" t="n">
        <v>0.341053583366935</v>
      </c>
      <c r="W762" s="0" t="n">
        <f aca="false">Q762-V762</f>
        <v>0</v>
      </c>
    </row>
    <row r="763" customFormat="false" ht="15" hidden="false" customHeight="false" outlineLevel="0" collapsed="false">
      <c r="A763" s="0" t="s">
        <v>797</v>
      </c>
      <c r="B763" s="0" t="s">
        <v>3013</v>
      </c>
      <c r="C763" s="0" t="n">
        <v>3.12500577788252</v>
      </c>
      <c r="D763" s="0" t="n">
        <f aca="false">SUMPRODUCT(Risk_Inputs!B763:AJ763,Risk_Coefs!$B$2:$AJ$2)</f>
        <v>-1.33636707441306</v>
      </c>
      <c r="E763" s="0" t="n">
        <f aca="false">1/(1+EXP(-MAX(-25,MIN(25,D763))))</f>
        <v>0.208108126689264</v>
      </c>
      <c r="F763" s="0" t="n">
        <f aca="false">SUMPRODUCT(Risk_Inputs!B763:AJ763,Risk_Coefs!$B$3:$AJ$3)</f>
        <v>2.80064772776558</v>
      </c>
      <c r="G763" s="0" t="n">
        <f aca="false">MAX(0,F763)</f>
        <v>2.80064772776558</v>
      </c>
      <c r="H763" s="0" t="n">
        <f aca="false">(SUMPRODUCT(--ISNUMBER($E$2:$E$800),--($E$2:$E$800&lt;E763))+(SUMPRODUCT(--ISNUMBER($E$2:$E$800),--($E$2:$E$800=E763))+1)/2)/COUNT($E$2:$E$800)</f>
        <v>0.117647058823529</v>
      </c>
      <c r="I763" s="0" t="n">
        <f aca="false">(SUMPRODUCT(--ISNUMBER($G$2:$G$800),--($G$2:$G$800&lt;G763))+(SUMPRODUCT(--ISNUMBER($G$2:$G$800),--($G$2:$G$800=G763))+1)/2)/COUNT($G$2:$G$800)</f>
        <v>0.0200250312891114</v>
      </c>
      <c r="J763" s="0" t="n">
        <v>16.9202595846302</v>
      </c>
      <c r="K763" s="0" t="n">
        <v>3.99253731343283</v>
      </c>
      <c r="L763" s="0" t="n">
        <v>0.186567164179104</v>
      </c>
      <c r="M763" s="0" t="n">
        <f aca="false">IF(OR(B763="NW",COUNT(Risk_Rank_Keys!B763)=0),0.5,(SUMPRODUCT(--ISNUMBER(Risk_Rank_Keys!$B$2:$B$800),--(Risk_Rank_Keys!$B$2:$B$800&lt;Risk_Rank_Keys!B763))+(SUMPRODUCT(--ISNUMBER(Risk_Rank_Keys!$B$2:$B$800),--(Risk_Rank_Keys!$B$2:$B$800=Risk_Rank_Keys!B763))+1)/2)/COUNT(Risk_Rank_Keys!$B$2:$B$800))</f>
        <v>0.746164574616458</v>
      </c>
      <c r="N763" s="0" t="n">
        <f aca="false">IF(OR(B763="NW",COUNT(Risk_Rank_Keys!C763)=0),0.5,(SUMPRODUCT(--ISNUMBER(Risk_Rank_Keys!$C$2:$C$800),--(Risk_Rank_Keys!$C$2:$C$800&lt;Risk_Rank_Keys!C763))+(SUMPRODUCT(--ISNUMBER(Risk_Rank_Keys!$C$2:$C$800),--(Risk_Rank_Keys!$C$2:$C$800=Risk_Rank_Keys!C763))+1)/2)/COUNT(Risk_Rank_Keys!$C$2:$C$800))</f>
        <v>0.596931659693166</v>
      </c>
      <c r="O763" s="0" t="n">
        <f aca="false">IF(OR(B763="NW",COUNT(Risk_Rank_Keys!D763)=0),0.5,(SUMPRODUCT(--ISNUMBER(Risk_Rank_Keys!$D$2:$D$800),--(Risk_Rank_Keys!$D$2:$D$800&lt;Risk_Rank_Keys!D763))+(SUMPRODUCT(--ISNUMBER(Risk_Rank_Keys!$D$2:$D$800),--(Risk_Rank_Keys!$D$2:$D$800=Risk_Rank_Keys!D763))+1)/2)/COUNT(Risk_Rank_Keys!$D$2:$D$800))</f>
        <v>0.239888423988842</v>
      </c>
      <c r="P763" s="0" t="n">
        <f aca="false">AVERAGE(M763:O763)</f>
        <v>0.527661552766155</v>
      </c>
      <c r="Q763" s="0" t="n">
        <f aca="false">0.4*H763+0.4*I763+0.2*P763</f>
        <v>0.160601146598287</v>
      </c>
      <c r="R763" s="0" t="n">
        <f aca="false">PERCENTILE($Q$2:$Q$800,0.75)</f>
        <v>0.667715717403612</v>
      </c>
      <c r="S763" s="1" t="b">
        <f aca="false">OR(Q763&gt;=R763,AND(B763="CW",COUNT(J763:L763)&lt;3))</f>
        <v>0</v>
      </c>
      <c r="T763" s="0" t="n">
        <v>0.208108126689264</v>
      </c>
      <c r="U763" s="0" t="n">
        <v>2.80064772776557</v>
      </c>
      <c r="V763" s="0" t="n">
        <v>0.160601146598287</v>
      </c>
      <c r="W763" s="0" t="n">
        <f aca="false">Q763-V763</f>
        <v>0</v>
      </c>
    </row>
    <row r="764" customFormat="false" ht="15" hidden="false" customHeight="false" outlineLevel="0" collapsed="false">
      <c r="A764" s="0" t="s">
        <v>798</v>
      </c>
      <c r="B764" s="0" t="s">
        <v>3013</v>
      </c>
      <c r="C764" s="0" t="n">
        <v>-39.0815826842622</v>
      </c>
      <c r="D764" s="0" t="n">
        <f aca="false">SUMPRODUCT(Risk_Inputs!B764:AJ764,Risk_Coefs!$B$2:$AJ$2)</f>
        <v>-1.09869678599127</v>
      </c>
      <c r="E764" s="0" t="n">
        <f aca="false">1/(1+EXP(-MAX(-25,MIN(25,D764))))</f>
        <v>0.249984157086589</v>
      </c>
      <c r="F764" s="0" t="n">
        <f aca="false">SUMPRODUCT(Risk_Inputs!B764:AJ764,Risk_Coefs!$B$3:$AJ$3)</f>
        <v>8.56802449662749</v>
      </c>
      <c r="G764" s="0" t="n">
        <f aca="false">MAX(0,F764)</f>
        <v>8.56802449662749</v>
      </c>
      <c r="H764" s="0" t="n">
        <f aca="false">(SUMPRODUCT(--ISNUMBER($E$2:$E$800),--($E$2:$E$800&lt;E764))+(SUMPRODUCT(--ISNUMBER($E$2:$E$800),--($E$2:$E$800=E764))+1)/2)/COUNT($E$2:$E$800)</f>
        <v>0.266583229036295</v>
      </c>
      <c r="I764" s="0" t="n">
        <f aca="false">(SUMPRODUCT(--ISNUMBER($G$2:$G$800),--($G$2:$G$800&lt;G764))+(SUMPRODUCT(--ISNUMBER($G$2:$G$800),--($G$2:$G$800=G764))+1)/2)/COUNT($G$2:$G$800)</f>
        <v>0.615769712140175</v>
      </c>
      <c r="J764" s="0" t="n">
        <v>22.2316008457804</v>
      </c>
      <c r="K764" s="0" t="n">
        <v>2.59287504085412</v>
      </c>
      <c r="L764" s="0" t="n">
        <v>0.250571957729595</v>
      </c>
      <c r="M764" s="0" t="n">
        <f aca="false">IF(OR(B764="NW",COUNT(Risk_Rank_Keys!B764)=0),0.5,(SUMPRODUCT(--ISNUMBER(Risk_Rank_Keys!$B$2:$B$800),--(Risk_Rank_Keys!$B$2:$B$800&lt;Risk_Rank_Keys!B764))+(SUMPRODUCT(--ISNUMBER(Risk_Rank_Keys!$B$2:$B$800),--(Risk_Rank_Keys!$B$2:$B$800=Risk_Rank_Keys!B764))+1)/2)/COUNT(Risk_Rank_Keys!$B$2:$B$800))</f>
        <v>0.822873082287308</v>
      </c>
      <c r="N764" s="0" t="n">
        <f aca="false">IF(OR(B764="NW",COUNT(Risk_Rank_Keys!C764)=0),0.5,(SUMPRODUCT(--ISNUMBER(Risk_Rank_Keys!$C$2:$C$800),--(Risk_Rank_Keys!$C$2:$C$800&lt;Risk_Rank_Keys!C764))+(SUMPRODUCT(--ISNUMBER(Risk_Rank_Keys!$C$2:$C$800),--(Risk_Rank_Keys!$C$2:$C$800=Risk_Rank_Keys!C764))+1)/2)/COUNT(Risk_Rank_Keys!$C$2:$C$800))</f>
        <v>0.407252440725244</v>
      </c>
      <c r="O764" s="0" t="n">
        <f aca="false">IF(OR(B764="NW",COUNT(Risk_Rank_Keys!D764)=0),0.5,(SUMPRODUCT(--ISNUMBER(Risk_Rank_Keys!$D$2:$D$800),--(Risk_Rank_Keys!$D$2:$D$800&lt;Risk_Rank_Keys!D764))+(SUMPRODUCT(--ISNUMBER(Risk_Rank_Keys!$D$2:$D$800),--(Risk_Rank_Keys!$D$2:$D$800=Risk_Rank_Keys!D764))+1)/2)/COUNT(Risk_Rank_Keys!$D$2:$D$800))</f>
        <v>0.591352859135286</v>
      </c>
      <c r="P764" s="0" t="n">
        <f aca="false">AVERAGE(M764:O764)</f>
        <v>0.607159460715946</v>
      </c>
      <c r="Q764" s="0" t="n">
        <f aca="false">0.4*H764+0.4*I764+0.2*P764</f>
        <v>0.474373068613778</v>
      </c>
      <c r="R764" s="0" t="n">
        <f aca="false">PERCENTILE($Q$2:$Q$800,0.75)</f>
        <v>0.667715717403612</v>
      </c>
      <c r="S764" s="1" t="b">
        <f aca="false">OR(Q764&gt;=R764,AND(B764="CW",COUNT(J764:L764)&lt;3))</f>
        <v>0</v>
      </c>
      <c r="T764" s="0" t="n">
        <v>0.249984157086589</v>
      </c>
      <c r="U764" s="0" t="n">
        <v>8.56802449662749</v>
      </c>
      <c r="V764" s="0" t="n">
        <v>0.474373068613778</v>
      </c>
      <c r="W764" s="0" t="n">
        <f aca="false">Q764-V764</f>
        <v>0</v>
      </c>
    </row>
    <row r="765" customFormat="false" ht="15" hidden="false" customHeight="false" outlineLevel="0" collapsed="false">
      <c r="A765" s="0" t="s">
        <v>799</v>
      </c>
      <c r="B765" s="0" t="s">
        <v>3013</v>
      </c>
      <c r="C765" s="0" t="n">
        <v>1.09741832659948</v>
      </c>
      <c r="D765" s="0" t="n">
        <f aca="false">SUMPRODUCT(Risk_Inputs!B765:AJ765,Risk_Coefs!$B$2:$AJ$2)</f>
        <v>-0.908778075017101</v>
      </c>
      <c r="E765" s="0" t="n">
        <f aca="false">1/(1+EXP(-MAX(-25,MIN(25,D765))))</f>
        <v>0.287249945958904</v>
      </c>
      <c r="F765" s="0" t="n">
        <f aca="false">SUMPRODUCT(Risk_Inputs!B765:AJ765,Risk_Coefs!$B$3:$AJ$3)</f>
        <v>8.22888166039422</v>
      </c>
      <c r="G765" s="0" t="n">
        <f aca="false">MAX(0,F765)</f>
        <v>8.22888166039422</v>
      </c>
      <c r="H765" s="0" t="n">
        <f aca="false">(SUMPRODUCT(--ISNUMBER($E$2:$E$800),--($E$2:$E$800&lt;E765))+(SUMPRODUCT(--ISNUMBER($E$2:$E$800),--($E$2:$E$800=E765))+1)/2)/COUNT($E$2:$E$800)</f>
        <v>0.505632040050063</v>
      </c>
      <c r="I765" s="0" t="n">
        <f aca="false">(SUMPRODUCT(--ISNUMBER($G$2:$G$800),--($G$2:$G$800&lt;G765))+(SUMPRODUCT(--ISNUMBER($G$2:$G$800),--($G$2:$G$800=G765))+1)/2)/COUNT($G$2:$G$800)</f>
        <v>0.571964956195244</v>
      </c>
      <c r="J765" s="0" t="n">
        <v>14.4233603692396</v>
      </c>
      <c r="K765" s="0" t="n">
        <v>1.35096292037943</v>
      </c>
      <c r="L765" s="0" t="n">
        <v>0.258695027306691</v>
      </c>
      <c r="M765" s="0" t="n">
        <f aca="false">IF(OR(B765="NW",COUNT(Risk_Rank_Keys!B765)=0),0.5,(SUMPRODUCT(--ISNUMBER(Risk_Rank_Keys!$B$2:$B$800),--(Risk_Rank_Keys!$B$2:$B$800&lt;Risk_Rank_Keys!B765))+(SUMPRODUCT(--ISNUMBER(Risk_Rank_Keys!$B$2:$B$800),--(Risk_Rank_Keys!$B$2:$B$800=Risk_Rank_Keys!B765))+1)/2)/COUNT(Risk_Rank_Keys!$B$2:$B$800))</f>
        <v>0.688981868898187</v>
      </c>
      <c r="N765" s="0" t="n">
        <f aca="false">IF(OR(B765="NW",COUNT(Risk_Rank_Keys!C765)=0),0.5,(SUMPRODUCT(--ISNUMBER(Risk_Rank_Keys!$C$2:$C$800),--(Risk_Rank_Keys!$C$2:$C$800&lt;Risk_Rank_Keys!C765))+(SUMPRODUCT(--ISNUMBER(Risk_Rank_Keys!$C$2:$C$800),--(Risk_Rank_Keys!$C$2:$C$800=Risk_Rank_Keys!C765))+1)/2)/COUNT(Risk_Rank_Keys!$C$2:$C$800))</f>
        <v>0.097629009762901</v>
      </c>
      <c r="O765" s="0" t="n">
        <f aca="false">IF(OR(B765="NW",COUNT(Risk_Rank_Keys!D765)=0),0.5,(SUMPRODUCT(--ISNUMBER(Risk_Rank_Keys!$D$2:$D$800),--(Risk_Rank_Keys!$D$2:$D$800&lt;Risk_Rank_Keys!D765))+(SUMPRODUCT(--ISNUMBER(Risk_Rank_Keys!$D$2:$D$800),--(Risk_Rank_Keys!$D$2:$D$800=Risk_Rank_Keys!D765))+1)/2)/COUNT(Risk_Rank_Keys!$D$2:$D$800))</f>
        <v>0.623430962343096</v>
      </c>
      <c r="P765" s="0" t="n">
        <f aca="false">AVERAGE(M765:O765)</f>
        <v>0.470013947001395</v>
      </c>
      <c r="Q765" s="0" t="n">
        <f aca="false">0.4*H765+0.4*I765+0.2*P765</f>
        <v>0.525041587898402</v>
      </c>
      <c r="R765" s="0" t="n">
        <f aca="false">PERCENTILE($Q$2:$Q$800,0.75)</f>
        <v>0.667715717403612</v>
      </c>
      <c r="S765" s="1" t="b">
        <f aca="false">OR(Q765&gt;=R765,AND(B765="CW",COUNT(J765:L765)&lt;3))</f>
        <v>0</v>
      </c>
      <c r="T765" s="0" t="n">
        <v>0.287249945958904</v>
      </c>
      <c r="U765" s="0" t="n">
        <v>8.22888166039422</v>
      </c>
      <c r="V765" s="0" t="n">
        <v>0.525041587898402</v>
      </c>
      <c r="W765" s="0" t="n">
        <f aca="false">Q765-V765</f>
        <v>0</v>
      </c>
    </row>
    <row r="766" customFormat="false" ht="15" hidden="false" customHeight="false" outlineLevel="0" collapsed="false">
      <c r="A766" s="0" t="s">
        <v>800</v>
      </c>
      <c r="B766" s="0" t="s">
        <v>3013</v>
      </c>
      <c r="C766" s="0" t="n">
        <v>14.7685393356288</v>
      </c>
      <c r="D766" s="0" t="n">
        <f aca="false">SUMPRODUCT(Risk_Inputs!B766:AJ766,Risk_Coefs!$B$2:$AJ$2)</f>
        <v>-0.818808235438158</v>
      </c>
      <c r="E766" s="0" t="n">
        <f aca="false">1/(1+EXP(-MAX(-25,MIN(25,D766))))</f>
        <v>0.306016696974131</v>
      </c>
      <c r="F766" s="0" t="n">
        <f aca="false">SUMPRODUCT(Risk_Inputs!B766:AJ766,Risk_Coefs!$B$3:$AJ$3)</f>
        <v>7.88382930368661</v>
      </c>
      <c r="G766" s="0" t="n">
        <f aca="false">MAX(0,F766)</f>
        <v>7.88382930368661</v>
      </c>
      <c r="H766" s="0" t="n">
        <f aca="false">(SUMPRODUCT(--ISNUMBER($E$2:$E$800),--($E$2:$E$800&lt;E766))+(SUMPRODUCT(--ISNUMBER($E$2:$E$800),--($E$2:$E$800=E766))+1)/2)/COUNT($E$2:$E$800)</f>
        <v>0.599499374217772</v>
      </c>
      <c r="I766" s="0" t="n">
        <f aca="false">(SUMPRODUCT(--ISNUMBER($G$2:$G$800),--($G$2:$G$800&lt;G766))+(SUMPRODUCT(--ISNUMBER($G$2:$G$800),--($G$2:$G$800=G766))+1)/2)/COUNT($G$2:$G$800)</f>
        <v>0.525657071339174</v>
      </c>
      <c r="J766" s="0" t="n">
        <v>13.7574207826779</v>
      </c>
      <c r="K766" s="0" t="n">
        <v>2.1522879363357</v>
      </c>
      <c r="L766" s="0" t="n">
        <v>0.253210345451253</v>
      </c>
      <c r="M766" s="0" t="n">
        <f aca="false">IF(OR(B766="NW",COUNT(Risk_Rank_Keys!B766)=0),0.5,(SUMPRODUCT(--ISNUMBER(Risk_Rank_Keys!$B$2:$B$800),--(Risk_Rank_Keys!$B$2:$B$800&lt;Risk_Rank_Keys!B766))+(SUMPRODUCT(--ISNUMBER(Risk_Rank_Keys!$B$2:$B$800),--(Risk_Rank_Keys!$B$2:$B$800=Risk_Rank_Keys!B766))+1)/2)/COUNT(Risk_Rank_Keys!$B$2:$B$800))</f>
        <v>0.673640167364017</v>
      </c>
      <c r="N766" s="0" t="n">
        <f aca="false">IF(OR(B766="NW",COUNT(Risk_Rank_Keys!C766)=0),0.5,(SUMPRODUCT(--ISNUMBER(Risk_Rank_Keys!$C$2:$C$800),--(Risk_Rank_Keys!$C$2:$C$800&lt;Risk_Rank_Keys!C766))+(SUMPRODUCT(--ISNUMBER(Risk_Rank_Keys!$C$2:$C$800),--(Risk_Rank_Keys!$C$2:$C$800=Risk_Rank_Keys!C766))+1)/2)/COUNT(Risk_Rank_Keys!$C$2:$C$800))</f>
        <v>0.305439330543933</v>
      </c>
      <c r="O766" s="0" t="n">
        <f aca="false">IF(OR(B766="NW",COUNT(Risk_Rank_Keys!D766)=0),0.5,(SUMPRODUCT(--ISNUMBER(Risk_Rank_Keys!$D$2:$D$800),--(Risk_Rank_Keys!$D$2:$D$800&lt;Risk_Rank_Keys!D766))+(SUMPRODUCT(--ISNUMBER(Risk_Rank_Keys!$D$2:$D$800),--(Risk_Rank_Keys!$D$2:$D$800=Risk_Rank_Keys!D766))+1)/2)/COUNT(Risk_Rank_Keys!$D$2:$D$800))</f>
        <v>0.605299860529986</v>
      </c>
      <c r="P766" s="0" t="n">
        <f aca="false">AVERAGE(M766:O766)</f>
        <v>0.528126452812645</v>
      </c>
      <c r="Q766" s="0" t="n">
        <f aca="false">0.4*H766+0.4*I766+0.2*P766</f>
        <v>0.555687868785308</v>
      </c>
      <c r="R766" s="0" t="n">
        <f aca="false">PERCENTILE($Q$2:$Q$800,0.75)</f>
        <v>0.667715717403612</v>
      </c>
      <c r="S766" s="1" t="b">
        <f aca="false">OR(Q766&gt;=R766,AND(B766="CW",COUNT(J766:L766)&lt;3))</f>
        <v>0</v>
      </c>
      <c r="T766" s="0" t="n">
        <v>0.306016696974131</v>
      </c>
      <c r="U766" s="0" t="n">
        <v>7.88382930368661</v>
      </c>
      <c r="V766" s="0" t="n">
        <v>0.555687868785308</v>
      </c>
      <c r="W766" s="0" t="n">
        <f aca="false">Q766-V766</f>
        <v>0</v>
      </c>
    </row>
    <row r="767" customFormat="false" ht="15" hidden="false" customHeight="false" outlineLevel="0" collapsed="false">
      <c r="A767" s="0" t="s">
        <v>801</v>
      </c>
      <c r="B767" s="0" t="s">
        <v>3013</v>
      </c>
      <c r="C767" s="0" t="n">
        <v>18.7807343625111</v>
      </c>
      <c r="D767" s="0" t="n">
        <f aca="false">SUMPRODUCT(Risk_Inputs!B767:AJ767,Risk_Coefs!$B$2:$AJ$2)</f>
        <v>-1.18631506968893</v>
      </c>
      <c r="E767" s="0" t="n">
        <f aca="false">1/(1+EXP(-MAX(-25,MIN(25,D767))))</f>
        <v>0.233918630308743</v>
      </c>
      <c r="F767" s="0" t="n">
        <f aca="false">SUMPRODUCT(Risk_Inputs!B767:AJ767,Risk_Coefs!$B$3:$AJ$3)</f>
        <v>5.313430961996</v>
      </c>
      <c r="G767" s="0" t="n">
        <f aca="false">MAX(0,F767)</f>
        <v>5.313430961996</v>
      </c>
      <c r="H767" s="0" t="n">
        <f aca="false">(SUMPRODUCT(--ISNUMBER($E$2:$E$800),--($E$2:$E$800&lt;E767))+(SUMPRODUCT(--ISNUMBER($E$2:$E$800),--($E$2:$E$800=E767))+1)/2)/COUNT($E$2:$E$800)</f>
        <v>0.193992490613267</v>
      </c>
      <c r="I767" s="0" t="n">
        <f aca="false">(SUMPRODUCT(--ISNUMBER($G$2:$G$800),--($G$2:$G$800&lt;G767))+(SUMPRODUCT(--ISNUMBER($G$2:$G$800),--($G$2:$G$800=G767))+1)/2)/COUNT($G$2:$G$800)</f>
        <v>0.175219023779725</v>
      </c>
      <c r="J767" s="0" t="n">
        <v>13.1555090802547</v>
      </c>
      <c r="K767" s="0" t="n">
        <v>7.1641791044776</v>
      </c>
      <c r="L767" s="0" t="n">
        <v>0.132669983416263</v>
      </c>
      <c r="M767" s="0" t="n">
        <f aca="false">IF(OR(B767="NW",COUNT(Risk_Rank_Keys!B767)=0),0.5,(SUMPRODUCT(--ISNUMBER(Risk_Rank_Keys!$B$2:$B$800),--(Risk_Rank_Keys!$B$2:$B$800&lt;Risk_Rank_Keys!B767))+(SUMPRODUCT(--ISNUMBER(Risk_Rank_Keys!$B$2:$B$800),--(Risk_Rank_Keys!$B$2:$B$800=Risk_Rank_Keys!B767))+1)/2)/COUNT(Risk_Rank_Keys!$B$2:$B$800))</f>
        <v>0.649930264993027</v>
      </c>
      <c r="N767" s="0" t="n">
        <f aca="false">IF(OR(B767="NW",COUNT(Risk_Rank_Keys!C767)=0),0.5,(SUMPRODUCT(--ISNUMBER(Risk_Rank_Keys!$C$2:$C$800),--(Risk_Rank_Keys!$C$2:$C$800&lt;Risk_Rank_Keys!C767))+(SUMPRODUCT(--ISNUMBER(Risk_Rank_Keys!$C$2:$C$800),--(Risk_Rank_Keys!$C$2:$C$800=Risk_Rank_Keys!C767))+1)/2)/COUNT(Risk_Rank_Keys!$C$2:$C$800))</f>
        <v>0.793584379358438</v>
      </c>
      <c r="O767" s="0" t="n">
        <f aca="false">IF(OR(B767="NW",COUNT(Risk_Rank_Keys!D767)=0),0.5,(SUMPRODUCT(--ISNUMBER(Risk_Rank_Keys!$D$2:$D$800),--(Risk_Rank_Keys!$D$2:$D$800&lt;Risk_Rank_Keys!D767))+(SUMPRODUCT(--ISNUMBER(Risk_Rank_Keys!$D$2:$D$800),--(Risk_Rank_Keys!$D$2:$D$800=Risk_Rank_Keys!D767))+1)/2)/COUNT(Risk_Rank_Keys!$D$2:$D$800))</f>
        <v>0.0683403068340307</v>
      </c>
      <c r="P767" s="0" t="n">
        <f aca="false">AVERAGE(M767:O767)</f>
        <v>0.503951650395165</v>
      </c>
      <c r="Q767" s="0" t="n">
        <f aca="false">0.4*H767+0.4*I767+0.2*P767</f>
        <v>0.248474935836229</v>
      </c>
      <c r="R767" s="0" t="n">
        <f aca="false">PERCENTILE($Q$2:$Q$800,0.75)</f>
        <v>0.667715717403612</v>
      </c>
      <c r="S767" s="1" t="b">
        <f aca="false">OR(Q767&gt;=R767,AND(B767="CW",COUNT(J767:L767)&lt;3))</f>
        <v>0</v>
      </c>
      <c r="T767" s="0" t="n">
        <v>0.233918630308743</v>
      </c>
      <c r="U767" s="0" t="n">
        <v>5.31343096199599</v>
      </c>
      <c r="V767" s="0" t="n">
        <v>0.24847493583623</v>
      </c>
      <c r="W767" s="0" t="n">
        <f aca="false">Q767-V767</f>
        <v>0</v>
      </c>
    </row>
    <row r="768" customFormat="false" ht="15" hidden="false" customHeight="false" outlineLevel="0" collapsed="false">
      <c r="A768" s="0" t="s">
        <v>802</v>
      </c>
      <c r="B768" s="0" t="s">
        <v>33</v>
      </c>
      <c r="C768" s="0" t="n">
        <v>12.8753126778195</v>
      </c>
      <c r="D768" s="0" t="n">
        <f aca="false">SUMPRODUCT(Risk_Inputs!B768:AJ768,Risk_Coefs!$B$2:$AJ$2)</f>
        <v>-0.632926600044048</v>
      </c>
      <c r="E768" s="0" t="n">
        <f aca="false">1/(1+EXP(-MAX(-25,MIN(25,D768))))</f>
        <v>0.346847236621269</v>
      </c>
      <c r="F768" s="0" t="n">
        <f aca="false">SUMPRODUCT(Risk_Inputs!B768:AJ768,Risk_Coefs!$B$3:$AJ$3)</f>
        <v>10.347946736793</v>
      </c>
      <c r="G768" s="0" t="n">
        <f aca="false">MAX(0,F768)</f>
        <v>10.347946736793</v>
      </c>
      <c r="H768" s="0" t="n">
        <f aca="false">(SUMPRODUCT(--ISNUMBER($E$2:$E$800),--($E$2:$E$800&lt;E768))+(SUMPRODUCT(--ISNUMBER($E$2:$E$800),--($E$2:$E$800=E768))+1)/2)/COUNT($E$2:$E$800)</f>
        <v>0.804755944931164</v>
      </c>
      <c r="I768" s="0" t="n">
        <f aca="false">(SUMPRODUCT(--ISNUMBER($G$2:$G$800),--($G$2:$G$800&lt;G768))+(SUMPRODUCT(--ISNUMBER($G$2:$G$800),--($G$2:$G$800=G768))+1)/2)/COUNT($G$2:$G$800)</f>
        <v>0.824780976220275</v>
      </c>
      <c r="M768" s="0" t="n">
        <f aca="false">IF(OR(B768="NW",COUNT(Risk_Rank_Keys!B768)=0),0.5,(SUMPRODUCT(--ISNUMBER(Risk_Rank_Keys!$B$2:$B$800),--(Risk_Rank_Keys!$B$2:$B$800&lt;Risk_Rank_Keys!B768))+(SUMPRODUCT(--ISNUMBER(Risk_Rank_Keys!$B$2:$B$800),--(Risk_Rank_Keys!$B$2:$B$800=Risk_Rank_Keys!B768))+1)/2)/COUNT(Risk_Rank_Keys!$B$2:$B$800))</f>
        <v>0.5</v>
      </c>
      <c r="N768" s="0" t="n">
        <f aca="false">IF(OR(B768="NW",COUNT(Risk_Rank_Keys!C768)=0),0.5,(SUMPRODUCT(--ISNUMBER(Risk_Rank_Keys!$C$2:$C$800),--(Risk_Rank_Keys!$C$2:$C$800&lt;Risk_Rank_Keys!C768))+(SUMPRODUCT(--ISNUMBER(Risk_Rank_Keys!$C$2:$C$800),--(Risk_Rank_Keys!$C$2:$C$800=Risk_Rank_Keys!C768))+1)/2)/COUNT(Risk_Rank_Keys!$C$2:$C$800))</f>
        <v>0.5</v>
      </c>
      <c r="O768" s="0" t="n">
        <f aca="false">IF(OR(B768="NW",COUNT(Risk_Rank_Keys!D768)=0),0.5,(SUMPRODUCT(--ISNUMBER(Risk_Rank_Keys!$D$2:$D$800),--(Risk_Rank_Keys!$D$2:$D$800&lt;Risk_Rank_Keys!D768))+(SUMPRODUCT(--ISNUMBER(Risk_Rank_Keys!$D$2:$D$800),--(Risk_Rank_Keys!$D$2:$D$800=Risk_Rank_Keys!D768))+1)/2)/COUNT(Risk_Rank_Keys!$D$2:$D$800))</f>
        <v>0.5</v>
      </c>
      <c r="P768" s="0" t="n">
        <f aca="false">AVERAGE(M768:O768)</f>
        <v>0.5</v>
      </c>
      <c r="Q768" s="0" t="n">
        <f aca="false">0.4*H768+0.4*I768+0.2*P768</f>
        <v>0.751814768460576</v>
      </c>
      <c r="R768" s="0" t="n">
        <f aca="false">PERCENTILE($Q$2:$Q$800,0.75)</f>
        <v>0.667715717403612</v>
      </c>
      <c r="S768" s="1" t="b">
        <f aca="false">OR(Q768&gt;=R768,AND(B768="CW",COUNT(J768:L768)&lt;3))</f>
        <v>1</v>
      </c>
      <c r="T768" s="0" t="n">
        <v>0.346847236621269</v>
      </c>
      <c r="U768" s="0" t="n">
        <v>10.347946736793</v>
      </c>
      <c r="V768" s="0" t="n">
        <v>0.751814768460576</v>
      </c>
      <c r="W768" s="0" t="n">
        <f aca="false">Q768-V768</f>
        <v>0</v>
      </c>
    </row>
    <row r="769" customFormat="false" ht="15" hidden="false" customHeight="false" outlineLevel="0" collapsed="false">
      <c r="A769" s="0" t="s">
        <v>803</v>
      </c>
      <c r="B769" s="0" t="s">
        <v>3013</v>
      </c>
      <c r="C769" s="0" t="n">
        <v>29.6631549658002</v>
      </c>
      <c r="D769" s="0" t="n">
        <f aca="false">SUMPRODUCT(Risk_Inputs!B769:AJ769,Risk_Coefs!$B$2:$AJ$2)</f>
        <v>-0.802038664593395</v>
      </c>
      <c r="E769" s="0" t="n">
        <f aca="false">1/(1+EXP(-MAX(-25,MIN(25,D769))))</f>
        <v>0.309589597728639</v>
      </c>
      <c r="F769" s="0" t="n">
        <f aca="false">SUMPRODUCT(Risk_Inputs!B769:AJ769,Risk_Coefs!$B$3:$AJ$3)</f>
        <v>6.4483637631103</v>
      </c>
      <c r="G769" s="0" t="n">
        <f aca="false">MAX(0,F769)</f>
        <v>6.4483637631103</v>
      </c>
      <c r="H769" s="0" t="n">
        <f aca="false">(SUMPRODUCT(--ISNUMBER($E$2:$E$800),--($E$2:$E$800&lt;E769))+(SUMPRODUCT(--ISNUMBER($E$2:$E$800),--($E$2:$E$800=E769))+1)/2)/COUNT($E$2:$E$800)</f>
        <v>0.614518147684606</v>
      </c>
      <c r="I769" s="0" t="n">
        <f aca="false">(SUMPRODUCT(--ISNUMBER($G$2:$G$800),--($G$2:$G$800&lt;G769))+(SUMPRODUCT(--ISNUMBER($G$2:$G$800),--($G$2:$G$800=G769))+1)/2)/COUNT($G$2:$G$800)</f>
        <v>0.332916145181477</v>
      </c>
      <c r="J769" s="0" t="n">
        <v>6.57787578464661</v>
      </c>
      <c r="K769" s="0" t="n">
        <v>0.864880192825767</v>
      </c>
      <c r="L769" s="0" t="n">
        <v>0.155962001984966</v>
      </c>
      <c r="M769" s="0" t="n">
        <f aca="false">IF(OR(B769="NW",COUNT(Risk_Rank_Keys!B769)=0),0.5,(SUMPRODUCT(--ISNUMBER(Risk_Rank_Keys!$B$2:$B$800),--(Risk_Rank_Keys!$B$2:$B$800&lt;Risk_Rank_Keys!B769))+(SUMPRODUCT(--ISNUMBER(Risk_Rank_Keys!$B$2:$B$800),--(Risk_Rank_Keys!$B$2:$B$800=Risk_Rank_Keys!B769))+1)/2)/COUNT(Risk_Rank_Keys!$B$2:$B$800))</f>
        <v>0.280334728033473</v>
      </c>
      <c r="N769" s="0" t="n">
        <f aca="false">IF(OR(B769="NW",COUNT(Risk_Rank_Keys!C769)=0),0.5,(SUMPRODUCT(--ISNUMBER(Risk_Rank_Keys!$C$2:$C$800),--(Risk_Rank_Keys!$C$2:$C$800&lt;Risk_Rank_Keys!C769))+(SUMPRODUCT(--ISNUMBER(Risk_Rank_Keys!$C$2:$C$800),--(Risk_Rank_Keys!$C$2:$C$800=Risk_Rank_Keys!C769))+1)/2)/COUNT(Risk_Rank_Keys!$C$2:$C$800))</f>
        <v>0.0153417015341702</v>
      </c>
      <c r="O769" s="0" t="n">
        <f aca="false">IF(OR(B769="NW",COUNT(Risk_Rank_Keys!D769)=0),0.5,(SUMPRODUCT(--ISNUMBER(Risk_Rank_Keys!$D$2:$D$800),--(Risk_Rank_Keys!$D$2:$D$800&lt;Risk_Rank_Keys!D769))+(SUMPRODUCT(--ISNUMBER(Risk_Rank_Keys!$D$2:$D$800),--(Risk_Rank_Keys!$D$2:$D$800=Risk_Rank_Keys!D769))+1)/2)/COUNT(Risk_Rank_Keys!$D$2:$D$800))</f>
        <v>0.121338912133891</v>
      </c>
      <c r="P769" s="0" t="n">
        <f aca="false">AVERAGE(M769:O769)</f>
        <v>0.139005113900511</v>
      </c>
      <c r="Q769" s="0" t="n">
        <f aca="false">0.4*H769+0.4*I769+0.2*P769</f>
        <v>0.406774739926535</v>
      </c>
      <c r="R769" s="0" t="n">
        <f aca="false">PERCENTILE($Q$2:$Q$800,0.75)</f>
        <v>0.667715717403612</v>
      </c>
      <c r="S769" s="1" t="b">
        <f aca="false">OR(Q769&gt;=R769,AND(B769="CW",COUNT(J769:L769)&lt;3))</f>
        <v>0</v>
      </c>
      <c r="T769" s="0" t="n">
        <v>0.309589597728639</v>
      </c>
      <c r="U769" s="0" t="n">
        <v>6.4483637631103</v>
      </c>
      <c r="V769" s="0" t="n">
        <v>0.406774739926535</v>
      </c>
      <c r="W769" s="0" t="n">
        <f aca="false">Q769-V769</f>
        <v>0</v>
      </c>
    </row>
    <row r="770" customFormat="false" ht="15" hidden="false" customHeight="false" outlineLevel="0" collapsed="false">
      <c r="A770" s="0" t="s">
        <v>804</v>
      </c>
      <c r="B770" s="0" t="s">
        <v>33</v>
      </c>
      <c r="C770" s="0" t="n">
        <v>-3.50747142239041</v>
      </c>
      <c r="D770" s="0" t="n">
        <f aca="false">SUMPRODUCT(Risk_Inputs!B770:AJ770,Risk_Coefs!$B$2:$AJ$2)</f>
        <v>-0.402627693905539</v>
      </c>
      <c r="E770" s="0" t="n">
        <f aca="false">1/(1+EXP(-MAX(-25,MIN(25,D770))))</f>
        <v>0.4006811722284</v>
      </c>
      <c r="F770" s="0" t="n">
        <f aca="false">SUMPRODUCT(Risk_Inputs!B770:AJ770,Risk_Coefs!$B$3:$AJ$3)</f>
        <v>12.2953313694694</v>
      </c>
      <c r="G770" s="0" t="n">
        <f aca="false">MAX(0,F770)</f>
        <v>12.2953313694694</v>
      </c>
      <c r="H770" s="0" t="n">
        <f aca="false">(SUMPRODUCT(--ISNUMBER($E$2:$E$800),--($E$2:$E$800&lt;E770))+(SUMPRODUCT(--ISNUMBER($E$2:$E$800),--($E$2:$E$800=E770))+1)/2)/COUNT($E$2:$E$800)</f>
        <v>0.943679599499374</v>
      </c>
      <c r="I770" s="0" t="n">
        <f aca="false">(SUMPRODUCT(--ISNUMBER($G$2:$G$800),--($G$2:$G$800&lt;G770))+(SUMPRODUCT(--ISNUMBER($G$2:$G$800),--($G$2:$G$800=G770))+1)/2)/COUNT($G$2:$G$800)</f>
        <v>0.932415519399249</v>
      </c>
      <c r="M770" s="0" t="n">
        <f aca="false">IF(OR(B770="NW",COUNT(Risk_Rank_Keys!B770)=0),0.5,(SUMPRODUCT(--ISNUMBER(Risk_Rank_Keys!$B$2:$B$800),--(Risk_Rank_Keys!$B$2:$B$800&lt;Risk_Rank_Keys!B770))+(SUMPRODUCT(--ISNUMBER(Risk_Rank_Keys!$B$2:$B$800),--(Risk_Rank_Keys!$B$2:$B$800=Risk_Rank_Keys!B770))+1)/2)/COUNT(Risk_Rank_Keys!$B$2:$B$800))</f>
        <v>0.5</v>
      </c>
      <c r="N770" s="0" t="n">
        <f aca="false">IF(OR(B770="NW",COUNT(Risk_Rank_Keys!C770)=0),0.5,(SUMPRODUCT(--ISNUMBER(Risk_Rank_Keys!$C$2:$C$800),--(Risk_Rank_Keys!$C$2:$C$800&lt;Risk_Rank_Keys!C770))+(SUMPRODUCT(--ISNUMBER(Risk_Rank_Keys!$C$2:$C$800),--(Risk_Rank_Keys!$C$2:$C$800=Risk_Rank_Keys!C770))+1)/2)/COUNT(Risk_Rank_Keys!$C$2:$C$800))</f>
        <v>0.5</v>
      </c>
      <c r="O770" s="0" t="n">
        <f aca="false">IF(OR(B770="NW",COUNT(Risk_Rank_Keys!D770)=0),0.5,(SUMPRODUCT(--ISNUMBER(Risk_Rank_Keys!$D$2:$D$800),--(Risk_Rank_Keys!$D$2:$D$800&lt;Risk_Rank_Keys!D770))+(SUMPRODUCT(--ISNUMBER(Risk_Rank_Keys!$D$2:$D$800),--(Risk_Rank_Keys!$D$2:$D$800=Risk_Rank_Keys!D770))+1)/2)/COUNT(Risk_Rank_Keys!$D$2:$D$800))</f>
        <v>0.5</v>
      </c>
      <c r="P770" s="0" t="n">
        <f aca="false">AVERAGE(M770:O770)</f>
        <v>0.5</v>
      </c>
      <c r="Q770" s="0" t="n">
        <f aca="false">0.4*H770+0.4*I770+0.2*P770</f>
        <v>0.850438047559449</v>
      </c>
      <c r="R770" s="0" t="n">
        <f aca="false">PERCENTILE($Q$2:$Q$800,0.75)</f>
        <v>0.667715717403612</v>
      </c>
      <c r="S770" s="1" t="b">
        <f aca="false">OR(Q770&gt;=R770,AND(B770="CW",COUNT(J770:L770)&lt;3))</f>
        <v>1</v>
      </c>
      <c r="T770" s="0" t="n">
        <v>0.4006811722284</v>
      </c>
      <c r="U770" s="0" t="n">
        <v>12.2953313694694</v>
      </c>
      <c r="V770" s="0" t="n">
        <v>0.850438047559449</v>
      </c>
      <c r="W770" s="0" t="n">
        <f aca="false">Q770-V770</f>
        <v>0</v>
      </c>
    </row>
    <row r="771" customFormat="false" ht="15" hidden="false" customHeight="false" outlineLevel="0" collapsed="false">
      <c r="A771" s="0" t="s">
        <v>805</v>
      </c>
      <c r="B771" s="0" t="s">
        <v>3013</v>
      </c>
      <c r="C771" s="0" t="n">
        <v>-19.2645886819596</v>
      </c>
      <c r="D771" s="0" t="n">
        <f aca="false">SUMPRODUCT(Risk_Inputs!B771:AJ771,Risk_Coefs!$B$2:$AJ$2)</f>
        <v>-0.984140581580478</v>
      </c>
      <c r="E771" s="0" t="n">
        <f aca="false">1/(1+EXP(-MAX(-25,MIN(25,D771))))</f>
        <v>0.272070974796772</v>
      </c>
      <c r="F771" s="0" t="n">
        <f aca="false">SUMPRODUCT(Risk_Inputs!B771:AJ771,Risk_Coefs!$B$3:$AJ$3)</f>
        <v>2.98951270854127</v>
      </c>
      <c r="G771" s="0" t="n">
        <f aca="false">MAX(0,F771)</f>
        <v>2.98951270854127</v>
      </c>
      <c r="H771" s="0" t="n">
        <f aca="false">(SUMPRODUCT(--ISNUMBER($E$2:$E$800),--($E$2:$E$800&lt;E771))+(SUMPRODUCT(--ISNUMBER($E$2:$E$800),--($E$2:$E$800=E771))+1)/2)/COUNT($E$2:$E$800)</f>
        <v>0.403003754693367</v>
      </c>
      <c r="I771" s="0" t="n">
        <f aca="false">(SUMPRODUCT(--ISNUMBER($G$2:$G$800),--($G$2:$G$800&lt;G771))+(SUMPRODUCT(--ISNUMBER($G$2:$G$800),--($G$2:$G$800=G771))+1)/2)/COUNT($G$2:$G$800)</f>
        <v>0.0237797246558198</v>
      </c>
      <c r="J771" s="0" t="n">
        <v>5.58961878800022</v>
      </c>
      <c r="K771" s="0" t="n">
        <v>3.06208053691276</v>
      </c>
      <c r="L771" s="0" t="n">
        <v>0.251677852348997</v>
      </c>
      <c r="M771" s="0" t="n">
        <f aca="false">IF(OR(B771="NW",COUNT(Risk_Rank_Keys!B771)=0),0.5,(SUMPRODUCT(--ISNUMBER(Risk_Rank_Keys!$B$2:$B$800),--(Risk_Rank_Keys!$B$2:$B$800&lt;Risk_Rank_Keys!B771))+(SUMPRODUCT(--ISNUMBER(Risk_Rank_Keys!$B$2:$B$800),--(Risk_Rank_Keys!$B$2:$B$800=Risk_Rank_Keys!B771))+1)/2)/COUNT(Risk_Rank_Keys!$B$2:$B$800))</f>
        <v>0.177126917712692</v>
      </c>
      <c r="N771" s="0" t="n">
        <f aca="false">IF(OR(B771="NW",COUNT(Risk_Rank_Keys!C771)=0),0.5,(SUMPRODUCT(--ISNUMBER(Risk_Rank_Keys!$C$2:$C$800),--(Risk_Rank_Keys!$C$2:$C$800&lt;Risk_Rank_Keys!C771))+(SUMPRODUCT(--ISNUMBER(Risk_Rank_Keys!$C$2:$C$800),--(Risk_Rank_Keys!$C$2:$C$800=Risk_Rank_Keys!C771))+1)/2)/COUNT(Risk_Rank_Keys!$C$2:$C$800))</f>
        <v>0.471408647140865</v>
      </c>
      <c r="O771" s="0" t="n">
        <f aca="false">IF(OR(B771="NW",COUNT(Risk_Rank_Keys!D771)=0),0.5,(SUMPRODUCT(--ISNUMBER(Risk_Rank_Keys!$D$2:$D$800),--(Risk_Rank_Keys!$D$2:$D$800&lt;Risk_Rank_Keys!D771))+(SUMPRODUCT(--ISNUMBER(Risk_Rank_Keys!$D$2:$D$800),--(Risk_Rank_Keys!$D$2:$D$800=Risk_Rank_Keys!D771))+1)/2)/COUNT(Risk_Rank_Keys!$D$2:$D$800))</f>
        <v>0.601115760111576</v>
      </c>
      <c r="P771" s="0" t="n">
        <f aca="false">AVERAGE(M771:O771)</f>
        <v>0.416550441655044</v>
      </c>
      <c r="Q771" s="0" t="n">
        <f aca="false">0.4*H771+0.4*I771+0.2*P771</f>
        <v>0.254023480070683</v>
      </c>
      <c r="R771" s="0" t="n">
        <f aca="false">PERCENTILE($Q$2:$Q$800,0.75)</f>
        <v>0.667715717403612</v>
      </c>
      <c r="S771" s="1" t="b">
        <f aca="false">OR(Q771&gt;=R771,AND(B771="CW",COUNT(J771:L771)&lt;3))</f>
        <v>0</v>
      </c>
      <c r="T771" s="0" t="n">
        <v>0.272070974796772</v>
      </c>
      <c r="U771" s="0" t="n">
        <v>2.98951270854127</v>
      </c>
      <c r="V771" s="0" t="n">
        <v>0.254023480070683</v>
      </c>
      <c r="W771" s="0" t="n">
        <f aca="false">Q771-V771</f>
        <v>0</v>
      </c>
    </row>
    <row r="772" customFormat="false" ht="15" hidden="false" customHeight="false" outlineLevel="0" collapsed="false">
      <c r="A772" s="0" t="s">
        <v>806</v>
      </c>
      <c r="B772" s="0" t="s">
        <v>3013</v>
      </c>
      <c r="C772" s="0" t="n">
        <v>11.7307398638185</v>
      </c>
      <c r="D772" s="0" t="n">
        <f aca="false">SUMPRODUCT(Risk_Inputs!B772:AJ772,Risk_Coefs!$B$2:$AJ$2)</f>
        <v>-0.854706544342486</v>
      </c>
      <c r="E772" s="0" t="n">
        <f aca="false">1/(1+EXP(-MAX(-25,MIN(25,D772))))</f>
        <v>0.298446485375013</v>
      </c>
      <c r="F772" s="0" t="n">
        <f aca="false">SUMPRODUCT(Risk_Inputs!B772:AJ772,Risk_Coefs!$B$3:$AJ$3)</f>
        <v>7.41544554836056</v>
      </c>
      <c r="G772" s="0" t="n">
        <f aca="false">MAX(0,F772)</f>
        <v>7.41544554836056</v>
      </c>
      <c r="H772" s="0" t="n">
        <f aca="false">(SUMPRODUCT(--ISNUMBER($E$2:$E$800),--($E$2:$E$800&lt;E772))+(SUMPRODUCT(--ISNUMBER($E$2:$E$800),--($E$2:$E$800=E772))+1)/2)/COUNT($E$2:$E$800)</f>
        <v>0.55944931163955</v>
      </c>
      <c r="I772" s="0" t="n">
        <f aca="false">(SUMPRODUCT(--ISNUMBER($G$2:$G$800),--($G$2:$G$800&lt;G772))+(SUMPRODUCT(--ISNUMBER($G$2:$G$800),--($G$2:$G$800=G772))+1)/2)/COUNT($G$2:$G$800)</f>
        <v>0.461827284105131</v>
      </c>
      <c r="J772" s="0" t="n">
        <v>6.00044684178702</v>
      </c>
      <c r="K772" s="0" t="n">
        <v>1.26800250469633</v>
      </c>
      <c r="L772" s="0" t="n">
        <v>0.266123982467115</v>
      </c>
      <c r="M772" s="0" t="n">
        <f aca="false">IF(OR(B772="NW",COUNT(Risk_Rank_Keys!B772)=0),0.5,(SUMPRODUCT(--ISNUMBER(Risk_Rank_Keys!$B$2:$B$800),--(Risk_Rank_Keys!$B$2:$B$800&lt;Risk_Rank_Keys!B772))+(SUMPRODUCT(--ISNUMBER(Risk_Rank_Keys!$B$2:$B$800),--(Risk_Rank_Keys!$B$2:$B$800=Risk_Rank_Keys!B772))+1)/2)/COUNT(Risk_Rank_Keys!$B$2:$B$800))</f>
        <v>0.227336122733612</v>
      </c>
      <c r="N772" s="0" t="n">
        <f aca="false">IF(OR(B772="NW",COUNT(Risk_Rank_Keys!C772)=0),0.5,(SUMPRODUCT(--ISNUMBER(Risk_Rank_Keys!$C$2:$C$800),--(Risk_Rank_Keys!$C$2:$C$800&lt;Risk_Rank_Keys!C772))+(SUMPRODUCT(--ISNUMBER(Risk_Rank_Keys!$C$2:$C$800),--(Risk_Rank_Keys!$C$2:$C$800=Risk_Rank_Keys!C772))+1)/2)/COUNT(Risk_Rank_Keys!$C$2:$C$800))</f>
        <v>0.0822873082287308</v>
      </c>
      <c r="O772" s="0" t="n">
        <f aca="false">IF(OR(B772="NW",COUNT(Risk_Rank_Keys!D772)=0),0.5,(SUMPRODUCT(--ISNUMBER(Risk_Rank_Keys!$D$2:$D$800),--(Risk_Rank_Keys!$D$2:$D$800&lt;Risk_Rank_Keys!D772))+(SUMPRODUCT(--ISNUMBER(Risk_Rank_Keys!$D$2:$D$800),--(Risk_Rank_Keys!$D$2:$D$800=Risk_Rank_Keys!D772))+1)/2)/COUNT(Risk_Rank_Keys!$D$2:$D$800))</f>
        <v>0.654114365411437</v>
      </c>
      <c r="P772" s="0" t="n">
        <f aca="false">AVERAGE(M772:O772)</f>
        <v>0.321245932124593</v>
      </c>
      <c r="Q772" s="0" t="n">
        <f aca="false">0.4*H772+0.4*I772+0.2*P772</f>
        <v>0.472759824722791</v>
      </c>
      <c r="R772" s="0" t="n">
        <f aca="false">PERCENTILE($Q$2:$Q$800,0.75)</f>
        <v>0.667715717403612</v>
      </c>
      <c r="S772" s="1" t="b">
        <f aca="false">OR(Q772&gt;=R772,AND(B772="CW",COUNT(J772:L772)&lt;3))</f>
        <v>0</v>
      </c>
      <c r="T772" s="0" t="n">
        <v>0.298446485375013</v>
      </c>
      <c r="U772" s="0" t="n">
        <v>7.41544554836056</v>
      </c>
      <c r="V772" s="0" t="n">
        <v>0.472759824722791</v>
      </c>
      <c r="W772" s="0" t="n">
        <f aca="false">Q772-V772</f>
        <v>0</v>
      </c>
    </row>
    <row r="773" customFormat="false" ht="15" hidden="false" customHeight="false" outlineLevel="0" collapsed="false">
      <c r="A773" s="0" t="s">
        <v>807</v>
      </c>
      <c r="B773" s="0" t="s">
        <v>3013</v>
      </c>
      <c r="C773" s="0" t="n">
        <v>50.6348048468661</v>
      </c>
      <c r="D773" s="0" t="n">
        <f aca="false">SUMPRODUCT(Risk_Inputs!B773:AJ773,Risk_Coefs!$B$2:$AJ$2)</f>
        <v>-1.55791992285653</v>
      </c>
      <c r="E773" s="0" t="n">
        <f aca="false">1/(1+EXP(-MAX(-25,MIN(25,D773))))</f>
        <v>0.173945327194109</v>
      </c>
      <c r="F773" s="0" t="n">
        <f aca="false">SUMPRODUCT(Risk_Inputs!B773:AJ773,Risk_Coefs!$B$3:$AJ$3)</f>
        <v>2.91913243207722</v>
      </c>
      <c r="G773" s="0" t="n">
        <f aca="false">MAX(0,F773)</f>
        <v>2.91913243207722</v>
      </c>
      <c r="H773" s="0" t="n">
        <f aca="false">(SUMPRODUCT(--ISNUMBER($E$2:$E$800),--($E$2:$E$800&lt;E773))+(SUMPRODUCT(--ISNUMBER($E$2:$E$800),--($E$2:$E$800=E773))+1)/2)/COUNT($E$2:$E$800)</f>
        <v>0.0475594493116396</v>
      </c>
      <c r="I773" s="0" t="n">
        <f aca="false">(SUMPRODUCT(--ISNUMBER($G$2:$G$800),--($G$2:$G$800&lt;G773))+(SUMPRODUCT(--ISNUMBER($G$2:$G$800),--($G$2:$G$800=G773))+1)/2)/COUNT($G$2:$G$800)</f>
        <v>0.0225281602002503</v>
      </c>
      <c r="J773" s="0" t="n">
        <v>5.31656141166481</v>
      </c>
      <c r="K773" s="0" t="n">
        <v>9.18407567993694</v>
      </c>
      <c r="L773" s="0" t="n">
        <v>0.315333070555768</v>
      </c>
      <c r="M773" s="0" t="n">
        <f aca="false">IF(OR(B773="NW",COUNT(Risk_Rank_Keys!B773)=0),0.5,(SUMPRODUCT(--ISNUMBER(Risk_Rank_Keys!$B$2:$B$800),--(Risk_Rank_Keys!$B$2:$B$800&lt;Risk_Rank_Keys!B773))+(SUMPRODUCT(--ISNUMBER(Risk_Rank_Keys!$B$2:$B$800),--(Risk_Rank_Keys!$B$2:$B$800=Risk_Rank_Keys!B773))+1)/2)/COUNT(Risk_Rank_Keys!$B$2:$B$800))</f>
        <v>0.150627615062762</v>
      </c>
      <c r="N773" s="0" t="n">
        <f aca="false">IF(OR(B773="NW",COUNT(Risk_Rank_Keys!C773)=0),0.5,(SUMPRODUCT(--ISNUMBER(Risk_Rank_Keys!$C$2:$C$800),--(Risk_Rank_Keys!$C$2:$C$800&lt;Risk_Rank_Keys!C773))+(SUMPRODUCT(--ISNUMBER(Risk_Rank_Keys!$C$2:$C$800),--(Risk_Rank_Keys!$C$2:$C$800=Risk_Rank_Keys!C773))+1)/2)/COUNT(Risk_Rank_Keys!$C$2:$C$800))</f>
        <v>0.856345885634589</v>
      </c>
      <c r="O773" s="0" t="n">
        <f aca="false">IF(OR(B773="NW",COUNT(Risk_Rank_Keys!D773)=0),0.5,(SUMPRODUCT(--ISNUMBER(Risk_Rank_Keys!$D$2:$D$800),--(Risk_Rank_Keys!$D$2:$D$800&lt;Risk_Rank_Keys!D773))+(SUMPRODUCT(--ISNUMBER(Risk_Rank_Keys!$D$2:$D$800),--(Risk_Rank_Keys!$D$2:$D$800=Risk_Rank_Keys!D773))+1)/2)/COUNT(Risk_Rank_Keys!$D$2:$D$800))</f>
        <v>0.765690376569038</v>
      </c>
      <c r="P773" s="0" t="n">
        <f aca="false">AVERAGE(M773:O773)</f>
        <v>0.590887959088796</v>
      </c>
      <c r="Q773" s="0" t="n">
        <f aca="false">0.4*H773+0.4*I773+0.2*P773</f>
        <v>0.146212635622515</v>
      </c>
      <c r="R773" s="0" t="n">
        <f aca="false">PERCENTILE($Q$2:$Q$800,0.75)</f>
        <v>0.667715717403612</v>
      </c>
      <c r="S773" s="1" t="b">
        <f aca="false">OR(Q773&gt;=R773,AND(B773="CW",COUNT(J773:L773)&lt;3))</f>
        <v>0</v>
      </c>
      <c r="T773" s="0" t="n">
        <v>0.173945327194109</v>
      </c>
      <c r="U773" s="0" t="n">
        <v>2.91913243207722</v>
      </c>
      <c r="V773" s="0" t="n">
        <v>0.146212635622515</v>
      </c>
      <c r="W773" s="0" t="n">
        <f aca="false">Q773-V773</f>
        <v>0</v>
      </c>
    </row>
    <row r="774" customFormat="false" ht="15" hidden="false" customHeight="false" outlineLevel="0" collapsed="false">
      <c r="A774" s="0" t="s">
        <v>808</v>
      </c>
      <c r="B774" s="0" t="s">
        <v>3013</v>
      </c>
      <c r="C774" s="0" t="n">
        <v>8.89994032778276</v>
      </c>
      <c r="D774" s="0" t="n">
        <f aca="false">SUMPRODUCT(Risk_Inputs!B774:AJ774,Risk_Coefs!$B$2:$AJ$2)</f>
        <v>-0.900153780673547</v>
      </c>
      <c r="E774" s="0" t="n">
        <f aca="false">1/(1+EXP(-MAX(-25,MIN(25,D774))))</f>
        <v>0.289018896424515</v>
      </c>
      <c r="F774" s="0" t="n">
        <f aca="false">SUMPRODUCT(Risk_Inputs!B774:AJ774,Risk_Coefs!$B$3:$AJ$3)</f>
        <v>8.69535985682766</v>
      </c>
      <c r="G774" s="0" t="n">
        <f aca="false">MAX(0,F774)</f>
        <v>8.69535985682766</v>
      </c>
      <c r="H774" s="0" t="n">
        <f aca="false">(SUMPRODUCT(--ISNUMBER($E$2:$E$800),--($E$2:$E$800&lt;E774))+(SUMPRODUCT(--ISNUMBER($E$2:$E$800),--($E$2:$E$800=E774))+1)/2)/COUNT($E$2:$E$800)</f>
        <v>0.519399249061327</v>
      </c>
      <c r="I774" s="0" t="n">
        <f aca="false">(SUMPRODUCT(--ISNUMBER($G$2:$G$800),--($G$2:$G$800&lt;G774))+(SUMPRODUCT(--ISNUMBER($G$2:$G$800),--($G$2:$G$800=G774))+1)/2)/COUNT($G$2:$G$800)</f>
        <v>0.633291614518148</v>
      </c>
      <c r="J774" s="0" t="n">
        <v>13.7517622829225</v>
      </c>
      <c r="K774" s="0" t="n">
        <v>3.67481625918704</v>
      </c>
      <c r="L774" s="0" t="n">
        <v>0.194990250487477</v>
      </c>
      <c r="M774" s="0" t="n">
        <f aca="false">IF(OR(B774="NW",COUNT(Risk_Rank_Keys!B774)=0),0.5,(SUMPRODUCT(--ISNUMBER(Risk_Rank_Keys!$B$2:$B$800),--(Risk_Rank_Keys!$B$2:$B$800&lt;Risk_Rank_Keys!B774))+(SUMPRODUCT(--ISNUMBER(Risk_Rank_Keys!$B$2:$B$800),--(Risk_Rank_Keys!$B$2:$B$800=Risk_Rank_Keys!B774))+1)/2)/COUNT(Risk_Rank_Keys!$B$2:$B$800))</f>
        <v>0.672245467224547</v>
      </c>
      <c r="N774" s="0" t="n">
        <f aca="false">IF(OR(B774="NW",COUNT(Risk_Rank_Keys!C774)=0),0.5,(SUMPRODUCT(--ISNUMBER(Risk_Rank_Keys!$C$2:$C$800),--(Risk_Rank_Keys!$C$2:$C$800&lt;Risk_Rank_Keys!C774))+(SUMPRODUCT(--ISNUMBER(Risk_Rank_Keys!$C$2:$C$800),--(Risk_Rank_Keys!$C$2:$C$800=Risk_Rank_Keys!C774))+1)/2)/COUNT(Risk_Rank_Keys!$C$2:$C$800))</f>
        <v>0.555090655509066</v>
      </c>
      <c r="O774" s="0" t="n">
        <f aca="false">IF(OR(B774="NW",COUNT(Risk_Rank_Keys!D774)=0),0.5,(SUMPRODUCT(--ISNUMBER(Risk_Rank_Keys!$D$2:$D$800),--(Risk_Rank_Keys!$D$2:$D$800&lt;Risk_Rank_Keys!D774))+(SUMPRODUCT(--ISNUMBER(Risk_Rank_Keys!$D$2:$D$800),--(Risk_Rank_Keys!$D$2:$D$800=Risk_Rank_Keys!D774))+1)/2)/COUNT(Risk_Rank_Keys!$D$2:$D$800))</f>
        <v>0.284518828451883</v>
      </c>
      <c r="P774" s="0" t="n">
        <f aca="false">AVERAGE(M774:O774)</f>
        <v>0.503951650395165</v>
      </c>
      <c r="Q774" s="0" t="n">
        <f aca="false">0.4*H774+0.4*I774+0.2*P774</f>
        <v>0.561866675510823</v>
      </c>
      <c r="R774" s="0" t="n">
        <f aca="false">PERCENTILE($Q$2:$Q$800,0.75)</f>
        <v>0.667715717403612</v>
      </c>
      <c r="S774" s="1" t="b">
        <f aca="false">OR(Q774&gt;=R774,AND(B774="CW",COUNT(J774:L774)&lt;3))</f>
        <v>0</v>
      </c>
      <c r="T774" s="0" t="n">
        <v>0.289018896424515</v>
      </c>
      <c r="U774" s="0" t="n">
        <v>8.69535985682766</v>
      </c>
      <c r="V774" s="0" t="n">
        <v>0.561866675510823</v>
      </c>
      <c r="W774" s="0" t="n">
        <f aca="false">Q774-V774</f>
        <v>0</v>
      </c>
    </row>
    <row r="775" customFormat="false" ht="15" hidden="false" customHeight="false" outlineLevel="0" collapsed="false">
      <c r="A775" s="0" t="s">
        <v>809</v>
      </c>
      <c r="B775" s="0" t="s">
        <v>33</v>
      </c>
      <c r="C775" s="0" t="n">
        <v>26.986535278191</v>
      </c>
      <c r="D775" s="0" t="n">
        <f aca="false">SUMPRODUCT(Risk_Inputs!B775:AJ775,Risk_Coefs!$B$2:$AJ$2)</f>
        <v>-0.586107578994428</v>
      </c>
      <c r="E775" s="0" t="n">
        <f aca="false">1/(1+EXP(-MAX(-25,MIN(25,D775))))</f>
        <v>0.357528453962729</v>
      </c>
      <c r="F775" s="0" t="n">
        <f aca="false">SUMPRODUCT(Risk_Inputs!B775:AJ775,Risk_Coefs!$B$3:$AJ$3)</f>
        <v>10.3988760221068</v>
      </c>
      <c r="G775" s="0" t="n">
        <f aca="false">MAX(0,F775)</f>
        <v>10.3988760221068</v>
      </c>
      <c r="H775" s="0" t="n">
        <f aca="false">(SUMPRODUCT(--ISNUMBER($E$2:$E$800),--($E$2:$E$800&lt;E775))+(SUMPRODUCT(--ISNUMBER($E$2:$E$800),--($E$2:$E$800=E775))+1)/2)/COUNT($E$2:$E$800)</f>
        <v>0.838548185231539</v>
      </c>
      <c r="I775" s="0" t="n">
        <f aca="false">(SUMPRODUCT(--ISNUMBER($G$2:$G$800),--($G$2:$G$800&lt;G775))+(SUMPRODUCT(--ISNUMBER($G$2:$G$800),--($G$2:$G$800=G775))+1)/2)/COUNT($G$2:$G$800)</f>
        <v>0.829787234042553</v>
      </c>
      <c r="M775" s="0" t="n">
        <f aca="false">IF(OR(B775="NW",COUNT(Risk_Rank_Keys!B775)=0),0.5,(SUMPRODUCT(--ISNUMBER(Risk_Rank_Keys!$B$2:$B$800),--(Risk_Rank_Keys!$B$2:$B$800&lt;Risk_Rank_Keys!B775))+(SUMPRODUCT(--ISNUMBER(Risk_Rank_Keys!$B$2:$B$800),--(Risk_Rank_Keys!$B$2:$B$800=Risk_Rank_Keys!B775))+1)/2)/COUNT(Risk_Rank_Keys!$B$2:$B$800))</f>
        <v>0.5</v>
      </c>
      <c r="N775" s="0" t="n">
        <f aca="false">IF(OR(B775="NW",COUNT(Risk_Rank_Keys!C775)=0),0.5,(SUMPRODUCT(--ISNUMBER(Risk_Rank_Keys!$C$2:$C$800),--(Risk_Rank_Keys!$C$2:$C$800&lt;Risk_Rank_Keys!C775))+(SUMPRODUCT(--ISNUMBER(Risk_Rank_Keys!$C$2:$C$800),--(Risk_Rank_Keys!$C$2:$C$800=Risk_Rank_Keys!C775))+1)/2)/COUNT(Risk_Rank_Keys!$C$2:$C$800))</f>
        <v>0.5</v>
      </c>
      <c r="O775" s="0" t="n">
        <f aca="false">IF(OR(B775="NW",COUNT(Risk_Rank_Keys!D775)=0),0.5,(SUMPRODUCT(--ISNUMBER(Risk_Rank_Keys!$D$2:$D$800),--(Risk_Rank_Keys!$D$2:$D$800&lt;Risk_Rank_Keys!D775))+(SUMPRODUCT(--ISNUMBER(Risk_Rank_Keys!$D$2:$D$800),--(Risk_Rank_Keys!$D$2:$D$800=Risk_Rank_Keys!D775))+1)/2)/COUNT(Risk_Rank_Keys!$D$2:$D$800))</f>
        <v>0.5</v>
      </c>
      <c r="P775" s="0" t="n">
        <f aca="false">AVERAGE(M775:O775)</f>
        <v>0.5</v>
      </c>
      <c r="Q775" s="0" t="n">
        <f aca="false">0.4*H775+0.4*I775+0.2*P775</f>
        <v>0.767334167709637</v>
      </c>
      <c r="R775" s="0" t="n">
        <f aca="false">PERCENTILE($Q$2:$Q$800,0.75)</f>
        <v>0.667715717403612</v>
      </c>
      <c r="S775" s="1" t="b">
        <f aca="false">OR(Q775&gt;=R775,AND(B775="CW",COUNT(J775:L775)&lt;3))</f>
        <v>1</v>
      </c>
      <c r="T775" s="0" t="n">
        <v>0.357528453962729</v>
      </c>
      <c r="U775" s="0" t="n">
        <v>10.3988760221068</v>
      </c>
      <c r="V775" s="0" t="n">
        <v>0.767334167709637</v>
      </c>
      <c r="W775" s="0" t="n">
        <f aca="false">Q775-V775</f>
        <v>0</v>
      </c>
    </row>
    <row r="776" customFormat="false" ht="15" hidden="false" customHeight="false" outlineLevel="0" collapsed="false">
      <c r="A776" s="0" t="s">
        <v>810</v>
      </c>
      <c r="B776" s="0" t="s">
        <v>3013</v>
      </c>
      <c r="C776" s="0" t="n">
        <v>24.9668845312297</v>
      </c>
      <c r="D776" s="0" t="n">
        <f aca="false">SUMPRODUCT(Risk_Inputs!B776:AJ776,Risk_Coefs!$B$2:$AJ$2)</f>
        <v>-0.866811753385444</v>
      </c>
      <c r="E776" s="0" t="n">
        <f aca="false">1/(1+EXP(-MAX(-25,MIN(25,D776))))</f>
        <v>0.295918142583547</v>
      </c>
      <c r="F776" s="0" t="n">
        <f aca="false">SUMPRODUCT(Risk_Inputs!B776:AJ776,Risk_Coefs!$B$3:$AJ$3)</f>
        <v>8.50786925823438</v>
      </c>
      <c r="G776" s="0" t="n">
        <f aca="false">MAX(0,F776)</f>
        <v>8.50786925823438</v>
      </c>
      <c r="H776" s="0" t="n">
        <f aca="false">(SUMPRODUCT(--ISNUMBER($E$2:$E$800),--($E$2:$E$800&lt;E776))+(SUMPRODUCT(--ISNUMBER($E$2:$E$800),--($E$2:$E$800=E776))+1)/2)/COUNT($E$2:$E$800)</f>
        <v>0.550688360450563</v>
      </c>
      <c r="I776" s="0" t="n">
        <f aca="false">(SUMPRODUCT(--ISNUMBER($G$2:$G$800),--($G$2:$G$800&lt;G776))+(SUMPRODUCT(--ISNUMBER($G$2:$G$800),--($G$2:$G$800=G776))+1)/2)/COUNT($G$2:$G$800)</f>
        <v>0.60575719649562</v>
      </c>
      <c r="J776" s="0" t="n">
        <v>6.08921004449548</v>
      </c>
      <c r="K776" s="0" t="n">
        <v>1.30458416379778</v>
      </c>
      <c r="L776" s="0" t="n">
        <v>0.16307302047472</v>
      </c>
      <c r="M776" s="0" t="n">
        <f aca="false">IF(OR(B776="NW",COUNT(Risk_Rank_Keys!B776)=0),0.5,(SUMPRODUCT(--ISNUMBER(Risk_Rank_Keys!$B$2:$B$800),--(Risk_Rank_Keys!$B$2:$B$800&lt;Risk_Rank_Keys!B776))+(SUMPRODUCT(--ISNUMBER(Risk_Rank_Keys!$B$2:$B$800),--(Risk_Rank_Keys!$B$2:$B$800=Risk_Rank_Keys!B776))+1)/2)/COUNT(Risk_Rank_Keys!$B$2:$B$800))</f>
        <v>0.230125523012552</v>
      </c>
      <c r="N776" s="0" t="n">
        <f aca="false">IF(OR(B776="NW",COUNT(Risk_Rank_Keys!C776)=0),0.5,(SUMPRODUCT(--ISNUMBER(Risk_Rank_Keys!$C$2:$C$800),--(Risk_Rank_Keys!$C$2:$C$800&lt;Risk_Rank_Keys!C776))+(SUMPRODUCT(--ISNUMBER(Risk_Rank_Keys!$C$2:$C$800),--(Risk_Rank_Keys!$C$2:$C$800=Risk_Rank_Keys!C776))+1)/2)/COUNT(Risk_Rank_Keys!$C$2:$C$800))</f>
        <v>0.0878661087866109</v>
      </c>
      <c r="O776" s="0" t="n">
        <f aca="false">IF(OR(B776="NW",COUNT(Risk_Rank_Keys!D776)=0),0.5,(SUMPRODUCT(--ISNUMBER(Risk_Rank_Keys!$D$2:$D$800),--(Risk_Rank_Keys!$D$2:$D$800&lt;Risk_Rank_Keys!D776))+(SUMPRODUCT(--ISNUMBER(Risk_Rank_Keys!$D$2:$D$800),--(Risk_Rank_Keys!$D$2:$D$800=Risk_Rank_Keys!D776))+1)/2)/COUNT(Risk_Rank_Keys!$D$2:$D$800))</f>
        <v>0.146443514644351</v>
      </c>
      <c r="P776" s="0" t="n">
        <f aca="false">AVERAGE(M776:O776)</f>
        <v>0.154811715481172</v>
      </c>
      <c r="Q776" s="0" t="n">
        <f aca="false">0.4*H776+0.4*I776+0.2*P776</f>
        <v>0.493540565874707</v>
      </c>
      <c r="R776" s="0" t="n">
        <f aca="false">PERCENTILE($Q$2:$Q$800,0.75)</f>
        <v>0.667715717403612</v>
      </c>
      <c r="S776" s="1" t="b">
        <f aca="false">OR(Q776&gt;=R776,AND(B776="CW",COUNT(J776:L776)&lt;3))</f>
        <v>0</v>
      </c>
      <c r="T776" s="0" t="n">
        <v>0.295918142583547</v>
      </c>
      <c r="U776" s="0" t="n">
        <v>8.50786925823438</v>
      </c>
      <c r="V776" s="0" t="n">
        <v>0.493540565874708</v>
      </c>
      <c r="W776" s="0" t="n">
        <f aca="false">Q776-V776</f>
        <v>0</v>
      </c>
    </row>
    <row r="777" customFormat="false" ht="15" hidden="false" customHeight="false" outlineLevel="0" collapsed="false">
      <c r="A777" s="0" t="s">
        <v>811</v>
      </c>
      <c r="B777" s="0" t="s">
        <v>3013</v>
      </c>
      <c r="C777" s="0" t="n">
        <v>33.5208098888202</v>
      </c>
      <c r="D777" s="0" t="n">
        <f aca="false">SUMPRODUCT(Risk_Inputs!B777:AJ777,Risk_Coefs!$B$2:$AJ$2)</f>
        <v>-1.08699569104274</v>
      </c>
      <c r="E777" s="0" t="n">
        <f aca="false">1/(1+EXP(-MAX(-25,MIN(25,D777))))</f>
        <v>0.252184431405078</v>
      </c>
      <c r="F777" s="0" t="n">
        <f aca="false">SUMPRODUCT(Risk_Inputs!B777:AJ777,Risk_Coefs!$B$3:$AJ$3)</f>
        <v>3.10396067901321</v>
      </c>
      <c r="G777" s="0" t="n">
        <f aca="false">MAX(0,F777)</f>
        <v>3.10396067901321</v>
      </c>
      <c r="H777" s="0" t="n">
        <f aca="false">(SUMPRODUCT(--ISNUMBER($E$2:$E$800),--($E$2:$E$800&lt;E777))+(SUMPRODUCT(--ISNUMBER($E$2:$E$800),--($E$2:$E$800=E777))+1)/2)/COUNT($E$2:$E$800)</f>
        <v>0.27909887359199</v>
      </c>
      <c r="I777" s="0" t="n">
        <f aca="false">(SUMPRODUCT(--ISNUMBER($G$2:$G$800),--($G$2:$G$800&lt;G777))+(SUMPRODUCT(--ISNUMBER($G$2:$G$800),--($G$2:$G$800=G777))+1)/2)/COUNT($G$2:$G$800)</f>
        <v>0.0275344180225282</v>
      </c>
      <c r="J777" s="0" t="n">
        <v>9.2959273000122</v>
      </c>
      <c r="K777" s="0" t="n">
        <v>3.84220258886378</v>
      </c>
      <c r="L777" s="0" t="n">
        <v>0.123279227450173</v>
      </c>
      <c r="M777" s="0" t="n">
        <f aca="false">IF(OR(B777="NW",COUNT(Risk_Rank_Keys!B777)=0),0.5,(SUMPRODUCT(--ISNUMBER(Risk_Rank_Keys!$B$2:$B$800),--(Risk_Rank_Keys!$B$2:$B$800&lt;Risk_Rank_Keys!B777))+(SUMPRODUCT(--ISNUMBER(Risk_Rank_Keys!$B$2:$B$800),--(Risk_Rank_Keys!$B$2:$B$800=Risk_Rank_Keys!B777))+1)/2)/COUNT(Risk_Rank_Keys!$B$2:$B$800))</f>
        <v>0.460251046025105</v>
      </c>
      <c r="N777" s="0" t="n">
        <f aca="false">IF(OR(B777="NW",COUNT(Risk_Rank_Keys!C777)=0),0.5,(SUMPRODUCT(--ISNUMBER(Risk_Rank_Keys!$C$2:$C$800),--(Risk_Rank_Keys!$C$2:$C$800&lt;Risk_Rank_Keys!C777))+(SUMPRODUCT(--ISNUMBER(Risk_Rank_Keys!$C$2:$C$800),--(Risk_Rank_Keys!$C$2:$C$800=Risk_Rank_Keys!C777))+1)/2)/COUNT(Risk_Rank_Keys!$C$2:$C$800))</f>
        <v>0.573221757322176</v>
      </c>
      <c r="O777" s="0" t="n">
        <f aca="false">IF(OR(B777="NW",COUNT(Risk_Rank_Keys!D777)=0),0.5,(SUMPRODUCT(--ISNUMBER(Risk_Rank_Keys!$D$2:$D$800),--(Risk_Rank_Keys!$D$2:$D$800&lt;Risk_Rank_Keys!D777))+(SUMPRODUCT(--ISNUMBER(Risk_Rank_Keys!$D$2:$D$800),--(Risk_Rank_Keys!$D$2:$D$800=Risk_Rank_Keys!D777))+1)/2)/COUNT(Risk_Rank_Keys!$D$2:$D$800))</f>
        <v>0.0460251046025105</v>
      </c>
      <c r="P777" s="0" t="n">
        <f aca="false">AVERAGE(M777:O777)</f>
        <v>0.359832635983264</v>
      </c>
      <c r="Q777" s="0" t="n">
        <f aca="false">0.4*H777+0.4*I777+0.2*P777</f>
        <v>0.19461984384246</v>
      </c>
      <c r="R777" s="0" t="n">
        <f aca="false">PERCENTILE($Q$2:$Q$800,0.75)</f>
        <v>0.667715717403612</v>
      </c>
      <c r="S777" s="1" t="b">
        <f aca="false">OR(Q777&gt;=R777,AND(B777="CW",COUNT(J777:L777)&lt;3))</f>
        <v>0</v>
      </c>
      <c r="T777" s="0" t="n">
        <v>0.252184431405078</v>
      </c>
      <c r="U777" s="0" t="n">
        <v>3.10396067901321</v>
      </c>
      <c r="V777" s="0" t="n">
        <v>0.19461984384246</v>
      </c>
      <c r="W777" s="0" t="n">
        <f aca="false">Q777-V777</f>
        <v>0</v>
      </c>
    </row>
    <row r="778" customFormat="false" ht="15" hidden="false" customHeight="false" outlineLevel="0" collapsed="false">
      <c r="A778" s="0" t="s">
        <v>812</v>
      </c>
      <c r="B778" s="0" t="s">
        <v>3013</v>
      </c>
      <c r="C778" s="0" t="n">
        <v>-43.7959742053806</v>
      </c>
      <c r="D778" s="0" t="n">
        <f aca="false">SUMPRODUCT(Risk_Inputs!B778:AJ778,Risk_Coefs!$B$2:$AJ$2)</f>
        <v>-0.976920823298905</v>
      </c>
      <c r="E778" s="0" t="n">
        <f aca="false">1/(1+EXP(-MAX(-25,MIN(25,D778))))</f>
        <v>0.273503186696166</v>
      </c>
      <c r="F778" s="0" t="n">
        <f aca="false">SUMPRODUCT(Risk_Inputs!B778:AJ778,Risk_Coefs!$B$3:$AJ$3)</f>
        <v>5.46249026580775</v>
      </c>
      <c r="G778" s="0" t="n">
        <f aca="false">MAX(0,F778)</f>
        <v>5.46249026580775</v>
      </c>
      <c r="H778" s="0" t="n">
        <f aca="false">(SUMPRODUCT(--ISNUMBER($E$2:$E$800),--($E$2:$E$800&lt;E778))+(SUMPRODUCT(--ISNUMBER($E$2:$E$800),--($E$2:$E$800=E778))+1)/2)/COUNT($E$2:$E$800)</f>
        <v>0.413016270337922</v>
      </c>
      <c r="I778" s="0" t="n">
        <f aca="false">(SUMPRODUCT(--ISNUMBER($G$2:$G$800),--($G$2:$G$800&lt;G778))+(SUMPRODUCT(--ISNUMBER($G$2:$G$800),--($G$2:$G$800=G778))+1)/2)/COUNT($G$2:$G$800)</f>
        <v>0.192740926157697</v>
      </c>
      <c r="J778" s="0" t="n">
        <v>5.50915897679923</v>
      </c>
      <c r="K778" s="0" t="n">
        <v>2.17927631578947</v>
      </c>
      <c r="L778" s="0" t="n">
        <v>0.28782894736841</v>
      </c>
      <c r="M778" s="0" t="n">
        <f aca="false">IF(OR(B778="NW",COUNT(Risk_Rank_Keys!B778)=0),0.5,(SUMPRODUCT(--ISNUMBER(Risk_Rank_Keys!$B$2:$B$800),--(Risk_Rank_Keys!$B$2:$B$800&lt;Risk_Rank_Keys!B778))+(SUMPRODUCT(--ISNUMBER(Risk_Rank_Keys!$B$2:$B$800),--(Risk_Rank_Keys!$B$2:$B$800=Risk_Rank_Keys!B778))+1)/2)/COUNT(Risk_Rank_Keys!$B$2:$B$800))</f>
        <v>0.168758716875872</v>
      </c>
      <c r="N778" s="0" t="n">
        <f aca="false">IF(OR(B778="NW",COUNT(Risk_Rank_Keys!C778)=0),0.5,(SUMPRODUCT(--ISNUMBER(Risk_Rank_Keys!$C$2:$C$800),--(Risk_Rank_Keys!$C$2:$C$800&lt;Risk_Rank_Keys!C778))+(SUMPRODUCT(--ISNUMBER(Risk_Rank_Keys!$C$2:$C$800),--(Risk_Rank_Keys!$C$2:$C$800=Risk_Rank_Keys!C778))+1)/2)/COUNT(Risk_Rank_Keys!$C$2:$C$800))</f>
        <v>0.311018131101813</v>
      </c>
      <c r="O778" s="0" t="n">
        <f aca="false">IF(OR(B778="NW",COUNT(Risk_Rank_Keys!D778)=0),0.5,(SUMPRODUCT(--ISNUMBER(Risk_Rank_Keys!$D$2:$D$800),--(Risk_Rank_Keys!$D$2:$D$800&lt;Risk_Rank_Keys!D778))+(SUMPRODUCT(--ISNUMBER(Risk_Rank_Keys!$D$2:$D$800),--(Risk_Rank_Keys!$D$2:$D$800=Risk_Rank_Keys!D778))+1)/2)/COUNT(Risk_Rank_Keys!$D$2:$D$800))</f>
        <v>0.722454672245467</v>
      </c>
      <c r="P778" s="0" t="n">
        <f aca="false">AVERAGE(M778:O778)</f>
        <v>0.400743840074384</v>
      </c>
      <c r="Q778" s="0" t="n">
        <f aca="false">0.4*H778+0.4*I778+0.2*P778</f>
        <v>0.322451646613125</v>
      </c>
      <c r="R778" s="0" t="n">
        <f aca="false">PERCENTILE($Q$2:$Q$800,0.75)</f>
        <v>0.667715717403612</v>
      </c>
      <c r="S778" s="1" t="b">
        <f aca="false">OR(Q778&gt;=R778,AND(B778="CW",COUNT(J778:L778)&lt;3))</f>
        <v>0</v>
      </c>
      <c r="T778" s="0" t="n">
        <v>0.273503186696166</v>
      </c>
      <c r="U778" s="0" t="n">
        <v>5.46249026580775</v>
      </c>
      <c r="V778" s="0" t="n">
        <v>0.322451646613125</v>
      </c>
      <c r="W778" s="0" t="n">
        <f aca="false">Q778-V778</f>
        <v>0</v>
      </c>
    </row>
    <row r="779" customFormat="false" ht="15" hidden="false" customHeight="false" outlineLevel="0" collapsed="false">
      <c r="A779" s="0" t="s">
        <v>813</v>
      </c>
      <c r="B779" s="0" t="s">
        <v>3013</v>
      </c>
      <c r="C779" s="0" t="n">
        <v>29.375870857088</v>
      </c>
      <c r="D779" s="0" t="n">
        <f aca="false">SUMPRODUCT(Risk_Inputs!B779:AJ779,Risk_Coefs!$B$2:$AJ$2)</f>
        <v>-1.22844507153258</v>
      </c>
      <c r="E779" s="0" t="n">
        <f aca="false">1/(1+EXP(-MAX(-25,MIN(25,D779))))</f>
        <v>0.226453690446437</v>
      </c>
      <c r="F779" s="0" t="n">
        <f aca="false">SUMPRODUCT(Risk_Inputs!B779:AJ779,Risk_Coefs!$B$3:$AJ$3)</f>
        <v>5.55225661208002</v>
      </c>
      <c r="G779" s="0" t="n">
        <f aca="false">MAX(0,F779)</f>
        <v>5.55225661208002</v>
      </c>
      <c r="H779" s="0" t="n">
        <f aca="false">(SUMPRODUCT(--ISNUMBER($E$2:$E$800),--($E$2:$E$800&lt;E779))+(SUMPRODUCT(--ISNUMBER($E$2:$E$800),--($E$2:$E$800=E779))+1)/2)/COUNT($E$2:$E$800)</f>
        <v>0.160200250312891</v>
      </c>
      <c r="I779" s="0" t="n">
        <f aca="false">(SUMPRODUCT(--ISNUMBER($G$2:$G$800),--($G$2:$G$800&lt;G779))+(SUMPRODUCT(--ISNUMBER($G$2:$G$800),--($G$2:$G$800=G779))+1)/2)/COUNT($G$2:$G$800)</f>
        <v>0.2090112640801</v>
      </c>
      <c r="J779" s="0" t="n">
        <v>20.757806104551</v>
      </c>
      <c r="K779" s="0" t="n">
        <v>3.98150909633163</v>
      </c>
      <c r="L779" s="0" t="n">
        <v>0.193856248135999</v>
      </c>
      <c r="M779" s="0" t="n">
        <f aca="false">IF(OR(B779="NW",COUNT(Risk_Rank_Keys!B779)=0),0.5,(SUMPRODUCT(--ISNUMBER(Risk_Rank_Keys!$B$2:$B$800),--(Risk_Rank_Keys!$B$2:$B$800&lt;Risk_Rank_Keys!B779))+(SUMPRODUCT(--ISNUMBER(Risk_Rank_Keys!$B$2:$B$800),--(Risk_Rank_Keys!$B$2:$B$800=Risk_Rank_Keys!B779))+1)/2)/COUNT(Risk_Rank_Keys!$B$2:$B$800))</f>
        <v>0.800557880055788</v>
      </c>
      <c r="N779" s="0" t="n">
        <f aca="false">IF(OR(B779="NW",COUNT(Risk_Rank_Keys!C779)=0),0.5,(SUMPRODUCT(--ISNUMBER(Risk_Rank_Keys!$C$2:$C$800),--(Risk_Rank_Keys!$C$2:$C$800&lt;Risk_Rank_Keys!C779))+(SUMPRODUCT(--ISNUMBER(Risk_Rank_Keys!$C$2:$C$800),--(Risk_Rank_Keys!$C$2:$C$800=Risk_Rank_Keys!C779))+1)/2)/COUNT(Risk_Rank_Keys!$C$2:$C$800))</f>
        <v>0.594142259414226</v>
      </c>
      <c r="O779" s="0" t="n">
        <f aca="false">IF(OR(B779="NW",COUNT(Risk_Rank_Keys!D779)=0),0.5,(SUMPRODUCT(--ISNUMBER(Risk_Rank_Keys!$D$2:$D$800),--(Risk_Rank_Keys!$D$2:$D$800&lt;Risk_Rank_Keys!D779))+(SUMPRODUCT(--ISNUMBER(Risk_Rank_Keys!$D$2:$D$800),--(Risk_Rank_Keys!$D$2:$D$800=Risk_Rank_Keys!D779))+1)/2)/COUNT(Risk_Rank_Keys!$D$2:$D$800))</f>
        <v>0.277545327754533</v>
      </c>
      <c r="P779" s="0" t="n">
        <f aca="false">AVERAGE(M779:O779)</f>
        <v>0.557415155741516</v>
      </c>
      <c r="Q779" s="0" t="n">
        <f aca="false">0.4*H779+0.4*I779+0.2*P779</f>
        <v>0.2591676369055</v>
      </c>
      <c r="R779" s="0" t="n">
        <f aca="false">PERCENTILE($Q$2:$Q$800,0.75)</f>
        <v>0.667715717403612</v>
      </c>
      <c r="S779" s="1" t="b">
        <f aca="false">OR(Q779&gt;=R779,AND(B779="CW",COUNT(J779:L779)&lt;3))</f>
        <v>0</v>
      </c>
      <c r="T779" s="0" t="n">
        <v>0.226453690446437</v>
      </c>
      <c r="U779" s="0" t="n">
        <v>5.55225661208002</v>
      </c>
      <c r="V779" s="0" t="n">
        <v>0.2591676369055</v>
      </c>
      <c r="W779" s="0" t="n">
        <f aca="false">Q779-V779</f>
        <v>0</v>
      </c>
    </row>
    <row r="780" customFormat="false" ht="15" hidden="false" customHeight="false" outlineLevel="0" collapsed="false">
      <c r="A780" s="0" t="s">
        <v>814</v>
      </c>
      <c r="B780" s="0" t="s">
        <v>3013</v>
      </c>
      <c r="C780" s="0" t="n">
        <v>20.7054942296481</v>
      </c>
      <c r="D780" s="0" t="n">
        <f aca="false">SUMPRODUCT(Risk_Inputs!B780:AJ780,Risk_Coefs!$B$2:$AJ$2)</f>
        <v>-0.847507446907067</v>
      </c>
      <c r="E780" s="0" t="n">
        <f aca="false">1/(1+EXP(-MAX(-25,MIN(25,D780))))</f>
        <v>0.299955988675826</v>
      </c>
      <c r="F780" s="0" t="n">
        <f aca="false">SUMPRODUCT(Risk_Inputs!B780:AJ780,Risk_Coefs!$B$3:$AJ$3)</f>
        <v>7.68017767984448</v>
      </c>
      <c r="G780" s="0" t="n">
        <f aca="false">MAX(0,F780)</f>
        <v>7.68017767984448</v>
      </c>
      <c r="H780" s="0" t="n">
        <f aca="false">(SUMPRODUCT(--ISNUMBER($E$2:$E$800),--($E$2:$E$800&lt;E780))+(SUMPRODUCT(--ISNUMBER($E$2:$E$800),--($E$2:$E$800=E780))+1)/2)/COUNT($E$2:$E$800)</f>
        <v>0.566958698372966</v>
      </c>
      <c r="I780" s="0" t="n">
        <f aca="false">(SUMPRODUCT(--ISNUMBER($G$2:$G$800),--($G$2:$G$800&lt;G780))+(SUMPRODUCT(--ISNUMBER($G$2:$G$800),--($G$2:$G$800=G780))+1)/2)/COUNT($G$2:$G$800)</f>
        <v>0.51188986232791</v>
      </c>
      <c r="J780" s="0" t="n">
        <v>3.85748060890094</v>
      </c>
      <c r="K780" s="0" t="n">
        <v>1.21951219512197</v>
      </c>
      <c r="L780" s="0" t="n">
        <v>0.190548780487799</v>
      </c>
      <c r="M780" s="0" t="n">
        <f aca="false">IF(OR(B780="NW",COUNT(Risk_Rank_Keys!B780)=0),0.5,(SUMPRODUCT(--ISNUMBER(Risk_Rank_Keys!$B$2:$B$800),--(Risk_Rank_Keys!$B$2:$B$800&lt;Risk_Rank_Keys!B780))+(SUMPRODUCT(--ISNUMBER(Risk_Rank_Keys!$B$2:$B$800),--(Risk_Rank_Keys!$B$2:$B$800=Risk_Rank_Keys!B780))+1)/2)/COUNT(Risk_Rank_Keys!$B$2:$B$800))</f>
        <v>0.0655509065550907</v>
      </c>
      <c r="N780" s="0" t="n">
        <f aca="false">IF(OR(B780="NW",COUNT(Risk_Rank_Keys!C780)=0),0.5,(SUMPRODUCT(--ISNUMBER(Risk_Rank_Keys!$C$2:$C$800),--(Risk_Rank_Keys!$C$2:$C$800&lt;Risk_Rank_Keys!C780))+(SUMPRODUCT(--ISNUMBER(Risk_Rank_Keys!$C$2:$C$800),--(Risk_Rank_Keys!$C$2:$C$800=Risk_Rank_Keys!C780))+1)/2)/COUNT(Risk_Rank_Keys!$C$2:$C$800))</f>
        <v>0.0753138075313808</v>
      </c>
      <c r="O780" s="0" t="n">
        <f aca="false">IF(OR(B780="NW",COUNT(Risk_Rank_Keys!D780)=0),0.5,(SUMPRODUCT(--ISNUMBER(Risk_Rank_Keys!$D$2:$D$800),--(Risk_Rank_Keys!$D$2:$D$800&lt;Risk_Rank_Keys!D780))+(SUMPRODUCT(--ISNUMBER(Risk_Rank_Keys!$D$2:$D$800),--(Risk_Rank_Keys!$D$2:$D$800=Risk_Rank_Keys!D780))+1)/2)/COUNT(Risk_Rank_Keys!$D$2:$D$800))</f>
        <v>0.258019525801953</v>
      </c>
      <c r="P780" s="0" t="n">
        <f aca="false">AVERAGE(M780:O780)</f>
        <v>0.132961413296141</v>
      </c>
      <c r="Q780" s="0" t="n">
        <f aca="false">0.4*H780+0.4*I780+0.2*P780</f>
        <v>0.458131706939579</v>
      </c>
      <c r="R780" s="0" t="n">
        <f aca="false">PERCENTILE($Q$2:$Q$800,0.75)</f>
        <v>0.667715717403612</v>
      </c>
      <c r="S780" s="1" t="b">
        <f aca="false">OR(Q780&gt;=R780,AND(B780="CW",COUNT(J780:L780)&lt;3))</f>
        <v>0</v>
      </c>
      <c r="T780" s="0" t="n">
        <v>0.299955988675826</v>
      </c>
      <c r="U780" s="0" t="n">
        <v>7.68017767984448</v>
      </c>
      <c r="V780" s="0" t="n">
        <v>0.458131706939579</v>
      </c>
      <c r="W780" s="0" t="n">
        <f aca="false">Q780-V780</f>
        <v>0</v>
      </c>
    </row>
    <row r="781" customFormat="false" ht="15" hidden="false" customHeight="false" outlineLevel="0" collapsed="false">
      <c r="A781" s="0" t="s">
        <v>815</v>
      </c>
      <c r="B781" s="0" t="s">
        <v>3013</v>
      </c>
      <c r="C781" s="0" t="n">
        <v>30.1616760619976</v>
      </c>
      <c r="D781" s="0" t="n">
        <f aca="false">SUMPRODUCT(Risk_Inputs!B781:AJ781,Risk_Coefs!$B$2:$AJ$2)</f>
        <v>-0.681193780763887</v>
      </c>
      <c r="E781" s="0" t="n">
        <f aca="false">1/(1+EXP(-MAX(-25,MIN(25,D781))))</f>
        <v>0.335994915199819</v>
      </c>
      <c r="F781" s="0" t="n">
        <f aca="false">SUMPRODUCT(Risk_Inputs!B781:AJ781,Risk_Coefs!$B$3:$AJ$3)</f>
        <v>7.42368237300132</v>
      </c>
      <c r="G781" s="0" t="n">
        <f aca="false">MAX(0,F781)</f>
        <v>7.42368237300132</v>
      </c>
      <c r="H781" s="0" t="n">
        <f aca="false">(SUMPRODUCT(--ISNUMBER($E$2:$E$800),--($E$2:$E$800&lt;E781))+(SUMPRODUCT(--ISNUMBER($E$2:$E$800),--($E$2:$E$800=E781))+1)/2)/COUNT($E$2:$E$800)</f>
        <v>0.760951188986233</v>
      </c>
      <c r="I781" s="0" t="n">
        <f aca="false">(SUMPRODUCT(--ISNUMBER($G$2:$G$800),--($G$2:$G$800&lt;G781))+(SUMPRODUCT(--ISNUMBER($G$2:$G$800),--($G$2:$G$800=G781))+1)/2)/COUNT($G$2:$G$800)</f>
        <v>0.466833541927409</v>
      </c>
      <c r="J781" s="0" t="n">
        <v>15.9977240351385</v>
      </c>
      <c r="K781" s="0" t="n">
        <v>5.45592321293255</v>
      </c>
      <c r="L781" s="0" t="n">
        <v>0.202071230108616</v>
      </c>
      <c r="M781" s="0" t="n">
        <f aca="false">IF(OR(B781="NW",COUNT(Risk_Rank_Keys!B781)=0),0.5,(SUMPRODUCT(--ISNUMBER(Risk_Rank_Keys!$B$2:$B$800),--(Risk_Rank_Keys!$B$2:$B$800&lt;Risk_Rank_Keys!B781))+(SUMPRODUCT(--ISNUMBER(Risk_Rank_Keys!$B$2:$B$800),--(Risk_Rank_Keys!$B$2:$B$800=Risk_Rank_Keys!B781))+1)/2)/COUNT(Risk_Rank_Keys!$B$2:$B$800))</f>
        <v>0.729428172942817</v>
      </c>
      <c r="N781" s="0" t="n">
        <f aca="false">IF(OR(B781="NW",COUNT(Risk_Rank_Keys!C781)=0),0.5,(SUMPRODUCT(--ISNUMBER(Risk_Rank_Keys!$C$2:$C$800),--(Risk_Rank_Keys!$C$2:$C$800&lt;Risk_Rank_Keys!C781))+(SUMPRODUCT(--ISNUMBER(Risk_Rank_Keys!$C$2:$C$800),--(Risk_Rank_Keys!$C$2:$C$800=Risk_Rank_Keys!C781))+1)/2)/COUNT(Risk_Rank_Keys!$C$2:$C$800))</f>
        <v>0.718270571827057</v>
      </c>
      <c r="O781" s="0" t="n">
        <f aca="false">IF(OR(B781="NW",COUNT(Risk_Rank_Keys!D781)=0),0.5,(SUMPRODUCT(--ISNUMBER(Risk_Rank_Keys!$D$2:$D$800),--(Risk_Rank_Keys!$D$2:$D$800&lt;Risk_Rank_Keys!D781))+(SUMPRODUCT(--ISNUMBER(Risk_Rank_Keys!$D$2:$D$800),--(Risk_Rank_Keys!$D$2:$D$800=Risk_Rank_Keys!D781))+1)/2)/COUNT(Risk_Rank_Keys!$D$2:$D$800))</f>
        <v>0.325662482566248</v>
      </c>
      <c r="P781" s="0" t="n">
        <f aca="false">AVERAGE(M781:O781)</f>
        <v>0.591120409112041</v>
      </c>
      <c r="Q781" s="0" t="n">
        <f aca="false">0.4*H781+0.4*I781+0.2*P781</f>
        <v>0.609337974187865</v>
      </c>
      <c r="R781" s="0" t="n">
        <f aca="false">PERCENTILE($Q$2:$Q$800,0.75)</f>
        <v>0.667715717403612</v>
      </c>
      <c r="S781" s="1" t="b">
        <f aca="false">OR(Q781&gt;=R781,AND(B781="CW",COUNT(J781:L781)&lt;3))</f>
        <v>0</v>
      </c>
      <c r="T781" s="0" t="n">
        <v>0.335994915199819</v>
      </c>
      <c r="U781" s="0" t="n">
        <v>7.42368237300132</v>
      </c>
      <c r="V781" s="0" t="n">
        <v>0.609337974187865</v>
      </c>
      <c r="W781" s="0" t="n">
        <f aca="false">Q781-V781</f>
        <v>0</v>
      </c>
    </row>
    <row r="782" customFormat="false" ht="15" hidden="false" customHeight="false" outlineLevel="0" collapsed="false">
      <c r="A782" s="0" t="s">
        <v>816</v>
      </c>
      <c r="B782" s="0" t="s">
        <v>3013</v>
      </c>
      <c r="C782" s="0" t="n">
        <v>36.8325459861976</v>
      </c>
      <c r="D782" s="0" t="n">
        <f aca="false">SUMPRODUCT(Risk_Inputs!B782:AJ782,Risk_Coefs!$B$2:$AJ$2)</f>
        <v>-1.18026479857982</v>
      </c>
      <c r="E782" s="0" t="n">
        <f aca="false">1/(1+EXP(-MAX(-25,MIN(25,D782))))</f>
        <v>0.235004588087242</v>
      </c>
      <c r="F782" s="0" t="n">
        <f aca="false">SUMPRODUCT(Risk_Inputs!B782:AJ782,Risk_Coefs!$B$3:$AJ$3)</f>
        <v>3.29126363429199</v>
      </c>
      <c r="G782" s="0" t="n">
        <f aca="false">MAX(0,F782)</f>
        <v>3.29126363429199</v>
      </c>
      <c r="H782" s="0" t="n">
        <f aca="false">(SUMPRODUCT(--ISNUMBER($E$2:$E$800),--($E$2:$E$800&lt;E782))+(SUMPRODUCT(--ISNUMBER($E$2:$E$800),--($E$2:$E$800=E782))+1)/2)/COUNT($E$2:$E$800)</f>
        <v>0.200250312891114</v>
      </c>
      <c r="I782" s="0" t="n">
        <f aca="false">(SUMPRODUCT(--ISNUMBER($G$2:$G$800),--($G$2:$G$800&lt;G782))+(SUMPRODUCT(--ISNUMBER($G$2:$G$800),--($G$2:$G$800=G782))+1)/2)/COUNT($G$2:$G$800)</f>
        <v>0.032540675844806</v>
      </c>
      <c r="J782" s="0" t="n">
        <v>13.4206192153391</v>
      </c>
      <c r="K782" s="0" t="n">
        <v>4.82022915843541</v>
      </c>
      <c r="L782" s="0" t="n">
        <v>0.35559067562228</v>
      </c>
      <c r="M782" s="0" t="n">
        <f aca="false">IF(OR(B782="NW",COUNT(Risk_Rank_Keys!B782)=0),0.5,(SUMPRODUCT(--ISNUMBER(Risk_Rank_Keys!$B$2:$B$800),--(Risk_Rank_Keys!$B$2:$B$800&lt;Risk_Rank_Keys!B782))+(SUMPRODUCT(--ISNUMBER(Risk_Rank_Keys!$B$2:$B$800),--(Risk_Rank_Keys!$B$2:$B$800=Risk_Rank_Keys!B782))+1)/2)/COUNT(Risk_Rank_Keys!$B$2:$B$800))</f>
        <v>0.658298465829847</v>
      </c>
      <c r="N782" s="0" t="n">
        <f aca="false">IF(OR(B782="NW",COUNT(Risk_Rank_Keys!C782)=0),0.5,(SUMPRODUCT(--ISNUMBER(Risk_Rank_Keys!$C$2:$C$800),--(Risk_Rank_Keys!$C$2:$C$800&lt;Risk_Rank_Keys!C782))+(SUMPRODUCT(--ISNUMBER(Risk_Rank_Keys!$C$2:$C$800),--(Risk_Rank_Keys!$C$2:$C$800=Risk_Rank_Keys!C782))+1)/2)/COUNT(Risk_Rank_Keys!$C$2:$C$800))</f>
        <v>0.676429567642957</v>
      </c>
      <c r="O782" s="0" t="n">
        <f aca="false">IF(OR(B782="NW",COUNT(Risk_Rank_Keys!D782)=0),0.5,(SUMPRODUCT(--ISNUMBER(Risk_Rank_Keys!$D$2:$D$800),--(Risk_Rank_Keys!$D$2:$D$800&lt;Risk_Rank_Keys!D782))+(SUMPRODUCT(--ISNUMBER(Risk_Rank_Keys!$D$2:$D$800),--(Risk_Rank_Keys!$D$2:$D$800=Risk_Rank_Keys!D782))+1)/2)/COUNT(Risk_Rank_Keys!$D$2:$D$800))</f>
        <v>0.843793584379359</v>
      </c>
      <c r="P782" s="0" t="n">
        <f aca="false">AVERAGE(M782:O782)</f>
        <v>0.726173872617387</v>
      </c>
      <c r="Q782" s="0" t="n">
        <f aca="false">0.4*H782+0.4*I782+0.2*P782</f>
        <v>0.238351170017845</v>
      </c>
      <c r="R782" s="0" t="n">
        <f aca="false">PERCENTILE($Q$2:$Q$800,0.75)</f>
        <v>0.667715717403612</v>
      </c>
      <c r="S782" s="1" t="b">
        <f aca="false">OR(Q782&gt;=R782,AND(B782="CW",COUNT(J782:L782)&lt;3))</f>
        <v>0</v>
      </c>
      <c r="T782" s="0" t="n">
        <v>0.235004588087242</v>
      </c>
      <c r="U782" s="0" t="n">
        <v>3.29126363429199</v>
      </c>
      <c r="V782" s="0" t="n">
        <v>0.238351170017845</v>
      </c>
      <c r="W782" s="0" t="n">
        <f aca="false">Q782-V782</f>
        <v>0</v>
      </c>
    </row>
    <row r="783" customFormat="false" ht="15" hidden="false" customHeight="false" outlineLevel="0" collapsed="false">
      <c r="A783" s="0" t="s">
        <v>817</v>
      </c>
      <c r="B783" s="0" t="s">
        <v>33</v>
      </c>
      <c r="C783" s="0" t="n">
        <v>10.4060070461831</v>
      </c>
      <c r="D783" s="0" t="n">
        <f aca="false">SUMPRODUCT(Risk_Inputs!B783:AJ783,Risk_Coefs!$B$2:$AJ$2)</f>
        <v>-0.691634849255683</v>
      </c>
      <c r="E783" s="0" t="n">
        <f aca="false">1/(1+EXP(-MAX(-25,MIN(25,D783))))</f>
        <v>0.333669491622883</v>
      </c>
      <c r="F783" s="0" t="n">
        <f aca="false">SUMPRODUCT(Risk_Inputs!B783:AJ783,Risk_Coefs!$B$3:$AJ$3)</f>
        <v>9.66378269059429</v>
      </c>
      <c r="G783" s="0" t="n">
        <f aca="false">MAX(0,F783)</f>
        <v>9.66378269059429</v>
      </c>
      <c r="H783" s="0" t="n">
        <f aca="false">(SUMPRODUCT(--ISNUMBER($E$2:$E$800),--($E$2:$E$800&lt;E783))+(SUMPRODUCT(--ISNUMBER($E$2:$E$800),--($E$2:$E$800=E783))+1)/2)/COUNT($E$2:$E$800)</f>
        <v>0.752190237797247</v>
      </c>
      <c r="I783" s="0" t="n">
        <f aca="false">(SUMPRODUCT(--ISNUMBER($G$2:$G$800),--($G$2:$G$800&lt;G783))+(SUMPRODUCT(--ISNUMBER($G$2:$G$800),--($G$2:$G$800=G783))+1)/2)/COUNT($G$2:$G$800)</f>
        <v>0.74342928660826</v>
      </c>
      <c r="M783" s="0" t="n">
        <f aca="false">IF(OR(B783="NW",COUNT(Risk_Rank_Keys!B783)=0),0.5,(SUMPRODUCT(--ISNUMBER(Risk_Rank_Keys!$B$2:$B$800),--(Risk_Rank_Keys!$B$2:$B$800&lt;Risk_Rank_Keys!B783))+(SUMPRODUCT(--ISNUMBER(Risk_Rank_Keys!$B$2:$B$800),--(Risk_Rank_Keys!$B$2:$B$800=Risk_Rank_Keys!B783))+1)/2)/COUNT(Risk_Rank_Keys!$B$2:$B$800))</f>
        <v>0.5</v>
      </c>
      <c r="N783" s="0" t="n">
        <f aca="false">IF(OR(B783="NW",COUNT(Risk_Rank_Keys!C783)=0),0.5,(SUMPRODUCT(--ISNUMBER(Risk_Rank_Keys!$C$2:$C$800),--(Risk_Rank_Keys!$C$2:$C$800&lt;Risk_Rank_Keys!C783))+(SUMPRODUCT(--ISNUMBER(Risk_Rank_Keys!$C$2:$C$800),--(Risk_Rank_Keys!$C$2:$C$800=Risk_Rank_Keys!C783))+1)/2)/COUNT(Risk_Rank_Keys!$C$2:$C$800))</f>
        <v>0.5</v>
      </c>
      <c r="O783" s="0" t="n">
        <f aca="false">IF(OR(B783="NW",COUNT(Risk_Rank_Keys!D783)=0),0.5,(SUMPRODUCT(--ISNUMBER(Risk_Rank_Keys!$D$2:$D$800),--(Risk_Rank_Keys!$D$2:$D$800&lt;Risk_Rank_Keys!D783))+(SUMPRODUCT(--ISNUMBER(Risk_Rank_Keys!$D$2:$D$800),--(Risk_Rank_Keys!$D$2:$D$800=Risk_Rank_Keys!D783))+1)/2)/COUNT(Risk_Rank_Keys!$D$2:$D$800))</f>
        <v>0.5</v>
      </c>
      <c r="P783" s="0" t="n">
        <f aca="false">AVERAGE(M783:O783)</f>
        <v>0.5</v>
      </c>
      <c r="Q783" s="0" t="n">
        <f aca="false">0.4*H783+0.4*I783+0.2*P783</f>
        <v>0.698247809762203</v>
      </c>
      <c r="R783" s="0" t="n">
        <f aca="false">PERCENTILE($Q$2:$Q$800,0.75)</f>
        <v>0.667715717403612</v>
      </c>
      <c r="S783" s="1" t="b">
        <f aca="false">OR(Q783&gt;=R783,AND(B783="CW",COUNT(J783:L783)&lt;3))</f>
        <v>1</v>
      </c>
      <c r="T783" s="0" t="n">
        <v>0.333669491622883</v>
      </c>
      <c r="U783" s="0" t="n">
        <v>9.66378269059429</v>
      </c>
      <c r="V783" s="0" t="n">
        <v>0.698247809762203</v>
      </c>
      <c r="W783" s="0" t="n">
        <f aca="false">Q783-V783</f>
        <v>0</v>
      </c>
    </row>
    <row r="784" customFormat="false" ht="15" hidden="false" customHeight="false" outlineLevel="0" collapsed="false">
      <c r="A784" s="0" t="s">
        <v>818</v>
      </c>
      <c r="B784" s="0" t="s">
        <v>3013</v>
      </c>
      <c r="C784" s="0" t="n">
        <v>11.9670689775183</v>
      </c>
      <c r="D784" s="0" t="n">
        <f aca="false">SUMPRODUCT(Risk_Inputs!B784:AJ784,Risk_Coefs!$B$2:$AJ$2)</f>
        <v>-1.35625303823777</v>
      </c>
      <c r="E784" s="0" t="n">
        <f aca="false">1/(1+EXP(-MAX(-25,MIN(25,D784))))</f>
        <v>0.204849956651233</v>
      </c>
      <c r="F784" s="0" t="n">
        <f aca="false">SUMPRODUCT(Risk_Inputs!B784:AJ784,Risk_Coefs!$B$3:$AJ$3)</f>
        <v>4.27148005114244</v>
      </c>
      <c r="G784" s="0" t="n">
        <f aca="false">MAX(0,F784)</f>
        <v>4.27148005114244</v>
      </c>
      <c r="H784" s="0" t="n">
        <f aca="false">(SUMPRODUCT(--ISNUMBER($E$2:$E$800),--($E$2:$E$800&lt;E784))+(SUMPRODUCT(--ISNUMBER($E$2:$E$800),--($E$2:$E$800=E784))+1)/2)/COUNT($E$2:$E$800)</f>
        <v>0.111389236545682</v>
      </c>
      <c r="I784" s="0" t="n">
        <f aca="false">(SUMPRODUCT(--ISNUMBER($G$2:$G$800),--($G$2:$G$800&lt;G784))+(SUMPRODUCT(--ISNUMBER($G$2:$G$800),--($G$2:$G$800=G784))+1)/2)/COUNT($G$2:$G$800)</f>
        <v>0.0713391739674593</v>
      </c>
      <c r="J784" s="0" t="n">
        <v>26.9657132410384</v>
      </c>
      <c r="K784" s="0" t="n">
        <v>3.14407814407815</v>
      </c>
      <c r="L784" s="0" t="n">
        <v>0.274725274725276</v>
      </c>
      <c r="M784" s="0" t="n">
        <f aca="false">IF(OR(B784="NW",COUNT(Risk_Rank_Keys!B784)=0),0.5,(SUMPRODUCT(--ISNUMBER(Risk_Rank_Keys!$B$2:$B$800),--(Risk_Rank_Keys!$B$2:$B$800&lt;Risk_Rank_Keys!B784))+(SUMPRODUCT(--ISNUMBER(Risk_Rank_Keys!$B$2:$B$800),--(Risk_Rank_Keys!$B$2:$B$800=Risk_Rank_Keys!B784))+1)/2)/COUNT(Risk_Rank_Keys!$B$2:$B$800))</f>
        <v>0.881450488145049</v>
      </c>
      <c r="N784" s="0" t="n">
        <f aca="false">IF(OR(B784="NW",COUNT(Risk_Rank_Keys!C784)=0),0.5,(SUMPRODUCT(--ISNUMBER(Risk_Rank_Keys!$C$2:$C$800),--(Risk_Rank_Keys!$C$2:$C$800&lt;Risk_Rank_Keys!C784))+(SUMPRODUCT(--ISNUMBER(Risk_Rank_Keys!$C$2:$C$800),--(Risk_Rank_Keys!$C$2:$C$800=Risk_Rank_Keys!C784))+1)/2)/COUNT(Risk_Rank_Keys!$C$2:$C$800))</f>
        <v>0.485355648535565</v>
      </c>
      <c r="O784" s="0" t="n">
        <f aca="false">IF(OR(B784="NW",COUNT(Risk_Rank_Keys!D784)=0),0.5,(SUMPRODUCT(--ISNUMBER(Risk_Rank_Keys!$D$2:$D$800),--(Risk_Rank_Keys!$D$2:$D$800&lt;Risk_Rank_Keys!D784))+(SUMPRODUCT(--ISNUMBER(Risk_Rank_Keys!$D$2:$D$800),--(Risk_Rank_Keys!$D$2:$D$800=Risk_Rank_Keys!D784))+1)/2)/COUNT(Risk_Rank_Keys!$D$2:$D$800))</f>
        <v>0.676429567642957</v>
      </c>
      <c r="P784" s="0" t="n">
        <f aca="false">AVERAGE(M784:O784)</f>
        <v>0.681078568107857</v>
      </c>
      <c r="Q784" s="0" t="n">
        <f aca="false">0.4*H784+0.4*I784+0.2*P784</f>
        <v>0.209307077826828</v>
      </c>
      <c r="R784" s="0" t="n">
        <f aca="false">PERCENTILE($Q$2:$Q$800,0.75)</f>
        <v>0.667715717403612</v>
      </c>
      <c r="S784" s="1" t="b">
        <f aca="false">OR(Q784&gt;=R784,AND(B784="CW",COUNT(J784:L784)&lt;3))</f>
        <v>0</v>
      </c>
      <c r="T784" s="0" t="n">
        <v>0.204849956651233</v>
      </c>
      <c r="U784" s="0" t="n">
        <v>4.27148005114244</v>
      </c>
      <c r="V784" s="0" t="n">
        <v>0.209307077826828</v>
      </c>
      <c r="W784" s="0" t="n">
        <f aca="false">Q784-V784</f>
        <v>0</v>
      </c>
    </row>
    <row r="785" customFormat="false" ht="15" hidden="false" customHeight="false" outlineLevel="0" collapsed="false">
      <c r="A785" s="0" t="s">
        <v>819</v>
      </c>
      <c r="B785" s="0" t="s">
        <v>33</v>
      </c>
      <c r="C785" s="0" t="n">
        <v>4.716074904991</v>
      </c>
      <c r="D785" s="0" t="n">
        <f aca="false">SUMPRODUCT(Risk_Inputs!B785:AJ785,Risk_Coefs!$B$2:$AJ$2)</f>
        <v>-0.697582166723623</v>
      </c>
      <c r="E785" s="0" t="n">
        <f aca="false">1/(1+EXP(-MAX(-25,MIN(25,D785))))</f>
        <v>0.332348510412735</v>
      </c>
      <c r="F785" s="0" t="n">
        <f aca="false">SUMPRODUCT(Risk_Inputs!B785:AJ785,Risk_Coefs!$B$3:$AJ$3)</f>
        <v>8.84353371463497</v>
      </c>
      <c r="G785" s="0" t="n">
        <f aca="false">MAX(0,F785)</f>
        <v>8.84353371463497</v>
      </c>
      <c r="H785" s="0" t="n">
        <f aca="false">(SUMPRODUCT(--ISNUMBER($E$2:$E$800),--($E$2:$E$800&lt;E785))+(SUMPRODUCT(--ISNUMBER($E$2:$E$800),--($E$2:$E$800=E785))+1)/2)/COUNT($E$2:$E$800)</f>
        <v>0.747183979974969</v>
      </c>
      <c r="I785" s="0" t="n">
        <f aca="false">(SUMPRODUCT(--ISNUMBER($G$2:$G$800),--($G$2:$G$800&lt;G785))+(SUMPRODUCT(--ISNUMBER($G$2:$G$800),--($G$2:$G$800=G785))+1)/2)/COUNT($G$2:$G$800)</f>
        <v>0.658322903629537</v>
      </c>
      <c r="M785" s="0" t="n">
        <f aca="false">IF(OR(B785="NW",COUNT(Risk_Rank_Keys!B785)=0),0.5,(SUMPRODUCT(--ISNUMBER(Risk_Rank_Keys!$B$2:$B$800),--(Risk_Rank_Keys!$B$2:$B$800&lt;Risk_Rank_Keys!B785))+(SUMPRODUCT(--ISNUMBER(Risk_Rank_Keys!$B$2:$B$800),--(Risk_Rank_Keys!$B$2:$B$800=Risk_Rank_Keys!B785))+1)/2)/COUNT(Risk_Rank_Keys!$B$2:$B$800))</f>
        <v>0.5</v>
      </c>
      <c r="N785" s="0" t="n">
        <f aca="false">IF(OR(B785="NW",COUNT(Risk_Rank_Keys!C785)=0),0.5,(SUMPRODUCT(--ISNUMBER(Risk_Rank_Keys!$C$2:$C$800),--(Risk_Rank_Keys!$C$2:$C$800&lt;Risk_Rank_Keys!C785))+(SUMPRODUCT(--ISNUMBER(Risk_Rank_Keys!$C$2:$C$800),--(Risk_Rank_Keys!$C$2:$C$800=Risk_Rank_Keys!C785))+1)/2)/COUNT(Risk_Rank_Keys!$C$2:$C$800))</f>
        <v>0.5</v>
      </c>
      <c r="O785" s="0" t="n">
        <f aca="false">IF(OR(B785="NW",COUNT(Risk_Rank_Keys!D785)=0),0.5,(SUMPRODUCT(--ISNUMBER(Risk_Rank_Keys!$D$2:$D$800),--(Risk_Rank_Keys!$D$2:$D$800&lt;Risk_Rank_Keys!D785))+(SUMPRODUCT(--ISNUMBER(Risk_Rank_Keys!$D$2:$D$800),--(Risk_Rank_Keys!$D$2:$D$800=Risk_Rank_Keys!D785))+1)/2)/COUNT(Risk_Rank_Keys!$D$2:$D$800))</f>
        <v>0.5</v>
      </c>
      <c r="P785" s="0" t="n">
        <f aca="false">AVERAGE(M785:O785)</f>
        <v>0.5</v>
      </c>
      <c r="Q785" s="0" t="n">
        <f aca="false">0.4*H785+0.4*I785+0.2*P785</f>
        <v>0.662202753441802</v>
      </c>
      <c r="R785" s="0" t="n">
        <f aca="false">PERCENTILE($Q$2:$Q$800,0.75)</f>
        <v>0.667715717403612</v>
      </c>
      <c r="S785" s="1" t="b">
        <f aca="false">OR(Q785&gt;=R785,AND(B785="CW",COUNT(J785:L785)&lt;3))</f>
        <v>0</v>
      </c>
      <c r="T785" s="0" t="n">
        <v>0.332348510412735</v>
      </c>
      <c r="U785" s="0" t="n">
        <v>8.84353371463497</v>
      </c>
      <c r="V785" s="0" t="n">
        <v>0.662202753441802</v>
      </c>
      <c r="W785" s="0" t="n">
        <f aca="false">Q785-V785</f>
        <v>0</v>
      </c>
    </row>
    <row r="786" customFormat="false" ht="15" hidden="false" customHeight="false" outlineLevel="0" collapsed="false">
      <c r="A786" s="0" t="s">
        <v>820</v>
      </c>
      <c r="B786" s="0" t="s">
        <v>3013</v>
      </c>
      <c r="C786" s="0" t="n">
        <v>33.4347250991975</v>
      </c>
      <c r="D786" s="0" t="n">
        <f aca="false">SUMPRODUCT(Risk_Inputs!B786:AJ786,Risk_Coefs!$B$2:$AJ$2)</f>
        <v>-1.19995902203214</v>
      </c>
      <c r="E786" s="0" t="n">
        <f aca="false">1/(1+EXP(-MAX(-25,MIN(25,D786))))</f>
        <v>0.231482506333867</v>
      </c>
      <c r="F786" s="0" t="n">
        <f aca="false">SUMPRODUCT(Risk_Inputs!B786:AJ786,Risk_Coefs!$B$3:$AJ$3)</f>
        <v>5.5956600606415</v>
      </c>
      <c r="G786" s="0" t="n">
        <f aca="false">MAX(0,F786)</f>
        <v>5.5956600606415</v>
      </c>
      <c r="H786" s="0" t="n">
        <f aca="false">(SUMPRODUCT(--ISNUMBER($E$2:$E$800),--($E$2:$E$800&lt;E786))+(SUMPRODUCT(--ISNUMBER($E$2:$E$800),--($E$2:$E$800=E786))+1)/2)/COUNT($E$2:$E$800)</f>
        <v>0.182728410513141</v>
      </c>
      <c r="I786" s="0" t="n">
        <f aca="false">(SUMPRODUCT(--ISNUMBER($G$2:$G$800),--($G$2:$G$800&lt;G786))+(SUMPRODUCT(--ISNUMBER($G$2:$G$800),--($G$2:$G$800=G786))+1)/2)/COUNT($G$2:$G$800)</f>
        <v>0.217772215269086</v>
      </c>
      <c r="J786" s="0" t="n">
        <v>19.4182251011024</v>
      </c>
      <c r="K786" s="0" t="n">
        <v>12.4577786608385</v>
      </c>
      <c r="L786" s="0" t="n">
        <v>0.258295251341145</v>
      </c>
      <c r="M786" s="0" t="n">
        <f aca="false">IF(OR(B786="NW",COUNT(Risk_Rank_Keys!B786)=0),0.5,(SUMPRODUCT(--ISNUMBER(Risk_Rank_Keys!$B$2:$B$800),--(Risk_Rank_Keys!$B$2:$B$800&lt;Risk_Rank_Keys!B786))+(SUMPRODUCT(--ISNUMBER(Risk_Rank_Keys!$B$2:$B$800),--(Risk_Rank_Keys!$B$2:$B$800=Risk_Rank_Keys!B786))+1)/2)/COUNT(Risk_Rank_Keys!$B$2:$B$800))</f>
        <v>0.782426778242678</v>
      </c>
      <c r="N786" s="0" t="n">
        <f aca="false">IF(OR(B786="NW",COUNT(Risk_Rank_Keys!C786)=0),0.5,(SUMPRODUCT(--ISNUMBER(Risk_Rank_Keys!$C$2:$C$800),--(Risk_Rank_Keys!$C$2:$C$800&lt;Risk_Rank_Keys!C786))+(SUMPRODUCT(--ISNUMBER(Risk_Rank_Keys!$C$2:$C$800),--(Risk_Rank_Keys!$C$2:$C$800=Risk_Rank_Keys!C786))+1)/2)/COUNT(Risk_Rank_Keys!$C$2:$C$800))</f>
        <v>0.906555090655509</v>
      </c>
      <c r="O786" s="0" t="n">
        <f aca="false">IF(OR(B786="NW",COUNT(Risk_Rank_Keys!D786)=0),0.5,(SUMPRODUCT(--ISNUMBER(Risk_Rank_Keys!$D$2:$D$800),--(Risk_Rank_Keys!$D$2:$D$800&lt;Risk_Rank_Keys!D786))+(SUMPRODUCT(--ISNUMBER(Risk_Rank_Keys!$D$2:$D$800),--(Risk_Rank_Keys!$D$2:$D$800=Risk_Rank_Keys!D786))+1)/2)/COUNT(Risk_Rank_Keys!$D$2:$D$800))</f>
        <v>0.619246861924686</v>
      </c>
      <c r="P786" s="0" t="n">
        <f aca="false">AVERAGE(M786:O786)</f>
        <v>0.769409576940958</v>
      </c>
      <c r="Q786" s="0" t="n">
        <f aca="false">0.4*H786+0.4*I786+0.2*P786</f>
        <v>0.314082165701083</v>
      </c>
      <c r="R786" s="0" t="n">
        <f aca="false">PERCENTILE($Q$2:$Q$800,0.75)</f>
        <v>0.667715717403612</v>
      </c>
      <c r="S786" s="1" t="b">
        <f aca="false">OR(Q786&gt;=R786,AND(B786="CW",COUNT(J786:L786)&lt;3))</f>
        <v>0</v>
      </c>
      <c r="T786" s="0" t="n">
        <v>0.231482506333867</v>
      </c>
      <c r="U786" s="0" t="n">
        <v>5.5956600606415</v>
      </c>
      <c r="V786" s="0" t="n">
        <v>0.314082165701083</v>
      </c>
      <c r="W786" s="0" t="n">
        <f aca="false">Q786-V786</f>
        <v>0</v>
      </c>
    </row>
    <row r="787" customFormat="false" ht="15" hidden="false" customHeight="false" outlineLevel="0" collapsed="false">
      <c r="A787" s="0" t="s">
        <v>821</v>
      </c>
      <c r="B787" s="0" t="s">
        <v>3013</v>
      </c>
      <c r="C787" s="0" t="n">
        <v>47.2703843257335</v>
      </c>
      <c r="D787" s="0" t="n">
        <f aca="false">SUMPRODUCT(Risk_Inputs!B787:AJ787,Risk_Coefs!$B$2:$AJ$2)</f>
        <v>-0.713319047225277</v>
      </c>
      <c r="E787" s="0" t="n">
        <f aca="false">1/(1+EXP(-MAX(-25,MIN(25,D787))))</f>
        <v>0.328865867302974</v>
      </c>
      <c r="F787" s="0" t="n">
        <f aca="false">SUMPRODUCT(Risk_Inputs!B787:AJ787,Risk_Coefs!$B$3:$AJ$3)</f>
        <v>9.71774182635353</v>
      </c>
      <c r="G787" s="0" t="n">
        <f aca="false">MAX(0,F787)</f>
        <v>9.71774182635353</v>
      </c>
      <c r="H787" s="0" t="n">
        <f aca="false">(SUMPRODUCT(--ISNUMBER($E$2:$E$800),--($E$2:$E$800&lt;E787))+(SUMPRODUCT(--ISNUMBER($E$2:$E$800),--($E$2:$E$800=E787))+1)/2)/COUNT($E$2:$E$800)</f>
        <v>0.729662077596996</v>
      </c>
      <c r="I787" s="0" t="n">
        <f aca="false">(SUMPRODUCT(--ISNUMBER($G$2:$G$800),--($G$2:$G$800&lt;G787))+(SUMPRODUCT(--ISNUMBER($G$2:$G$800),--($G$2:$G$800=G787))+1)/2)/COUNT($G$2:$G$800)</f>
        <v>0.752190237797247</v>
      </c>
      <c r="J787" s="0" t="n">
        <v>5.85630101387123</v>
      </c>
      <c r="K787" s="0" t="n">
        <v>3.72471632955107</v>
      </c>
      <c r="L787" s="0" t="n">
        <v>0.222002960039469</v>
      </c>
      <c r="M787" s="0" t="n">
        <f aca="false">IF(OR(B787="NW",COUNT(Risk_Rank_Keys!B787)=0),0.5,(SUMPRODUCT(--ISNUMBER(Risk_Rank_Keys!$B$2:$B$800),--(Risk_Rank_Keys!$B$2:$B$800&lt;Risk_Rank_Keys!B787))+(SUMPRODUCT(--ISNUMBER(Risk_Rank_Keys!$B$2:$B$800),--(Risk_Rank_Keys!$B$2:$B$800=Risk_Rank_Keys!B787))+1)/2)/COUNT(Risk_Rank_Keys!$B$2:$B$800))</f>
        <v>0.214783821478382</v>
      </c>
      <c r="N787" s="0" t="n">
        <f aca="false">IF(OR(B787="NW",COUNT(Risk_Rank_Keys!C787)=0),0.5,(SUMPRODUCT(--ISNUMBER(Risk_Rank_Keys!$C$2:$C$800),--(Risk_Rank_Keys!$C$2:$C$800&lt;Risk_Rank_Keys!C787))+(SUMPRODUCT(--ISNUMBER(Risk_Rank_Keys!$C$2:$C$800),--(Risk_Rank_Keys!$C$2:$C$800=Risk_Rank_Keys!C787))+1)/2)/COUNT(Risk_Rank_Keys!$C$2:$C$800))</f>
        <v>0.563458856345886</v>
      </c>
      <c r="O787" s="0" t="n">
        <f aca="false">IF(OR(B787="NW",COUNT(Risk_Rank_Keys!D787)=0),0.5,(SUMPRODUCT(--ISNUMBER(Risk_Rank_Keys!$D$2:$D$800),--(Risk_Rank_Keys!$D$2:$D$800&lt;Risk_Rank_Keys!D787))+(SUMPRODUCT(--ISNUMBER(Risk_Rank_Keys!$D$2:$D$800),--(Risk_Rank_Keys!$D$2:$D$800=Risk_Rank_Keys!D787))+1)/2)/COUNT(Risk_Rank_Keys!$D$2:$D$800))</f>
        <v>0.451882845188285</v>
      </c>
      <c r="P787" s="0" t="n">
        <f aca="false">AVERAGE(M787:O787)</f>
        <v>0.410041841004184</v>
      </c>
      <c r="Q787" s="0" t="n">
        <f aca="false">0.4*H787+0.4*I787+0.2*P787</f>
        <v>0.674749294358534</v>
      </c>
      <c r="R787" s="0" t="n">
        <f aca="false">PERCENTILE($Q$2:$Q$800,0.75)</f>
        <v>0.667715717403612</v>
      </c>
      <c r="S787" s="1" t="b">
        <f aca="false">OR(Q787&gt;=R787,AND(B787="CW",COUNT(J787:L787)&lt;3))</f>
        <v>1</v>
      </c>
      <c r="T787" s="0" t="n">
        <v>0.328865867302974</v>
      </c>
      <c r="U787" s="0" t="n">
        <v>9.71774182635353</v>
      </c>
      <c r="V787" s="0" t="n">
        <v>0.674749294358534</v>
      </c>
      <c r="W787" s="0" t="n">
        <f aca="false">Q787-V787</f>
        <v>0</v>
      </c>
    </row>
    <row r="788" customFormat="false" ht="15" hidden="false" customHeight="false" outlineLevel="0" collapsed="false">
      <c r="A788" s="0" t="s">
        <v>822</v>
      </c>
      <c r="B788" s="0" t="s">
        <v>3013</v>
      </c>
      <c r="C788" s="0" t="n">
        <v>39.8331516428007</v>
      </c>
      <c r="D788" s="0" t="n">
        <f aca="false">SUMPRODUCT(Risk_Inputs!B788:AJ788,Risk_Coefs!$B$2:$AJ$2)</f>
        <v>-1.40895281687952</v>
      </c>
      <c r="E788" s="0" t="n">
        <f aca="false">1/(1+EXP(-MAX(-25,MIN(25,D788))))</f>
        <v>0.196399277175399</v>
      </c>
      <c r="F788" s="0" t="n">
        <f aca="false">SUMPRODUCT(Risk_Inputs!B788:AJ788,Risk_Coefs!$B$3:$AJ$3)</f>
        <v>4.76617914794679</v>
      </c>
      <c r="G788" s="0" t="n">
        <f aca="false">MAX(0,F788)</f>
        <v>4.76617914794679</v>
      </c>
      <c r="H788" s="0" t="n">
        <f aca="false">(SUMPRODUCT(--ISNUMBER($E$2:$E$800),--($E$2:$E$800&lt;E788))+(SUMPRODUCT(--ISNUMBER($E$2:$E$800),--($E$2:$E$800=E788))+1)/2)/COUNT($E$2:$E$800)</f>
        <v>0.097622027534418</v>
      </c>
      <c r="I788" s="0" t="n">
        <f aca="false">(SUMPRODUCT(--ISNUMBER($G$2:$G$800),--($G$2:$G$800&lt;G788))+(SUMPRODUCT(--ISNUMBER($G$2:$G$800),--($G$2:$G$800=G788))+1)/2)/COUNT($G$2:$G$800)</f>
        <v>0.107634543178974</v>
      </c>
      <c r="J788" s="0" t="n">
        <v>26.689702664488</v>
      </c>
      <c r="K788" s="0" t="n">
        <v>12.814465408805</v>
      </c>
      <c r="L788" s="0" t="n">
        <v>0.353773584905652</v>
      </c>
      <c r="M788" s="0" t="n">
        <f aca="false">IF(OR(B788="NW",COUNT(Risk_Rank_Keys!B788)=0),0.5,(SUMPRODUCT(--ISNUMBER(Risk_Rank_Keys!$B$2:$B$800),--(Risk_Rank_Keys!$B$2:$B$800&lt;Risk_Rank_Keys!B788))+(SUMPRODUCT(--ISNUMBER(Risk_Rank_Keys!$B$2:$B$800),--(Risk_Rank_Keys!$B$2:$B$800=Risk_Rank_Keys!B788))+1)/2)/COUNT(Risk_Rank_Keys!$B$2:$B$800))</f>
        <v>0.877266387726639</v>
      </c>
      <c r="N788" s="0" t="n">
        <f aca="false">IF(OR(B788="NW",COUNT(Risk_Rank_Keys!C788)=0),0.5,(SUMPRODUCT(--ISNUMBER(Risk_Rank_Keys!$C$2:$C$800),--(Risk_Rank_Keys!$C$2:$C$800&lt;Risk_Rank_Keys!C788))+(SUMPRODUCT(--ISNUMBER(Risk_Rank_Keys!$C$2:$C$800),--(Risk_Rank_Keys!$C$2:$C$800=Risk_Rank_Keys!C788))+1)/2)/COUNT(Risk_Rank_Keys!$C$2:$C$800))</f>
        <v>0.909344490934449</v>
      </c>
      <c r="O788" s="0" t="n">
        <f aca="false">IF(OR(B788="NW",COUNT(Risk_Rank_Keys!D788)=0),0.5,(SUMPRODUCT(--ISNUMBER(Risk_Rank_Keys!$D$2:$D$800),--(Risk_Rank_Keys!$D$2:$D$800&lt;Risk_Rank_Keys!D788))+(SUMPRODUCT(--ISNUMBER(Risk_Rank_Keys!$D$2:$D$800),--(Risk_Rank_Keys!$D$2:$D$800=Risk_Rank_Keys!D788))+1)/2)/COUNT(Risk_Rank_Keys!$D$2:$D$800))</f>
        <v>0.841004184100418</v>
      </c>
      <c r="P788" s="0" t="n">
        <f aca="false">AVERAGE(M788:O788)</f>
        <v>0.875871687587169</v>
      </c>
      <c r="Q788" s="0" t="n">
        <f aca="false">0.4*H788+0.4*I788+0.2*P788</f>
        <v>0.25727696580279</v>
      </c>
      <c r="R788" s="0" t="n">
        <f aca="false">PERCENTILE($Q$2:$Q$800,0.75)</f>
        <v>0.667715717403612</v>
      </c>
      <c r="S788" s="1" t="b">
        <f aca="false">OR(Q788&gt;=R788,AND(B788="CW",COUNT(J788:L788)&lt;3))</f>
        <v>0</v>
      </c>
      <c r="T788" s="0" t="n">
        <v>0.196399277175399</v>
      </c>
      <c r="U788" s="0" t="n">
        <v>4.76617914794679</v>
      </c>
      <c r="V788" s="0" t="n">
        <v>0.257276965802791</v>
      </c>
      <c r="W788" s="0" t="n">
        <f aca="false">Q788-V788</f>
        <v>0</v>
      </c>
    </row>
    <row r="789" customFormat="false" ht="15" hidden="false" customHeight="false" outlineLevel="0" collapsed="false">
      <c r="A789" s="0" t="s">
        <v>823</v>
      </c>
      <c r="B789" s="0" t="s">
        <v>3013</v>
      </c>
      <c r="C789" s="0" t="n">
        <v>11.7990887978417</v>
      </c>
      <c r="D789" s="0" t="n">
        <f aca="false">SUMPRODUCT(Risk_Inputs!B789:AJ789,Risk_Coefs!$B$2:$AJ$2)</f>
        <v>-0.921302398031261</v>
      </c>
      <c r="E789" s="0" t="n">
        <f aca="false">1/(1+EXP(-MAX(-25,MIN(25,D789))))</f>
        <v>0.284692596062691</v>
      </c>
      <c r="F789" s="0" t="n">
        <f aca="false">SUMPRODUCT(Risk_Inputs!B789:AJ789,Risk_Coefs!$B$3:$AJ$3)</f>
        <v>6.26534724469859</v>
      </c>
      <c r="G789" s="0" t="n">
        <f aca="false">MAX(0,F789)</f>
        <v>6.26534724469859</v>
      </c>
      <c r="H789" s="0" t="n">
        <f aca="false">(SUMPRODUCT(--ISNUMBER($E$2:$E$800),--($E$2:$E$800&lt;E789))+(SUMPRODUCT(--ISNUMBER($E$2:$E$800),--($E$2:$E$800=E789))+1)/2)/COUNT($E$2:$E$800)</f>
        <v>0.490613266583229</v>
      </c>
      <c r="I789" s="0" t="n">
        <f aca="false">(SUMPRODUCT(--ISNUMBER($G$2:$G$800),--($G$2:$G$800&lt;G789))+(SUMPRODUCT(--ISNUMBER($G$2:$G$800),--($G$2:$G$800=G789))+1)/2)/COUNT($G$2:$G$800)</f>
        <v>0.305381727158949</v>
      </c>
      <c r="J789" s="0" t="n">
        <v>5.76685937247661</v>
      </c>
      <c r="K789" s="0" t="n">
        <v>1.17349702112295</v>
      </c>
      <c r="L789" s="0" t="n">
        <v>0.180538003249684</v>
      </c>
      <c r="M789" s="0" t="n">
        <f aca="false">IF(OR(B789="NW",COUNT(Risk_Rank_Keys!B789)=0),0.5,(SUMPRODUCT(--ISNUMBER(Risk_Rank_Keys!$B$2:$B$800),--(Risk_Rank_Keys!$B$2:$B$800&lt;Risk_Rank_Keys!B789))+(SUMPRODUCT(--ISNUMBER(Risk_Rank_Keys!$B$2:$B$800),--(Risk_Rank_Keys!$B$2:$B$800=Risk_Rank_Keys!B789))+1)/2)/COUNT(Risk_Rank_Keys!$B$2:$B$800))</f>
        <v>0.202231520223152</v>
      </c>
      <c r="N789" s="0" t="n">
        <f aca="false">IF(OR(B789="NW",COUNT(Risk_Rank_Keys!C789)=0),0.5,(SUMPRODUCT(--ISNUMBER(Risk_Rank_Keys!$C$2:$C$800),--(Risk_Rank_Keys!$C$2:$C$800&lt;Risk_Rank_Keys!C789))+(SUMPRODUCT(--ISNUMBER(Risk_Rank_Keys!$C$2:$C$800),--(Risk_Rank_Keys!$C$2:$C$800=Risk_Rank_Keys!C789))+1)/2)/COUNT(Risk_Rank_Keys!$C$2:$C$800))</f>
        <v>0.0613668061366806</v>
      </c>
      <c r="O789" s="0" t="n">
        <f aca="false">IF(OR(B789="NW",COUNT(Risk_Rank_Keys!D789)=0),0.5,(SUMPRODUCT(--ISNUMBER(Risk_Rank_Keys!$D$2:$D$800),--(Risk_Rank_Keys!$D$2:$D$800&lt;Risk_Rank_Keys!D789))+(SUMPRODUCT(--ISNUMBER(Risk_Rank_Keys!$D$2:$D$800),--(Risk_Rank_Keys!$D$2:$D$800=Risk_Rank_Keys!D789))+1)/2)/COUNT(Risk_Rank_Keys!$D$2:$D$800))</f>
        <v>0.207810320781032</v>
      </c>
      <c r="P789" s="0" t="n">
        <f aca="false">AVERAGE(M789:O789)</f>
        <v>0.157136215713622</v>
      </c>
      <c r="Q789" s="0" t="n">
        <f aca="false">0.4*H789+0.4*I789+0.2*P789</f>
        <v>0.349825240639595</v>
      </c>
      <c r="R789" s="0" t="n">
        <f aca="false">PERCENTILE($Q$2:$Q$800,0.75)</f>
        <v>0.667715717403612</v>
      </c>
      <c r="S789" s="1" t="b">
        <f aca="false">OR(Q789&gt;=R789,AND(B789="CW",COUNT(J789:L789)&lt;3))</f>
        <v>0</v>
      </c>
      <c r="T789" s="0" t="n">
        <v>0.284692596062691</v>
      </c>
      <c r="U789" s="0" t="n">
        <v>6.26534724469859</v>
      </c>
      <c r="V789" s="0" t="n">
        <v>0.349825240639595</v>
      </c>
      <c r="W789" s="0" t="n">
        <f aca="false">Q789-V789</f>
        <v>0</v>
      </c>
    </row>
    <row r="790" customFormat="false" ht="15" hidden="false" customHeight="false" outlineLevel="0" collapsed="false">
      <c r="A790" s="0" t="s">
        <v>824</v>
      </c>
      <c r="B790" s="0" t="s">
        <v>3013</v>
      </c>
      <c r="C790" s="0" t="n">
        <v>21.8749417087137</v>
      </c>
      <c r="D790" s="0" t="n">
        <f aca="false">SUMPRODUCT(Risk_Inputs!B790:AJ790,Risk_Coefs!$B$2:$AJ$2)</f>
        <v>-1.03901130410928</v>
      </c>
      <c r="E790" s="0" t="n">
        <f aca="false">1/(1+EXP(-MAX(-25,MIN(25,D790))))</f>
        <v>0.261340808500158</v>
      </c>
      <c r="F790" s="0" t="n">
        <f aca="false">SUMPRODUCT(Risk_Inputs!B790:AJ790,Risk_Coefs!$B$3:$AJ$3)</f>
        <v>7.19100494812367</v>
      </c>
      <c r="G790" s="0" t="n">
        <f aca="false">MAX(0,F790)</f>
        <v>7.19100494812367</v>
      </c>
      <c r="H790" s="0" t="n">
        <f aca="false">(SUMPRODUCT(--ISNUMBER($E$2:$E$800),--($E$2:$E$800&lt;E790))+(SUMPRODUCT(--ISNUMBER($E$2:$E$800),--($E$2:$E$800=E790))+1)/2)/COUNT($E$2:$E$800)</f>
        <v>0.339173967459324</v>
      </c>
      <c r="I790" s="0" t="n">
        <f aca="false">(SUMPRODUCT(--ISNUMBER($G$2:$G$800),--($G$2:$G$800&lt;G790))+(SUMPRODUCT(--ISNUMBER($G$2:$G$800),--($G$2:$G$800=G790))+1)/2)/COUNT($G$2:$G$800)</f>
        <v>0.44180225281602</v>
      </c>
      <c r="J790" s="0" t="n">
        <v>5.85967112083596</v>
      </c>
      <c r="K790" s="0" t="n">
        <v>1.69562486916475</v>
      </c>
      <c r="L790" s="0" t="n">
        <v>0.251203684320707</v>
      </c>
      <c r="M790" s="0" t="n">
        <f aca="false">IF(OR(B790="NW",COUNT(Risk_Rank_Keys!B790)=0),0.5,(SUMPRODUCT(--ISNUMBER(Risk_Rank_Keys!$B$2:$B$800),--(Risk_Rank_Keys!$B$2:$B$800&lt;Risk_Rank_Keys!B790))+(SUMPRODUCT(--ISNUMBER(Risk_Rank_Keys!$B$2:$B$800),--(Risk_Rank_Keys!$B$2:$B$800=Risk_Rank_Keys!B790))+1)/2)/COUNT(Risk_Rank_Keys!$B$2:$B$800))</f>
        <v>0.216178521617852</v>
      </c>
      <c r="N790" s="0" t="n">
        <f aca="false">IF(OR(B790="NW",COUNT(Risk_Rank_Keys!C790)=0),0.5,(SUMPRODUCT(--ISNUMBER(Risk_Rank_Keys!$C$2:$C$800),--(Risk_Rank_Keys!$C$2:$C$800&lt;Risk_Rank_Keys!C790))+(SUMPRODUCT(--ISNUMBER(Risk_Rank_Keys!$C$2:$C$800),--(Risk_Rank_Keys!$C$2:$C$800=Risk_Rank_Keys!C790))+1)/2)/COUNT(Risk_Rank_Keys!$C$2:$C$800))</f>
        <v>0.189679218967922</v>
      </c>
      <c r="O790" s="0" t="n">
        <f aca="false">IF(OR(B790="NW",COUNT(Risk_Rank_Keys!D790)=0),0.5,(SUMPRODUCT(--ISNUMBER(Risk_Rank_Keys!$D$2:$D$800),--(Risk_Rank_Keys!$D$2:$D$800&lt;Risk_Rank_Keys!D790))+(SUMPRODUCT(--ISNUMBER(Risk_Rank_Keys!$D$2:$D$800),--(Risk_Rank_Keys!$D$2:$D$800=Risk_Rank_Keys!D790))+1)/2)/COUNT(Risk_Rank_Keys!$D$2:$D$800))</f>
        <v>0.595536959553696</v>
      </c>
      <c r="P790" s="0" t="n">
        <f aca="false">AVERAGE(M790:O790)</f>
        <v>0.333798233379823</v>
      </c>
      <c r="Q790" s="0" t="n">
        <f aca="false">0.4*H790+0.4*I790+0.2*P790</f>
        <v>0.379150134786102</v>
      </c>
      <c r="R790" s="0" t="n">
        <f aca="false">PERCENTILE($Q$2:$Q$800,0.75)</f>
        <v>0.667715717403612</v>
      </c>
      <c r="S790" s="1" t="b">
        <f aca="false">OR(Q790&gt;=R790,AND(B790="CW",COUNT(J790:L790)&lt;3))</f>
        <v>0</v>
      </c>
      <c r="T790" s="0" t="n">
        <v>0.261340808500158</v>
      </c>
      <c r="U790" s="0" t="n">
        <v>7.19100494812367</v>
      </c>
      <c r="V790" s="0" t="n">
        <v>0.379150134786102</v>
      </c>
      <c r="W790" s="0" t="n">
        <f aca="false">Q790-V790</f>
        <v>0</v>
      </c>
    </row>
    <row r="791" customFormat="false" ht="15" hidden="false" customHeight="false" outlineLevel="0" collapsed="false">
      <c r="A791" s="0" t="s">
        <v>825</v>
      </c>
      <c r="B791" s="0" t="s">
        <v>3013</v>
      </c>
      <c r="C791" s="0" t="n">
        <v>21.5369462352086</v>
      </c>
      <c r="D791" s="0" t="n">
        <f aca="false">SUMPRODUCT(Risk_Inputs!B791:AJ791,Risk_Coefs!$B$2:$AJ$2)</f>
        <v>-1.00194842222296</v>
      </c>
      <c r="E791" s="0" t="n">
        <f aca="false">1/(1+EXP(-MAX(-25,MIN(25,D791))))</f>
        <v>0.268558510817312</v>
      </c>
      <c r="F791" s="0" t="n">
        <f aca="false">SUMPRODUCT(Risk_Inputs!B791:AJ791,Risk_Coefs!$B$3:$AJ$3)</f>
        <v>4.83707219456526</v>
      </c>
      <c r="G791" s="0" t="n">
        <f aca="false">MAX(0,F791)</f>
        <v>4.83707219456526</v>
      </c>
      <c r="H791" s="0" t="n">
        <f aca="false">(SUMPRODUCT(--ISNUMBER($E$2:$E$800),--($E$2:$E$800&lt;E791))+(SUMPRODUCT(--ISNUMBER($E$2:$E$800),--($E$2:$E$800=E791))+1)/2)/COUNT($E$2:$E$800)</f>
        <v>0.385481852315394</v>
      </c>
      <c r="I791" s="0" t="n">
        <f aca="false">(SUMPRODUCT(--ISNUMBER($G$2:$G$800),--($G$2:$G$800&lt;G791))+(SUMPRODUCT(--ISNUMBER($G$2:$G$800),--($G$2:$G$800=G791))+1)/2)/COUNT($G$2:$G$800)</f>
        <v>0.11639549436796</v>
      </c>
      <c r="J791" s="0" t="n">
        <v>4.88600697291135</v>
      </c>
      <c r="K791" s="0" t="n">
        <v>1.18908382066275</v>
      </c>
      <c r="L791" s="0" t="n">
        <v>0.233918128654963</v>
      </c>
      <c r="M791" s="0" t="n">
        <f aca="false">IF(OR(B791="NW",COUNT(Risk_Rank_Keys!B791)=0),0.5,(SUMPRODUCT(--ISNUMBER(Risk_Rank_Keys!$B$2:$B$800),--(Risk_Rank_Keys!$B$2:$B$800&lt;Risk_Rank_Keys!B791))+(SUMPRODUCT(--ISNUMBER(Risk_Rank_Keys!$B$2:$B$800),--(Risk_Rank_Keys!$B$2:$B$800=Risk_Rank_Keys!B791))+1)/2)/COUNT(Risk_Rank_Keys!$B$2:$B$800))</f>
        <v>0.124128312412831</v>
      </c>
      <c r="N791" s="0" t="n">
        <f aca="false">IF(OR(B791="NW",COUNT(Risk_Rank_Keys!C791)=0),0.5,(SUMPRODUCT(--ISNUMBER(Risk_Rank_Keys!$C$2:$C$800),--(Risk_Rank_Keys!$C$2:$C$800&lt;Risk_Rank_Keys!C791))+(SUMPRODUCT(--ISNUMBER(Risk_Rank_Keys!$C$2:$C$800),--(Risk_Rank_Keys!$C$2:$C$800=Risk_Rank_Keys!C791))+1)/2)/COUNT(Risk_Rank_Keys!$C$2:$C$800))</f>
        <v>0.0655509065550907</v>
      </c>
      <c r="O791" s="0" t="n">
        <f aca="false">IF(OR(B791="NW",COUNT(Risk_Rank_Keys!D791)=0),0.5,(SUMPRODUCT(--ISNUMBER(Risk_Rank_Keys!$D$2:$D$800),--(Risk_Rank_Keys!$D$2:$D$800&lt;Risk_Rank_Keys!D791))+(SUMPRODUCT(--ISNUMBER(Risk_Rank_Keys!$D$2:$D$800),--(Risk_Rank_Keys!$D$2:$D$800=Risk_Rank_Keys!D791))+1)/2)/COUNT(Risk_Rank_Keys!$D$2:$D$800))</f>
        <v>0.517433751743375</v>
      </c>
      <c r="P791" s="0" t="n">
        <f aca="false">AVERAGE(M791:O791)</f>
        <v>0.235704323570432</v>
      </c>
      <c r="Q791" s="0" t="n">
        <f aca="false">0.4*H791+0.4*I791+0.2*P791</f>
        <v>0.247891803387428</v>
      </c>
      <c r="R791" s="0" t="n">
        <f aca="false">PERCENTILE($Q$2:$Q$800,0.75)</f>
        <v>0.667715717403612</v>
      </c>
      <c r="S791" s="1" t="b">
        <f aca="false">OR(Q791&gt;=R791,AND(B791="CW",COUNT(J791:L791)&lt;3))</f>
        <v>0</v>
      </c>
      <c r="T791" s="0" t="n">
        <v>0.268558510817312</v>
      </c>
      <c r="U791" s="0" t="n">
        <v>4.83707219456526</v>
      </c>
      <c r="V791" s="0" t="n">
        <v>0.247891803387428</v>
      </c>
      <c r="W791" s="0" t="n">
        <f aca="false">Q791-V791</f>
        <v>0</v>
      </c>
    </row>
    <row r="792" customFormat="false" ht="15" hidden="false" customHeight="false" outlineLevel="0" collapsed="false">
      <c r="A792" s="0" t="s">
        <v>826</v>
      </c>
      <c r="B792" s="0" t="s">
        <v>3013</v>
      </c>
      <c r="C792" s="0" t="n">
        <v>-16.7777528686039</v>
      </c>
      <c r="D792" s="0" t="n">
        <f aca="false">SUMPRODUCT(Risk_Inputs!B792:AJ792,Risk_Coefs!$B$2:$AJ$2)</f>
        <v>-0.982888139802232</v>
      </c>
      <c r="E792" s="0" t="n">
        <f aca="false">1/(1+EXP(-MAX(-25,MIN(25,D792))))</f>
        <v>0.272319089632657</v>
      </c>
      <c r="F792" s="0" t="n">
        <f aca="false">SUMPRODUCT(Risk_Inputs!B792:AJ792,Risk_Coefs!$B$3:$AJ$3)</f>
        <v>7.09290410051134</v>
      </c>
      <c r="G792" s="0" t="n">
        <f aca="false">MAX(0,F792)</f>
        <v>7.09290410051134</v>
      </c>
      <c r="H792" s="0" t="n">
        <f aca="false">(SUMPRODUCT(--ISNUMBER($E$2:$E$800),--($E$2:$E$800&lt;E792))+(SUMPRODUCT(--ISNUMBER($E$2:$E$800),--($E$2:$E$800=E792))+1)/2)/COUNT($E$2:$E$800)</f>
        <v>0.406758448060075</v>
      </c>
      <c r="I792" s="0" t="n">
        <f aca="false">(SUMPRODUCT(--ISNUMBER($G$2:$G$800),--($G$2:$G$800&lt;G792))+(SUMPRODUCT(--ISNUMBER($G$2:$G$800),--($G$2:$G$800=G792))+1)/2)/COUNT($G$2:$G$800)</f>
        <v>0.428035043804756</v>
      </c>
      <c r="J792" s="0" t="n">
        <v>13.5072251300273</v>
      </c>
      <c r="K792" s="0" t="n">
        <v>1.78485287023638</v>
      </c>
      <c r="L792" s="0" t="n">
        <v>0.265315967197304</v>
      </c>
      <c r="M792" s="0" t="n">
        <f aca="false">IF(OR(B792="NW",COUNT(Risk_Rank_Keys!B792)=0),0.5,(SUMPRODUCT(--ISNUMBER(Risk_Rank_Keys!$B$2:$B$800),--(Risk_Rank_Keys!$B$2:$B$800&lt;Risk_Rank_Keys!B792))+(SUMPRODUCT(--ISNUMBER(Risk_Rank_Keys!$B$2:$B$800),--(Risk_Rank_Keys!$B$2:$B$800=Risk_Rank_Keys!B792))+1)/2)/COUNT(Risk_Rank_Keys!$B$2:$B$800))</f>
        <v>0.662482566248257</v>
      </c>
      <c r="N792" s="0" t="n">
        <f aca="false">IF(OR(B792="NW",COUNT(Risk_Rank_Keys!C792)=0),0.5,(SUMPRODUCT(--ISNUMBER(Risk_Rank_Keys!$C$2:$C$800),--(Risk_Rank_Keys!$C$2:$C$800&lt;Risk_Rank_Keys!C792))+(SUMPRODUCT(--ISNUMBER(Risk_Rank_Keys!$C$2:$C$800),--(Risk_Rank_Keys!$C$2:$C$800=Risk_Rank_Keys!C792))+1)/2)/COUNT(Risk_Rank_Keys!$C$2:$C$800))</f>
        <v>0.209205020920502</v>
      </c>
      <c r="O792" s="0" t="n">
        <f aca="false">IF(OR(B792="NW",COUNT(Risk_Rank_Keys!D792)=0),0.5,(SUMPRODUCT(--ISNUMBER(Risk_Rank_Keys!$D$2:$D$800),--(Risk_Rank_Keys!$D$2:$D$800&lt;Risk_Rank_Keys!D792))+(SUMPRODUCT(--ISNUMBER(Risk_Rank_Keys!$D$2:$D$800),--(Risk_Rank_Keys!$D$2:$D$800=Risk_Rank_Keys!D792))+1)/2)/COUNT(Risk_Rank_Keys!$D$2:$D$800))</f>
        <v>0.652719665271967</v>
      </c>
      <c r="P792" s="0" t="n">
        <f aca="false">AVERAGE(M792:O792)</f>
        <v>0.508135750813575</v>
      </c>
      <c r="Q792" s="0" t="n">
        <f aca="false">0.4*H792+0.4*I792+0.2*P792</f>
        <v>0.435544546908647</v>
      </c>
      <c r="R792" s="0" t="n">
        <f aca="false">PERCENTILE($Q$2:$Q$800,0.75)</f>
        <v>0.667715717403612</v>
      </c>
      <c r="S792" s="1" t="b">
        <f aca="false">OR(Q792&gt;=R792,AND(B792="CW",COUNT(J792:L792)&lt;3))</f>
        <v>0</v>
      </c>
      <c r="T792" s="0" t="n">
        <v>0.272319089632657</v>
      </c>
      <c r="U792" s="0" t="n">
        <v>7.09290410051134</v>
      </c>
      <c r="V792" s="0" t="n">
        <v>0.435544546908648</v>
      </c>
      <c r="W792" s="0" t="n">
        <f aca="false">Q792-V792</f>
        <v>0</v>
      </c>
    </row>
    <row r="793" customFormat="false" ht="15" hidden="false" customHeight="false" outlineLevel="0" collapsed="false">
      <c r="A793" s="0" t="s">
        <v>827</v>
      </c>
      <c r="B793" s="0" t="s">
        <v>33</v>
      </c>
      <c r="C793" s="0" t="n">
        <v>-36.9494614389038</v>
      </c>
      <c r="D793" s="0" t="n">
        <f aca="false">SUMPRODUCT(Risk_Inputs!B793:AJ793,Risk_Coefs!$B$2:$AJ$2)</f>
        <v>-0.410416765424744</v>
      </c>
      <c r="E793" s="0" t="n">
        <f aca="false">1/(1+EXP(-MAX(-25,MIN(25,D793))))</f>
        <v>0.398812192832403</v>
      </c>
      <c r="F793" s="0" t="n">
        <f aca="false">SUMPRODUCT(Risk_Inputs!B793:AJ793,Risk_Coefs!$B$3:$AJ$3)</f>
        <v>13.0085199127314</v>
      </c>
      <c r="G793" s="0" t="n">
        <f aca="false">MAX(0,F793)</f>
        <v>13.0085199127314</v>
      </c>
      <c r="H793" s="0" t="n">
        <f aca="false">(SUMPRODUCT(--ISNUMBER($E$2:$E$800),--($E$2:$E$800&lt;E793))+(SUMPRODUCT(--ISNUMBER($E$2:$E$800),--($E$2:$E$800=E793))+1)/2)/COUNT($E$2:$E$800)</f>
        <v>0.938673341677096</v>
      </c>
      <c r="I793" s="0" t="n">
        <f aca="false">(SUMPRODUCT(--ISNUMBER($G$2:$G$800),--($G$2:$G$800&lt;G793))+(SUMPRODUCT(--ISNUMBER($G$2:$G$800),--($G$2:$G$800=G793))+1)/2)/COUNT($G$2:$G$800)</f>
        <v>0.95244055068836</v>
      </c>
      <c r="M793" s="0" t="n">
        <f aca="false">IF(OR(B793="NW",COUNT(Risk_Rank_Keys!B793)=0),0.5,(SUMPRODUCT(--ISNUMBER(Risk_Rank_Keys!$B$2:$B$800),--(Risk_Rank_Keys!$B$2:$B$800&lt;Risk_Rank_Keys!B793))+(SUMPRODUCT(--ISNUMBER(Risk_Rank_Keys!$B$2:$B$800),--(Risk_Rank_Keys!$B$2:$B$800=Risk_Rank_Keys!B793))+1)/2)/COUNT(Risk_Rank_Keys!$B$2:$B$800))</f>
        <v>0.5</v>
      </c>
      <c r="N793" s="0" t="n">
        <f aca="false">IF(OR(B793="NW",COUNT(Risk_Rank_Keys!C793)=0),0.5,(SUMPRODUCT(--ISNUMBER(Risk_Rank_Keys!$C$2:$C$800),--(Risk_Rank_Keys!$C$2:$C$800&lt;Risk_Rank_Keys!C793))+(SUMPRODUCT(--ISNUMBER(Risk_Rank_Keys!$C$2:$C$800),--(Risk_Rank_Keys!$C$2:$C$800=Risk_Rank_Keys!C793))+1)/2)/COUNT(Risk_Rank_Keys!$C$2:$C$800))</f>
        <v>0.5</v>
      </c>
      <c r="O793" s="0" t="n">
        <f aca="false">IF(OR(B793="NW",COUNT(Risk_Rank_Keys!D793)=0),0.5,(SUMPRODUCT(--ISNUMBER(Risk_Rank_Keys!$D$2:$D$800),--(Risk_Rank_Keys!$D$2:$D$800&lt;Risk_Rank_Keys!D793))+(SUMPRODUCT(--ISNUMBER(Risk_Rank_Keys!$D$2:$D$800),--(Risk_Rank_Keys!$D$2:$D$800=Risk_Rank_Keys!D793))+1)/2)/COUNT(Risk_Rank_Keys!$D$2:$D$800))</f>
        <v>0.5</v>
      </c>
      <c r="P793" s="0" t="n">
        <f aca="false">AVERAGE(M793:O793)</f>
        <v>0.5</v>
      </c>
      <c r="Q793" s="0" t="n">
        <f aca="false">0.4*H793+0.4*I793+0.2*P793</f>
        <v>0.856445556946183</v>
      </c>
      <c r="R793" s="0" t="n">
        <f aca="false">PERCENTILE($Q$2:$Q$800,0.75)</f>
        <v>0.667715717403612</v>
      </c>
      <c r="S793" s="1" t="b">
        <f aca="false">OR(Q793&gt;=R793,AND(B793="CW",COUNT(J793:L793)&lt;3))</f>
        <v>1</v>
      </c>
      <c r="T793" s="0" t="n">
        <v>0.398812192832403</v>
      </c>
      <c r="U793" s="0" t="n">
        <v>13.0085199127314</v>
      </c>
      <c r="V793" s="0" t="n">
        <v>0.856445556946183</v>
      </c>
      <c r="W793" s="0" t="n">
        <f aca="false">Q793-V793</f>
        <v>0</v>
      </c>
    </row>
    <row r="794" customFormat="false" ht="15" hidden="false" customHeight="false" outlineLevel="0" collapsed="false">
      <c r="A794" s="0" t="s">
        <v>828</v>
      </c>
      <c r="B794" s="0" t="s">
        <v>3013</v>
      </c>
      <c r="C794" s="0" t="n">
        <v>3.43773906366328</v>
      </c>
      <c r="D794" s="0" t="n">
        <f aca="false">SUMPRODUCT(Risk_Inputs!B794:AJ794,Risk_Coefs!$B$2:$AJ$2)</f>
        <v>-0.782794206879764</v>
      </c>
      <c r="E794" s="0" t="n">
        <f aca="false">1/(1+EXP(-MAX(-25,MIN(25,D794))))</f>
        <v>0.313717983181064</v>
      </c>
      <c r="F794" s="0" t="n">
        <f aca="false">SUMPRODUCT(Risk_Inputs!B794:AJ794,Risk_Coefs!$B$3:$AJ$3)</f>
        <v>6.99021621364646</v>
      </c>
      <c r="G794" s="0" t="n">
        <f aca="false">MAX(0,F794)</f>
        <v>6.99021621364646</v>
      </c>
      <c r="H794" s="0" t="n">
        <f aca="false">(SUMPRODUCT(--ISNUMBER($E$2:$E$800),--($E$2:$E$800&lt;E794))+(SUMPRODUCT(--ISNUMBER($E$2:$E$800),--($E$2:$E$800=E794))+1)/2)/COUNT($E$2:$E$800)</f>
        <v>0.635794743429287</v>
      </c>
      <c r="I794" s="0" t="n">
        <f aca="false">(SUMPRODUCT(--ISNUMBER($G$2:$G$800),--($G$2:$G$800&lt;G794))+(SUMPRODUCT(--ISNUMBER($G$2:$G$800),--($G$2:$G$800=G794))+1)/2)/COUNT($G$2:$G$800)</f>
        <v>0.415519399249061</v>
      </c>
      <c r="J794" s="0" t="n">
        <v>4.40150531481767</v>
      </c>
      <c r="K794" s="0" t="n">
        <v>1.55597722960151</v>
      </c>
      <c r="L794" s="0" t="n">
        <v>0.227703984819738</v>
      </c>
      <c r="M794" s="0" t="n">
        <f aca="false">IF(OR(B794="NW",COUNT(Risk_Rank_Keys!B794)=0),0.5,(SUMPRODUCT(--ISNUMBER(Risk_Rank_Keys!$B$2:$B$800),--(Risk_Rank_Keys!$B$2:$B$800&lt;Risk_Rank_Keys!B794))+(SUMPRODUCT(--ISNUMBER(Risk_Rank_Keys!$B$2:$B$800),--(Risk_Rank_Keys!$B$2:$B$800=Risk_Rank_Keys!B794))+1)/2)/COUNT(Risk_Rank_Keys!$B$2:$B$800))</f>
        <v>0.0920502092050209</v>
      </c>
      <c r="N794" s="0" t="n">
        <f aca="false">IF(OR(B794="NW",COUNT(Risk_Rank_Keys!C794)=0),0.5,(SUMPRODUCT(--ISNUMBER(Risk_Rank_Keys!$C$2:$C$800),--(Risk_Rank_Keys!$C$2:$C$800&lt;Risk_Rank_Keys!C794))+(SUMPRODUCT(--ISNUMBER(Risk_Rank_Keys!$C$2:$C$800),--(Risk_Rank_Keys!$C$2:$C$800=Risk_Rank_Keys!C794))+1)/2)/COUNT(Risk_Rank_Keys!$C$2:$C$800))</f>
        <v>0.147838214783821</v>
      </c>
      <c r="O794" s="0" t="n">
        <f aca="false">IF(OR(B794="NW",COUNT(Risk_Rank_Keys!D794)=0),0.5,(SUMPRODUCT(--ISNUMBER(Risk_Rank_Keys!$D$2:$D$800),--(Risk_Rank_Keys!$D$2:$D$800&lt;Risk_Rank_Keys!D794))+(SUMPRODUCT(--ISNUMBER(Risk_Rank_Keys!$D$2:$D$800),--(Risk_Rank_Keys!$D$2:$D$800=Risk_Rank_Keys!D794))+1)/2)/COUNT(Risk_Rank_Keys!$D$2:$D$800))</f>
        <v>0.483960948396095</v>
      </c>
      <c r="P794" s="0" t="n">
        <f aca="false">AVERAGE(M794:O794)</f>
        <v>0.241283124128312</v>
      </c>
      <c r="Q794" s="0" t="n">
        <f aca="false">0.4*H794+0.4*I794+0.2*P794</f>
        <v>0.468782281897002</v>
      </c>
      <c r="R794" s="0" t="n">
        <f aca="false">PERCENTILE($Q$2:$Q$800,0.75)</f>
        <v>0.667715717403612</v>
      </c>
      <c r="S794" s="1" t="b">
        <f aca="false">OR(Q794&gt;=R794,AND(B794="CW",COUNT(J794:L794)&lt;3))</f>
        <v>0</v>
      </c>
      <c r="T794" s="0" t="n">
        <v>0.313717983181064</v>
      </c>
      <c r="U794" s="0" t="n">
        <v>6.99021621364646</v>
      </c>
      <c r="V794" s="0" t="n">
        <v>0.468782281897002</v>
      </c>
      <c r="W794" s="0" t="n">
        <f aca="false">Q794-V794</f>
        <v>0</v>
      </c>
    </row>
    <row r="795" customFormat="false" ht="15" hidden="false" customHeight="false" outlineLevel="0" collapsed="false">
      <c r="A795" s="0" t="s">
        <v>829</v>
      </c>
      <c r="B795" s="0" t="s">
        <v>3013</v>
      </c>
      <c r="C795" s="0" t="n">
        <v>-29.9517591618315</v>
      </c>
      <c r="D795" s="0" t="n">
        <f aca="false">SUMPRODUCT(Risk_Inputs!B795:AJ795,Risk_Coefs!$B$2:$AJ$2)</f>
        <v>-0.71658501299675</v>
      </c>
      <c r="E795" s="0" t="n">
        <f aca="false">1/(1+EXP(-MAX(-25,MIN(25,D795))))</f>
        <v>0.328145429151277</v>
      </c>
      <c r="F795" s="0" t="n">
        <f aca="false">SUMPRODUCT(Risk_Inputs!B795:AJ795,Risk_Coefs!$B$3:$AJ$3)</f>
        <v>10.1067674013709</v>
      </c>
      <c r="G795" s="0" t="n">
        <f aca="false">MAX(0,F795)</f>
        <v>10.1067674013709</v>
      </c>
      <c r="H795" s="0" t="n">
        <f aca="false">(SUMPRODUCT(--ISNUMBER($E$2:$E$800),--($E$2:$E$800&lt;E795))+(SUMPRODUCT(--ISNUMBER($E$2:$E$800),--($E$2:$E$800=E795))+1)/2)/COUNT($E$2:$E$800)</f>
        <v>0.723404255319149</v>
      </c>
      <c r="I795" s="0" t="n">
        <f aca="false">(SUMPRODUCT(--ISNUMBER($G$2:$G$800),--($G$2:$G$800&lt;G795))+(SUMPRODUCT(--ISNUMBER($G$2:$G$800),--($G$2:$G$800=G795))+1)/2)/COUNT($G$2:$G$800)</f>
        <v>0.802252816020025</v>
      </c>
      <c r="J795" s="0" t="n">
        <v>12.4583048667772</v>
      </c>
      <c r="K795" s="0" t="n">
        <v>4.1374474053296</v>
      </c>
      <c r="L795" s="0" t="n">
        <v>0.17531556802245</v>
      </c>
      <c r="M795" s="0" t="n">
        <f aca="false">IF(OR(B795="NW",COUNT(Risk_Rank_Keys!B795)=0),0.5,(SUMPRODUCT(--ISNUMBER(Risk_Rank_Keys!$B$2:$B$800),--(Risk_Rank_Keys!$B$2:$B$800&lt;Risk_Rank_Keys!B795))+(SUMPRODUCT(--ISNUMBER(Risk_Rank_Keys!$B$2:$B$800),--(Risk_Rank_Keys!$B$2:$B$800=Risk_Rank_Keys!B795))+1)/2)/COUNT(Risk_Rank_Keys!$B$2:$B$800))</f>
        <v>0.615062761506276</v>
      </c>
      <c r="N795" s="0" t="n">
        <f aca="false">IF(OR(B795="NW",COUNT(Risk_Rank_Keys!C795)=0),0.5,(SUMPRODUCT(--ISNUMBER(Risk_Rank_Keys!$C$2:$C$800),--(Risk_Rank_Keys!$C$2:$C$800&lt;Risk_Rank_Keys!C795))+(SUMPRODUCT(--ISNUMBER(Risk_Rank_Keys!$C$2:$C$800),--(Risk_Rank_Keys!$C$2:$C$800=Risk_Rank_Keys!C795))+1)/2)/COUNT(Risk_Rank_Keys!$C$2:$C$800))</f>
        <v>0.608089260808926</v>
      </c>
      <c r="O795" s="0" t="n">
        <f aca="false">IF(OR(B795="NW",COUNT(Risk_Rank_Keys!D795)=0),0.5,(SUMPRODUCT(--ISNUMBER(Risk_Rank_Keys!$D$2:$D$800),--(Risk_Rank_Keys!$D$2:$D$800&lt;Risk_Rank_Keys!D795))+(SUMPRODUCT(--ISNUMBER(Risk_Rank_Keys!$D$2:$D$800),--(Risk_Rank_Keys!$D$2:$D$800=Risk_Rank_Keys!D795))+1)/2)/COUNT(Risk_Rank_Keys!$D$2:$D$800))</f>
        <v>0.191073919107392</v>
      </c>
      <c r="P795" s="0" t="n">
        <f aca="false">AVERAGE(M795:O795)</f>
        <v>0.471408647140865</v>
      </c>
      <c r="Q795" s="0" t="n">
        <f aca="false">0.4*H795+0.4*I795+0.2*P795</f>
        <v>0.704544557963843</v>
      </c>
      <c r="R795" s="0" t="n">
        <f aca="false">PERCENTILE($Q$2:$Q$800,0.75)</f>
        <v>0.667715717403612</v>
      </c>
      <c r="S795" s="1" t="b">
        <f aca="false">OR(Q795&gt;=R795,AND(B795="CW",COUNT(J795:L795)&lt;3))</f>
        <v>1</v>
      </c>
      <c r="T795" s="0" t="n">
        <v>0.328145429151277</v>
      </c>
      <c r="U795" s="0" t="n">
        <v>10.106767401371</v>
      </c>
      <c r="V795" s="0" t="n">
        <v>0.704544557963843</v>
      </c>
      <c r="W795" s="0" t="n">
        <f aca="false">Q795-V795</f>
        <v>0</v>
      </c>
    </row>
    <row r="796" customFormat="false" ht="15" hidden="false" customHeight="false" outlineLevel="0" collapsed="false">
      <c r="A796" s="0" t="s">
        <v>830</v>
      </c>
      <c r="B796" s="0" t="s">
        <v>33</v>
      </c>
      <c r="C796" s="0" t="n">
        <v>-40.7453033444513</v>
      </c>
      <c r="D796" s="0" t="n">
        <f aca="false">SUMPRODUCT(Risk_Inputs!B796:AJ796,Risk_Coefs!$B$2:$AJ$2)</f>
        <v>-0.660215495517737</v>
      </c>
      <c r="E796" s="0" t="n">
        <f aca="false">1/(1+EXP(-MAX(-25,MIN(25,D796))))</f>
        <v>0.340691205131255</v>
      </c>
      <c r="F796" s="0" t="n">
        <f aca="false">SUMPRODUCT(Risk_Inputs!B796:AJ796,Risk_Coefs!$B$3:$AJ$3)</f>
        <v>10.215191491582</v>
      </c>
      <c r="G796" s="0" t="n">
        <f aca="false">MAX(0,F796)</f>
        <v>10.215191491582</v>
      </c>
      <c r="H796" s="0" t="n">
        <f aca="false">(SUMPRODUCT(--ISNUMBER($E$2:$E$800),--($E$2:$E$800&lt;E796))+(SUMPRODUCT(--ISNUMBER($E$2:$E$800),--($E$2:$E$800=E796))+1)/2)/COUNT($E$2:$E$800)</f>
        <v>0.787234042553192</v>
      </c>
      <c r="I796" s="0" t="n">
        <f aca="false">(SUMPRODUCT(--ISNUMBER($G$2:$G$800),--($G$2:$G$800&lt;G796))+(SUMPRODUCT(--ISNUMBER($G$2:$G$800),--($G$2:$G$800=G796))+1)/2)/COUNT($G$2:$G$800)</f>
        <v>0.81351689612015</v>
      </c>
      <c r="M796" s="0" t="n">
        <f aca="false">IF(OR(B796="NW",COUNT(Risk_Rank_Keys!B796)=0),0.5,(SUMPRODUCT(--ISNUMBER(Risk_Rank_Keys!$B$2:$B$800),--(Risk_Rank_Keys!$B$2:$B$800&lt;Risk_Rank_Keys!B796))+(SUMPRODUCT(--ISNUMBER(Risk_Rank_Keys!$B$2:$B$800),--(Risk_Rank_Keys!$B$2:$B$800=Risk_Rank_Keys!B796))+1)/2)/COUNT(Risk_Rank_Keys!$B$2:$B$800))</f>
        <v>0.5</v>
      </c>
      <c r="N796" s="0" t="n">
        <f aca="false">IF(OR(B796="NW",COUNT(Risk_Rank_Keys!C796)=0),0.5,(SUMPRODUCT(--ISNUMBER(Risk_Rank_Keys!$C$2:$C$800),--(Risk_Rank_Keys!$C$2:$C$800&lt;Risk_Rank_Keys!C796))+(SUMPRODUCT(--ISNUMBER(Risk_Rank_Keys!$C$2:$C$800),--(Risk_Rank_Keys!$C$2:$C$800=Risk_Rank_Keys!C796))+1)/2)/COUNT(Risk_Rank_Keys!$C$2:$C$800))</f>
        <v>0.5</v>
      </c>
      <c r="O796" s="0" t="n">
        <f aca="false">IF(OR(B796="NW",COUNT(Risk_Rank_Keys!D796)=0),0.5,(SUMPRODUCT(--ISNUMBER(Risk_Rank_Keys!$D$2:$D$800),--(Risk_Rank_Keys!$D$2:$D$800&lt;Risk_Rank_Keys!D796))+(SUMPRODUCT(--ISNUMBER(Risk_Rank_Keys!$D$2:$D$800),--(Risk_Rank_Keys!$D$2:$D$800=Risk_Rank_Keys!D796))+1)/2)/COUNT(Risk_Rank_Keys!$D$2:$D$800))</f>
        <v>0.5</v>
      </c>
      <c r="P796" s="0" t="n">
        <f aca="false">AVERAGE(M796:O796)</f>
        <v>0.5</v>
      </c>
      <c r="Q796" s="0" t="n">
        <f aca="false">0.4*H796+0.4*I796+0.2*P796</f>
        <v>0.740300375469337</v>
      </c>
      <c r="R796" s="0" t="n">
        <f aca="false">PERCENTILE($Q$2:$Q$800,0.75)</f>
        <v>0.667715717403612</v>
      </c>
      <c r="S796" s="1" t="b">
        <f aca="false">OR(Q796&gt;=R796,AND(B796="CW",COUNT(J796:L796)&lt;3))</f>
        <v>1</v>
      </c>
      <c r="T796" s="0" t="n">
        <v>0.340691205131255</v>
      </c>
      <c r="U796" s="0" t="n">
        <v>10.215191491582</v>
      </c>
      <c r="V796" s="0" t="n">
        <v>0.740300375469337</v>
      </c>
      <c r="W796" s="0" t="n">
        <f aca="false">Q796-V796</f>
        <v>0</v>
      </c>
    </row>
    <row r="797" customFormat="false" ht="15" hidden="false" customHeight="false" outlineLevel="0" collapsed="false">
      <c r="A797" s="0" t="s">
        <v>831</v>
      </c>
      <c r="B797" s="0" t="s">
        <v>3013</v>
      </c>
      <c r="C797" s="0" t="n">
        <v>38.743541430536</v>
      </c>
      <c r="D797" s="0" t="n">
        <f aca="false">SUMPRODUCT(Risk_Inputs!B797:AJ797,Risk_Coefs!$B$2:$AJ$2)</f>
        <v>-1.07062365868206</v>
      </c>
      <c r="E797" s="0" t="n">
        <f aca="false">1/(1+EXP(-MAX(-25,MIN(25,D797))))</f>
        <v>0.255284499629449</v>
      </c>
      <c r="F797" s="0" t="n">
        <f aca="false">SUMPRODUCT(Risk_Inputs!B797:AJ797,Risk_Coefs!$B$3:$AJ$3)</f>
        <v>4.20589112390569</v>
      </c>
      <c r="G797" s="0" t="n">
        <f aca="false">MAX(0,F797)</f>
        <v>4.20589112390569</v>
      </c>
      <c r="H797" s="0" t="n">
        <f aca="false">(SUMPRODUCT(--ISNUMBER($E$2:$E$800),--($E$2:$E$800&lt;E797))+(SUMPRODUCT(--ISNUMBER($E$2:$E$800),--($E$2:$E$800=E797))+1)/2)/COUNT($E$2:$E$800)</f>
        <v>0.296620775969962</v>
      </c>
      <c r="I797" s="0" t="n">
        <f aca="false">(SUMPRODUCT(--ISNUMBER($G$2:$G$800),--($G$2:$G$800&lt;G797))+(SUMPRODUCT(--ISNUMBER($G$2:$G$800),--($G$2:$G$800=G797))+1)/2)/COUNT($G$2:$G$800)</f>
        <v>0.065081351689612</v>
      </c>
      <c r="J797" s="0" t="n">
        <v>5.42184139011587</v>
      </c>
      <c r="K797" s="0" t="n">
        <v>3.62042682926829</v>
      </c>
      <c r="L797" s="0" t="n">
        <v>0.228658536585364</v>
      </c>
      <c r="M797" s="0" t="n">
        <f aca="false">IF(OR(B797="NW",COUNT(Risk_Rank_Keys!B797)=0),0.5,(SUMPRODUCT(--ISNUMBER(Risk_Rank_Keys!$B$2:$B$800),--(Risk_Rank_Keys!$B$2:$B$800&lt;Risk_Rank_Keys!B797))+(SUMPRODUCT(--ISNUMBER(Risk_Rank_Keys!$B$2:$B$800),--(Risk_Rank_Keys!$B$2:$B$800=Risk_Rank_Keys!B797))+1)/2)/COUNT(Risk_Rank_Keys!$B$2:$B$800))</f>
        <v>0.163179916317992</v>
      </c>
      <c r="N797" s="0" t="n">
        <f aca="false">IF(OR(B797="NW",COUNT(Risk_Rank_Keys!C797)=0),0.5,(SUMPRODUCT(--ISNUMBER(Risk_Rank_Keys!$C$2:$C$800),--(Risk_Rank_Keys!$C$2:$C$800&lt;Risk_Rank_Keys!C797))+(SUMPRODUCT(--ISNUMBER(Risk_Rank_Keys!$C$2:$C$800),--(Risk_Rank_Keys!$C$2:$C$800=Risk_Rank_Keys!C797))+1)/2)/COUNT(Risk_Rank_Keys!$C$2:$C$800))</f>
        <v>0.545327754532776</v>
      </c>
      <c r="O797" s="0" t="n">
        <f aca="false">IF(OR(B797="NW",COUNT(Risk_Rank_Keys!D797)=0),0.5,(SUMPRODUCT(--ISNUMBER(Risk_Rank_Keys!$D$2:$D$800),--(Risk_Rank_Keys!$D$2:$D$800&lt;Risk_Rank_Keys!D797))+(SUMPRODUCT(--ISNUMBER(Risk_Rank_Keys!$D$2:$D$800),--(Risk_Rank_Keys!$D$2:$D$800=Risk_Rank_Keys!D797))+1)/2)/COUNT(Risk_Rank_Keys!$D$2:$D$800))</f>
        <v>0.490934449093445</v>
      </c>
      <c r="P797" s="0" t="n">
        <f aca="false">AVERAGE(M797:O797)</f>
        <v>0.399814039981404</v>
      </c>
      <c r="Q797" s="0" t="n">
        <f aca="false">0.4*H797+0.4*I797+0.2*P797</f>
        <v>0.224643659060111</v>
      </c>
      <c r="R797" s="0" t="n">
        <f aca="false">PERCENTILE($Q$2:$Q$800,0.75)</f>
        <v>0.667715717403612</v>
      </c>
      <c r="S797" s="1" t="b">
        <f aca="false">OR(Q797&gt;=R797,AND(B797="CW",COUNT(J797:L797)&lt;3))</f>
        <v>0</v>
      </c>
      <c r="T797" s="0" t="n">
        <v>0.255284499629449</v>
      </c>
      <c r="U797" s="0" t="n">
        <v>4.20589112390569</v>
      </c>
      <c r="V797" s="0" t="n">
        <v>0.224643659060111</v>
      </c>
      <c r="W797" s="0" t="n">
        <f aca="false">Q797-V797</f>
        <v>0</v>
      </c>
    </row>
    <row r="798" customFormat="false" ht="15" hidden="false" customHeight="false" outlineLevel="0" collapsed="false">
      <c r="A798" s="0" t="s">
        <v>832</v>
      </c>
      <c r="B798" s="0" t="s">
        <v>3013</v>
      </c>
      <c r="C798" s="0" t="n">
        <v>-33.695614660597</v>
      </c>
      <c r="D798" s="0" t="n">
        <f aca="false">SUMPRODUCT(Risk_Inputs!B798:AJ798,Risk_Coefs!$B$2:$AJ$2)</f>
        <v>-1.24213862517029</v>
      </c>
      <c r="E798" s="0" t="n">
        <f aca="false">1/(1+EXP(-MAX(-25,MIN(25,D798))))</f>
        <v>0.224063946460502</v>
      </c>
      <c r="F798" s="0" t="n">
        <f aca="false">SUMPRODUCT(Risk_Inputs!B798:AJ798,Risk_Coefs!$B$3:$AJ$3)</f>
        <v>5.16332659591344</v>
      </c>
      <c r="G798" s="0" t="n">
        <f aca="false">MAX(0,F798)</f>
        <v>5.16332659591344</v>
      </c>
      <c r="H798" s="0" t="n">
        <f aca="false">(SUMPRODUCT(--ISNUMBER($E$2:$E$800),--($E$2:$E$800&lt;E798))+(SUMPRODUCT(--ISNUMBER($E$2:$E$800),--($E$2:$E$800=E798))+1)/2)/COUNT($E$2:$E$800)</f>
        <v>0.155193992490613</v>
      </c>
      <c r="I798" s="0" t="n">
        <f aca="false">(SUMPRODUCT(--ISNUMBER($G$2:$G$800),--($G$2:$G$800&lt;G798))+(SUMPRODUCT(--ISNUMBER($G$2:$G$800),--($G$2:$G$800=G798))+1)/2)/COUNT($G$2:$G$800)</f>
        <v>0.158948685857322</v>
      </c>
      <c r="J798" s="0" t="n">
        <v>22.7694383538536</v>
      </c>
      <c r="K798" s="0" t="n">
        <v>3.54686934491495</v>
      </c>
      <c r="L798" s="0" t="n">
        <v>0.180962721679334</v>
      </c>
      <c r="M798" s="0" t="n">
        <f aca="false">IF(OR(B798="NW",COUNT(Risk_Rank_Keys!B798)=0),0.5,(SUMPRODUCT(--ISNUMBER(Risk_Rank_Keys!$B$2:$B$800),--(Risk_Rank_Keys!$B$2:$B$800&lt;Risk_Rank_Keys!B798))+(SUMPRODUCT(--ISNUMBER(Risk_Rank_Keys!$B$2:$B$800),--(Risk_Rank_Keys!$B$2:$B$800=Risk_Rank_Keys!B798))+1)/2)/COUNT(Risk_Rank_Keys!$B$2:$B$800))</f>
        <v>0.832635983263598</v>
      </c>
      <c r="N798" s="0" t="n">
        <f aca="false">IF(OR(B798="NW",COUNT(Risk_Rank_Keys!C798)=0),0.5,(SUMPRODUCT(--ISNUMBER(Risk_Rank_Keys!$C$2:$C$800),--(Risk_Rank_Keys!$C$2:$C$800&lt;Risk_Rank_Keys!C798))+(SUMPRODUCT(--ISNUMBER(Risk_Rank_Keys!$C$2:$C$800),--(Risk_Rank_Keys!$C$2:$C$800=Risk_Rank_Keys!C798))+1)/2)/COUNT(Risk_Rank_Keys!$C$2:$C$800))</f>
        <v>0.532775453277545</v>
      </c>
      <c r="O798" s="0" t="n">
        <f aca="false">IF(OR(B798="NW",COUNT(Risk_Rank_Keys!D798)=0),0.5,(SUMPRODUCT(--ISNUMBER(Risk_Rank_Keys!$D$2:$D$800),--(Risk_Rank_Keys!$D$2:$D$800&lt;Risk_Rank_Keys!D798))+(SUMPRODUCT(--ISNUMBER(Risk_Rank_Keys!$D$2:$D$800),--(Risk_Rank_Keys!$D$2:$D$800=Risk_Rank_Keys!D798))+1)/2)/COUNT(Risk_Rank_Keys!$D$2:$D$800))</f>
        <v>0.211994421199442</v>
      </c>
      <c r="P798" s="0" t="n">
        <f aca="false">AVERAGE(M798:O798)</f>
        <v>0.525801952580195</v>
      </c>
      <c r="Q798" s="0" t="n">
        <f aca="false">0.4*H798+0.4*I798+0.2*P798</f>
        <v>0.230817461855213</v>
      </c>
      <c r="R798" s="0" t="n">
        <f aca="false">PERCENTILE($Q$2:$Q$800,0.75)</f>
        <v>0.667715717403612</v>
      </c>
      <c r="S798" s="1" t="b">
        <f aca="false">OR(Q798&gt;=R798,AND(B798="CW",COUNT(J798:L798)&lt;3))</f>
        <v>0</v>
      </c>
      <c r="T798" s="0" t="n">
        <v>0.224063946460502</v>
      </c>
      <c r="U798" s="0" t="n">
        <v>5.16332659591345</v>
      </c>
      <c r="V798" s="0" t="n">
        <v>0.230817461855213</v>
      </c>
      <c r="W798" s="0" t="n">
        <f aca="false">Q798-V798</f>
        <v>0</v>
      </c>
    </row>
    <row r="799" customFormat="false" ht="15" hidden="false" customHeight="false" outlineLevel="0" collapsed="false">
      <c r="A799" s="0" t="s">
        <v>833</v>
      </c>
      <c r="B799" s="0" t="s">
        <v>3013</v>
      </c>
      <c r="C799" s="0" t="n">
        <v>43.9584132406701</v>
      </c>
      <c r="D799" s="0" t="n">
        <f aca="false">SUMPRODUCT(Risk_Inputs!B799:AJ799,Risk_Coefs!$B$2:$AJ$2)</f>
        <v>-0.680488274007254</v>
      </c>
      <c r="E799" s="0" t="n">
        <f aca="false">1/(1+EXP(-MAX(-25,MIN(25,D799))))</f>
        <v>0.336152333610413</v>
      </c>
      <c r="F799" s="0" t="n">
        <f aca="false">SUMPRODUCT(Risk_Inputs!B799:AJ799,Risk_Coefs!$B$3:$AJ$3)</f>
        <v>9.97661382534474</v>
      </c>
      <c r="G799" s="0" t="n">
        <f aca="false">MAX(0,F799)</f>
        <v>9.97661382534474</v>
      </c>
      <c r="H799" s="0" t="n">
        <f aca="false">(SUMPRODUCT(--ISNUMBER($E$2:$E$800),--($E$2:$E$800&lt;E799))+(SUMPRODUCT(--ISNUMBER($E$2:$E$800),--($E$2:$E$800=E799))+1)/2)/COUNT($E$2:$E$800)</f>
        <v>0.762202753441802</v>
      </c>
      <c r="I799" s="0" t="n">
        <f aca="false">(SUMPRODUCT(--ISNUMBER($G$2:$G$800),--($G$2:$G$800&lt;G799))+(SUMPRODUCT(--ISNUMBER($G$2:$G$800),--($G$2:$G$800=G799))+1)/2)/COUNT($G$2:$G$800)</f>
        <v>0.787234042553192</v>
      </c>
      <c r="J799" s="0" t="n">
        <v>9.78910950392808</v>
      </c>
      <c r="K799" s="0" t="n">
        <v>2.29770229770231</v>
      </c>
      <c r="L799" s="0" t="n">
        <v>0.224775224775226</v>
      </c>
      <c r="M799" s="0" t="n">
        <f aca="false">IF(OR(B799="NW",COUNT(Risk_Rank_Keys!B799)=0),0.5,(SUMPRODUCT(--ISNUMBER(Risk_Rank_Keys!$B$2:$B$800),--(Risk_Rank_Keys!$B$2:$B$800&lt;Risk_Rank_Keys!B799))+(SUMPRODUCT(--ISNUMBER(Risk_Rank_Keys!$B$2:$B$800),--(Risk_Rank_Keys!$B$2:$B$800=Risk_Rank_Keys!B799))+1)/2)/COUNT(Risk_Rank_Keys!$B$2:$B$800))</f>
        <v>0.493723849372385</v>
      </c>
      <c r="N799" s="0" t="n">
        <f aca="false">IF(OR(B799="NW",COUNT(Risk_Rank_Keys!C799)=0),0.5,(SUMPRODUCT(--ISNUMBER(Risk_Rank_Keys!$C$2:$C$800),--(Risk_Rank_Keys!$C$2:$C$800&lt;Risk_Rank_Keys!C799))+(SUMPRODUCT(--ISNUMBER(Risk_Rank_Keys!$C$2:$C$800),--(Risk_Rank_Keys!$C$2:$C$800=Risk_Rank_Keys!C799))+1)/2)/COUNT(Risk_Rank_Keys!$C$2:$C$800))</f>
        <v>0.338912133891213</v>
      </c>
      <c r="O799" s="0" t="n">
        <f aca="false">IF(OR(B799="NW",COUNT(Risk_Rank_Keys!D799)=0),0.5,(SUMPRODUCT(--ISNUMBER(Risk_Rank_Keys!$D$2:$D$800),--(Risk_Rank_Keys!$D$2:$D$800&lt;Risk_Rank_Keys!D799))+(SUMPRODUCT(--ISNUMBER(Risk_Rank_Keys!$D$2:$D$800),--(Risk_Rank_Keys!$D$2:$D$800=Risk_Rank_Keys!D799))+1)/2)/COUNT(Risk_Rank_Keys!$D$2:$D$800))</f>
        <v>0.468619246861925</v>
      </c>
      <c r="P799" s="0" t="n">
        <f aca="false">AVERAGE(M799:O799)</f>
        <v>0.433751743375174</v>
      </c>
      <c r="Q799" s="0" t="n">
        <f aca="false">0.4*H799+0.4*I799+0.2*P799</f>
        <v>0.706525067073032</v>
      </c>
      <c r="R799" s="0" t="n">
        <f aca="false">PERCENTILE($Q$2:$Q$800,0.75)</f>
        <v>0.667715717403612</v>
      </c>
      <c r="S799" s="1" t="b">
        <f aca="false">OR(Q799&gt;=R799,AND(B799="CW",COUNT(J799:L799)&lt;3))</f>
        <v>1</v>
      </c>
      <c r="T799" s="0" t="n">
        <v>0.336152333610413</v>
      </c>
      <c r="U799" s="0" t="n">
        <v>9.97661382534474</v>
      </c>
      <c r="V799" s="0" t="n">
        <v>0.706525067073032</v>
      </c>
      <c r="W799" s="0" t="n">
        <f aca="false">Q799-V799</f>
        <v>0</v>
      </c>
    </row>
    <row r="800" customFormat="false" ht="15" hidden="false" customHeight="false" outlineLevel="0" collapsed="false">
      <c r="A800" s="0" t="s">
        <v>834</v>
      </c>
      <c r="B800" s="0" t="s">
        <v>3013</v>
      </c>
      <c r="C800" s="0" t="n">
        <v>10.8348972628641</v>
      </c>
      <c r="D800" s="0" t="n">
        <f aca="false">SUMPRODUCT(Risk_Inputs!B800:AJ800,Risk_Coefs!$B$2:$AJ$2)</f>
        <v>-1.03644219257984</v>
      </c>
      <c r="E800" s="0" t="n">
        <f aca="false">1/(1+EXP(-MAX(-25,MIN(25,D800))))</f>
        <v>0.261837058388051</v>
      </c>
      <c r="F800" s="0" t="n">
        <f aca="false">SUMPRODUCT(Risk_Inputs!B800:AJ800,Risk_Coefs!$B$3:$AJ$3)</f>
        <v>6.43542573773657</v>
      </c>
      <c r="G800" s="0" t="n">
        <f aca="false">MAX(0,F800)</f>
        <v>6.43542573773657</v>
      </c>
      <c r="H800" s="0" t="n">
        <f aca="false">(SUMPRODUCT(--ISNUMBER($E$2:$E$800),--($E$2:$E$800&lt;E800))+(SUMPRODUCT(--ISNUMBER($E$2:$E$800),--($E$2:$E$800=E800))+1)/2)/COUNT($E$2:$E$800)</f>
        <v>0.344180225281602</v>
      </c>
      <c r="I800" s="0" t="n">
        <f aca="false">(SUMPRODUCT(--ISNUMBER($G$2:$G$800),--($G$2:$G$800&lt;G800))+(SUMPRODUCT(--ISNUMBER($G$2:$G$800),--($G$2:$G$800=G800))+1)/2)/COUNT($G$2:$G$800)</f>
        <v>0.329161451814768</v>
      </c>
      <c r="M800" s="0" t="n">
        <f aca="false">IF(OR(B800="NW",COUNT(Risk_Rank_Keys!B800)=0),0.5,(SUMPRODUCT(--ISNUMBER(Risk_Rank_Keys!$B$2:$B$800),--(Risk_Rank_Keys!$B$2:$B$800&lt;Risk_Rank_Keys!B800))+(SUMPRODUCT(--ISNUMBER(Risk_Rank_Keys!$B$2:$B$800),--(Risk_Rank_Keys!$B$2:$B$800=Risk_Rank_Keys!B800))+1)/2)/COUNT(Risk_Rank_Keys!$B$2:$B$800))</f>
        <v>0.5</v>
      </c>
      <c r="N800" s="0" t="n">
        <f aca="false">IF(OR(B800="NW",COUNT(Risk_Rank_Keys!C800)=0),0.5,(SUMPRODUCT(--ISNUMBER(Risk_Rank_Keys!$C$2:$C$800),--(Risk_Rank_Keys!$C$2:$C$800&lt;Risk_Rank_Keys!C800))+(SUMPRODUCT(--ISNUMBER(Risk_Rank_Keys!$C$2:$C$800),--(Risk_Rank_Keys!$C$2:$C$800=Risk_Rank_Keys!C800))+1)/2)/COUNT(Risk_Rank_Keys!$C$2:$C$800))</f>
        <v>0.5</v>
      </c>
      <c r="O800" s="0" t="n">
        <f aca="false">IF(OR(B800="NW",COUNT(Risk_Rank_Keys!D800)=0),0.5,(SUMPRODUCT(--ISNUMBER(Risk_Rank_Keys!$D$2:$D$800),--(Risk_Rank_Keys!$D$2:$D$800&lt;Risk_Rank_Keys!D800))+(SUMPRODUCT(--ISNUMBER(Risk_Rank_Keys!$D$2:$D$800),--(Risk_Rank_Keys!$D$2:$D$800=Risk_Rank_Keys!D800))+1)/2)/COUNT(Risk_Rank_Keys!$D$2:$D$800))</f>
        <v>0.5</v>
      </c>
      <c r="P800" s="0" t="n">
        <f aca="false">AVERAGE(M800:O800)</f>
        <v>0.5</v>
      </c>
      <c r="Q800" s="0" t="n">
        <f aca="false">0.4*H800+0.4*I800+0.2*P800</f>
        <v>0.369336670838548</v>
      </c>
      <c r="R800" s="0" t="n">
        <f aca="false">PERCENTILE($Q$2:$Q$800,0.75)</f>
        <v>0.667715717403612</v>
      </c>
      <c r="S800" s="1" t="b">
        <f aca="false">OR(Q800&gt;=R800,AND(B800="CW",COUNT(J800:L800)&lt;3))</f>
        <v>1</v>
      </c>
      <c r="T800" s="0" t="n">
        <v>0.261837058388051</v>
      </c>
      <c r="U800" s="0" t="n">
        <v>6.43542573773656</v>
      </c>
      <c r="V800" s="0" t="n">
        <v>0.369336670838548</v>
      </c>
      <c r="W800" s="0" t="n">
        <f aca="false">Q800-V800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2991</v>
      </c>
      <c r="C1" s="0" t="s">
        <v>3014</v>
      </c>
      <c r="D1" s="0" t="s">
        <v>2992</v>
      </c>
      <c r="E1" s="0" t="s">
        <v>3015</v>
      </c>
      <c r="F1" s="0" t="s">
        <v>3016</v>
      </c>
      <c r="G1" s="0" t="s">
        <v>3017</v>
      </c>
      <c r="H1" s="0" t="s">
        <v>3018</v>
      </c>
      <c r="I1" s="0" t="s">
        <v>3019</v>
      </c>
      <c r="J1" s="0" t="s">
        <v>3020</v>
      </c>
      <c r="K1" s="0" t="s">
        <v>3021</v>
      </c>
      <c r="L1" s="0" t="s">
        <v>3022</v>
      </c>
      <c r="M1" s="0" t="s">
        <v>3023</v>
      </c>
      <c r="N1" s="0" t="s">
        <v>34</v>
      </c>
      <c r="O1" s="0" t="s">
        <v>35</v>
      </c>
      <c r="P1" s="0" t="s">
        <v>3024</v>
      </c>
      <c r="Q1" s="0" t="s">
        <v>3025</v>
      </c>
      <c r="R1" s="0" t="s">
        <v>14</v>
      </c>
      <c r="S1" s="0" t="s">
        <v>15</v>
      </c>
      <c r="T1" s="0" t="s">
        <v>17</v>
      </c>
      <c r="U1" s="0" t="s">
        <v>3026</v>
      </c>
      <c r="V1" s="0" t="s">
        <v>3027</v>
      </c>
      <c r="W1" s="0" t="s">
        <v>3028</v>
      </c>
      <c r="X1" s="0" t="s">
        <v>3029</v>
      </c>
      <c r="Y1" s="0" t="s">
        <v>3030</v>
      </c>
      <c r="Z1" s="0" t="s">
        <v>3031</v>
      </c>
      <c r="AA1" s="0" t="s">
        <v>3032</v>
      </c>
    </row>
    <row r="2" customFormat="false" ht="15" hidden="false" customHeight="false" outlineLevel="0" collapsed="false">
      <c r="A2" s="0" t="s">
        <v>36</v>
      </c>
      <c r="B2" s="0" t="s">
        <v>3013</v>
      </c>
      <c r="C2" s="0" t="s">
        <v>3033</v>
      </c>
      <c r="D2" s="0" t="n">
        <v>34.7878371372212</v>
      </c>
      <c r="E2" s="0" t="n">
        <v>0.234139305237129</v>
      </c>
      <c r="F2" s="0" t="n">
        <v>8.19364118678631</v>
      </c>
      <c r="G2" s="0" t="n">
        <v>0.195244055068836</v>
      </c>
      <c r="H2" s="0" t="n">
        <v>0.561952440550688</v>
      </c>
      <c r="I2" s="0" t="n">
        <v>0.391445839144584</v>
      </c>
      <c r="J2" s="0" t="n">
        <v>0.381167766076727</v>
      </c>
      <c r="K2" s="0" t="n">
        <v>0.667715717403612</v>
      </c>
      <c r="L2" s="1" t="b">
        <f aca="false">FALSE()</f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6.7846238997304</v>
      </c>
      <c r="S2" s="0" t="n">
        <v>1.4535454724023</v>
      </c>
      <c r="T2" s="0" t="n">
        <v>0.314280102141032</v>
      </c>
      <c r="U2" s="0" t="n">
        <v>0.292887029288703</v>
      </c>
      <c r="V2" s="0" t="n">
        <v>0.121338912133891</v>
      </c>
      <c r="W2" s="0" t="n">
        <v>0.760111576011158</v>
      </c>
      <c r="X2" s="0" t="n">
        <v>0.234139305237129</v>
      </c>
      <c r="Y2" s="0" t="n">
        <v>8.19364118678631</v>
      </c>
      <c r="Z2" s="0" t="n">
        <v>0.381167766076727</v>
      </c>
      <c r="AA2" s="0" t="n">
        <v>5.55111512312578E-017</v>
      </c>
    </row>
    <row r="3" customFormat="false" ht="15" hidden="false" customHeight="false" outlineLevel="0" collapsed="false">
      <c r="A3" s="0" t="s">
        <v>37</v>
      </c>
      <c r="B3" s="0" t="s">
        <v>3013</v>
      </c>
      <c r="C3" s="0" t="s">
        <v>3034</v>
      </c>
      <c r="D3" s="0" t="n">
        <v>44.5002673862297</v>
      </c>
      <c r="E3" s="0" t="n">
        <v>0.276339955518171</v>
      </c>
      <c r="F3" s="0" t="n">
        <v>10.9319645129746</v>
      </c>
      <c r="G3" s="0" t="n">
        <v>0.436795994993742</v>
      </c>
      <c r="H3" s="0" t="n">
        <v>0.874843554443054</v>
      </c>
      <c r="I3" s="0" t="n">
        <v>0.765225476522548</v>
      </c>
      <c r="J3" s="0" t="n">
        <v>0.677700915079228</v>
      </c>
      <c r="K3" s="0" t="n">
        <v>0.667715717403612</v>
      </c>
      <c r="L3" s="1" t="b">
        <f aca="false">TRUE()</f>
        <v>1</v>
      </c>
      <c r="M3" s="0" t="s">
        <v>3035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39.3952489972603</v>
      </c>
      <c r="S3" s="0" t="n">
        <v>3.63890832750175</v>
      </c>
      <c r="T3" s="0" t="n">
        <v>0.326568696057851</v>
      </c>
      <c r="U3" s="0" t="n">
        <v>0.95258019525802</v>
      </c>
      <c r="V3" s="0" t="n">
        <v>0.552301255230126</v>
      </c>
      <c r="W3" s="0" t="n">
        <v>0.790794979079498</v>
      </c>
      <c r="X3" s="0" t="n">
        <v>0.276339955518171</v>
      </c>
      <c r="Y3" s="0" t="n">
        <v>10.9319645129746</v>
      </c>
      <c r="Z3" s="0" t="n">
        <v>0.677700915079228</v>
      </c>
      <c r="AA3" s="0" t="n">
        <v>0</v>
      </c>
    </row>
    <row r="4" customFormat="false" ht="15" hidden="false" customHeight="false" outlineLevel="0" collapsed="false">
      <c r="A4" s="0" t="s">
        <v>38</v>
      </c>
      <c r="B4" s="0" t="s">
        <v>3013</v>
      </c>
      <c r="C4" s="0" t="s">
        <v>3033</v>
      </c>
      <c r="D4" s="0" t="n">
        <v>-10.6842697016992</v>
      </c>
      <c r="E4" s="0" t="n">
        <v>0.192572431100253</v>
      </c>
      <c r="F4" s="0" t="n">
        <v>3.22102558698666</v>
      </c>
      <c r="G4" s="0" t="n">
        <v>0.0926157697121402</v>
      </c>
      <c r="H4" s="0" t="n">
        <v>0.0300375469336671</v>
      </c>
      <c r="I4" s="0" t="n">
        <v>0.617387261738726</v>
      </c>
      <c r="J4" s="0" t="n">
        <v>0.172538779006068</v>
      </c>
      <c r="K4" s="0" t="n">
        <v>0.667715717403612</v>
      </c>
      <c r="L4" s="1" t="b">
        <f aca="false">FALSE()</f>
        <v>0</v>
      </c>
      <c r="N4" s="0" t="n">
        <v>0</v>
      </c>
      <c r="O4" s="0" t="n">
        <v>0</v>
      </c>
      <c r="P4" s="0" t="n">
        <v>1</v>
      </c>
      <c r="Q4" s="0" t="n">
        <v>10.6842697016992</v>
      </c>
      <c r="R4" s="0" t="n">
        <v>8.55778278855833</v>
      </c>
      <c r="S4" s="0" t="n">
        <v>3.71888726207908</v>
      </c>
      <c r="T4" s="0" t="n">
        <v>0.380673499267939</v>
      </c>
      <c r="U4" s="0" t="n">
        <v>0.423988842398884</v>
      </c>
      <c r="V4" s="0" t="n">
        <v>0.562064156206416</v>
      </c>
      <c r="W4" s="0" t="n">
        <v>0.866108786610879</v>
      </c>
      <c r="X4" s="0" t="n">
        <v>0.192572431100253</v>
      </c>
      <c r="Y4" s="0" t="n">
        <v>3.22102558698666</v>
      </c>
      <c r="Z4" s="0" t="n">
        <v>0.172538779006068</v>
      </c>
      <c r="AA4" s="0" t="n">
        <v>5.55111512312578E-017</v>
      </c>
    </row>
    <row r="5" customFormat="false" ht="15" hidden="false" customHeight="false" outlineLevel="0" collapsed="false">
      <c r="A5" s="0" t="s">
        <v>39</v>
      </c>
      <c r="B5" s="0" t="s">
        <v>3013</v>
      </c>
      <c r="C5" s="0" t="s">
        <v>3033</v>
      </c>
      <c r="D5" s="0" t="n">
        <v>-45.306746674886</v>
      </c>
      <c r="E5" s="0" t="n">
        <v>0.328091515297164</v>
      </c>
      <c r="F5" s="0" t="n">
        <v>10.8117678778806</v>
      </c>
      <c r="G5" s="0" t="n">
        <v>0.72090112640801</v>
      </c>
      <c r="H5" s="0" t="n">
        <v>0.862327909887359</v>
      </c>
      <c r="I5" s="0" t="n">
        <v>0.470013947001395</v>
      </c>
      <c r="J5" s="0" t="n">
        <v>0.727294403918427</v>
      </c>
      <c r="K5" s="0" t="n">
        <v>0.667715717403612</v>
      </c>
      <c r="L5" s="1" t="b">
        <f aca="false">TRUE()</f>
        <v>1</v>
      </c>
      <c r="M5" s="0" t="s">
        <v>3035</v>
      </c>
      <c r="N5" s="0" t="n">
        <v>10.6842697016992</v>
      </c>
      <c r="O5" s="0" t="n">
        <v>1</v>
      </c>
      <c r="P5" s="0" t="n">
        <v>1</v>
      </c>
      <c r="Q5" s="0" t="n">
        <v>45.306746674886</v>
      </c>
      <c r="R5" s="0" t="n">
        <v>9.39750385403274</v>
      </c>
      <c r="S5" s="0" t="n">
        <v>1.64912280701756</v>
      </c>
      <c r="T5" s="0" t="n">
        <v>0.315789473684213</v>
      </c>
      <c r="U5" s="0" t="n">
        <v>0.468619246861925</v>
      </c>
      <c r="V5" s="0" t="n">
        <v>0.174337517433752</v>
      </c>
      <c r="W5" s="0" t="n">
        <v>0.767085076708508</v>
      </c>
      <c r="X5" s="0" t="n">
        <v>0.328091515297164</v>
      </c>
      <c r="Y5" s="0" t="n">
        <v>10.8117678778806</v>
      </c>
      <c r="Z5" s="0" t="n">
        <v>0.727294403918427</v>
      </c>
      <c r="AA5" s="0" t="n">
        <v>0</v>
      </c>
    </row>
    <row r="6" customFormat="false" ht="15" hidden="false" customHeight="false" outlineLevel="0" collapsed="false">
      <c r="A6" s="0" t="s">
        <v>40</v>
      </c>
      <c r="B6" s="0" t="s">
        <v>3013</v>
      </c>
      <c r="C6" s="0" t="s">
        <v>3036</v>
      </c>
      <c r="D6" s="0" t="n">
        <v>40.4294449509149</v>
      </c>
      <c r="E6" s="0" t="n">
        <v>0.305991023815882</v>
      </c>
      <c r="F6" s="0" t="n">
        <v>8.80150524921145</v>
      </c>
      <c r="G6" s="0" t="n">
        <v>0.598247809762203</v>
      </c>
      <c r="H6" s="0" t="n">
        <v>0.65206508135169</v>
      </c>
      <c r="I6" s="0" t="n">
        <v>0.471873547187355</v>
      </c>
      <c r="J6" s="0" t="n">
        <v>0.594499865883028</v>
      </c>
      <c r="K6" s="0" t="n">
        <v>0.667715717403612</v>
      </c>
      <c r="L6" s="1" t="b">
        <f aca="false">FALSE()</f>
        <v>0</v>
      </c>
      <c r="N6" s="0" t="n">
        <v>55.9910163765851</v>
      </c>
      <c r="O6" s="0" t="n">
        <v>2</v>
      </c>
      <c r="P6" s="0" t="n">
        <v>0</v>
      </c>
      <c r="Q6" s="0" t="n">
        <v>0</v>
      </c>
      <c r="R6" s="0" t="n">
        <v>5.80062717084205</v>
      </c>
      <c r="S6" s="0" t="n">
        <v>2.85006195786865</v>
      </c>
      <c r="T6" s="0" t="n">
        <v>0.309789343246588</v>
      </c>
      <c r="U6" s="0" t="n">
        <v>0.209205020920502</v>
      </c>
      <c r="V6" s="0" t="n">
        <v>0.449093444909345</v>
      </c>
      <c r="W6" s="0" t="n">
        <v>0.757322175732218</v>
      </c>
      <c r="X6" s="0" t="n">
        <v>0.305991023815882</v>
      </c>
      <c r="Y6" s="0" t="n">
        <v>8.80150524921145</v>
      </c>
      <c r="Z6" s="0" t="n">
        <v>0.594499865883028</v>
      </c>
      <c r="AA6" s="0" t="n">
        <v>0</v>
      </c>
    </row>
    <row r="7" customFormat="false" ht="15" hidden="false" customHeight="false" outlineLevel="0" collapsed="false">
      <c r="A7" s="0" t="s">
        <v>41</v>
      </c>
      <c r="B7" s="0" t="s">
        <v>3013</v>
      </c>
      <c r="C7" s="0" t="s">
        <v>3037</v>
      </c>
      <c r="D7" s="0" t="n">
        <v>-37.9218115368195</v>
      </c>
      <c r="E7" s="0" t="n">
        <v>0.35706683399404</v>
      </c>
      <c r="F7" s="0" t="n">
        <v>10.277980578901</v>
      </c>
      <c r="G7" s="0" t="n">
        <v>0.833541927409262</v>
      </c>
      <c r="H7" s="0" t="n">
        <v>0.819774718397998</v>
      </c>
      <c r="I7" s="0" t="n">
        <v>0.538819153881915</v>
      </c>
      <c r="J7" s="0" t="n">
        <v>0.769090489099287</v>
      </c>
      <c r="K7" s="0" t="n">
        <v>0.667715717403612</v>
      </c>
      <c r="L7" s="1" t="b">
        <f aca="false">TRUE()</f>
        <v>1</v>
      </c>
      <c r="M7" s="0" t="s">
        <v>3035</v>
      </c>
      <c r="N7" s="0" t="n">
        <v>15.5615714256703</v>
      </c>
      <c r="O7" s="0" t="n">
        <v>0</v>
      </c>
      <c r="P7" s="0" t="n">
        <v>1</v>
      </c>
      <c r="Q7" s="0" t="n">
        <v>37.9218115368195</v>
      </c>
      <c r="R7" s="0" t="n">
        <v>10.3829178429915</v>
      </c>
      <c r="S7" s="0" t="n">
        <v>2.88620771232552</v>
      </c>
      <c r="T7" s="0" t="n">
        <v>0.260231842914602</v>
      </c>
      <c r="U7" s="0" t="n">
        <v>0.525801952580195</v>
      </c>
      <c r="V7" s="0" t="n">
        <v>0.456066945606695</v>
      </c>
      <c r="W7" s="0" t="n">
        <v>0.634588563458856</v>
      </c>
      <c r="X7" s="0" t="n">
        <v>0.35706683399404</v>
      </c>
      <c r="Y7" s="0" t="n">
        <v>10.277980578901</v>
      </c>
      <c r="Z7" s="0" t="n">
        <v>0.769090489099287</v>
      </c>
      <c r="AA7" s="0" t="n">
        <v>0</v>
      </c>
    </row>
    <row r="8" customFormat="false" ht="15" hidden="false" customHeight="false" outlineLevel="0" collapsed="false">
      <c r="A8" s="0" t="s">
        <v>42</v>
      </c>
      <c r="B8" s="0" t="s">
        <v>3013</v>
      </c>
      <c r="C8" s="0" t="s">
        <v>3033</v>
      </c>
      <c r="D8" s="0" t="n">
        <v>18.4454308454905</v>
      </c>
      <c r="E8" s="0" t="n">
        <v>0.288323827434467</v>
      </c>
      <c r="F8" s="0" t="n">
        <v>7.10822220780192</v>
      </c>
      <c r="G8" s="0" t="n">
        <v>0.51188986232791</v>
      </c>
      <c r="H8" s="0" t="n">
        <v>0.429286608260325</v>
      </c>
      <c r="I8" s="0" t="n">
        <v>0.397489539748954</v>
      </c>
      <c r="J8" s="0" t="n">
        <v>0.455968496185085</v>
      </c>
      <c r="K8" s="0" t="n">
        <v>0.667715717403612</v>
      </c>
      <c r="L8" s="1" t="b">
        <f aca="false">FALSE()</f>
        <v>0</v>
      </c>
      <c r="N8" s="0" t="n">
        <v>53.4833829624897</v>
      </c>
      <c r="O8" s="0" t="n">
        <v>1</v>
      </c>
      <c r="P8" s="0" t="n">
        <v>0</v>
      </c>
      <c r="Q8" s="0" t="n">
        <v>0</v>
      </c>
      <c r="R8" s="0" t="n">
        <v>6.12592408007335</v>
      </c>
      <c r="S8" s="0" t="n">
        <v>1.74661105318039</v>
      </c>
      <c r="T8" s="0" t="n">
        <v>0.31282586027112</v>
      </c>
      <c r="U8" s="0" t="n">
        <v>0.232914923291492</v>
      </c>
      <c r="V8" s="0" t="n">
        <v>0.200836820083682</v>
      </c>
      <c r="W8" s="0" t="n">
        <v>0.758716875871688</v>
      </c>
      <c r="X8" s="0" t="n">
        <v>0.288323827434467</v>
      </c>
      <c r="Y8" s="0" t="n">
        <v>7.10822220780192</v>
      </c>
      <c r="Z8" s="0" t="n">
        <v>0.455968496185085</v>
      </c>
      <c r="AA8" s="0" t="n">
        <v>0</v>
      </c>
    </row>
    <row r="9" customFormat="false" ht="15" hidden="false" customHeight="false" outlineLevel="0" collapsed="false">
      <c r="A9" s="0" t="s">
        <v>43</v>
      </c>
      <c r="B9" s="0" t="s">
        <v>3013</v>
      </c>
      <c r="C9" s="0" t="s">
        <v>3033</v>
      </c>
      <c r="D9" s="0" t="n">
        <v>21.2971820799708</v>
      </c>
      <c r="E9" s="0" t="n">
        <v>0.327369535594084</v>
      </c>
      <c r="F9" s="0" t="n">
        <v>9.45836891262595</v>
      </c>
      <c r="G9" s="0" t="n">
        <v>0.717146433041302</v>
      </c>
      <c r="H9" s="0" t="n">
        <v>0.723404255319149</v>
      </c>
      <c r="I9" s="0" t="n">
        <v>0.428172942817294</v>
      </c>
      <c r="J9" s="0" t="n">
        <v>0.661854863907639</v>
      </c>
      <c r="K9" s="0" t="n">
        <v>0.667715717403612</v>
      </c>
      <c r="L9" s="1" t="b">
        <f aca="false">FALSE()</f>
        <v>0</v>
      </c>
      <c r="N9" s="0" t="n">
        <v>35.0379521169992</v>
      </c>
      <c r="O9" s="0" t="n">
        <v>0</v>
      </c>
      <c r="P9" s="0" t="n">
        <v>0</v>
      </c>
      <c r="Q9" s="0" t="n">
        <v>0</v>
      </c>
      <c r="R9" s="0" t="n">
        <v>4.0768782760634</v>
      </c>
      <c r="S9" s="0" t="n">
        <v>2.71914132379247</v>
      </c>
      <c r="T9" s="0" t="n">
        <v>0.322003577817533</v>
      </c>
      <c r="U9" s="0" t="n">
        <v>0.0753138075313808</v>
      </c>
      <c r="V9" s="0" t="n">
        <v>0.426778242677824</v>
      </c>
      <c r="W9" s="0" t="n">
        <v>0.782426778242678</v>
      </c>
      <c r="X9" s="0" t="n">
        <v>0.327369535594084</v>
      </c>
      <c r="Y9" s="0" t="n">
        <v>9.45836891262595</v>
      </c>
      <c r="Z9" s="0" t="n">
        <v>0.661854863907639</v>
      </c>
      <c r="AA9" s="0" t="n">
        <v>0</v>
      </c>
    </row>
    <row r="10" customFormat="false" ht="15" hidden="false" customHeight="false" outlineLevel="0" collapsed="false">
      <c r="A10" s="0" t="s">
        <v>44</v>
      </c>
      <c r="B10" s="0" t="s">
        <v>3013</v>
      </c>
      <c r="C10" s="0" t="s">
        <v>3033</v>
      </c>
      <c r="D10" s="0" t="n">
        <v>25.7378285429829</v>
      </c>
      <c r="E10" s="0" t="n">
        <v>0.275066817248373</v>
      </c>
      <c r="F10" s="0" t="n">
        <v>7.41531551241862</v>
      </c>
      <c r="G10" s="0" t="n">
        <v>0.424280350438048</v>
      </c>
      <c r="H10" s="0" t="n">
        <v>0.460575719649562</v>
      </c>
      <c r="I10" s="0" t="n">
        <v>0.571362157136216</v>
      </c>
      <c r="J10" s="0" t="n">
        <v>0.468214859462287</v>
      </c>
      <c r="K10" s="0" t="n">
        <v>0.667715717403612</v>
      </c>
      <c r="L10" s="1" t="b">
        <f aca="false">FALSE()</f>
        <v>0</v>
      </c>
      <c r="N10" s="0" t="n">
        <v>13.7407700370284</v>
      </c>
      <c r="O10" s="0" t="n">
        <v>0</v>
      </c>
      <c r="P10" s="0" t="n">
        <v>0</v>
      </c>
      <c r="Q10" s="0" t="n">
        <v>0</v>
      </c>
      <c r="R10" s="0" t="n">
        <v>6.4240637871748</v>
      </c>
      <c r="S10" s="0" t="n">
        <v>3.3197437390798</v>
      </c>
      <c r="T10" s="0" t="n">
        <v>0.465928945835758</v>
      </c>
      <c r="U10" s="0" t="n">
        <v>0.269177126917713</v>
      </c>
      <c r="V10" s="0" t="n">
        <v>0.510460251046025</v>
      </c>
      <c r="W10" s="0" t="n">
        <v>0.934449093444909</v>
      </c>
      <c r="X10" s="0" t="n">
        <v>0.275066817248373</v>
      </c>
      <c r="Y10" s="0" t="n">
        <v>7.41531551241862</v>
      </c>
      <c r="Z10" s="0" t="n">
        <v>0.468214859462287</v>
      </c>
      <c r="AA10" s="0" t="n">
        <v>-5.55111512312578E-017</v>
      </c>
    </row>
    <row r="11" customFormat="false" ht="15" hidden="false" customHeight="false" outlineLevel="0" collapsed="false">
      <c r="A11" s="0" t="s">
        <v>45</v>
      </c>
      <c r="B11" s="0" t="s">
        <v>3013</v>
      </c>
      <c r="C11" s="0" t="s">
        <v>3033</v>
      </c>
      <c r="D11" s="0" t="n">
        <v>-45.1338939682278</v>
      </c>
      <c r="E11" s="0" t="n">
        <v>0.256860151194598</v>
      </c>
      <c r="F11" s="0" t="n">
        <v>8.20133155551994</v>
      </c>
      <c r="G11" s="0" t="n">
        <v>0.309136420525657</v>
      </c>
      <c r="H11" s="0" t="n">
        <v>0.563204005006258</v>
      </c>
      <c r="I11" s="0" t="n">
        <v>0.576011157601116</v>
      </c>
      <c r="J11" s="0" t="n">
        <v>0.464138401732989</v>
      </c>
      <c r="K11" s="0" t="n">
        <v>0.667715717403612</v>
      </c>
      <c r="L11" s="1" t="b">
        <f aca="false">FALSE()</f>
        <v>0</v>
      </c>
      <c r="N11" s="0" t="n">
        <v>0</v>
      </c>
      <c r="O11" s="0" t="n">
        <v>0</v>
      </c>
      <c r="P11" s="0" t="n">
        <v>1</v>
      </c>
      <c r="Q11" s="0" t="n">
        <v>45.1338939682278</v>
      </c>
      <c r="R11" s="0" t="n">
        <v>14.8950668223515</v>
      </c>
      <c r="S11" s="0" t="n">
        <v>1.78806700545831</v>
      </c>
      <c r="T11" s="0" t="n">
        <v>0.338791643139471</v>
      </c>
      <c r="U11" s="0" t="n">
        <v>0.704323570432357</v>
      </c>
      <c r="V11" s="0" t="n">
        <v>0.210599721059972</v>
      </c>
      <c r="W11" s="0" t="n">
        <v>0.813110181311018</v>
      </c>
      <c r="X11" s="0" t="n">
        <v>0.256860151194598</v>
      </c>
      <c r="Y11" s="0" t="n">
        <v>8.20133155551993</v>
      </c>
      <c r="Z11" s="0" t="n">
        <v>0.464138401732989</v>
      </c>
      <c r="AA11" s="0" t="n">
        <v>0</v>
      </c>
    </row>
    <row r="12" customFormat="false" ht="15" hidden="false" customHeight="false" outlineLevel="0" collapsed="false">
      <c r="A12" s="0" t="s">
        <v>46</v>
      </c>
      <c r="B12" s="0" t="s">
        <v>3013</v>
      </c>
      <c r="C12" s="0" t="s">
        <v>3036</v>
      </c>
      <c r="D12" s="0" t="n">
        <v>11.4786055138173</v>
      </c>
      <c r="E12" s="0" t="n">
        <v>0.408726786333069</v>
      </c>
      <c r="F12" s="0" t="n">
        <v>10.2711315232803</v>
      </c>
      <c r="G12" s="0" t="n">
        <v>0.954943679599499</v>
      </c>
      <c r="H12" s="0" t="n">
        <v>0.818523153942428</v>
      </c>
      <c r="I12" s="0" t="n">
        <v>0.261273826127383</v>
      </c>
      <c r="J12" s="0" t="n">
        <v>0.761641498642248</v>
      </c>
      <c r="K12" s="0" t="n">
        <v>0.667715717403612</v>
      </c>
      <c r="L12" s="1" t="b">
        <f aca="false">TRUE()</f>
        <v>1</v>
      </c>
      <c r="M12" s="0" t="s">
        <v>3035</v>
      </c>
      <c r="N12" s="0" t="n">
        <v>45.1338939682278</v>
      </c>
      <c r="O12" s="0" t="n">
        <v>1</v>
      </c>
      <c r="P12" s="0" t="n">
        <v>0</v>
      </c>
      <c r="Q12" s="0" t="n">
        <v>0</v>
      </c>
      <c r="R12" s="0" t="n">
        <v>5.10773143756479</v>
      </c>
      <c r="S12" s="0" t="n">
        <v>1.17416829745597</v>
      </c>
      <c r="T12" s="0" t="n">
        <v>0.249066002490666</v>
      </c>
      <c r="U12" s="0" t="n">
        <v>0.139470013947001</v>
      </c>
      <c r="V12" s="0" t="n">
        <v>0.0627615062761506</v>
      </c>
      <c r="W12" s="0" t="n">
        <v>0.581589958158996</v>
      </c>
      <c r="X12" s="0" t="n">
        <v>0.408726786333069</v>
      </c>
      <c r="Y12" s="0" t="n">
        <v>10.2711315232803</v>
      </c>
      <c r="Z12" s="0" t="n">
        <v>0.761641498642248</v>
      </c>
      <c r="AA12" s="0" t="n">
        <v>0</v>
      </c>
    </row>
    <row r="13" customFormat="false" ht="15" hidden="false" customHeight="false" outlineLevel="0" collapsed="false">
      <c r="A13" s="0" t="s">
        <v>47</v>
      </c>
      <c r="B13" s="0" t="s">
        <v>3013</v>
      </c>
      <c r="C13" s="0" t="s">
        <v>3038</v>
      </c>
      <c r="D13" s="0" t="n">
        <v>39.151501454516</v>
      </c>
      <c r="E13" s="0" t="n">
        <v>0.215009279566815</v>
      </c>
      <c r="F13" s="0" t="n">
        <v>5.15351991873367</v>
      </c>
      <c r="G13" s="0" t="n">
        <v>0.130162703379224</v>
      </c>
      <c r="H13" s="0" t="n">
        <v>0.157697121401752</v>
      </c>
      <c r="I13" s="0" t="n">
        <v>0.735471873547187</v>
      </c>
      <c r="J13" s="0" t="n">
        <v>0.262238304621828</v>
      </c>
      <c r="K13" s="0" t="n">
        <v>0.667715717403612</v>
      </c>
      <c r="L13" s="1" t="b">
        <f aca="false">FALSE()</f>
        <v>0</v>
      </c>
      <c r="N13" s="0" t="n">
        <v>33.6552884544104</v>
      </c>
      <c r="O13" s="0" t="n">
        <v>0</v>
      </c>
      <c r="P13" s="0" t="n">
        <v>0</v>
      </c>
      <c r="Q13" s="0" t="n">
        <v>0</v>
      </c>
      <c r="R13" s="0" t="n">
        <v>10.6143073903433</v>
      </c>
      <c r="S13" s="0" t="n">
        <v>5.23584905660378</v>
      </c>
      <c r="T13" s="0" t="n">
        <v>0.566037735849065</v>
      </c>
      <c r="U13" s="0" t="n">
        <v>0.534170153417015</v>
      </c>
      <c r="V13" s="0" t="n">
        <v>0.704323570432357</v>
      </c>
      <c r="W13" s="0" t="n">
        <v>0.96792189679219</v>
      </c>
      <c r="X13" s="0" t="n">
        <v>0.215009279566815</v>
      </c>
      <c r="Y13" s="0" t="n">
        <v>5.15351991873367</v>
      </c>
      <c r="Z13" s="0" t="n">
        <v>0.262238304621828</v>
      </c>
      <c r="AA13" s="0" t="n">
        <v>-5.55111512312578E-017</v>
      </c>
    </row>
    <row r="14" customFormat="false" ht="15" hidden="false" customHeight="false" outlineLevel="0" collapsed="false">
      <c r="A14" s="0" t="s">
        <v>48</v>
      </c>
      <c r="B14" s="0" t="s">
        <v>3013</v>
      </c>
      <c r="C14" s="0" t="s">
        <v>3033</v>
      </c>
      <c r="D14" s="0" t="n">
        <v>55.0677207403352</v>
      </c>
      <c r="E14" s="0" t="n">
        <v>0.249425571807864</v>
      </c>
      <c r="F14" s="0" t="n">
        <v>6.67205970037657</v>
      </c>
      <c r="G14" s="0" t="n">
        <v>0.261576971214018</v>
      </c>
      <c r="H14" s="0" t="n">
        <v>0.375469336670839</v>
      </c>
      <c r="I14" s="0" t="n">
        <v>0.718270571827057</v>
      </c>
      <c r="J14" s="0" t="n">
        <v>0.398472637519354</v>
      </c>
      <c r="K14" s="0" t="n">
        <v>0.667715717403612</v>
      </c>
      <c r="L14" s="1" t="b">
        <f aca="false">FALSE()</f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8.42787459322605</v>
      </c>
      <c r="S14" s="0" t="n">
        <v>7.4086603518268</v>
      </c>
      <c r="T14" s="0" t="n">
        <v>0.473612990527733</v>
      </c>
      <c r="U14" s="0" t="n">
        <v>0.411436541143654</v>
      </c>
      <c r="V14" s="0" t="n">
        <v>0.801952580195258</v>
      </c>
      <c r="W14" s="0" t="n">
        <v>0.941422594142259</v>
      </c>
      <c r="X14" s="0" t="n">
        <v>0.249425571807864</v>
      </c>
      <c r="Y14" s="0" t="n">
        <v>6.67205970037657</v>
      </c>
      <c r="Z14" s="0" t="n">
        <v>0.398472637519354</v>
      </c>
      <c r="AA14" s="0" t="n">
        <v>0</v>
      </c>
    </row>
    <row r="15" customFormat="false" ht="15" hidden="false" customHeight="false" outlineLevel="0" collapsed="false">
      <c r="A15" s="0" t="s">
        <v>49</v>
      </c>
      <c r="B15" s="0" t="s">
        <v>3013</v>
      </c>
      <c r="C15" s="0" t="s">
        <v>3038</v>
      </c>
      <c r="D15" s="0" t="n">
        <v>36.437410528576</v>
      </c>
      <c r="E15" s="0" t="n">
        <v>0.415895464791227</v>
      </c>
      <c r="F15" s="0" t="n">
        <v>13.5434769046065</v>
      </c>
      <c r="G15" s="0" t="n">
        <v>0.962453066332916</v>
      </c>
      <c r="H15" s="0" t="n">
        <v>0.963704630788486</v>
      </c>
      <c r="I15" s="0" t="n">
        <v>0.5</v>
      </c>
      <c r="J15" s="0" t="n">
        <v>0.870463078848561</v>
      </c>
      <c r="K15" s="0" t="n">
        <v>0.667715717403612</v>
      </c>
      <c r="L15" s="1" t="b">
        <f aca="false">TRUE()</f>
        <v>1</v>
      </c>
      <c r="M15" s="0" t="s">
        <v>3039</v>
      </c>
      <c r="N15" s="0" t="n">
        <v>0</v>
      </c>
      <c r="O15" s="0" t="n">
        <v>0</v>
      </c>
      <c r="P15" s="0" t="n">
        <v>0</v>
      </c>
      <c r="Q15" s="0" t="n">
        <v>0</v>
      </c>
      <c r="U15" s="0" t="n">
        <v>0.5</v>
      </c>
      <c r="V15" s="0" t="n">
        <v>0.5</v>
      </c>
      <c r="W15" s="0" t="n">
        <v>0.5</v>
      </c>
      <c r="X15" s="0" t="n">
        <v>0.415895464791227</v>
      </c>
      <c r="Y15" s="0" t="n">
        <v>13.5434769046065</v>
      </c>
      <c r="Z15" s="0" t="n">
        <v>0.870463078848561</v>
      </c>
      <c r="AA15" s="0" t="n">
        <v>0</v>
      </c>
    </row>
    <row r="16" customFormat="false" ht="15" hidden="false" customHeight="false" outlineLevel="0" collapsed="false">
      <c r="A16" s="0" t="s">
        <v>50</v>
      </c>
      <c r="B16" s="0" t="s">
        <v>3013</v>
      </c>
      <c r="C16" s="0" t="s">
        <v>3034</v>
      </c>
      <c r="D16" s="0" t="n">
        <v>-40.9149503190211</v>
      </c>
      <c r="E16" s="0" t="n">
        <v>0.368400062971087</v>
      </c>
      <c r="F16" s="0" t="n">
        <v>13.782778188743</v>
      </c>
      <c r="G16" s="0" t="n">
        <v>0.866082603254068</v>
      </c>
      <c r="H16" s="0" t="n">
        <v>0.966207759699625</v>
      </c>
      <c r="I16" s="0" t="n">
        <v>0.413761041376104</v>
      </c>
      <c r="J16" s="0" t="n">
        <v>0.815668353456698</v>
      </c>
      <c r="K16" s="0" t="n">
        <v>0.667715717403612</v>
      </c>
      <c r="L16" s="1" t="b">
        <f aca="false">TRUE()</f>
        <v>1</v>
      </c>
      <c r="M16" s="0" t="s">
        <v>3035</v>
      </c>
      <c r="N16" s="0" t="n">
        <v>0</v>
      </c>
      <c r="O16" s="0" t="n">
        <v>0</v>
      </c>
      <c r="P16" s="0" t="n">
        <v>1</v>
      </c>
      <c r="Q16" s="0" t="n">
        <v>40.9149503190211</v>
      </c>
      <c r="R16" s="0" t="n">
        <v>7.45833175073929</v>
      </c>
      <c r="S16" s="0" t="n">
        <v>1.63547462485246</v>
      </c>
      <c r="T16" s="0" t="n">
        <v>0.286629573427751</v>
      </c>
      <c r="U16" s="0" t="n">
        <v>0.352859135285914</v>
      </c>
      <c r="V16" s="0" t="n">
        <v>0.171548117154812</v>
      </c>
      <c r="W16" s="0" t="n">
        <v>0.716875871687587</v>
      </c>
      <c r="X16" s="0" t="n">
        <v>0.368400062971087</v>
      </c>
      <c r="Y16" s="0" t="n">
        <v>13.782778188743</v>
      </c>
      <c r="Z16" s="0" t="n">
        <v>0.815668353456698</v>
      </c>
      <c r="AA16" s="0" t="n">
        <v>0</v>
      </c>
    </row>
    <row r="17" customFormat="false" ht="15" hidden="false" customHeight="false" outlineLevel="0" collapsed="false">
      <c r="A17" s="0" t="s">
        <v>51</v>
      </c>
      <c r="B17" s="0" t="s">
        <v>3013</v>
      </c>
      <c r="C17" s="0" t="s">
        <v>3034</v>
      </c>
      <c r="D17" s="0" t="n">
        <v>-38.6839274435492</v>
      </c>
      <c r="E17" s="0" t="n">
        <v>0.350029781889533</v>
      </c>
      <c r="F17" s="0" t="n">
        <v>12.1856860010869</v>
      </c>
      <c r="G17" s="0" t="n">
        <v>0.816020025031289</v>
      </c>
      <c r="H17" s="0" t="n">
        <v>0.928660826032541</v>
      </c>
      <c r="I17" s="0" t="n">
        <v>0.615527661552766</v>
      </c>
      <c r="J17" s="0" t="n">
        <v>0.820977872736085</v>
      </c>
      <c r="K17" s="0" t="n">
        <v>0.667715717403612</v>
      </c>
      <c r="L17" s="1" t="b">
        <f aca="false">TRUE()</f>
        <v>1</v>
      </c>
      <c r="M17" s="0" t="s">
        <v>3035</v>
      </c>
      <c r="N17" s="0" t="n">
        <v>40.9149503190211</v>
      </c>
      <c r="O17" s="0" t="n">
        <v>1</v>
      </c>
      <c r="P17" s="0" t="n">
        <v>1</v>
      </c>
      <c r="Q17" s="0" t="n">
        <v>38.6839274435492</v>
      </c>
      <c r="R17" s="0" t="n">
        <v>16.7288503253786</v>
      </c>
      <c r="S17" s="0" t="n">
        <v>2.26862075888375</v>
      </c>
      <c r="T17" s="0" t="n">
        <v>0.321220638426018</v>
      </c>
      <c r="U17" s="0" t="n">
        <v>0.740585774058577</v>
      </c>
      <c r="V17" s="0" t="n">
        <v>0.327754532775453</v>
      </c>
      <c r="W17" s="0" t="n">
        <v>0.778242677824268</v>
      </c>
      <c r="X17" s="0" t="n">
        <v>0.350029781889533</v>
      </c>
      <c r="Y17" s="0" t="n">
        <v>12.1856860010869</v>
      </c>
      <c r="Z17" s="0" t="n">
        <v>0.820977872736085</v>
      </c>
      <c r="AA17" s="0" t="n">
        <v>0</v>
      </c>
    </row>
    <row r="18" customFormat="false" ht="15" hidden="false" customHeight="false" outlineLevel="0" collapsed="false">
      <c r="A18" s="0" t="s">
        <v>52</v>
      </c>
      <c r="B18" s="0" t="s">
        <v>3013</v>
      </c>
      <c r="C18" s="0" t="s">
        <v>3038</v>
      </c>
      <c r="D18" s="0" t="n">
        <v>48.260157215037</v>
      </c>
      <c r="E18" s="0" t="n">
        <v>0.186621018809332</v>
      </c>
      <c r="F18" s="0" t="n">
        <v>5.84282665191977</v>
      </c>
      <c r="G18" s="0" t="n">
        <v>0.0750938673341677</v>
      </c>
      <c r="H18" s="0" t="n">
        <v>0.245306633291615</v>
      </c>
      <c r="I18" s="0" t="n">
        <v>0.938633193863319</v>
      </c>
      <c r="J18" s="0" t="n">
        <v>0.315886839022977</v>
      </c>
      <c r="K18" s="0" t="n">
        <v>0.667715717403612</v>
      </c>
      <c r="L18" s="1" t="b">
        <f aca="false">FALSE()</f>
        <v>0</v>
      </c>
      <c r="N18" s="0" t="n">
        <v>79.5988777625703</v>
      </c>
      <c r="O18" s="0" t="n">
        <v>2</v>
      </c>
      <c r="P18" s="0" t="n">
        <v>0</v>
      </c>
      <c r="Q18" s="0" t="n">
        <v>0</v>
      </c>
      <c r="R18" s="0" t="n">
        <v>37.4352116800691</v>
      </c>
      <c r="S18" s="0" t="n">
        <v>9.68253968253967</v>
      </c>
      <c r="T18" s="0" t="n">
        <v>1.37566137566137</v>
      </c>
      <c r="U18" s="0" t="n">
        <v>0.941422594142259</v>
      </c>
      <c r="V18" s="0" t="n">
        <v>0.874476987447699</v>
      </c>
      <c r="W18" s="0" t="n">
        <v>1</v>
      </c>
      <c r="X18" s="0" t="n">
        <v>0.186621018809332</v>
      </c>
      <c r="Y18" s="0" t="n">
        <v>5.84282665191977</v>
      </c>
      <c r="Z18" s="0" t="n">
        <v>0.315886839022977</v>
      </c>
      <c r="AA18" s="0" t="n">
        <v>-5.55111512312578E-017</v>
      </c>
    </row>
    <row r="19" customFormat="false" ht="15" hidden="false" customHeight="false" outlineLevel="0" collapsed="false">
      <c r="A19" s="0" t="s">
        <v>53</v>
      </c>
      <c r="B19" s="0" t="s">
        <v>3013</v>
      </c>
      <c r="C19" s="0" t="s">
        <v>3038</v>
      </c>
      <c r="D19" s="0" t="n">
        <v>-12.8813049448372</v>
      </c>
      <c r="E19" s="0" t="n">
        <v>0.251119026577459</v>
      </c>
      <c r="F19" s="0" t="n">
        <v>7.1241507868198</v>
      </c>
      <c r="G19" s="0" t="n">
        <v>0.271589486858573</v>
      </c>
      <c r="H19" s="0" t="n">
        <v>0.431789737171464</v>
      </c>
      <c r="I19" s="0" t="n">
        <v>0.817294281729428</v>
      </c>
      <c r="J19" s="0" t="n">
        <v>0.444810545957901</v>
      </c>
      <c r="K19" s="0" t="n">
        <v>0.667715717403612</v>
      </c>
      <c r="L19" s="1" t="b">
        <f aca="false">FALSE()</f>
        <v>0</v>
      </c>
      <c r="N19" s="0" t="n">
        <v>31.3387205475333</v>
      </c>
      <c r="O19" s="0" t="n">
        <v>0</v>
      </c>
      <c r="P19" s="0" t="n">
        <v>1</v>
      </c>
      <c r="Q19" s="0" t="n">
        <v>12.8813049448372</v>
      </c>
      <c r="R19" s="0" t="n">
        <v>24.5601001157687</v>
      </c>
      <c r="S19" s="0" t="n">
        <v>4.78796169630643</v>
      </c>
      <c r="T19" s="0" t="n">
        <v>0.455996352029184</v>
      </c>
      <c r="U19" s="0" t="n">
        <v>0.850767085076709</v>
      </c>
      <c r="V19" s="0" t="n">
        <v>0.670850767085077</v>
      </c>
      <c r="W19" s="0" t="n">
        <v>0.930264993026499</v>
      </c>
      <c r="X19" s="0" t="n">
        <v>0.251119026577459</v>
      </c>
      <c r="Y19" s="0" t="n">
        <v>7.1241507868198</v>
      </c>
      <c r="Z19" s="0" t="n">
        <v>0.444810545957901</v>
      </c>
      <c r="AA19" s="0" t="n">
        <v>5.55111512312578E-017</v>
      </c>
    </row>
    <row r="20" customFormat="false" ht="15" hidden="false" customHeight="false" outlineLevel="0" collapsed="false">
      <c r="A20" s="0" t="s">
        <v>54</v>
      </c>
      <c r="B20" s="0" t="s">
        <v>3013</v>
      </c>
      <c r="C20" s="0" t="s">
        <v>3038</v>
      </c>
      <c r="D20" s="0" t="n">
        <v>-42.9942281854246</v>
      </c>
      <c r="E20" s="0" t="n">
        <v>0.177204054279853</v>
      </c>
      <c r="F20" s="0" t="n">
        <v>9.74579643583842</v>
      </c>
      <c r="G20" s="0" t="n">
        <v>0.0588235294117647</v>
      </c>
      <c r="H20" s="0" t="n">
        <v>0.757196495619524</v>
      </c>
      <c r="I20" s="0" t="n">
        <v>0.864714086471409</v>
      </c>
      <c r="J20" s="0" t="n">
        <v>0.499350827306797</v>
      </c>
      <c r="K20" s="0" t="n">
        <v>0.667715717403612</v>
      </c>
      <c r="L20" s="1" t="b">
        <f aca="false">FALSE()</f>
        <v>0</v>
      </c>
      <c r="N20" s="0" t="n">
        <v>44.2200254923704</v>
      </c>
      <c r="O20" s="0" t="n">
        <v>1</v>
      </c>
      <c r="P20" s="0" t="n">
        <v>1</v>
      </c>
      <c r="Q20" s="0" t="n">
        <v>42.9942281854246</v>
      </c>
      <c r="R20" s="0" t="n">
        <v>59.8081827651855</v>
      </c>
      <c r="S20" s="0" t="n">
        <v>8.05191821732139</v>
      </c>
      <c r="T20" s="0" t="n">
        <v>0.321617275442225</v>
      </c>
      <c r="U20" s="0" t="n">
        <v>0.99023709902371</v>
      </c>
      <c r="V20" s="0" t="n">
        <v>0.822873082287308</v>
      </c>
      <c r="W20" s="0" t="n">
        <v>0.781032078103208</v>
      </c>
      <c r="X20" s="0" t="n">
        <v>0.177204054279853</v>
      </c>
      <c r="Y20" s="0" t="n">
        <v>9.74579643583842</v>
      </c>
      <c r="Z20" s="0" t="n">
        <v>0.499350827306797</v>
      </c>
      <c r="AA20" s="0" t="n">
        <v>-5.55111512312578E-017</v>
      </c>
    </row>
    <row r="21" customFormat="false" ht="15" hidden="false" customHeight="false" outlineLevel="0" collapsed="false">
      <c r="A21" s="0" t="s">
        <v>55</v>
      </c>
      <c r="B21" s="0" t="s">
        <v>3013</v>
      </c>
      <c r="C21" s="0" t="s">
        <v>3036</v>
      </c>
      <c r="D21" s="0" t="n">
        <v>31.5383925681348</v>
      </c>
      <c r="E21" s="0" t="n">
        <v>0.370199096741249</v>
      </c>
      <c r="F21" s="0" t="n">
        <v>9.74791556647192</v>
      </c>
      <c r="G21" s="0" t="n">
        <v>0.873591989987484</v>
      </c>
      <c r="H21" s="0" t="n">
        <v>0.759699624530663</v>
      </c>
      <c r="I21" s="0" t="n">
        <v>0.552301255230126</v>
      </c>
      <c r="J21" s="0" t="n">
        <v>0.763776896853284</v>
      </c>
      <c r="K21" s="0" t="n">
        <v>0.667715717403612</v>
      </c>
      <c r="L21" s="1" t="b">
        <f aca="false">TRUE()</f>
        <v>1</v>
      </c>
      <c r="M21" s="0" t="s">
        <v>3035</v>
      </c>
      <c r="N21" s="0" t="n">
        <v>87.214253677795</v>
      </c>
      <c r="O21" s="0" t="n">
        <v>2</v>
      </c>
      <c r="P21" s="0" t="n">
        <v>0</v>
      </c>
      <c r="Q21" s="0" t="n">
        <v>0</v>
      </c>
      <c r="R21" s="0" t="n">
        <v>11.3833083603682</v>
      </c>
      <c r="S21" s="0" t="n">
        <v>1.62307333021952</v>
      </c>
      <c r="T21" s="0" t="n">
        <v>0.455394675385331</v>
      </c>
      <c r="U21" s="0" t="n">
        <v>0.564853556485356</v>
      </c>
      <c r="V21" s="0" t="n">
        <v>0.165969316596932</v>
      </c>
      <c r="W21" s="0" t="n">
        <v>0.926080892608089</v>
      </c>
      <c r="X21" s="0" t="n">
        <v>0.370199096741249</v>
      </c>
      <c r="Y21" s="0" t="n">
        <v>9.74791556647192</v>
      </c>
      <c r="Z21" s="0" t="n">
        <v>0.763776896853284</v>
      </c>
      <c r="AA21" s="0" t="n">
        <v>0</v>
      </c>
    </row>
    <row r="22" customFormat="false" ht="15" hidden="false" customHeight="false" outlineLevel="0" collapsed="false">
      <c r="A22" s="0" t="s">
        <v>56</v>
      </c>
      <c r="B22" s="0" t="s">
        <v>3013</v>
      </c>
      <c r="C22" s="0" t="s">
        <v>3036</v>
      </c>
      <c r="D22" s="0" t="n">
        <v>54.1129662970881</v>
      </c>
      <c r="E22" s="0" t="n">
        <v>0.210846946811232</v>
      </c>
      <c r="F22" s="0" t="n">
        <v>5.30596218912004</v>
      </c>
      <c r="G22" s="0" t="n">
        <v>0.123904881101377</v>
      </c>
      <c r="H22" s="0" t="n">
        <v>0.173967459324155</v>
      </c>
      <c r="I22" s="0" t="n">
        <v>0.801022780102278</v>
      </c>
      <c r="J22" s="0" t="n">
        <v>0.279353492190668</v>
      </c>
      <c r="K22" s="0" t="n">
        <v>0.667715717403612</v>
      </c>
      <c r="L22" s="1" t="b">
        <f aca="false">FALSE()</f>
        <v>0</v>
      </c>
      <c r="N22" s="0" t="n">
        <v>55.6758611096603</v>
      </c>
      <c r="O22" s="0" t="n">
        <v>0</v>
      </c>
      <c r="P22" s="0" t="n">
        <v>0</v>
      </c>
      <c r="Q22" s="0" t="n">
        <v>0</v>
      </c>
      <c r="R22" s="0" t="n">
        <v>35.667553800269</v>
      </c>
      <c r="S22" s="0" t="n">
        <v>3.15441363520732</v>
      </c>
      <c r="T22" s="0" t="n">
        <v>0.635970490969226</v>
      </c>
      <c r="U22" s="0" t="n">
        <v>0.933054393305439</v>
      </c>
      <c r="V22" s="0" t="n">
        <v>0.488145048814505</v>
      </c>
      <c r="W22" s="0" t="n">
        <v>0.98186889818689</v>
      </c>
      <c r="X22" s="0" t="n">
        <v>0.210846946811232</v>
      </c>
      <c r="Y22" s="0" t="n">
        <v>5.30596218912004</v>
      </c>
      <c r="Z22" s="0" t="n">
        <v>0.279353492190668</v>
      </c>
      <c r="AA22" s="0" t="n">
        <v>0</v>
      </c>
    </row>
    <row r="23" customFormat="false" ht="15" hidden="false" customHeight="false" outlineLevel="0" collapsed="false">
      <c r="A23" s="0" t="s">
        <v>57</v>
      </c>
      <c r="B23" s="0" t="s">
        <v>3013</v>
      </c>
      <c r="C23" s="0" t="s">
        <v>3038</v>
      </c>
      <c r="D23" s="0" t="n">
        <v>47.128968809346</v>
      </c>
      <c r="E23" s="0" t="n">
        <v>0.2882808486129</v>
      </c>
      <c r="F23" s="0" t="n">
        <v>9.79783012982124</v>
      </c>
      <c r="G23" s="0" t="n">
        <v>0.51063829787234</v>
      </c>
      <c r="H23" s="0" t="n">
        <v>0.764705882352941</v>
      </c>
      <c r="I23" s="0" t="n">
        <v>0.882380288238029</v>
      </c>
      <c r="J23" s="0" t="n">
        <v>0.686613729737718</v>
      </c>
      <c r="K23" s="0" t="n">
        <v>0.667715717403612</v>
      </c>
      <c r="L23" s="1" t="b">
        <f aca="false">TRUE()</f>
        <v>1</v>
      </c>
      <c r="M23" s="0" t="s">
        <v>3035</v>
      </c>
      <c r="N23" s="0" t="n">
        <v>1.56289481257218</v>
      </c>
      <c r="O23" s="0" t="n">
        <v>0</v>
      </c>
      <c r="P23" s="0" t="n">
        <v>0</v>
      </c>
      <c r="Q23" s="0" t="n">
        <v>0</v>
      </c>
      <c r="R23" s="0" t="n">
        <v>26.1009758167154</v>
      </c>
      <c r="S23" s="0" t="n">
        <v>12.2528111671191</v>
      </c>
      <c r="T23" s="0" t="n">
        <v>0.387747188832892</v>
      </c>
      <c r="U23" s="0" t="n">
        <v>0.870292887029289</v>
      </c>
      <c r="V23" s="0" t="n">
        <v>0.905160390516039</v>
      </c>
      <c r="W23" s="0" t="n">
        <v>0.871687587168759</v>
      </c>
      <c r="X23" s="0" t="n">
        <v>0.2882808486129</v>
      </c>
      <c r="Y23" s="0" t="n">
        <v>9.79783012982124</v>
      </c>
      <c r="Z23" s="0" t="n">
        <v>0.686613729737718</v>
      </c>
      <c r="AA23" s="0" t="n">
        <v>0</v>
      </c>
    </row>
    <row r="24" customFormat="false" ht="15" hidden="false" customHeight="false" outlineLevel="0" collapsed="false">
      <c r="A24" s="0" t="s">
        <v>58</v>
      </c>
      <c r="B24" s="0" t="s">
        <v>3013</v>
      </c>
      <c r="C24" s="0" t="s">
        <v>3038</v>
      </c>
      <c r="D24" s="0" t="n">
        <v>-33.6631031768242</v>
      </c>
      <c r="E24" s="0" t="n">
        <v>0.187260013745748</v>
      </c>
      <c r="F24" s="0" t="n">
        <v>7.57894642120676</v>
      </c>
      <c r="G24" s="0" t="n">
        <v>0.0788485607008761</v>
      </c>
      <c r="H24" s="0" t="n">
        <v>0.495619524405507</v>
      </c>
      <c r="I24" s="0" t="n">
        <v>0.864249186424919</v>
      </c>
      <c r="J24" s="0" t="n">
        <v>0.402637071327537</v>
      </c>
      <c r="K24" s="0" t="n">
        <v>0.667715717403612</v>
      </c>
      <c r="L24" s="1" t="b">
        <f aca="false">FALSE()</f>
        <v>0</v>
      </c>
      <c r="N24" s="0" t="n">
        <v>0</v>
      </c>
      <c r="O24" s="0" t="n">
        <v>0</v>
      </c>
      <c r="P24" s="0" t="n">
        <v>1</v>
      </c>
      <c r="Q24" s="0" t="n">
        <v>33.6631031768242</v>
      </c>
      <c r="R24" s="0" t="n">
        <v>18.3714035216881</v>
      </c>
      <c r="S24" s="0" t="n">
        <v>8.58734333900665</v>
      </c>
      <c r="T24" s="0" t="n">
        <v>0.618907628036516</v>
      </c>
      <c r="U24" s="0" t="n">
        <v>0.771269177126918</v>
      </c>
      <c r="V24" s="0" t="n">
        <v>0.841004184100418</v>
      </c>
      <c r="W24" s="0" t="n">
        <v>0.98047419804742</v>
      </c>
      <c r="X24" s="0" t="n">
        <v>0.187260013745748</v>
      </c>
      <c r="Y24" s="0" t="n">
        <v>7.57894642120676</v>
      </c>
      <c r="Z24" s="0" t="n">
        <v>0.402637071327537</v>
      </c>
      <c r="AA24" s="0" t="n">
        <v>-5.55111512312578E-017</v>
      </c>
    </row>
    <row r="25" customFormat="false" ht="15" hidden="false" customHeight="false" outlineLevel="0" collapsed="false">
      <c r="A25" s="0" t="s">
        <v>59</v>
      </c>
      <c r="B25" s="0" t="s">
        <v>3013</v>
      </c>
      <c r="C25" s="0" t="s">
        <v>3038</v>
      </c>
      <c r="D25" s="0" t="n">
        <v>57.1293490803808</v>
      </c>
      <c r="E25" s="0" t="n">
        <v>0.242990819013773</v>
      </c>
      <c r="F25" s="0" t="n">
        <v>9.19537126495934</v>
      </c>
      <c r="G25" s="0" t="n">
        <v>0.235294117647059</v>
      </c>
      <c r="H25" s="0" t="n">
        <v>0.702127659574468</v>
      </c>
      <c r="I25" s="0" t="n">
        <v>0.863319386331939</v>
      </c>
      <c r="J25" s="0" t="n">
        <v>0.547632588154999</v>
      </c>
      <c r="K25" s="0" t="n">
        <v>0.667715717403612</v>
      </c>
      <c r="L25" s="1" t="b">
        <f aca="false">FALSE()</f>
        <v>0</v>
      </c>
      <c r="N25" s="0" t="n">
        <v>33.6631031768242</v>
      </c>
      <c r="O25" s="0" t="n">
        <v>1</v>
      </c>
      <c r="P25" s="0" t="n">
        <v>0</v>
      </c>
      <c r="Q25" s="0" t="n">
        <v>0</v>
      </c>
      <c r="R25" s="0" t="n">
        <v>27.1135980010362</v>
      </c>
      <c r="S25" s="0" t="n">
        <v>6.00652136605459</v>
      </c>
      <c r="T25" s="0" t="n">
        <v>0.514844688518954</v>
      </c>
      <c r="U25" s="0" t="n">
        <v>0.885634588563459</v>
      </c>
      <c r="V25" s="0" t="n">
        <v>0.744769874476987</v>
      </c>
      <c r="W25" s="0" t="n">
        <v>0.95955369595537</v>
      </c>
      <c r="X25" s="0" t="n">
        <v>0.242990819013773</v>
      </c>
      <c r="Y25" s="0" t="n">
        <v>9.19537126495934</v>
      </c>
      <c r="Z25" s="0" t="n">
        <v>0.547632588154999</v>
      </c>
      <c r="AA25" s="0" t="n">
        <v>0</v>
      </c>
    </row>
    <row r="26" customFormat="false" ht="15" hidden="false" customHeight="false" outlineLevel="0" collapsed="false">
      <c r="A26" s="0" t="s">
        <v>60</v>
      </c>
      <c r="B26" s="0" t="s">
        <v>3013</v>
      </c>
      <c r="C26" s="0" t="s">
        <v>3038</v>
      </c>
      <c r="D26" s="0" t="n">
        <v>24.5892835866587</v>
      </c>
      <c r="E26" s="0" t="n">
        <v>0.211131145578711</v>
      </c>
      <c r="F26" s="0" t="n">
        <v>5.06039101017865</v>
      </c>
      <c r="G26" s="0" t="n">
        <v>0.125156445556946</v>
      </c>
      <c r="H26" s="0" t="n">
        <v>0.143929912390488</v>
      </c>
      <c r="I26" s="0" t="n">
        <v>0.796373779637378</v>
      </c>
      <c r="J26" s="0" t="n">
        <v>0.266909299106449</v>
      </c>
      <c r="K26" s="0" t="n">
        <v>0.667715717403612</v>
      </c>
      <c r="L26" s="1" t="b">
        <f aca="false">FALSE()</f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12.9522550801258</v>
      </c>
      <c r="S26" s="0" t="n">
        <v>9.41840277777777</v>
      </c>
      <c r="T26" s="0" t="n">
        <v>0.41232638888889</v>
      </c>
      <c r="U26" s="0" t="n">
        <v>0.637377963737796</v>
      </c>
      <c r="V26" s="0" t="n">
        <v>0.863319386331939</v>
      </c>
      <c r="W26" s="0" t="n">
        <v>0.888423988842399</v>
      </c>
      <c r="X26" s="0" t="n">
        <v>0.211131145578711</v>
      </c>
      <c r="Y26" s="0" t="n">
        <v>5.06039101017865</v>
      </c>
      <c r="Z26" s="0" t="n">
        <v>0.266909299106449</v>
      </c>
      <c r="AA26" s="0" t="n">
        <v>5.55111512312578E-017</v>
      </c>
    </row>
    <row r="27" customFormat="false" ht="15" hidden="false" customHeight="false" outlineLevel="0" collapsed="false">
      <c r="A27" s="0" t="s">
        <v>61</v>
      </c>
      <c r="B27" s="0" t="s">
        <v>33</v>
      </c>
      <c r="C27" s="0" t="s">
        <v>33</v>
      </c>
      <c r="D27" s="0" t="n">
        <v>48.6873143915053</v>
      </c>
      <c r="E27" s="0" t="n">
        <v>0.395611836933229</v>
      </c>
      <c r="F27" s="0" t="n">
        <v>13.9231906666968</v>
      </c>
      <c r="G27" s="0" t="n">
        <v>0.932415519399249</v>
      </c>
      <c r="H27" s="0" t="n">
        <v>0.972465581977472</v>
      </c>
      <c r="I27" s="0" t="n">
        <v>0.5</v>
      </c>
      <c r="J27" s="0" t="n">
        <v>0.861952440550688</v>
      </c>
      <c r="K27" s="0" t="n">
        <v>0.667715717403612</v>
      </c>
      <c r="L27" s="1" t="b">
        <f aca="false">TRUE()</f>
        <v>1</v>
      </c>
      <c r="M27" s="0" t="s">
        <v>3035</v>
      </c>
      <c r="N27" s="0" t="n">
        <v>0</v>
      </c>
      <c r="O27" s="0" t="n">
        <v>0</v>
      </c>
      <c r="P27" s="0" t="n">
        <v>0</v>
      </c>
      <c r="Q27" s="0" t="n">
        <v>0</v>
      </c>
      <c r="U27" s="0" t="n">
        <v>0.5</v>
      </c>
      <c r="V27" s="0" t="n">
        <v>0.5</v>
      </c>
      <c r="W27" s="0" t="n">
        <v>0.5</v>
      </c>
      <c r="X27" s="0" t="n">
        <v>0.395611836933229</v>
      </c>
      <c r="Y27" s="0" t="n">
        <v>13.9231906666968</v>
      </c>
      <c r="Z27" s="0" t="n">
        <v>0.861952440550688</v>
      </c>
      <c r="AA27" s="0" t="n">
        <v>0</v>
      </c>
    </row>
    <row r="28" customFormat="false" ht="15" hidden="false" customHeight="false" outlineLevel="0" collapsed="false">
      <c r="A28" s="0" t="s">
        <v>62</v>
      </c>
      <c r="B28" s="0" t="s">
        <v>3013</v>
      </c>
      <c r="C28" s="0" t="s">
        <v>3033</v>
      </c>
      <c r="D28" s="0" t="n">
        <v>73.8744819493889</v>
      </c>
      <c r="E28" s="0" t="n">
        <v>0.270682403115004</v>
      </c>
      <c r="F28" s="0" t="n">
        <v>8.49714838743852</v>
      </c>
      <c r="G28" s="0" t="n">
        <v>0.39549436795995</v>
      </c>
      <c r="H28" s="0" t="n">
        <v>0.602002503128911</v>
      </c>
      <c r="I28" s="0" t="n">
        <v>0.685727568572757</v>
      </c>
      <c r="J28" s="0" t="n">
        <v>0.536144262150096</v>
      </c>
      <c r="K28" s="0" t="n">
        <v>0.667715717403612</v>
      </c>
      <c r="L28" s="1" t="b">
        <f aca="false">FALSE()</f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10.214775606585</v>
      </c>
      <c r="S28" s="0" t="n">
        <v>4.78813559322034</v>
      </c>
      <c r="T28" s="0" t="n">
        <v>0.381355932203404</v>
      </c>
      <c r="U28" s="0" t="n">
        <v>0.516039051603905</v>
      </c>
      <c r="V28" s="0" t="n">
        <v>0.672245467224547</v>
      </c>
      <c r="W28" s="0" t="n">
        <v>0.868898186889819</v>
      </c>
      <c r="X28" s="0" t="n">
        <v>0.270682403115004</v>
      </c>
      <c r="Y28" s="0" t="n">
        <v>8.49714838743852</v>
      </c>
      <c r="Z28" s="0" t="n">
        <v>0.536144262150096</v>
      </c>
      <c r="AA28" s="0" t="n">
        <v>0</v>
      </c>
    </row>
    <row r="29" customFormat="false" ht="15" hidden="false" customHeight="false" outlineLevel="0" collapsed="false">
      <c r="A29" s="0" t="s">
        <v>63</v>
      </c>
      <c r="B29" s="0" t="s">
        <v>3013</v>
      </c>
      <c r="C29" s="0" t="s">
        <v>3033</v>
      </c>
      <c r="D29" s="0" t="n">
        <v>34.5872469899707</v>
      </c>
      <c r="E29" s="0" t="n">
        <v>0.208927060054258</v>
      </c>
      <c r="F29" s="0" t="n">
        <v>6.55764197309293</v>
      </c>
      <c r="G29" s="0" t="n">
        <v>0.120150187734668</v>
      </c>
      <c r="H29" s="0" t="n">
        <v>0.354192740926158</v>
      </c>
      <c r="I29" s="0" t="n">
        <v>0.430032543003254</v>
      </c>
      <c r="J29" s="0" t="n">
        <v>0.275743680064981</v>
      </c>
      <c r="K29" s="0" t="n">
        <v>0.667715717403612</v>
      </c>
      <c r="L29" s="1" t="b">
        <f aca="false">FALSE()</f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5.88635713416548</v>
      </c>
      <c r="S29" s="0" t="n">
        <v>1.44482571789778</v>
      </c>
      <c r="T29" s="0" t="n">
        <v>0.505689001264214</v>
      </c>
      <c r="U29" s="0" t="n">
        <v>0.217573221757322</v>
      </c>
      <c r="V29" s="0" t="n">
        <v>0.118549511854951</v>
      </c>
      <c r="W29" s="0" t="n">
        <v>0.95397489539749</v>
      </c>
      <c r="X29" s="0" t="n">
        <v>0.208927060054258</v>
      </c>
      <c r="Y29" s="0" t="n">
        <v>6.55764197309293</v>
      </c>
      <c r="Z29" s="0" t="n">
        <v>0.275743680064981</v>
      </c>
      <c r="AA29" s="0" t="n">
        <v>0</v>
      </c>
    </row>
    <row r="30" customFormat="false" ht="15" hidden="false" customHeight="false" outlineLevel="0" collapsed="false">
      <c r="A30" s="0" t="s">
        <v>64</v>
      </c>
      <c r="B30" s="0" t="s">
        <v>3013</v>
      </c>
      <c r="C30" s="0" t="s">
        <v>3033</v>
      </c>
      <c r="D30" s="0" t="n">
        <v>17.7592225556536</v>
      </c>
      <c r="E30" s="0" t="n">
        <v>0.255856134364178</v>
      </c>
      <c r="F30" s="0" t="n">
        <v>5.04790093245879</v>
      </c>
      <c r="G30" s="0" t="n">
        <v>0.30162703379224</v>
      </c>
      <c r="H30" s="0" t="n">
        <v>0.14017521902378</v>
      </c>
      <c r="I30" s="0" t="n">
        <v>0.471873547187355</v>
      </c>
      <c r="J30" s="0" t="n">
        <v>0.271095610563879</v>
      </c>
      <c r="K30" s="0" t="n">
        <v>0.667715717403612</v>
      </c>
      <c r="L30" s="1" t="b">
        <f aca="false">FALSE()</f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7.27773662391044</v>
      </c>
      <c r="S30" s="0" t="n">
        <v>2.28384991843394</v>
      </c>
      <c r="T30" s="0" t="n">
        <v>0.299075584556823</v>
      </c>
      <c r="U30" s="0" t="n">
        <v>0.334728033472803</v>
      </c>
      <c r="V30" s="0" t="n">
        <v>0.336122733612273</v>
      </c>
      <c r="W30" s="0" t="n">
        <v>0.744769874476987</v>
      </c>
      <c r="X30" s="0" t="n">
        <v>0.255856134364178</v>
      </c>
      <c r="Y30" s="0" t="n">
        <v>5.04790093245879</v>
      </c>
      <c r="Z30" s="0" t="n">
        <v>0.271095610563879</v>
      </c>
      <c r="AA30" s="0" t="n">
        <v>0</v>
      </c>
    </row>
    <row r="31" customFormat="false" ht="15" hidden="false" customHeight="false" outlineLevel="0" collapsed="false">
      <c r="A31" s="0" t="s">
        <v>65</v>
      </c>
      <c r="B31" s="0" t="s">
        <v>3013</v>
      </c>
      <c r="C31" s="0" t="s">
        <v>3033</v>
      </c>
      <c r="D31" s="0" t="n">
        <v>-40.839714444965</v>
      </c>
      <c r="E31" s="0" t="n">
        <v>0.282524980273032</v>
      </c>
      <c r="F31" s="0" t="n">
        <v>6.77523544210287</v>
      </c>
      <c r="G31" s="0" t="n">
        <v>0.473091364205257</v>
      </c>
      <c r="H31" s="0" t="n">
        <v>0.390488110137672</v>
      </c>
      <c r="I31" s="0" t="n">
        <v>0.584844258484426</v>
      </c>
      <c r="J31" s="0" t="n">
        <v>0.462400641434057</v>
      </c>
      <c r="K31" s="0" t="n">
        <v>0.667715717403612</v>
      </c>
      <c r="L31" s="1" t="b">
        <f aca="false">FALSE()</f>
        <v>0</v>
      </c>
      <c r="N31" s="0" t="n">
        <v>0</v>
      </c>
      <c r="O31" s="0" t="n">
        <v>0</v>
      </c>
      <c r="P31" s="0" t="n">
        <v>1</v>
      </c>
      <c r="Q31" s="0" t="n">
        <v>40.839714444965</v>
      </c>
      <c r="R31" s="0" t="n">
        <v>9.23225001718794</v>
      </c>
      <c r="S31" s="0" t="n">
        <v>2.34995236583045</v>
      </c>
      <c r="T31" s="0" t="n">
        <v>0.476341695776437</v>
      </c>
      <c r="U31" s="0" t="n">
        <v>0.458856345885635</v>
      </c>
      <c r="V31" s="0" t="n">
        <v>0.351464435146444</v>
      </c>
      <c r="W31" s="0" t="n">
        <v>0.944211994421199</v>
      </c>
      <c r="X31" s="0" t="n">
        <v>0.282524980273032</v>
      </c>
      <c r="Y31" s="0" t="n">
        <v>6.77523544210287</v>
      </c>
      <c r="Z31" s="0" t="n">
        <v>0.462400641434057</v>
      </c>
      <c r="AA31" s="0" t="n">
        <v>0</v>
      </c>
    </row>
    <row r="32" customFormat="false" ht="15" hidden="false" customHeight="false" outlineLevel="0" collapsed="false">
      <c r="A32" s="0" t="s">
        <v>66</v>
      </c>
      <c r="B32" s="0" t="s">
        <v>3013</v>
      </c>
      <c r="C32" s="0" t="s">
        <v>3033</v>
      </c>
      <c r="D32" s="0" t="n">
        <v>31.6849925045525</v>
      </c>
      <c r="E32" s="0" t="n">
        <v>0.275285606637038</v>
      </c>
      <c r="F32" s="0" t="n">
        <v>8.29891687115817</v>
      </c>
      <c r="G32" s="0" t="n">
        <v>0.426783479349187</v>
      </c>
      <c r="H32" s="0" t="n">
        <v>0.579474342928661</v>
      </c>
      <c r="I32" s="0" t="n">
        <v>0.742445374244538</v>
      </c>
      <c r="J32" s="0" t="n">
        <v>0.550992203760046</v>
      </c>
      <c r="K32" s="0" t="n">
        <v>0.667715717403612</v>
      </c>
      <c r="L32" s="1" t="b">
        <f aca="false">FALSE()</f>
        <v>0</v>
      </c>
      <c r="N32" s="0" t="n">
        <v>40.839714444965</v>
      </c>
      <c r="O32" s="0" t="n">
        <v>1</v>
      </c>
      <c r="P32" s="0" t="n">
        <v>0</v>
      </c>
      <c r="Q32" s="0" t="n">
        <v>0</v>
      </c>
      <c r="R32" s="0" t="n">
        <v>13.2777682832245</v>
      </c>
      <c r="S32" s="0" t="n">
        <v>4.67836257309941</v>
      </c>
      <c r="T32" s="0" t="n">
        <v>0.438596491228066</v>
      </c>
      <c r="U32" s="0" t="n">
        <v>0.652719665271967</v>
      </c>
      <c r="V32" s="0" t="n">
        <v>0.662482566248257</v>
      </c>
      <c r="W32" s="0" t="n">
        <v>0.912133891213389</v>
      </c>
      <c r="X32" s="0" t="n">
        <v>0.275285606637038</v>
      </c>
      <c r="Y32" s="0" t="n">
        <v>8.29891687115817</v>
      </c>
      <c r="Z32" s="0" t="n">
        <v>0.550992203760046</v>
      </c>
      <c r="AA32" s="0" t="n">
        <v>0</v>
      </c>
    </row>
    <row r="33" customFormat="false" ht="15" hidden="false" customHeight="false" outlineLevel="0" collapsed="false">
      <c r="A33" s="0" t="s">
        <v>67</v>
      </c>
      <c r="B33" s="0" t="s">
        <v>3013</v>
      </c>
      <c r="C33" s="0" t="s">
        <v>3038</v>
      </c>
      <c r="D33" s="0" t="n">
        <v>-43.1523144791767</v>
      </c>
      <c r="E33" s="0" t="n">
        <v>0.191202827368768</v>
      </c>
      <c r="F33" s="0" t="n">
        <v>4.58331006444336</v>
      </c>
      <c r="G33" s="0" t="n">
        <v>0.0913642052565707</v>
      </c>
      <c r="H33" s="0" t="n">
        <v>0.0901126408010013</v>
      </c>
      <c r="I33" s="0" t="n">
        <v>0.813110181311018</v>
      </c>
      <c r="J33" s="0" t="n">
        <v>0.235212774685232</v>
      </c>
      <c r="K33" s="0" t="n">
        <v>0.667715717403612</v>
      </c>
      <c r="L33" s="1" t="b">
        <f aca="false">FALSE()</f>
        <v>0</v>
      </c>
      <c r="N33" s="0" t="n">
        <v>9.15472194041251</v>
      </c>
      <c r="O33" s="0" t="n">
        <v>0</v>
      </c>
      <c r="P33" s="0" t="n">
        <v>1</v>
      </c>
      <c r="Q33" s="0" t="n">
        <v>43.1523144791767</v>
      </c>
      <c r="R33" s="0" t="n">
        <v>24.5916620972712</v>
      </c>
      <c r="S33" s="0" t="n">
        <v>3.94215871922878</v>
      </c>
      <c r="T33" s="0" t="n">
        <v>0.912377345498367</v>
      </c>
      <c r="U33" s="0" t="n">
        <v>0.853556485355649</v>
      </c>
      <c r="V33" s="0" t="n">
        <v>0.588563458856346</v>
      </c>
      <c r="W33" s="0" t="n">
        <v>0.99721059972106</v>
      </c>
      <c r="X33" s="0" t="n">
        <v>0.191202827368768</v>
      </c>
      <c r="Y33" s="0" t="n">
        <v>4.58331006444336</v>
      </c>
      <c r="Z33" s="0" t="n">
        <v>0.235212774685232</v>
      </c>
      <c r="AA33" s="0" t="n">
        <v>-2.77555756156289E-017</v>
      </c>
    </row>
    <row r="34" customFormat="false" ht="15" hidden="false" customHeight="false" outlineLevel="0" collapsed="false">
      <c r="A34" s="0" t="s">
        <v>68</v>
      </c>
      <c r="B34" s="0" t="s">
        <v>3013</v>
      </c>
      <c r="C34" s="0" t="s">
        <v>3038</v>
      </c>
      <c r="D34" s="0" t="n">
        <v>-26.6858728968714</v>
      </c>
      <c r="E34" s="0" t="n">
        <v>0.229302152976228</v>
      </c>
      <c r="F34" s="0" t="n">
        <v>5.14772669326708</v>
      </c>
      <c r="G34" s="0" t="n">
        <v>0.168961201501877</v>
      </c>
      <c r="H34" s="0" t="n">
        <v>0.153942428035044</v>
      </c>
      <c r="I34" s="0" t="n">
        <v>0.821478382147838</v>
      </c>
      <c r="J34" s="0" t="n">
        <v>0.293457128244336</v>
      </c>
      <c r="K34" s="0" t="n">
        <v>0.667715717403612</v>
      </c>
      <c r="L34" s="1" t="b">
        <f aca="false">FALSE()</f>
        <v>0</v>
      </c>
      <c r="N34" s="0" t="n">
        <v>52.3070364195892</v>
      </c>
      <c r="O34" s="0" t="n">
        <v>1</v>
      </c>
      <c r="P34" s="0" t="n">
        <v>1</v>
      </c>
      <c r="Q34" s="0" t="n">
        <v>26.6858728968714</v>
      </c>
      <c r="R34" s="0" t="n">
        <v>23.9280021120814</v>
      </c>
      <c r="S34" s="0" t="n">
        <v>4.45290199809705</v>
      </c>
      <c r="T34" s="0" t="n">
        <v>0.608943862987634</v>
      </c>
      <c r="U34" s="0" t="n">
        <v>0.843793584379359</v>
      </c>
      <c r="V34" s="0" t="n">
        <v>0.641562064156206</v>
      </c>
      <c r="W34" s="0" t="n">
        <v>0.97907949790795</v>
      </c>
      <c r="X34" s="0" t="n">
        <v>0.229302152976228</v>
      </c>
      <c r="Y34" s="0" t="n">
        <v>5.14772669326708</v>
      </c>
      <c r="Z34" s="0" t="n">
        <v>0.293457128244336</v>
      </c>
      <c r="AA34" s="0" t="n">
        <v>0</v>
      </c>
    </row>
    <row r="35" customFormat="false" ht="15" hidden="false" customHeight="false" outlineLevel="0" collapsed="false">
      <c r="A35" s="0" t="s">
        <v>69</v>
      </c>
      <c r="B35" s="0" t="s">
        <v>3013</v>
      </c>
      <c r="C35" s="0" t="s">
        <v>3034</v>
      </c>
      <c r="D35" s="0" t="n">
        <v>32.4216883868959</v>
      </c>
      <c r="E35" s="0" t="n">
        <v>0.305596204053443</v>
      </c>
      <c r="F35" s="0" t="n">
        <v>9.07145247444691</v>
      </c>
      <c r="G35" s="0" t="n">
        <v>0.594493116395494</v>
      </c>
      <c r="H35" s="0" t="n">
        <v>0.688360450563204</v>
      </c>
      <c r="I35" s="0" t="n">
        <v>0.517898651789865</v>
      </c>
      <c r="J35" s="0" t="n">
        <v>0.616721157141453</v>
      </c>
      <c r="K35" s="0" t="n">
        <v>0.667715717403612</v>
      </c>
      <c r="L35" s="1" t="b">
        <f aca="false">FALSE()</f>
        <v>0</v>
      </c>
      <c r="N35" s="0" t="n">
        <v>78.9929093164606</v>
      </c>
      <c r="O35" s="0" t="n">
        <v>2</v>
      </c>
      <c r="P35" s="0" t="n">
        <v>0</v>
      </c>
      <c r="Q35" s="0" t="n">
        <v>0</v>
      </c>
      <c r="R35" s="0" t="n">
        <v>9.40794698826343</v>
      </c>
      <c r="S35" s="0" t="n">
        <v>1.68456517161508</v>
      </c>
      <c r="T35" s="0" t="n">
        <v>0.421141292903769</v>
      </c>
      <c r="U35" s="0" t="n">
        <v>0.471408647140865</v>
      </c>
      <c r="V35" s="0" t="n">
        <v>0.184100418410042</v>
      </c>
      <c r="W35" s="0" t="n">
        <v>0.898186889818689</v>
      </c>
      <c r="X35" s="0" t="n">
        <v>0.305596204053443</v>
      </c>
      <c r="Y35" s="0" t="n">
        <v>9.07145247444692</v>
      </c>
      <c r="Z35" s="0" t="n">
        <v>0.616721157141453</v>
      </c>
      <c r="AA35" s="0" t="n">
        <v>0</v>
      </c>
    </row>
    <row r="36" customFormat="false" ht="15" hidden="false" customHeight="false" outlineLevel="0" collapsed="false">
      <c r="A36" s="0" t="s">
        <v>70</v>
      </c>
      <c r="B36" s="0" t="s">
        <v>3013</v>
      </c>
      <c r="C36" s="0" t="s">
        <v>3038</v>
      </c>
      <c r="D36" s="0" t="n">
        <v>279.436836970576</v>
      </c>
      <c r="E36" s="0" t="n">
        <v>0.202957114320102</v>
      </c>
      <c r="F36" s="0" t="n">
        <v>4.11210119985135</v>
      </c>
      <c r="G36" s="0" t="n">
        <v>0.107634543178974</v>
      </c>
      <c r="H36" s="0" t="n">
        <v>0.0588235294117647</v>
      </c>
      <c r="I36" s="0" t="n">
        <v>0.857740585774059</v>
      </c>
      <c r="J36" s="0" t="n">
        <v>0.238131346191107</v>
      </c>
      <c r="K36" s="0" t="n">
        <v>0.667715717403612</v>
      </c>
      <c r="L36" s="1" t="b">
        <f aca="false">FALSE()</f>
        <v>0</v>
      </c>
      <c r="N36" s="0" t="n">
        <v>46.5712209295647</v>
      </c>
      <c r="O36" s="0" t="n">
        <v>0</v>
      </c>
      <c r="P36" s="0" t="n">
        <v>0</v>
      </c>
      <c r="Q36" s="0" t="n">
        <v>0</v>
      </c>
      <c r="R36" s="0" t="n">
        <v>18.3637585624002</v>
      </c>
      <c r="S36" s="0" t="n">
        <v>10.0777345918934</v>
      </c>
      <c r="T36" s="0" t="n">
        <v>0.444197667962249</v>
      </c>
      <c r="U36" s="0" t="n">
        <v>0.769874476987448</v>
      </c>
      <c r="V36" s="0" t="n">
        <v>0.885634588563459</v>
      </c>
      <c r="W36" s="0" t="n">
        <v>0.917712691771269</v>
      </c>
      <c r="X36" s="0" t="n">
        <v>0.202957114320102</v>
      </c>
      <c r="Y36" s="0" t="n">
        <v>4.11210119985135</v>
      </c>
      <c r="Z36" s="0" t="n">
        <v>0.238131346191107</v>
      </c>
      <c r="AA36" s="0" t="n">
        <v>2.77555756156289E-017</v>
      </c>
    </row>
    <row r="37" customFormat="false" ht="15" hidden="false" customHeight="false" outlineLevel="0" collapsed="false">
      <c r="A37" s="0" t="s">
        <v>71</v>
      </c>
      <c r="B37" s="0" t="s">
        <v>3013</v>
      </c>
      <c r="C37" s="0" t="s">
        <v>3038</v>
      </c>
      <c r="D37" s="0" t="n">
        <v>64.4383204430389</v>
      </c>
      <c r="E37" s="0" t="n">
        <v>0.196029942475563</v>
      </c>
      <c r="F37" s="0" t="n">
        <v>7.20514586750986</v>
      </c>
      <c r="G37" s="0" t="n">
        <v>0.0963704630788486</v>
      </c>
      <c r="H37" s="0" t="n">
        <v>0.445556946182728</v>
      </c>
      <c r="I37" s="0" t="n">
        <v>0.939098093909809</v>
      </c>
      <c r="J37" s="0" t="n">
        <v>0.404590582486593</v>
      </c>
      <c r="K37" s="0" t="n">
        <v>0.667715717403612</v>
      </c>
      <c r="L37" s="1" t="b">
        <f aca="false">FALSE()</f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30.7373659169269</v>
      </c>
      <c r="S37" s="0" t="n">
        <v>23.6915887850467</v>
      </c>
      <c r="T37" s="0" t="n">
        <v>0.467289719626162</v>
      </c>
      <c r="U37" s="0" t="n">
        <v>0.906555090655509</v>
      </c>
      <c r="V37" s="0" t="n">
        <v>0.97489539748954</v>
      </c>
      <c r="W37" s="0" t="n">
        <v>0.935843793584379</v>
      </c>
      <c r="X37" s="0" t="n">
        <v>0.196029942475563</v>
      </c>
      <c r="Y37" s="0" t="n">
        <v>7.20514586750986</v>
      </c>
      <c r="Z37" s="0" t="n">
        <v>0.404590582486593</v>
      </c>
      <c r="AA37" s="0" t="n">
        <v>5.55111512312578E-017</v>
      </c>
    </row>
    <row r="38" customFormat="false" ht="15" hidden="false" customHeight="false" outlineLevel="0" collapsed="false">
      <c r="A38" s="0" t="s">
        <v>72</v>
      </c>
      <c r="B38" s="0" t="s">
        <v>3013</v>
      </c>
      <c r="C38" s="0" t="s">
        <v>3033</v>
      </c>
      <c r="D38" s="0" t="n">
        <v>-37.3008961397111</v>
      </c>
      <c r="E38" s="0" t="n">
        <v>0.232169248714229</v>
      </c>
      <c r="F38" s="0" t="n">
        <v>4.75902292228407</v>
      </c>
      <c r="G38" s="0" t="n">
        <v>0.18523153942428</v>
      </c>
      <c r="H38" s="0" t="n">
        <v>0.105131414267835</v>
      </c>
      <c r="I38" s="0" t="n">
        <v>0.730822873082287</v>
      </c>
      <c r="J38" s="0" t="n">
        <v>0.262309756093304</v>
      </c>
      <c r="K38" s="0" t="n">
        <v>0.667715717403612</v>
      </c>
      <c r="L38" s="1" t="b">
        <f aca="false">FALSE()</f>
        <v>0</v>
      </c>
      <c r="N38" s="0" t="n">
        <v>0</v>
      </c>
      <c r="O38" s="0" t="n">
        <v>0</v>
      </c>
      <c r="P38" s="0" t="n">
        <v>1</v>
      </c>
      <c r="Q38" s="0" t="n">
        <v>37.3008961397111</v>
      </c>
      <c r="R38" s="0" t="n">
        <v>19.7382405636027</v>
      </c>
      <c r="S38" s="0" t="n">
        <v>3.49044936100042</v>
      </c>
      <c r="T38" s="0" t="n">
        <v>0.398515871925249</v>
      </c>
      <c r="U38" s="0" t="n">
        <v>0.783821478382148</v>
      </c>
      <c r="V38" s="0" t="n">
        <v>0.525801952580195</v>
      </c>
      <c r="W38" s="0" t="n">
        <v>0.882845188284519</v>
      </c>
      <c r="X38" s="0" t="n">
        <v>0.232169248714229</v>
      </c>
      <c r="Y38" s="0" t="n">
        <v>4.75902292228407</v>
      </c>
      <c r="Z38" s="0" t="n">
        <v>0.262309756093304</v>
      </c>
      <c r="AA38" s="0" t="n">
        <v>5.55111512312578E-017</v>
      </c>
    </row>
    <row r="39" customFormat="false" ht="15" hidden="false" customHeight="false" outlineLevel="0" collapsed="false">
      <c r="A39" s="0" t="s">
        <v>73</v>
      </c>
      <c r="B39" s="0" t="s">
        <v>3013</v>
      </c>
      <c r="C39" s="0" t="s">
        <v>3038</v>
      </c>
      <c r="D39" s="0" t="n">
        <v>78.6241043282669</v>
      </c>
      <c r="E39" s="0" t="n">
        <v>0.237040728426975</v>
      </c>
      <c r="F39" s="0" t="n">
        <v>5.95110047123436</v>
      </c>
      <c r="G39" s="0" t="n">
        <v>0.2090112640801</v>
      </c>
      <c r="H39" s="0" t="n">
        <v>0.260325406758448</v>
      </c>
      <c r="I39" s="0" t="n">
        <v>0.823337982333798</v>
      </c>
      <c r="J39" s="0" t="n">
        <v>0.352402264802179</v>
      </c>
      <c r="K39" s="0" t="n">
        <v>0.667715717403612</v>
      </c>
      <c r="L39" s="1" t="b">
        <f aca="false">FALSE()</f>
        <v>0</v>
      </c>
      <c r="N39" s="0" t="n">
        <v>37.3008961397111</v>
      </c>
      <c r="O39" s="0" t="n">
        <v>1</v>
      </c>
      <c r="P39" s="0" t="n">
        <v>0</v>
      </c>
      <c r="Q39" s="0" t="n">
        <v>0</v>
      </c>
      <c r="R39" s="0" t="n">
        <v>20.5636951170515</v>
      </c>
      <c r="S39" s="0" t="n">
        <v>6.88346883468835</v>
      </c>
      <c r="T39" s="0" t="n">
        <v>0.415537488708222</v>
      </c>
      <c r="U39" s="0" t="n">
        <v>0.796373779637378</v>
      </c>
      <c r="V39" s="0" t="n">
        <v>0.781032078103208</v>
      </c>
      <c r="W39" s="0" t="n">
        <v>0.892608089260809</v>
      </c>
      <c r="X39" s="0" t="n">
        <v>0.237040728426975</v>
      </c>
      <c r="Y39" s="0" t="n">
        <v>5.95110047123435</v>
      </c>
      <c r="Z39" s="0" t="n">
        <v>0.352402264802179</v>
      </c>
      <c r="AA39" s="0" t="n">
        <v>-5.55111512312578E-017</v>
      </c>
    </row>
    <row r="40" customFormat="false" ht="15" hidden="false" customHeight="false" outlineLevel="0" collapsed="false">
      <c r="A40" s="0" t="s">
        <v>74</v>
      </c>
      <c r="B40" s="0" t="s">
        <v>33</v>
      </c>
      <c r="C40" s="0" t="s">
        <v>33</v>
      </c>
      <c r="D40" s="0" t="n">
        <v>-40.5661624625899</v>
      </c>
      <c r="E40" s="0" t="n">
        <v>0.44727637789873</v>
      </c>
      <c r="F40" s="0" t="n">
        <v>14.9499193147055</v>
      </c>
      <c r="G40" s="0" t="n">
        <v>0.979974968710889</v>
      </c>
      <c r="H40" s="0" t="n">
        <v>0.983729662077597</v>
      </c>
      <c r="I40" s="0" t="n">
        <v>0.5</v>
      </c>
      <c r="J40" s="0" t="n">
        <v>0.885481852315394</v>
      </c>
      <c r="K40" s="0" t="n">
        <v>0.667715717403612</v>
      </c>
      <c r="L40" s="1" t="b">
        <f aca="false">TRUE()</f>
        <v>1</v>
      </c>
      <c r="M40" s="0" t="s">
        <v>3035</v>
      </c>
      <c r="N40" s="0" t="n">
        <v>0</v>
      </c>
      <c r="O40" s="0" t="n">
        <v>0</v>
      </c>
      <c r="P40" s="0" t="n">
        <v>1</v>
      </c>
      <c r="Q40" s="0" t="n">
        <v>40.5661624625899</v>
      </c>
      <c r="U40" s="0" t="n">
        <v>0.5</v>
      </c>
      <c r="V40" s="0" t="n">
        <v>0.5</v>
      </c>
      <c r="W40" s="0" t="n">
        <v>0.5</v>
      </c>
      <c r="X40" s="0" t="n">
        <v>0.44727637789873</v>
      </c>
      <c r="Y40" s="0" t="n">
        <v>14.9499193147055</v>
      </c>
      <c r="Z40" s="0" t="n">
        <v>0.885481852315394</v>
      </c>
      <c r="AA40" s="0" t="n">
        <v>0</v>
      </c>
    </row>
    <row r="41" customFormat="false" ht="15" hidden="false" customHeight="false" outlineLevel="0" collapsed="false">
      <c r="A41" s="0" t="s">
        <v>75</v>
      </c>
      <c r="B41" s="0" t="s">
        <v>3013</v>
      </c>
      <c r="C41" s="0" t="s">
        <v>3033</v>
      </c>
      <c r="D41" s="0" t="n">
        <v>44.0984163766705</v>
      </c>
      <c r="E41" s="0" t="n">
        <v>0.304292708455422</v>
      </c>
      <c r="F41" s="0" t="n">
        <v>7.92935925825341</v>
      </c>
      <c r="G41" s="0" t="n">
        <v>0.586983729662078</v>
      </c>
      <c r="H41" s="0" t="n">
        <v>0.528160200250313</v>
      </c>
      <c r="I41" s="0" t="n">
        <v>0.783356578335658</v>
      </c>
      <c r="J41" s="0" t="n">
        <v>0.602728887632088</v>
      </c>
      <c r="K41" s="0" t="n">
        <v>0.667715717403612</v>
      </c>
      <c r="L41" s="1" t="b">
        <f aca="false">FALSE()</f>
        <v>0</v>
      </c>
      <c r="N41" s="0" t="n">
        <v>40.5661624625899</v>
      </c>
      <c r="O41" s="0" t="n">
        <v>1</v>
      </c>
      <c r="P41" s="0" t="n">
        <v>0</v>
      </c>
      <c r="Q41" s="0" t="n">
        <v>0</v>
      </c>
      <c r="R41" s="0" t="n">
        <v>14.2490359480916</v>
      </c>
      <c r="S41" s="0" t="n">
        <v>5.54431404289761</v>
      </c>
      <c r="T41" s="0" t="n">
        <v>0.48563334682315</v>
      </c>
      <c r="U41" s="0" t="n">
        <v>0.682008368200837</v>
      </c>
      <c r="V41" s="0" t="n">
        <v>0.722454672245467</v>
      </c>
      <c r="W41" s="0" t="n">
        <v>0.94560669456067</v>
      </c>
      <c r="X41" s="0" t="n">
        <v>0.304292708455422</v>
      </c>
      <c r="Y41" s="0" t="n">
        <v>7.9293592582534</v>
      </c>
      <c r="Z41" s="0" t="n">
        <v>0.602728887632088</v>
      </c>
      <c r="AA41" s="0" t="n">
        <v>0</v>
      </c>
    </row>
    <row r="42" customFormat="false" ht="15" hidden="false" customHeight="false" outlineLevel="0" collapsed="false">
      <c r="A42" s="0" t="s">
        <v>76</v>
      </c>
      <c r="B42" s="0" t="s">
        <v>3013</v>
      </c>
      <c r="C42" s="0" t="s">
        <v>3038</v>
      </c>
      <c r="D42" s="0" t="n">
        <v>52.4966806645451</v>
      </c>
      <c r="E42" s="0" t="n">
        <v>0.151507925258555</v>
      </c>
      <c r="F42" s="0" t="n">
        <v>7.2413661222594</v>
      </c>
      <c r="G42" s="0" t="n">
        <v>0.0237797246558198</v>
      </c>
      <c r="H42" s="0" t="n">
        <v>0.448060075093867</v>
      </c>
      <c r="I42" s="0" t="n">
        <v>0.94932589493259</v>
      </c>
      <c r="J42" s="0" t="n">
        <v>0.378601098886393</v>
      </c>
      <c r="K42" s="0" t="n">
        <v>0.667715717403612</v>
      </c>
      <c r="L42" s="1" t="b">
        <f aca="false">FALSE()</f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52.1520241546215</v>
      </c>
      <c r="S42" s="0" t="n">
        <v>9.97492020063839</v>
      </c>
      <c r="T42" s="0" t="n">
        <v>0.752393980848149</v>
      </c>
      <c r="U42" s="0" t="n">
        <v>0.97768479776848</v>
      </c>
      <c r="V42" s="0" t="n">
        <v>0.881450488145049</v>
      </c>
      <c r="W42" s="0" t="n">
        <v>0.98884239888424</v>
      </c>
      <c r="X42" s="0" t="n">
        <v>0.151507925258555</v>
      </c>
      <c r="Y42" s="0" t="n">
        <v>7.2413661222594</v>
      </c>
      <c r="Z42" s="0" t="n">
        <v>0.378601098886393</v>
      </c>
      <c r="AA42" s="0" t="n">
        <v>0</v>
      </c>
    </row>
    <row r="43" customFormat="false" ht="15" hidden="false" customHeight="false" outlineLevel="0" collapsed="false">
      <c r="A43" s="0" t="s">
        <v>77</v>
      </c>
      <c r="B43" s="0" t="s">
        <v>3013</v>
      </c>
      <c r="C43" s="0" t="s">
        <v>3038</v>
      </c>
      <c r="D43" s="0" t="n">
        <v>49.8777174865609</v>
      </c>
      <c r="E43" s="0" t="n">
        <v>0.284607164286647</v>
      </c>
      <c r="F43" s="0" t="n">
        <v>10.5784839615178</v>
      </c>
      <c r="G43" s="0" t="n">
        <v>0.48936170212766</v>
      </c>
      <c r="H43" s="0" t="n">
        <v>0.847309136420526</v>
      </c>
      <c r="I43" s="0" t="n">
        <v>0.688516968851697</v>
      </c>
      <c r="J43" s="0" t="n">
        <v>0.672371729189613</v>
      </c>
      <c r="K43" s="0" t="n">
        <v>0.667715717403612</v>
      </c>
      <c r="L43" s="1" t="b">
        <f aca="false">TRUE()</f>
        <v>1</v>
      </c>
      <c r="M43" s="0" t="s">
        <v>3035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34.6255776478579</v>
      </c>
      <c r="S43" s="0" t="n">
        <v>3.30578512396696</v>
      </c>
      <c r="T43" s="0" t="n">
        <v>0.260177532904804</v>
      </c>
      <c r="U43" s="0" t="n">
        <v>0.923291492329149</v>
      </c>
      <c r="V43" s="0" t="n">
        <v>0.509065550906555</v>
      </c>
      <c r="W43" s="0" t="n">
        <v>0.633193863319386</v>
      </c>
      <c r="X43" s="0" t="n">
        <v>0.284607164286647</v>
      </c>
      <c r="Y43" s="0" t="n">
        <v>10.5784839615178</v>
      </c>
      <c r="Z43" s="0" t="n">
        <v>0.672371729189613</v>
      </c>
      <c r="AA43" s="0" t="n">
        <v>0</v>
      </c>
    </row>
    <row r="44" customFormat="false" ht="15" hidden="false" customHeight="false" outlineLevel="0" collapsed="false">
      <c r="A44" s="0" t="s">
        <v>78</v>
      </c>
      <c r="B44" s="0" t="s">
        <v>3013</v>
      </c>
      <c r="C44" s="0" t="s">
        <v>3033</v>
      </c>
      <c r="D44" s="0" t="n">
        <v>50.9468203419864</v>
      </c>
      <c r="E44" s="0" t="n">
        <v>0.286433406862364</v>
      </c>
      <c r="F44" s="0" t="n">
        <v>8.979521066959</v>
      </c>
      <c r="G44" s="0" t="n">
        <v>0.503128911138924</v>
      </c>
      <c r="H44" s="0" t="n">
        <v>0.678347934918648</v>
      </c>
      <c r="I44" s="0" t="n">
        <v>0.582519758251976</v>
      </c>
      <c r="J44" s="0" t="n">
        <v>0.589094690073424</v>
      </c>
      <c r="K44" s="0" t="n">
        <v>0.667715717403612</v>
      </c>
      <c r="L44" s="1" t="b">
        <f aca="false">FALSE()</f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11.663082698546</v>
      </c>
      <c r="S44" s="0" t="n">
        <v>2.7582869586257</v>
      </c>
      <c r="T44" s="0" t="n">
        <v>0.290345995644814</v>
      </c>
      <c r="U44" s="0" t="n">
        <v>0.585774058577406</v>
      </c>
      <c r="V44" s="0" t="n">
        <v>0.436541143654114</v>
      </c>
      <c r="W44" s="0" t="n">
        <v>0.725244072524407</v>
      </c>
      <c r="X44" s="0" t="n">
        <v>0.286433406862364</v>
      </c>
      <c r="Y44" s="0" t="n">
        <v>8.979521066959</v>
      </c>
      <c r="Z44" s="0" t="n">
        <v>0.589094690073424</v>
      </c>
      <c r="AA44" s="0" t="n">
        <v>0</v>
      </c>
    </row>
    <row r="45" customFormat="false" ht="15" hidden="false" customHeight="false" outlineLevel="0" collapsed="false">
      <c r="A45" s="0" t="s">
        <v>79</v>
      </c>
      <c r="B45" s="0" t="s">
        <v>3013</v>
      </c>
      <c r="C45" s="0" t="s">
        <v>3036</v>
      </c>
      <c r="D45" s="0" t="n">
        <v>49.7544146630488</v>
      </c>
      <c r="E45" s="0" t="n">
        <v>0.273785028997859</v>
      </c>
      <c r="F45" s="0" t="n">
        <v>6.32612408143488</v>
      </c>
      <c r="G45" s="0" t="n">
        <v>0.414267834793492</v>
      </c>
      <c r="H45" s="0" t="n">
        <v>0.315394242803504</v>
      </c>
      <c r="I45" s="0" t="n">
        <v>0.483496048349605</v>
      </c>
      <c r="J45" s="0" t="n">
        <v>0.38856404070872</v>
      </c>
      <c r="K45" s="0" t="n">
        <v>0.667715717403612</v>
      </c>
      <c r="L45" s="1" t="b">
        <f aca="false">FALSE()</f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4.47364006276326</v>
      </c>
      <c r="S45" s="0" t="n">
        <v>3.21899736147757</v>
      </c>
      <c r="T45" s="0" t="n">
        <v>0.369393139841683</v>
      </c>
      <c r="U45" s="0" t="n">
        <v>0.097629009762901</v>
      </c>
      <c r="V45" s="0" t="n">
        <v>0.497907949790795</v>
      </c>
      <c r="W45" s="0" t="n">
        <v>0.854951185495119</v>
      </c>
      <c r="X45" s="0" t="n">
        <v>0.273785028997859</v>
      </c>
      <c r="Y45" s="0" t="n">
        <v>6.32612408143489</v>
      </c>
      <c r="Z45" s="0" t="n">
        <v>0.38856404070872</v>
      </c>
      <c r="AA45" s="0" t="n">
        <v>0</v>
      </c>
    </row>
    <row r="46" customFormat="false" ht="15" hidden="false" customHeight="false" outlineLevel="0" collapsed="false">
      <c r="A46" s="0" t="s">
        <v>80</v>
      </c>
      <c r="B46" s="0" t="s">
        <v>3013</v>
      </c>
      <c r="C46" s="0" t="s">
        <v>3033</v>
      </c>
      <c r="D46" s="0" t="n">
        <v>27.1881487715677</v>
      </c>
      <c r="E46" s="0" t="n">
        <v>0.2354848800911</v>
      </c>
      <c r="F46" s="0" t="n">
        <v>5.29712394530568</v>
      </c>
      <c r="G46" s="0" t="n">
        <v>0.202753441802253</v>
      </c>
      <c r="H46" s="0" t="n">
        <v>0.170212765957447</v>
      </c>
      <c r="I46" s="0" t="n">
        <v>0.622501162250116</v>
      </c>
      <c r="J46" s="0" t="n">
        <v>0.273686715553903</v>
      </c>
      <c r="K46" s="0" t="n">
        <v>0.667715717403612</v>
      </c>
      <c r="L46" s="1" t="b">
        <f aca="false">FALSE()</f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12.8040973111401</v>
      </c>
      <c r="S46" s="0" t="n">
        <v>2.46071133167907</v>
      </c>
      <c r="T46" s="0" t="n">
        <v>0.372208436724562</v>
      </c>
      <c r="U46" s="0" t="n">
        <v>0.629009762900976</v>
      </c>
      <c r="V46" s="0" t="n">
        <v>0.380753138075314</v>
      </c>
      <c r="W46" s="0" t="n">
        <v>0.857740585774059</v>
      </c>
      <c r="X46" s="0" t="n">
        <v>0.2354848800911</v>
      </c>
      <c r="Y46" s="0" t="n">
        <v>5.29712394530569</v>
      </c>
      <c r="Z46" s="0" t="n">
        <v>0.273686715553903</v>
      </c>
      <c r="AA46" s="0" t="n">
        <v>0</v>
      </c>
    </row>
    <row r="47" customFormat="false" ht="15" hidden="false" customHeight="false" outlineLevel="0" collapsed="false">
      <c r="A47" s="0" t="s">
        <v>81</v>
      </c>
      <c r="B47" s="0" t="s">
        <v>3013</v>
      </c>
      <c r="C47" s="0" t="s">
        <v>3038</v>
      </c>
      <c r="D47" s="0" t="n">
        <v>33.4539980302524</v>
      </c>
      <c r="E47" s="0" t="n">
        <v>0.172753817542971</v>
      </c>
      <c r="F47" s="0" t="n">
        <v>5.09234992422127</v>
      </c>
      <c r="G47" s="0" t="n">
        <v>0.0463078848560701</v>
      </c>
      <c r="H47" s="0" t="n">
        <v>0.147684605757197</v>
      </c>
      <c r="I47" s="0" t="n">
        <v>0.926545792654579</v>
      </c>
      <c r="J47" s="0" t="n">
        <v>0.262906154776223</v>
      </c>
      <c r="K47" s="0" t="n">
        <v>0.667715717403612</v>
      </c>
      <c r="L47" s="1" t="b">
        <f aca="false">FALSE()</f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53.0713223520573</v>
      </c>
      <c r="S47" s="0" t="n">
        <v>9.82658959537573</v>
      </c>
      <c r="T47" s="0" t="n">
        <v>0.452374968585067</v>
      </c>
      <c r="U47" s="0" t="n">
        <v>0.98047419804742</v>
      </c>
      <c r="V47" s="0" t="n">
        <v>0.875871687587169</v>
      </c>
      <c r="W47" s="0" t="n">
        <v>0.923291492329149</v>
      </c>
      <c r="X47" s="0" t="n">
        <v>0.172753817542971</v>
      </c>
      <c r="Y47" s="0" t="n">
        <v>5.09234992422127</v>
      </c>
      <c r="Z47" s="0" t="n">
        <v>0.262906154776223</v>
      </c>
      <c r="AA47" s="0" t="n">
        <v>0</v>
      </c>
    </row>
    <row r="48" customFormat="false" ht="15" hidden="false" customHeight="false" outlineLevel="0" collapsed="false">
      <c r="A48" s="0" t="s">
        <v>82</v>
      </c>
      <c r="B48" s="0" t="s">
        <v>3013</v>
      </c>
      <c r="C48" s="0" t="s">
        <v>3038</v>
      </c>
      <c r="D48" s="0" t="n">
        <v>66.8581549768352</v>
      </c>
      <c r="E48" s="0" t="n">
        <v>0.142844253373909</v>
      </c>
      <c r="F48" s="0" t="n">
        <v>4.90680248054197</v>
      </c>
      <c r="G48" s="0" t="n">
        <v>0.016270337922403</v>
      </c>
      <c r="H48" s="0" t="n">
        <v>0.125156445556946</v>
      </c>
      <c r="I48" s="0" t="n">
        <v>0.924686192468619</v>
      </c>
      <c r="J48" s="0" t="n">
        <v>0.241507951885464</v>
      </c>
      <c r="K48" s="0" t="n">
        <v>0.667715717403612</v>
      </c>
      <c r="L48" s="1" t="b">
        <f aca="false">FALSE()</f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40.4472434580536</v>
      </c>
      <c r="S48" s="0" t="n">
        <v>19.0610328638498</v>
      </c>
      <c r="T48" s="0" t="n">
        <v>0.375586854460099</v>
      </c>
      <c r="U48" s="0" t="n">
        <v>0.95536959553696</v>
      </c>
      <c r="V48" s="0" t="n">
        <v>0.9581589958159</v>
      </c>
      <c r="W48" s="0" t="n">
        <v>0.860529986052999</v>
      </c>
      <c r="X48" s="0" t="n">
        <v>0.142844253373909</v>
      </c>
      <c r="Y48" s="0" t="n">
        <v>4.90680248054197</v>
      </c>
      <c r="Z48" s="0" t="n">
        <v>0.241507951885464</v>
      </c>
      <c r="AA48" s="0" t="n">
        <v>2.77555756156289E-017</v>
      </c>
    </row>
    <row r="49" customFormat="false" ht="15" hidden="false" customHeight="false" outlineLevel="0" collapsed="false">
      <c r="A49" s="0" t="s">
        <v>83</v>
      </c>
      <c r="B49" s="0" t="s">
        <v>3013</v>
      </c>
      <c r="C49" s="0" t="s">
        <v>3038</v>
      </c>
      <c r="D49" s="0" t="n">
        <v>-33.8458956893752</v>
      </c>
      <c r="E49" s="0" t="n">
        <v>0.271382763741804</v>
      </c>
      <c r="F49" s="0" t="n">
        <v>7.94372729987101</v>
      </c>
      <c r="G49" s="0" t="n">
        <v>0.396745932415519</v>
      </c>
      <c r="H49" s="0" t="n">
        <v>0.531914893617021</v>
      </c>
      <c r="I49" s="0" t="n">
        <v>0.729428172942817</v>
      </c>
      <c r="J49" s="0" t="n">
        <v>0.51734996500158</v>
      </c>
      <c r="K49" s="0" t="n">
        <v>0.667715717403612</v>
      </c>
      <c r="L49" s="1" t="b">
        <f aca="false">FALSE()</f>
        <v>0</v>
      </c>
      <c r="N49" s="0" t="n">
        <v>0</v>
      </c>
      <c r="O49" s="0" t="n">
        <v>0</v>
      </c>
      <c r="P49" s="0" t="n">
        <v>1</v>
      </c>
      <c r="Q49" s="0" t="n">
        <v>33.8458956893752</v>
      </c>
      <c r="R49" s="0" t="n">
        <v>21.0810325910701</v>
      </c>
      <c r="S49" s="0" t="n">
        <v>5.37496800614282</v>
      </c>
      <c r="T49" s="0" t="n">
        <v>0.268748400307137</v>
      </c>
      <c r="U49" s="0" t="n">
        <v>0.811715481171548</v>
      </c>
      <c r="V49" s="0" t="n">
        <v>0.714086471408647</v>
      </c>
      <c r="W49" s="0" t="n">
        <v>0.662482566248257</v>
      </c>
      <c r="X49" s="0" t="n">
        <v>0.271382763741804</v>
      </c>
      <c r="Y49" s="0" t="n">
        <v>7.94372729987101</v>
      </c>
      <c r="Z49" s="0" t="n">
        <v>0.51734996500158</v>
      </c>
      <c r="AA49" s="0" t="n">
        <v>0</v>
      </c>
    </row>
    <row r="50" customFormat="false" ht="15" hidden="false" customHeight="false" outlineLevel="0" collapsed="false">
      <c r="A50" s="0" t="s">
        <v>84</v>
      </c>
      <c r="B50" s="0" t="s">
        <v>3013</v>
      </c>
      <c r="C50" s="0" t="s">
        <v>3038</v>
      </c>
      <c r="D50" s="0" t="n">
        <v>57.521543602291</v>
      </c>
      <c r="E50" s="0" t="n">
        <v>0.190892633885303</v>
      </c>
      <c r="F50" s="0" t="n">
        <v>4.01038632591173</v>
      </c>
      <c r="G50" s="0" t="n">
        <v>0.0901126408010013</v>
      </c>
      <c r="H50" s="0" t="n">
        <v>0.0525657071339174</v>
      </c>
      <c r="I50" s="0" t="n">
        <v>0.894002789400279</v>
      </c>
      <c r="J50" s="0" t="n">
        <v>0.235871897054023</v>
      </c>
      <c r="K50" s="0" t="n">
        <v>0.667715717403612</v>
      </c>
      <c r="L50" s="1" t="b">
        <f aca="false">FALSE()</f>
        <v>0</v>
      </c>
      <c r="N50" s="0" t="n">
        <v>33.8458956893753</v>
      </c>
      <c r="O50" s="0" t="n">
        <v>1</v>
      </c>
      <c r="P50" s="0" t="n">
        <v>0</v>
      </c>
      <c r="Q50" s="0" t="n">
        <v>0</v>
      </c>
      <c r="R50" s="0" t="n">
        <v>48.0126309628735</v>
      </c>
      <c r="S50" s="0" t="n">
        <v>7.39768339768339</v>
      </c>
      <c r="T50" s="0" t="n">
        <v>0.432432432432434</v>
      </c>
      <c r="U50" s="0" t="n">
        <v>0.9721059972106</v>
      </c>
      <c r="V50" s="0" t="n">
        <v>0.800557880055788</v>
      </c>
      <c r="W50" s="0" t="n">
        <v>0.909344490934449</v>
      </c>
      <c r="X50" s="0" t="n">
        <v>0.190892633885303</v>
      </c>
      <c r="Y50" s="0" t="n">
        <v>4.01038632591173</v>
      </c>
      <c r="Z50" s="0" t="n">
        <v>0.235871897054023</v>
      </c>
      <c r="AA50" s="0" t="n">
        <v>2.77555756156289E-017</v>
      </c>
    </row>
    <row r="51" customFormat="false" ht="15" hidden="false" customHeight="false" outlineLevel="0" collapsed="false">
      <c r="A51" s="0" t="s">
        <v>85</v>
      </c>
      <c r="B51" s="0" t="s">
        <v>3013</v>
      </c>
      <c r="C51" s="0" t="s">
        <v>3038</v>
      </c>
      <c r="D51" s="0" t="n">
        <v>50.1603221862066</v>
      </c>
      <c r="E51" s="0" t="n">
        <v>0.177387239975408</v>
      </c>
      <c r="F51" s="0" t="n">
        <v>3.40203049440183</v>
      </c>
      <c r="G51" s="0" t="n">
        <v>0.0600750938673342</v>
      </c>
      <c r="H51" s="0" t="n">
        <v>0.0337922403003755</v>
      </c>
      <c r="I51" s="0" t="n">
        <v>0.893537889353789</v>
      </c>
      <c r="J51" s="0" t="n">
        <v>0.216254511537842</v>
      </c>
      <c r="K51" s="0" t="n">
        <v>0.667715717403612</v>
      </c>
      <c r="L51" s="1" t="b">
        <f aca="false">FALSE()</f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34.4678142394744</v>
      </c>
      <c r="S51" s="0" t="n">
        <v>14.9207576343255</v>
      </c>
      <c r="T51" s="0" t="n">
        <v>0.34789331271743</v>
      </c>
      <c r="U51" s="0" t="n">
        <v>0.921896792189679</v>
      </c>
      <c r="V51" s="0" t="n">
        <v>0.927475592747559</v>
      </c>
      <c r="W51" s="0" t="n">
        <v>0.831241283124128</v>
      </c>
      <c r="X51" s="0" t="n">
        <v>0.177387239975408</v>
      </c>
      <c r="Y51" s="0" t="n">
        <v>3.40203049440183</v>
      </c>
      <c r="Z51" s="0" t="n">
        <v>0.216254511537842</v>
      </c>
      <c r="AA51" s="0" t="n">
        <v>-2.77555756156289E-017</v>
      </c>
    </row>
    <row r="52" customFormat="false" ht="15" hidden="false" customHeight="false" outlineLevel="0" collapsed="false">
      <c r="A52" s="0" t="s">
        <v>86</v>
      </c>
      <c r="B52" s="0" t="s">
        <v>3013</v>
      </c>
      <c r="C52" s="0" t="s">
        <v>3038</v>
      </c>
      <c r="D52" s="0" t="n">
        <v>-37.2203930308804</v>
      </c>
      <c r="E52" s="0" t="n">
        <v>0.240429004316812</v>
      </c>
      <c r="F52" s="0" t="n">
        <v>5.44703569006363</v>
      </c>
      <c r="G52" s="0" t="n">
        <v>0.226533166458073</v>
      </c>
      <c r="H52" s="0" t="n">
        <v>0.190237797246558</v>
      </c>
      <c r="I52" s="0" t="n">
        <v>0.847977684797769</v>
      </c>
      <c r="J52" s="0" t="n">
        <v>0.336303922441406</v>
      </c>
      <c r="K52" s="0" t="n">
        <v>0.667715717403612</v>
      </c>
      <c r="L52" s="1" t="b">
        <f aca="false">FALSE()</f>
        <v>0</v>
      </c>
      <c r="N52" s="0" t="n">
        <v>0</v>
      </c>
      <c r="O52" s="0" t="n">
        <v>0</v>
      </c>
      <c r="P52" s="0" t="n">
        <v>1</v>
      </c>
      <c r="Q52" s="0" t="n">
        <v>37.2203930308804</v>
      </c>
      <c r="R52" s="0" t="n">
        <v>24.0553204609135</v>
      </c>
      <c r="S52" s="0" t="n">
        <v>17.1823899371069</v>
      </c>
      <c r="T52" s="0" t="n">
        <v>0.301886792452834</v>
      </c>
      <c r="U52" s="0" t="n">
        <v>0.845188284518828</v>
      </c>
      <c r="V52" s="0" t="n">
        <v>0.94839609483961</v>
      </c>
      <c r="W52" s="0" t="n">
        <v>0.750348675034868</v>
      </c>
      <c r="X52" s="0" t="n">
        <v>0.240429004316812</v>
      </c>
      <c r="Y52" s="0" t="n">
        <v>5.44703569006363</v>
      </c>
      <c r="Z52" s="0" t="n">
        <v>0.336303922441406</v>
      </c>
      <c r="AA52" s="0" t="n">
        <v>-5.55111512312578E-017</v>
      </c>
    </row>
    <row r="53" customFormat="false" ht="15" hidden="false" customHeight="false" outlineLevel="0" collapsed="false">
      <c r="A53" s="0" t="s">
        <v>87</v>
      </c>
      <c r="B53" s="0" t="s">
        <v>3013</v>
      </c>
      <c r="C53" s="0" t="s">
        <v>3038</v>
      </c>
      <c r="D53" s="0" t="n">
        <v>-56.2528464721974</v>
      </c>
      <c r="E53" s="0" t="n">
        <v>0.248720282531499</v>
      </c>
      <c r="F53" s="0" t="n">
        <v>9.05328643146406</v>
      </c>
      <c r="G53" s="0" t="n">
        <v>0.25657071339174</v>
      </c>
      <c r="H53" s="0" t="n">
        <v>0.687108886107635</v>
      </c>
      <c r="I53" s="0" t="n">
        <v>0.902835890283589</v>
      </c>
      <c r="J53" s="0" t="n">
        <v>0.558039017856468</v>
      </c>
      <c r="K53" s="0" t="n">
        <v>0.667715717403612</v>
      </c>
      <c r="L53" s="1" t="b">
        <f aca="false">FALSE()</f>
        <v>0</v>
      </c>
      <c r="N53" s="0" t="n">
        <v>37.2203930308804</v>
      </c>
      <c r="O53" s="0" t="n">
        <v>1</v>
      </c>
      <c r="P53" s="0" t="n">
        <v>1</v>
      </c>
      <c r="Q53" s="0" t="n">
        <v>56.2528464721974</v>
      </c>
      <c r="R53" s="0" t="n">
        <v>39.3805233509619</v>
      </c>
      <c r="S53" s="0" t="n">
        <v>9.074540871444</v>
      </c>
      <c r="T53" s="0" t="n">
        <v>0.432120993878282</v>
      </c>
      <c r="U53" s="0" t="n">
        <v>0.95118549511855</v>
      </c>
      <c r="V53" s="0" t="n">
        <v>0.849372384937239</v>
      </c>
      <c r="W53" s="0" t="n">
        <v>0.907949790794979</v>
      </c>
      <c r="X53" s="0" t="n">
        <v>0.248720282531499</v>
      </c>
      <c r="Y53" s="0" t="n">
        <v>9.05328643146406</v>
      </c>
      <c r="Z53" s="0" t="n">
        <v>0.558039017856468</v>
      </c>
      <c r="AA53" s="0" t="n">
        <v>0</v>
      </c>
    </row>
    <row r="54" customFormat="false" ht="15" hidden="false" customHeight="false" outlineLevel="0" collapsed="false">
      <c r="A54" s="0" t="s">
        <v>88</v>
      </c>
      <c r="B54" s="0" t="s">
        <v>3013</v>
      </c>
      <c r="C54" s="0" t="s">
        <v>3038</v>
      </c>
      <c r="D54" s="0" t="n">
        <v>41.6881001473572</v>
      </c>
      <c r="E54" s="0" t="n">
        <v>0.148937253687031</v>
      </c>
      <c r="F54" s="0" t="n">
        <v>5.53139818698302</v>
      </c>
      <c r="G54" s="0" t="n">
        <v>0.0212765957446809</v>
      </c>
      <c r="H54" s="0" t="n">
        <v>0.205256570713392</v>
      </c>
      <c r="I54" s="0" t="n">
        <v>0.908414690841469</v>
      </c>
      <c r="J54" s="0" t="n">
        <v>0.272296204751523</v>
      </c>
      <c r="K54" s="0" t="n">
        <v>0.667715717403612</v>
      </c>
      <c r="L54" s="1" t="b">
        <f aca="false">FALSE()</f>
        <v>0</v>
      </c>
      <c r="N54" s="0" t="n">
        <v>93.4732395030778</v>
      </c>
      <c r="O54" s="0" t="n">
        <v>2</v>
      </c>
      <c r="P54" s="0" t="n">
        <v>0</v>
      </c>
      <c r="Q54" s="0" t="n">
        <v>0</v>
      </c>
      <c r="R54" s="0" t="n">
        <v>31.7778719854956</v>
      </c>
      <c r="S54" s="0" t="n">
        <v>9.61351987809947</v>
      </c>
      <c r="T54" s="0" t="n">
        <v>0.470979360022161</v>
      </c>
      <c r="U54" s="0" t="n">
        <v>0.916317991631799</v>
      </c>
      <c r="V54" s="0" t="n">
        <v>0.870292887029289</v>
      </c>
      <c r="W54" s="0" t="n">
        <v>0.938633193863319</v>
      </c>
      <c r="X54" s="0" t="n">
        <v>0.148937253687031</v>
      </c>
      <c r="Y54" s="0" t="n">
        <v>5.53139818698302</v>
      </c>
      <c r="Z54" s="0" t="n">
        <v>0.272296204751523</v>
      </c>
      <c r="AA54" s="0" t="n">
        <v>0</v>
      </c>
    </row>
    <row r="55" customFormat="false" ht="15" hidden="false" customHeight="false" outlineLevel="0" collapsed="false">
      <c r="A55" s="0" t="s">
        <v>89</v>
      </c>
      <c r="B55" s="0" t="s">
        <v>3013</v>
      </c>
      <c r="C55" s="0" t="s">
        <v>3038</v>
      </c>
      <c r="D55" s="0" t="n">
        <v>44.7849391604509</v>
      </c>
      <c r="E55" s="0" t="n">
        <v>0.284771223807423</v>
      </c>
      <c r="F55" s="0" t="n">
        <v>7.68394519272318</v>
      </c>
      <c r="G55" s="0" t="n">
        <v>0.491864831038799</v>
      </c>
      <c r="H55" s="0" t="n">
        <v>0.513141426783479</v>
      </c>
      <c r="I55" s="0" t="n">
        <v>0.758716875871688</v>
      </c>
      <c r="J55" s="0" t="n">
        <v>0.553745878303249</v>
      </c>
      <c r="K55" s="0" t="n">
        <v>0.667715717403612</v>
      </c>
      <c r="L55" s="1" t="b">
        <f aca="false">FALSE()</f>
        <v>0</v>
      </c>
      <c r="N55" s="0" t="n">
        <v>51.7851393557207</v>
      </c>
      <c r="O55" s="0" t="n">
        <v>0</v>
      </c>
      <c r="P55" s="0" t="n">
        <v>0</v>
      </c>
      <c r="Q55" s="0" t="n">
        <v>0</v>
      </c>
      <c r="R55" s="0" t="n">
        <v>27.8926353299952</v>
      </c>
      <c r="S55" s="0" t="n">
        <v>5.14945993468978</v>
      </c>
      <c r="T55" s="0" t="n">
        <v>0.276312484300433</v>
      </c>
      <c r="U55" s="0" t="n">
        <v>0.894002789400279</v>
      </c>
      <c r="V55" s="0" t="n">
        <v>0.698744769874477</v>
      </c>
      <c r="W55" s="0" t="n">
        <v>0.683403068340307</v>
      </c>
      <c r="X55" s="0" t="n">
        <v>0.284771223807423</v>
      </c>
      <c r="Y55" s="0" t="n">
        <v>7.68394519272318</v>
      </c>
      <c r="Z55" s="0" t="n">
        <v>0.553745878303249</v>
      </c>
      <c r="AA55" s="0" t="n">
        <v>0</v>
      </c>
    </row>
    <row r="56" customFormat="false" ht="15" hidden="false" customHeight="false" outlineLevel="0" collapsed="false">
      <c r="A56" s="0" t="s">
        <v>90</v>
      </c>
      <c r="B56" s="0" t="s">
        <v>3013</v>
      </c>
      <c r="C56" s="0" t="s">
        <v>3038</v>
      </c>
      <c r="D56" s="0" t="n">
        <v>63.5476490007597</v>
      </c>
      <c r="E56" s="0" t="n">
        <v>0.257283031043114</v>
      </c>
      <c r="F56" s="0" t="n">
        <v>9.12716879968249</v>
      </c>
      <c r="G56" s="0" t="n">
        <v>0.314142678347935</v>
      </c>
      <c r="H56" s="0" t="n">
        <v>0.694618272841051</v>
      </c>
      <c r="I56" s="0" t="n">
        <v>0.815899581589958</v>
      </c>
      <c r="J56" s="0" t="n">
        <v>0.566684296793586</v>
      </c>
      <c r="K56" s="0" t="n">
        <v>0.667715717403612</v>
      </c>
      <c r="L56" s="1" t="b">
        <f aca="false">FALSE()</f>
        <v>0</v>
      </c>
      <c r="N56" s="0" t="n">
        <v>7.00020019526983</v>
      </c>
      <c r="O56" s="0" t="n">
        <v>0</v>
      </c>
      <c r="P56" s="0" t="n">
        <v>0</v>
      </c>
      <c r="Q56" s="0" t="n">
        <v>0</v>
      </c>
      <c r="R56" s="0" t="n">
        <v>12.0439129184506</v>
      </c>
      <c r="S56" s="0" t="n">
        <v>10.5578607653297</v>
      </c>
      <c r="T56" s="0" t="n">
        <v>0.507146150299662</v>
      </c>
      <c r="U56" s="0" t="n">
        <v>0.602510460251046</v>
      </c>
      <c r="V56" s="0" t="n">
        <v>0.889818688981869</v>
      </c>
      <c r="W56" s="0" t="n">
        <v>0.95536959553696</v>
      </c>
      <c r="X56" s="0" t="n">
        <v>0.257283031043114</v>
      </c>
      <c r="Y56" s="0" t="n">
        <v>9.12716879968249</v>
      </c>
      <c r="Z56" s="0" t="n">
        <v>0.566684296793586</v>
      </c>
      <c r="AA56" s="0" t="n">
        <v>0</v>
      </c>
    </row>
    <row r="57" customFormat="false" ht="15" hidden="false" customHeight="false" outlineLevel="0" collapsed="false">
      <c r="A57" s="0" t="s">
        <v>91</v>
      </c>
      <c r="B57" s="0" t="s">
        <v>3013</v>
      </c>
      <c r="C57" s="0" t="s">
        <v>3038</v>
      </c>
      <c r="D57" s="0" t="n">
        <v>-33.91412644035</v>
      </c>
      <c r="E57" s="0" t="n">
        <v>0.180862716795464</v>
      </c>
      <c r="F57" s="0" t="n">
        <v>3.72555182095214</v>
      </c>
      <c r="G57" s="0" t="n">
        <v>0.0663329161451815</v>
      </c>
      <c r="H57" s="0" t="n">
        <v>0.0375469336670839</v>
      </c>
      <c r="I57" s="0" t="n">
        <v>0.821943282194328</v>
      </c>
      <c r="J57" s="0" t="n">
        <v>0.205940596363772</v>
      </c>
      <c r="K57" s="0" t="n">
        <v>0.667715717403612</v>
      </c>
      <c r="L57" s="1" t="b">
        <f aca="false">FALSE()</f>
        <v>0</v>
      </c>
      <c r="N57" s="0" t="n">
        <v>0</v>
      </c>
      <c r="O57" s="0" t="n">
        <v>0</v>
      </c>
      <c r="P57" s="0" t="n">
        <v>1</v>
      </c>
      <c r="Q57" s="0" t="n">
        <v>33.91412644035</v>
      </c>
      <c r="R57" s="0" t="n">
        <v>61.7978477184795</v>
      </c>
      <c r="S57" s="0" t="n">
        <v>14.2167844218508</v>
      </c>
      <c r="T57" s="0" t="n">
        <v>0.241254523522312</v>
      </c>
      <c r="U57" s="0" t="n">
        <v>0.99442119944212</v>
      </c>
      <c r="V57" s="0" t="n">
        <v>0.921896792189679</v>
      </c>
      <c r="W57" s="0" t="n">
        <v>0.549511854951186</v>
      </c>
      <c r="X57" s="0" t="n">
        <v>0.180862716795464</v>
      </c>
      <c r="Y57" s="0" t="n">
        <v>3.72555182095214</v>
      </c>
      <c r="Z57" s="0" t="n">
        <v>0.205940596363772</v>
      </c>
      <c r="AA57" s="0" t="n">
        <v>-2.77555756156289E-017</v>
      </c>
    </row>
    <row r="58" customFormat="false" ht="15" hidden="false" customHeight="false" outlineLevel="0" collapsed="false">
      <c r="A58" s="0" t="s">
        <v>92</v>
      </c>
      <c r="B58" s="0" t="s">
        <v>3013</v>
      </c>
      <c r="C58" s="0" t="s">
        <v>3036</v>
      </c>
      <c r="D58" s="0" t="n">
        <v>18.1497383603493</v>
      </c>
      <c r="E58" s="0" t="n">
        <v>0.253118225123026</v>
      </c>
      <c r="F58" s="0" t="n">
        <v>6.07643697197774</v>
      </c>
      <c r="G58" s="0" t="n">
        <v>0.286608260325407</v>
      </c>
      <c r="H58" s="0" t="n">
        <v>0.275344180225282</v>
      </c>
      <c r="I58" s="0" t="n">
        <v>0.662017666201767</v>
      </c>
      <c r="J58" s="0" t="n">
        <v>0.357184509460629</v>
      </c>
      <c r="K58" s="0" t="n">
        <v>0.667715717403612</v>
      </c>
      <c r="L58" s="1" t="b">
        <f aca="false">FALSE()</f>
        <v>0</v>
      </c>
      <c r="N58" s="0" t="n">
        <v>33.91412644035</v>
      </c>
      <c r="O58" s="0" t="n">
        <v>1</v>
      </c>
      <c r="P58" s="0" t="n">
        <v>0</v>
      </c>
      <c r="Q58" s="0" t="n">
        <v>0</v>
      </c>
      <c r="R58" s="0" t="n">
        <v>18.1834339346617</v>
      </c>
      <c r="S58" s="0" t="n">
        <v>2.13592233009709</v>
      </c>
      <c r="T58" s="0" t="n">
        <v>0.446601941747575</v>
      </c>
      <c r="U58" s="0" t="n">
        <v>0.762900976290098</v>
      </c>
      <c r="V58" s="0" t="n">
        <v>0.302649930264993</v>
      </c>
      <c r="W58" s="0" t="n">
        <v>0.920502092050209</v>
      </c>
      <c r="X58" s="0" t="n">
        <v>0.253118225123026</v>
      </c>
      <c r="Y58" s="0" t="n">
        <v>6.07643697197774</v>
      </c>
      <c r="Z58" s="0" t="n">
        <v>0.357184509460629</v>
      </c>
      <c r="AA58" s="0" t="n">
        <v>5.55111512312578E-017</v>
      </c>
    </row>
    <row r="59" customFormat="false" ht="15" hidden="false" customHeight="false" outlineLevel="0" collapsed="false">
      <c r="A59" s="0" t="s">
        <v>93</v>
      </c>
      <c r="B59" s="0" t="s">
        <v>3013</v>
      </c>
      <c r="C59" s="0" t="s">
        <v>3038</v>
      </c>
      <c r="D59" s="0" t="n">
        <v>63.2362510070583</v>
      </c>
      <c r="E59" s="0" t="n">
        <v>0.171470519337495</v>
      </c>
      <c r="F59" s="0" t="n">
        <v>6.29262298393101</v>
      </c>
      <c r="G59" s="0" t="n">
        <v>0.0450563204005006</v>
      </c>
      <c r="H59" s="0" t="n">
        <v>0.310387984981227</v>
      </c>
      <c r="I59" s="0" t="n">
        <v>0.938168293816829</v>
      </c>
      <c r="J59" s="0" t="n">
        <v>0.329811380916057</v>
      </c>
      <c r="K59" s="0" t="n">
        <v>0.667715717403612</v>
      </c>
      <c r="L59" s="1" t="b">
        <f aca="false">FALSE()</f>
        <v>0</v>
      </c>
      <c r="N59" s="0" t="n">
        <v>15.7643880800006</v>
      </c>
      <c r="O59" s="0" t="n">
        <v>0</v>
      </c>
      <c r="P59" s="0" t="n">
        <v>0</v>
      </c>
      <c r="Q59" s="0" t="n">
        <v>0</v>
      </c>
      <c r="R59" s="0" t="n">
        <v>45.6030492785189</v>
      </c>
      <c r="S59" s="0" t="n">
        <v>9.09309021113243</v>
      </c>
      <c r="T59" s="0" t="n">
        <v>0.887715930902115</v>
      </c>
      <c r="U59" s="0" t="n">
        <v>0.96931659693166</v>
      </c>
      <c r="V59" s="0" t="n">
        <v>0.850767085076709</v>
      </c>
      <c r="W59" s="0" t="n">
        <v>0.99442119944212</v>
      </c>
      <c r="X59" s="0" t="n">
        <v>0.171470519337495</v>
      </c>
      <c r="Y59" s="0" t="n">
        <v>6.29262298393101</v>
      </c>
      <c r="Z59" s="0" t="n">
        <v>0.329811380916057</v>
      </c>
      <c r="AA59" s="0" t="n">
        <v>0</v>
      </c>
    </row>
    <row r="60" customFormat="false" ht="15" hidden="false" customHeight="false" outlineLevel="0" collapsed="false">
      <c r="A60" s="0" t="s">
        <v>94</v>
      </c>
      <c r="B60" s="0" t="s">
        <v>3013</v>
      </c>
      <c r="C60" s="0" t="s">
        <v>3038</v>
      </c>
      <c r="D60" s="0" t="n">
        <v>12.3741028277889</v>
      </c>
      <c r="E60" s="0" t="n">
        <v>0.194510733627468</v>
      </c>
      <c r="F60" s="0" t="n">
        <v>8.26217380100205</v>
      </c>
      <c r="G60" s="0" t="n">
        <v>0.0938673341677096</v>
      </c>
      <c r="H60" s="0" t="n">
        <v>0.574468085106383</v>
      </c>
      <c r="I60" s="0" t="n">
        <v>0.916782891678289</v>
      </c>
      <c r="J60" s="0" t="n">
        <v>0.450690746045295</v>
      </c>
      <c r="K60" s="0" t="n">
        <v>0.667715717403612</v>
      </c>
      <c r="L60" s="1" t="b">
        <f aca="false">FALSE()</f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42.891807262074</v>
      </c>
      <c r="S60" s="0" t="n">
        <v>7.9492003762935</v>
      </c>
      <c r="T60" s="0" t="n">
        <v>0.564440263405451</v>
      </c>
      <c r="U60" s="0" t="n">
        <v>0.96234309623431</v>
      </c>
      <c r="V60" s="0" t="n">
        <v>0.821478382147838</v>
      </c>
      <c r="W60" s="0" t="n">
        <v>0.96652719665272</v>
      </c>
      <c r="X60" s="0" t="n">
        <v>0.194510733627468</v>
      </c>
      <c r="Y60" s="0" t="n">
        <v>8.26217380100205</v>
      </c>
      <c r="Z60" s="0" t="n">
        <v>0.450690746045295</v>
      </c>
      <c r="AA60" s="0" t="n">
        <v>0</v>
      </c>
    </row>
    <row r="61" customFormat="false" ht="15" hidden="false" customHeight="false" outlineLevel="0" collapsed="false">
      <c r="A61" s="0" t="s">
        <v>95</v>
      </c>
      <c r="B61" s="0" t="s">
        <v>3013</v>
      </c>
      <c r="C61" s="0" t="s">
        <v>3038</v>
      </c>
      <c r="D61" s="0" t="n">
        <v>40.2559828971751</v>
      </c>
      <c r="E61" s="0" t="n">
        <v>0.174334910198263</v>
      </c>
      <c r="F61" s="0" t="n">
        <v>6.24256693948759</v>
      </c>
      <c r="G61" s="0" t="n">
        <v>0.048811013767209</v>
      </c>
      <c r="H61" s="0" t="n">
        <v>0.30162703379224</v>
      </c>
      <c r="I61" s="0" t="n">
        <v>0.858670385867039</v>
      </c>
      <c r="J61" s="0" t="n">
        <v>0.311909296197187</v>
      </c>
      <c r="K61" s="0" t="n">
        <v>0.667715717403612</v>
      </c>
      <c r="L61" s="1" t="b">
        <f aca="false">FALSE()</f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35.041567595824</v>
      </c>
      <c r="S61" s="0" t="n">
        <v>4.99701670644391</v>
      </c>
      <c r="T61" s="0" t="n">
        <v>0.522076372315036</v>
      </c>
      <c r="U61" s="0" t="n">
        <v>0.924686192468619</v>
      </c>
      <c r="V61" s="0" t="n">
        <v>0.688981868898187</v>
      </c>
      <c r="W61" s="0" t="n">
        <v>0.96234309623431</v>
      </c>
      <c r="X61" s="0" t="n">
        <v>0.174334910198263</v>
      </c>
      <c r="Y61" s="0" t="n">
        <v>6.24256693948759</v>
      </c>
      <c r="Z61" s="0" t="n">
        <v>0.311909296197187</v>
      </c>
      <c r="AA61" s="0" t="n">
        <v>5.55111512312578E-017</v>
      </c>
    </row>
    <row r="62" customFormat="false" ht="15" hidden="false" customHeight="false" outlineLevel="0" collapsed="false">
      <c r="A62" s="0" t="s">
        <v>96</v>
      </c>
      <c r="B62" s="0" t="s">
        <v>3013</v>
      </c>
      <c r="C62" s="0" t="s">
        <v>3033</v>
      </c>
      <c r="D62" s="0" t="n">
        <v>-31.2690814497119</v>
      </c>
      <c r="E62" s="0" t="n">
        <v>0.330815747353272</v>
      </c>
      <c r="F62" s="0" t="n">
        <v>6.19782752397806</v>
      </c>
      <c r="G62" s="0" t="n">
        <v>0.739674593241552</v>
      </c>
      <c r="H62" s="0" t="n">
        <v>0.295369211514393</v>
      </c>
      <c r="I62" s="0" t="n">
        <v>0.407252440725244</v>
      </c>
      <c r="J62" s="0" t="n">
        <v>0.495468010047427</v>
      </c>
      <c r="K62" s="0" t="n">
        <v>0.667715717403612</v>
      </c>
      <c r="L62" s="1" t="b">
        <f aca="false">FALSE()</f>
        <v>0</v>
      </c>
      <c r="N62" s="0" t="n">
        <v>0</v>
      </c>
      <c r="O62" s="0" t="n">
        <v>0</v>
      </c>
      <c r="P62" s="0" t="n">
        <v>1</v>
      </c>
      <c r="Q62" s="0" t="n">
        <v>31.2690814497119</v>
      </c>
      <c r="R62" s="0" t="n">
        <v>3.4613816053266</v>
      </c>
      <c r="S62" s="0" t="n">
        <v>3.39256865912762</v>
      </c>
      <c r="T62" s="0" t="n">
        <v>0.269251480883145</v>
      </c>
      <c r="U62" s="0" t="n">
        <v>0.0404463040446304</v>
      </c>
      <c r="V62" s="0" t="n">
        <v>0.516039051603905</v>
      </c>
      <c r="W62" s="0" t="n">
        <v>0.665271966527197</v>
      </c>
      <c r="X62" s="0" t="n">
        <v>0.330815747353272</v>
      </c>
      <c r="Y62" s="0" t="n">
        <v>6.19782752397806</v>
      </c>
      <c r="Z62" s="0" t="n">
        <v>0.495468010047427</v>
      </c>
      <c r="AA62" s="0" t="n">
        <v>0</v>
      </c>
    </row>
    <row r="63" customFormat="false" ht="15" hidden="false" customHeight="false" outlineLevel="0" collapsed="false">
      <c r="A63" s="0" t="s">
        <v>97</v>
      </c>
      <c r="B63" s="0" t="s">
        <v>3013</v>
      </c>
      <c r="C63" s="0" t="s">
        <v>3038</v>
      </c>
      <c r="D63" s="0" t="n">
        <v>53.0454594974811</v>
      </c>
      <c r="E63" s="0" t="n">
        <v>0.197724326377614</v>
      </c>
      <c r="F63" s="0" t="n">
        <v>6.33916066102089</v>
      </c>
      <c r="G63" s="0" t="n">
        <v>0.0988735919899875</v>
      </c>
      <c r="H63" s="0" t="n">
        <v>0.320400500625782</v>
      </c>
      <c r="I63" s="0" t="n">
        <v>0.918642491864249</v>
      </c>
      <c r="J63" s="0" t="n">
        <v>0.351438135419158</v>
      </c>
      <c r="K63" s="0" t="n">
        <v>0.667715717403612</v>
      </c>
      <c r="L63" s="1" t="b">
        <f aca="false">FALSE()</f>
        <v>0</v>
      </c>
      <c r="N63" s="0" t="n">
        <v>31.2690814497119</v>
      </c>
      <c r="O63" s="0" t="n">
        <v>1</v>
      </c>
      <c r="P63" s="0" t="n">
        <v>0</v>
      </c>
      <c r="Q63" s="0" t="n">
        <v>0</v>
      </c>
      <c r="R63" s="0" t="n">
        <v>25.7004757688606</v>
      </c>
      <c r="S63" s="0" t="n">
        <v>26.5767284991568</v>
      </c>
      <c r="T63" s="0" t="n">
        <v>0.438448566610459</v>
      </c>
      <c r="U63" s="0" t="n">
        <v>0.866108786610879</v>
      </c>
      <c r="V63" s="0" t="n">
        <v>0.97907949790795</v>
      </c>
      <c r="W63" s="0" t="n">
        <v>0.910739191073919</v>
      </c>
      <c r="X63" s="0" t="n">
        <v>0.197724326377614</v>
      </c>
      <c r="Y63" s="0" t="n">
        <v>6.33916066102089</v>
      </c>
      <c r="Z63" s="0" t="n">
        <v>0.351438135419158</v>
      </c>
      <c r="AA63" s="0" t="n">
        <v>0</v>
      </c>
    </row>
    <row r="64" customFormat="false" ht="15" hidden="false" customHeight="false" outlineLevel="0" collapsed="false">
      <c r="A64" s="0" t="s">
        <v>98</v>
      </c>
      <c r="B64" s="0" t="s">
        <v>3013</v>
      </c>
      <c r="C64" s="0" t="s">
        <v>3038</v>
      </c>
      <c r="D64" s="0" t="n">
        <v>39.720532399371</v>
      </c>
      <c r="E64" s="0" t="n">
        <v>0.184578266175425</v>
      </c>
      <c r="F64" s="0" t="n">
        <v>7.42773600724032</v>
      </c>
      <c r="G64" s="0" t="n">
        <v>0.0713391739674593</v>
      </c>
      <c r="H64" s="0" t="n">
        <v>0.468085106382979</v>
      </c>
      <c r="I64" s="0" t="n">
        <v>0.802417480241748</v>
      </c>
      <c r="J64" s="0" t="n">
        <v>0.376253208188525</v>
      </c>
      <c r="K64" s="0" t="n">
        <v>0.667715717403612</v>
      </c>
      <c r="L64" s="1" t="b">
        <f aca="false">FALSE()</f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43.2690169895026</v>
      </c>
      <c r="S64" s="0" t="n">
        <v>3.6055808120395</v>
      </c>
      <c r="T64" s="0" t="n">
        <v>0.42326383445681</v>
      </c>
      <c r="U64" s="0" t="n">
        <v>0.96373779637378</v>
      </c>
      <c r="V64" s="0" t="n">
        <v>0.541143654114365</v>
      </c>
      <c r="W64" s="0" t="n">
        <v>0.902370990237099</v>
      </c>
      <c r="X64" s="0" t="n">
        <v>0.184578266175425</v>
      </c>
      <c r="Y64" s="0" t="n">
        <v>7.42773600724032</v>
      </c>
      <c r="Z64" s="0" t="n">
        <v>0.376253208188525</v>
      </c>
      <c r="AA64" s="0" t="n">
        <v>0</v>
      </c>
    </row>
    <row r="65" customFormat="false" ht="15" hidden="false" customHeight="false" outlineLevel="0" collapsed="false">
      <c r="A65" s="0" t="s">
        <v>99</v>
      </c>
      <c r="B65" s="0" t="s">
        <v>3013</v>
      </c>
      <c r="C65" s="0" t="s">
        <v>3033</v>
      </c>
      <c r="D65" s="0" t="n">
        <v>58.9782833223342</v>
      </c>
      <c r="E65" s="0" t="n">
        <v>0.177600519535161</v>
      </c>
      <c r="F65" s="0" t="n">
        <v>2.51838516101882</v>
      </c>
      <c r="G65" s="0" t="n">
        <v>0.0613266583229036</v>
      </c>
      <c r="H65" s="0" t="n">
        <v>0.016270337922403</v>
      </c>
      <c r="I65" s="0" t="n">
        <v>0.930264993026499</v>
      </c>
      <c r="J65" s="0" t="n">
        <v>0.217091797103423</v>
      </c>
      <c r="K65" s="0" t="n">
        <v>0.667715717403612</v>
      </c>
      <c r="L65" s="1" t="b">
        <f aca="false">FALSE()</f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37.3248869788456</v>
      </c>
      <c r="S65" s="0" t="n">
        <v>9.14922349763674</v>
      </c>
      <c r="T65" s="0" t="n">
        <v>0.894665766374073</v>
      </c>
      <c r="U65" s="0" t="n">
        <v>0.940027894002789</v>
      </c>
      <c r="V65" s="0" t="n">
        <v>0.854951185495119</v>
      </c>
      <c r="W65" s="0" t="n">
        <v>0.99581589958159</v>
      </c>
      <c r="X65" s="0" t="n">
        <v>0.177600519535161</v>
      </c>
      <c r="Y65" s="0" t="n">
        <v>2.51838516101881</v>
      </c>
      <c r="Z65" s="0" t="n">
        <v>0.217091797103423</v>
      </c>
      <c r="AA65" s="0" t="n">
        <v>-5.55111512312578E-017</v>
      </c>
    </row>
    <row r="66" customFormat="false" ht="15" hidden="false" customHeight="false" outlineLevel="0" collapsed="false">
      <c r="A66" s="0" t="s">
        <v>100</v>
      </c>
      <c r="B66" s="0" t="s">
        <v>3013</v>
      </c>
      <c r="C66" s="0" t="s">
        <v>3038</v>
      </c>
      <c r="D66" s="0" t="n">
        <v>-8.27250568892567</v>
      </c>
      <c r="E66" s="0" t="n">
        <v>0.175907964176162</v>
      </c>
      <c r="F66" s="0" t="n">
        <v>5.24947383155723</v>
      </c>
      <c r="G66" s="0" t="n">
        <v>0.0563204005006258</v>
      </c>
      <c r="H66" s="0" t="n">
        <v>0.1639549436796</v>
      </c>
      <c r="I66" s="0" t="n">
        <v>0.94653649465365</v>
      </c>
      <c r="J66" s="0" t="n">
        <v>0.27741743660282</v>
      </c>
      <c r="K66" s="0" t="n">
        <v>0.667715717403612</v>
      </c>
      <c r="L66" s="1" t="b">
        <f aca="false">FALSE()</f>
        <v>0</v>
      </c>
      <c r="N66" s="0" t="n">
        <v>0</v>
      </c>
      <c r="O66" s="0" t="n">
        <v>0</v>
      </c>
      <c r="P66" s="0" t="n">
        <v>1</v>
      </c>
      <c r="Q66" s="0" t="n">
        <v>8.27250568892567</v>
      </c>
      <c r="R66" s="0" t="n">
        <v>31.4235577822749</v>
      </c>
      <c r="S66" s="0" t="n">
        <v>15.8458961474037</v>
      </c>
      <c r="T66" s="0" t="n">
        <v>0.737018425460623</v>
      </c>
      <c r="U66" s="0" t="n">
        <v>0.910739191073919</v>
      </c>
      <c r="V66" s="0" t="n">
        <v>0.941422594142259</v>
      </c>
      <c r="W66" s="0" t="n">
        <v>0.98744769874477</v>
      </c>
      <c r="X66" s="0" t="n">
        <v>0.175907964176162</v>
      </c>
      <c r="Y66" s="0" t="n">
        <v>5.24947383155723</v>
      </c>
      <c r="Z66" s="0" t="n">
        <v>0.27741743660282</v>
      </c>
      <c r="AA66" s="0" t="n">
        <v>5.55111512312578E-017</v>
      </c>
    </row>
    <row r="67" customFormat="false" ht="15" hidden="false" customHeight="false" outlineLevel="0" collapsed="false">
      <c r="A67" s="0" t="s">
        <v>101</v>
      </c>
      <c r="B67" s="0" t="s">
        <v>3013</v>
      </c>
      <c r="C67" s="0" t="s">
        <v>3038</v>
      </c>
      <c r="D67" s="0" t="n">
        <v>47.7221725053262</v>
      </c>
      <c r="E67" s="0" t="n">
        <v>0.188375425102263</v>
      </c>
      <c r="F67" s="0" t="n">
        <v>6.61172183528365</v>
      </c>
      <c r="G67" s="0" t="n">
        <v>0.0826032540675845</v>
      </c>
      <c r="H67" s="0" t="n">
        <v>0.364205256570713</v>
      </c>
      <c r="I67" s="0" t="n">
        <v>0.814039981403998</v>
      </c>
      <c r="J67" s="0" t="n">
        <v>0.341531400536119</v>
      </c>
      <c r="K67" s="0" t="n">
        <v>0.667715717403612</v>
      </c>
      <c r="L67" s="1" t="b">
        <f aca="false">FALSE()</f>
        <v>0</v>
      </c>
      <c r="N67" s="0" t="n">
        <v>8.27250568892578</v>
      </c>
      <c r="O67" s="0" t="n">
        <v>1</v>
      </c>
      <c r="P67" s="0" t="n">
        <v>0</v>
      </c>
      <c r="Q67" s="0" t="n">
        <v>0</v>
      </c>
      <c r="R67" s="0" t="n">
        <v>35.5016392071874</v>
      </c>
      <c r="S67" s="0" t="n">
        <v>4.62372881355931</v>
      </c>
      <c r="T67" s="0" t="n">
        <v>0.366101694915253</v>
      </c>
      <c r="U67" s="0" t="n">
        <v>0.931659693165969</v>
      </c>
      <c r="V67" s="0" t="n">
        <v>0.656903765690377</v>
      </c>
      <c r="W67" s="0" t="n">
        <v>0.853556485355649</v>
      </c>
      <c r="X67" s="0" t="n">
        <v>0.188375425102263</v>
      </c>
      <c r="Y67" s="0" t="n">
        <v>6.61172183528365</v>
      </c>
      <c r="Z67" s="0" t="n">
        <v>0.341531400536119</v>
      </c>
      <c r="AA67" s="0" t="n">
        <v>-5.55111512312578E-017</v>
      </c>
    </row>
    <row r="68" customFormat="false" ht="15" hidden="false" customHeight="false" outlineLevel="0" collapsed="false">
      <c r="A68" s="0" t="s">
        <v>102</v>
      </c>
      <c r="B68" s="0" t="s">
        <v>3013</v>
      </c>
      <c r="C68" s="0" t="s">
        <v>3036</v>
      </c>
      <c r="D68" s="0" t="n">
        <v>-38.0992787903321</v>
      </c>
      <c r="E68" s="0" t="n">
        <v>0.316209398612786</v>
      </c>
      <c r="F68" s="0" t="n">
        <v>8.4818287001724</v>
      </c>
      <c r="G68" s="0" t="n">
        <v>0.645807259073842</v>
      </c>
      <c r="H68" s="0" t="n">
        <v>0.599499374217772</v>
      </c>
      <c r="I68" s="0" t="n">
        <v>0.652719665271967</v>
      </c>
      <c r="J68" s="0" t="n">
        <v>0.628666586371039</v>
      </c>
      <c r="K68" s="0" t="n">
        <v>0.667715717403612</v>
      </c>
      <c r="L68" s="1" t="b">
        <f aca="false">FALSE()</f>
        <v>0</v>
      </c>
      <c r="N68" s="0" t="n">
        <v>0</v>
      </c>
      <c r="O68" s="0" t="n">
        <v>0</v>
      </c>
      <c r="P68" s="0" t="n">
        <v>1</v>
      </c>
      <c r="Q68" s="0" t="n">
        <v>38.0992787903321</v>
      </c>
      <c r="R68" s="0" t="n">
        <v>13.0864676231095</v>
      </c>
      <c r="S68" s="0" t="n">
        <v>2.74232493963435</v>
      </c>
      <c r="T68" s="0" t="n">
        <v>0.396688513280434</v>
      </c>
      <c r="U68" s="0" t="n">
        <v>0.645746164574616</v>
      </c>
      <c r="V68" s="0" t="n">
        <v>0.433751743375174</v>
      </c>
      <c r="W68" s="0" t="n">
        <v>0.878661087866109</v>
      </c>
      <c r="X68" s="0" t="n">
        <v>0.316209398612786</v>
      </c>
      <c r="Y68" s="0" t="n">
        <v>8.4818287001724</v>
      </c>
      <c r="Z68" s="0" t="n">
        <v>0.628666586371039</v>
      </c>
      <c r="AA68" s="0" t="n">
        <v>0</v>
      </c>
    </row>
    <row r="69" customFormat="false" ht="15" hidden="false" customHeight="false" outlineLevel="0" collapsed="false">
      <c r="A69" s="0" t="s">
        <v>103</v>
      </c>
      <c r="B69" s="0" t="s">
        <v>3013</v>
      </c>
      <c r="C69" s="0" t="s">
        <v>3038</v>
      </c>
      <c r="D69" s="0" t="n">
        <v>32.9611956335186</v>
      </c>
      <c r="E69" s="0" t="n">
        <v>0.177904663137993</v>
      </c>
      <c r="F69" s="0" t="n">
        <v>4.56509597484896</v>
      </c>
      <c r="G69" s="0" t="n">
        <v>0.0638297872340426</v>
      </c>
      <c r="H69" s="0" t="n">
        <v>0.0888610763454318</v>
      </c>
      <c r="I69" s="0" t="n">
        <v>0.867503486750349</v>
      </c>
      <c r="J69" s="0" t="n">
        <v>0.23457704278186</v>
      </c>
      <c r="K69" s="0" t="n">
        <v>0.667715717403612</v>
      </c>
      <c r="L69" s="1" t="b">
        <f aca="false">FALSE()</f>
        <v>0</v>
      </c>
      <c r="N69" s="0" t="n">
        <v>38.0992787903322</v>
      </c>
      <c r="O69" s="0" t="n">
        <v>1</v>
      </c>
      <c r="P69" s="0" t="n">
        <v>0</v>
      </c>
      <c r="Q69" s="0" t="n">
        <v>0</v>
      </c>
      <c r="R69" s="0" t="n">
        <v>39.3077431435183</v>
      </c>
      <c r="S69" s="0" t="n">
        <v>5.81542351453856</v>
      </c>
      <c r="T69" s="0" t="n">
        <v>0.4424778761062</v>
      </c>
      <c r="U69" s="0" t="n">
        <v>0.94979079497908</v>
      </c>
      <c r="V69" s="0" t="n">
        <v>0.737796373779637</v>
      </c>
      <c r="W69" s="0" t="n">
        <v>0.914923291492329</v>
      </c>
      <c r="X69" s="0" t="n">
        <v>0.177904663137993</v>
      </c>
      <c r="Y69" s="0" t="n">
        <v>4.56509597484896</v>
      </c>
      <c r="Z69" s="0" t="n">
        <v>0.23457704278186</v>
      </c>
      <c r="AA69" s="0" t="n">
        <v>-2.77555756156289E-017</v>
      </c>
    </row>
    <row r="70" customFormat="false" ht="15" hidden="false" customHeight="false" outlineLevel="0" collapsed="false">
      <c r="A70" s="0" t="s">
        <v>104</v>
      </c>
      <c r="B70" s="0" t="s">
        <v>3013</v>
      </c>
      <c r="C70" s="0" t="s">
        <v>3033</v>
      </c>
      <c r="D70" s="0" t="n">
        <v>2.05386414328832</v>
      </c>
      <c r="E70" s="0" t="n">
        <v>0.281497073536379</v>
      </c>
      <c r="F70" s="0" t="n">
        <v>9.2315499742942</v>
      </c>
      <c r="G70" s="0" t="n">
        <v>0.468085106382979</v>
      </c>
      <c r="H70" s="0" t="n">
        <v>0.709637046307885</v>
      </c>
      <c r="I70" s="0" t="n">
        <v>0.606694560669456</v>
      </c>
      <c r="J70" s="0" t="n">
        <v>0.592427773210237</v>
      </c>
      <c r="K70" s="0" t="n">
        <v>0.667715717403612</v>
      </c>
      <c r="L70" s="1" t="b">
        <f aca="false">FALSE()</f>
        <v>0</v>
      </c>
      <c r="N70" s="0" t="n">
        <v>5.13808315681354</v>
      </c>
      <c r="O70" s="0" t="n">
        <v>0</v>
      </c>
      <c r="P70" s="0" t="n">
        <v>0</v>
      </c>
      <c r="Q70" s="0" t="n">
        <v>0</v>
      </c>
      <c r="R70" s="0" t="n">
        <v>10.6956592600653</v>
      </c>
      <c r="S70" s="0" t="n">
        <v>2.60947810437914</v>
      </c>
      <c r="T70" s="0" t="n">
        <v>0.389922015596884</v>
      </c>
      <c r="U70" s="0" t="n">
        <v>0.535564853556485</v>
      </c>
      <c r="V70" s="0" t="n">
        <v>0.410041841004184</v>
      </c>
      <c r="W70" s="0" t="n">
        <v>0.874476987447699</v>
      </c>
      <c r="X70" s="0" t="n">
        <v>0.281497073536379</v>
      </c>
      <c r="Y70" s="0" t="n">
        <v>9.2315499742942</v>
      </c>
      <c r="Z70" s="0" t="n">
        <v>0.592427773210237</v>
      </c>
      <c r="AA70" s="0" t="n">
        <v>0</v>
      </c>
    </row>
    <row r="71" customFormat="false" ht="15" hidden="false" customHeight="false" outlineLevel="0" collapsed="false">
      <c r="A71" s="0" t="s">
        <v>105</v>
      </c>
      <c r="B71" s="0" t="s">
        <v>3013</v>
      </c>
      <c r="C71" s="0" t="s">
        <v>3036</v>
      </c>
      <c r="D71" s="0" t="n">
        <v>46.2180044421276</v>
      </c>
      <c r="E71" s="0" t="n">
        <v>0.233800953833194</v>
      </c>
      <c r="F71" s="0" t="n">
        <v>5.50549279121328</v>
      </c>
      <c r="G71" s="0" t="n">
        <v>0.192740926157697</v>
      </c>
      <c r="H71" s="0" t="n">
        <v>0.201501877346683</v>
      </c>
      <c r="I71" s="0" t="n">
        <v>0.681543468154347</v>
      </c>
      <c r="J71" s="0" t="n">
        <v>0.294005815032622</v>
      </c>
      <c r="K71" s="0" t="n">
        <v>0.667715717403612</v>
      </c>
      <c r="L71" s="1" t="b">
        <f aca="false">FALSE()</f>
        <v>0</v>
      </c>
      <c r="N71" s="0" t="n">
        <v>3.08421901352517</v>
      </c>
      <c r="O71" s="0" t="n">
        <v>0</v>
      </c>
      <c r="P71" s="0" t="n">
        <v>0</v>
      </c>
      <c r="Q71" s="0" t="n">
        <v>0</v>
      </c>
      <c r="R71" s="0" t="n">
        <v>22.2430621620801</v>
      </c>
      <c r="S71" s="0" t="n">
        <v>2.20774039100945</v>
      </c>
      <c r="T71" s="0" t="n">
        <v>0.425588509110253</v>
      </c>
      <c r="U71" s="0" t="n">
        <v>0.824267782426778</v>
      </c>
      <c r="V71" s="0" t="n">
        <v>0.315202231520223</v>
      </c>
      <c r="W71" s="0" t="n">
        <v>0.905160390516039</v>
      </c>
      <c r="X71" s="0" t="n">
        <v>0.233800953833194</v>
      </c>
      <c r="Y71" s="0" t="n">
        <v>5.50549279121328</v>
      </c>
      <c r="Z71" s="0" t="n">
        <v>0.294005815032622</v>
      </c>
      <c r="AA71" s="0" t="n">
        <v>0</v>
      </c>
    </row>
    <row r="72" customFormat="false" ht="15" hidden="false" customHeight="false" outlineLevel="0" collapsed="false">
      <c r="A72" s="0" t="s">
        <v>106</v>
      </c>
      <c r="B72" s="0" t="s">
        <v>3013</v>
      </c>
      <c r="C72" s="0" t="s">
        <v>3038</v>
      </c>
      <c r="D72" s="0" t="n">
        <v>29.1817978967542</v>
      </c>
      <c r="E72" s="0" t="n">
        <v>0.188996924561478</v>
      </c>
      <c r="F72" s="0" t="n">
        <v>5.91217425856891</v>
      </c>
      <c r="G72" s="0" t="n">
        <v>0.0863579474342929</v>
      </c>
      <c r="H72" s="0" t="n">
        <v>0.252816020025031</v>
      </c>
      <c r="I72" s="0" t="n">
        <v>0.894467689446769</v>
      </c>
      <c r="J72" s="0" t="n">
        <v>0.314563124873084</v>
      </c>
      <c r="K72" s="0" t="n">
        <v>0.667715717403612</v>
      </c>
      <c r="L72" s="1" t="b">
        <f aca="false">FALSE()</f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20.3994024417472</v>
      </c>
      <c r="S72" s="0" t="n">
        <v>13.8895955227677</v>
      </c>
      <c r="T72" s="0" t="n">
        <v>0.585092851691677</v>
      </c>
      <c r="U72" s="0" t="n">
        <v>0.794979079497908</v>
      </c>
      <c r="V72" s="0" t="n">
        <v>0.917712691771269</v>
      </c>
      <c r="W72" s="0" t="n">
        <v>0.97071129707113</v>
      </c>
      <c r="X72" s="0" t="n">
        <v>0.188996924561478</v>
      </c>
      <c r="Y72" s="0" t="n">
        <v>5.91217425856891</v>
      </c>
      <c r="Z72" s="0" t="n">
        <v>0.314563124873084</v>
      </c>
      <c r="AA72" s="0" t="n">
        <v>-5.55111512312578E-017</v>
      </c>
    </row>
    <row r="73" customFormat="false" ht="15" hidden="false" customHeight="false" outlineLevel="0" collapsed="false">
      <c r="A73" s="0" t="s">
        <v>107</v>
      </c>
      <c r="B73" s="0" t="s">
        <v>3013</v>
      </c>
      <c r="C73" s="0" t="s">
        <v>3038</v>
      </c>
      <c r="D73" s="0" t="n">
        <v>62.0135161631353</v>
      </c>
      <c r="E73" s="0" t="n">
        <v>0.137495999460226</v>
      </c>
      <c r="F73" s="0" t="n">
        <v>3.51622651363979</v>
      </c>
      <c r="G73" s="0" t="n">
        <v>0.0137672090112641</v>
      </c>
      <c r="H73" s="0" t="n">
        <v>0.0350438047559449</v>
      </c>
      <c r="I73" s="0" t="n">
        <v>0.935843793584379</v>
      </c>
      <c r="J73" s="0" t="n">
        <v>0.20669316422376</v>
      </c>
      <c r="K73" s="0" t="n">
        <v>0.667715717403612</v>
      </c>
      <c r="L73" s="1" t="b">
        <f aca="false">FALSE()</f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24.8794369749331</v>
      </c>
      <c r="S73" s="0" t="n">
        <v>26.3656884875847</v>
      </c>
      <c r="T73" s="0" t="n">
        <v>0.586907449209931</v>
      </c>
      <c r="U73" s="0" t="n">
        <v>0.856345885634589</v>
      </c>
      <c r="V73" s="0" t="n">
        <v>0.97768479776848</v>
      </c>
      <c r="W73" s="0" t="n">
        <v>0.97350069735007</v>
      </c>
      <c r="X73" s="0" t="n">
        <v>0.137495999460226</v>
      </c>
      <c r="Y73" s="0" t="n">
        <v>3.51622651363979</v>
      </c>
      <c r="Z73" s="0" t="n">
        <v>0.20669316422376</v>
      </c>
      <c r="AA73" s="0" t="n">
        <v>0</v>
      </c>
    </row>
    <row r="74" customFormat="false" ht="15" hidden="false" customHeight="false" outlineLevel="0" collapsed="false">
      <c r="A74" s="0" t="s">
        <v>108</v>
      </c>
      <c r="B74" s="0" t="s">
        <v>3013</v>
      </c>
      <c r="C74" s="0" t="s">
        <v>3033</v>
      </c>
      <c r="D74" s="0" t="n">
        <v>20.398439797487</v>
      </c>
      <c r="E74" s="0" t="n">
        <v>0.249727683201762</v>
      </c>
      <c r="F74" s="0" t="n">
        <v>8.91860532764517</v>
      </c>
      <c r="G74" s="0" t="n">
        <v>0.264080100125156</v>
      </c>
      <c r="H74" s="0" t="n">
        <v>0.668335419274093</v>
      </c>
      <c r="I74" s="0" t="n">
        <v>0.429102742910274</v>
      </c>
      <c r="J74" s="0" t="n">
        <v>0.458786756341754</v>
      </c>
      <c r="K74" s="0" t="n">
        <v>0.667715717403612</v>
      </c>
      <c r="L74" s="1" t="b">
        <f aca="false">FALSE()</f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7.51902515670354</v>
      </c>
      <c r="S74" s="0" t="n">
        <v>1.46812860063185</v>
      </c>
      <c r="T74" s="0" t="n">
        <v>0.334510314068019</v>
      </c>
      <c r="U74" s="0" t="n">
        <v>0.355648535564854</v>
      </c>
      <c r="V74" s="0" t="n">
        <v>0.126917712691771</v>
      </c>
      <c r="W74" s="0" t="n">
        <v>0.804741980474198</v>
      </c>
      <c r="X74" s="0" t="n">
        <v>0.249727683201762</v>
      </c>
      <c r="Y74" s="0" t="n">
        <v>8.91860532764517</v>
      </c>
      <c r="Z74" s="0" t="n">
        <v>0.458786756341754</v>
      </c>
      <c r="AA74" s="0" t="n">
        <v>0</v>
      </c>
    </row>
    <row r="75" customFormat="false" ht="15" hidden="false" customHeight="false" outlineLevel="0" collapsed="false">
      <c r="A75" s="0" t="s">
        <v>109</v>
      </c>
      <c r="B75" s="0" t="s">
        <v>3013</v>
      </c>
      <c r="C75" s="0" t="s">
        <v>3033</v>
      </c>
      <c r="D75" s="0" t="n">
        <v>43.4604543539104</v>
      </c>
      <c r="E75" s="0" t="n">
        <v>0.258469545730531</v>
      </c>
      <c r="F75" s="0" t="n">
        <v>7.1725874596268</v>
      </c>
      <c r="G75" s="0" t="n">
        <v>0.321652065081352</v>
      </c>
      <c r="H75" s="0" t="n">
        <v>0.438047559449312</v>
      </c>
      <c r="I75" s="0" t="n">
        <v>0.441655044165504</v>
      </c>
      <c r="J75" s="0" t="n">
        <v>0.392210858645366</v>
      </c>
      <c r="K75" s="0" t="n">
        <v>0.667715717403612</v>
      </c>
      <c r="L75" s="1" t="b">
        <f aca="false">FALSE()</f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6.86709655807721</v>
      </c>
      <c r="S75" s="0" t="n">
        <v>1.81687783887162</v>
      </c>
      <c r="T75" s="0" t="n">
        <v>0.334688022950037</v>
      </c>
      <c r="U75" s="0" t="n">
        <v>0.298465829846583</v>
      </c>
      <c r="V75" s="0" t="n">
        <v>0.220362622036262</v>
      </c>
      <c r="W75" s="0" t="n">
        <v>0.806136680613668</v>
      </c>
      <c r="X75" s="0" t="n">
        <v>0.258469545730531</v>
      </c>
      <c r="Y75" s="0" t="n">
        <v>7.17258745962681</v>
      </c>
      <c r="Z75" s="0" t="n">
        <v>0.392210858645366</v>
      </c>
      <c r="AA75" s="0" t="n">
        <v>-5.55111512312578E-017</v>
      </c>
    </row>
    <row r="76" customFormat="false" ht="15" hidden="false" customHeight="false" outlineLevel="0" collapsed="false">
      <c r="A76" s="0" t="s">
        <v>110</v>
      </c>
      <c r="B76" s="0" t="s">
        <v>3013</v>
      </c>
      <c r="C76" s="0" t="s">
        <v>3038</v>
      </c>
      <c r="D76" s="0" t="n">
        <v>35.9797792076973</v>
      </c>
      <c r="E76" s="0" t="n">
        <v>0.123957974594394</v>
      </c>
      <c r="F76" s="0" t="n">
        <v>0.760730681957035</v>
      </c>
      <c r="G76" s="0" t="n">
        <v>0.00625782227784731</v>
      </c>
      <c r="H76" s="0" t="n">
        <v>0.00500625782227785</v>
      </c>
      <c r="I76" s="0" t="n">
        <v>0.915853091585309</v>
      </c>
      <c r="J76" s="0" t="n">
        <v>0.187676250357112</v>
      </c>
      <c r="K76" s="0" t="n">
        <v>0.667715717403612</v>
      </c>
      <c r="L76" s="1" t="b">
        <f aca="false">FALSE()</f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24.7120588762275</v>
      </c>
      <c r="S76" s="0" t="n">
        <v>22.2556390977444</v>
      </c>
      <c r="T76" s="0" t="n">
        <v>0.451127819548875</v>
      </c>
      <c r="U76" s="0" t="n">
        <v>0.854951185495119</v>
      </c>
      <c r="V76" s="0" t="n">
        <v>0.97071129707113</v>
      </c>
      <c r="W76" s="0" t="n">
        <v>0.921896792189679</v>
      </c>
      <c r="X76" s="0" t="n">
        <v>0.123957974594394</v>
      </c>
      <c r="Y76" s="0" t="n">
        <v>0.760730681957036</v>
      </c>
      <c r="Z76" s="0" t="n">
        <v>0.187676250357112</v>
      </c>
      <c r="AA76" s="0" t="n">
        <v>-2.77555756156289E-017</v>
      </c>
    </row>
    <row r="77" customFormat="false" ht="15" hidden="false" customHeight="false" outlineLevel="0" collapsed="false">
      <c r="A77" s="0" t="s">
        <v>111</v>
      </c>
      <c r="B77" s="0" t="s">
        <v>3013</v>
      </c>
      <c r="C77" s="0" t="s">
        <v>3033</v>
      </c>
      <c r="D77" s="0" t="n">
        <v>15.8608266708923</v>
      </c>
      <c r="E77" s="0" t="n">
        <v>0.201167599058552</v>
      </c>
      <c r="F77" s="0" t="n">
        <v>6.98160542290871</v>
      </c>
      <c r="G77" s="0" t="n">
        <v>0.103879849812265</v>
      </c>
      <c r="H77" s="0" t="n">
        <v>0.414267834793492</v>
      </c>
      <c r="I77" s="0" t="n">
        <v>0.669456066945607</v>
      </c>
      <c r="J77" s="0" t="n">
        <v>0.341150287231424</v>
      </c>
      <c r="K77" s="0" t="n">
        <v>0.667715717403612</v>
      </c>
      <c r="L77" s="1" t="b">
        <f aca="false">FALSE()</f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17.991350573347</v>
      </c>
      <c r="S77" s="0" t="n">
        <v>2.49007578491518</v>
      </c>
      <c r="T77" s="0" t="n">
        <v>0.37892457596536</v>
      </c>
      <c r="U77" s="0" t="n">
        <v>0.758716875871688</v>
      </c>
      <c r="V77" s="0" t="n">
        <v>0.387726638772664</v>
      </c>
      <c r="W77" s="0" t="n">
        <v>0.861924686192469</v>
      </c>
      <c r="X77" s="0" t="n">
        <v>0.201167599058552</v>
      </c>
      <c r="Y77" s="0" t="n">
        <v>6.98160542290871</v>
      </c>
      <c r="Z77" s="0" t="n">
        <v>0.341150287231424</v>
      </c>
      <c r="AA77" s="0" t="n">
        <v>-5.55111512312578E-017</v>
      </c>
    </row>
    <row r="78" customFormat="false" ht="15" hidden="false" customHeight="false" outlineLevel="0" collapsed="false">
      <c r="A78" s="0" t="s">
        <v>112</v>
      </c>
      <c r="B78" s="0" t="s">
        <v>3013</v>
      </c>
      <c r="C78" s="0" t="s">
        <v>3036</v>
      </c>
      <c r="D78" s="0" t="n">
        <v>-0.41744520165314</v>
      </c>
      <c r="E78" s="0" t="n">
        <v>0.31673741551745</v>
      </c>
      <c r="F78" s="0" t="n">
        <v>6.23939921666443</v>
      </c>
      <c r="G78" s="0" t="n">
        <v>0.649561952440551</v>
      </c>
      <c r="H78" s="0" t="n">
        <v>0.300375469336671</v>
      </c>
      <c r="I78" s="0" t="n">
        <v>0.355648535564854</v>
      </c>
      <c r="J78" s="0" t="n">
        <v>0.451104675823859</v>
      </c>
      <c r="K78" s="0" t="n">
        <v>0.667715717403612</v>
      </c>
      <c r="L78" s="1" t="b">
        <f aca="false">FALSE()</f>
        <v>0</v>
      </c>
      <c r="N78" s="0" t="n">
        <v>0</v>
      </c>
      <c r="O78" s="0" t="n">
        <v>0</v>
      </c>
      <c r="P78" s="0" t="n">
        <v>1</v>
      </c>
      <c r="Q78" s="0" t="n">
        <v>0.41744520165314</v>
      </c>
      <c r="R78" s="0" t="n">
        <v>5.07797849990638</v>
      </c>
      <c r="S78" s="0" t="n">
        <v>1.40748369378648</v>
      </c>
      <c r="T78" s="0" t="n">
        <v>0.343288705801579</v>
      </c>
      <c r="U78" s="0" t="n">
        <v>0.135285913528591</v>
      </c>
      <c r="V78" s="0" t="n">
        <v>0.108786610878661</v>
      </c>
      <c r="W78" s="0" t="n">
        <v>0.822873082287308</v>
      </c>
      <c r="X78" s="0" t="n">
        <v>0.31673741551745</v>
      </c>
      <c r="Y78" s="0" t="n">
        <v>6.23939921666443</v>
      </c>
      <c r="Z78" s="0" t="n">
        <v>0.451104675823859</v>
      </c>
      <c r="AA78" s="0" t="n">
        <v>0</v>
      </c>
    </row>
    <row r="79" customFormat="false" ht="15" hidden="false" customHeight="false" outlineLevel="0" collapsed="false">
      <c r="A79" s="0" t="s">
        <v>113</v>
      </c>
      <c r="B79" s="0" t="s">
        <v>3013</v>
      </c>
      <c r="C79" s="0" t="s">
        <v>3033</v>
      </c>
      <c r="D79" s="0" t="n">
        <v>19.934909764309</v>
      </c>
      <c r="E79" s="0" t="n">
        <v>0.232760778841004</v>
      </c>
      <c r="F79" s="0" t="n">
        <v>8.32527080342987</v>
      </c>
      <c r="G79" s="0" t="n">
        <v>0.190237797246558</v>
      </c>
      <c r="H79" s="0" t="n">
        <v>0.585732165206508</v>
      </c>
      <c r="I79" s="0" t="n">
        <v>0.716875871687587</v>
      </c>
      <c r="J79" s="0" t="n">
        <v>0.453763159318744</v>
      </c>
      <c r="K79" s="0" t="n">
        <v>0.667715717403612</v>
      </c>
      <c r="L79" s="1" t="b">
        <f aca="false">FALSE()</f>
        <v>0</v>
      </c>
      <c r="N79" s="0" t="n">
        <v>0.417445201653209</v>
      </c>
      <c r="O79" s="0" t="n">
        <v>1</v>
      </c>
      <c r="P79" s="0" t="n">
        <v>0</v>
      </c>
      <c r="Q79" s="0" t="n">
        <v>0</v>
      </c>
      <c r="R79" s="0" t="n">
        <v>9.06600249065978</v>
      </c>
      <c r="S79" s="0" t="n">
        <v>5.75498575498577</v>
      </c>
      <c r="T79" s="0" t="n">
        <v>0.56980056980057</v>
      </c>
      <c r="U79" s="0" t="n">
        <v>0.449093444909345</v>
      </c>
      <c r="V79" s="0" t="n">
        <v>0.732217573221757</v>
      </c>
      <c r="W79" s="0" t="n">
        <v>0.96931659693166</v>
      </c>
      <c r="X79" s="0" t="n">
        <v>0.232760778841004</v>
      </c>
      <c r="Y79" s="0" t="n">
        <v>8.32527080342986</v>
      </c>
      <c r="Z79" s="0" t="n">
        <v>0.453763159318744</v>
      </c>
      <c r="AA79" s="0" t="n">
        <v>0</v>
      </c>
    </row>
    <row r="80" customFormat="false" ht="15" hidden="false" customHeight="false" outlineLevel="0" collapsed="false">
      <c r="A80" s="0" t="s">
        <v>114</v>
      </c>
      <c r="B80" s="0" t="s">
        <v>3013</v>
      </c>
      <c r="C80" s="0" t="s">
        <v>3036</v>
      </c>
      <c r="D80" s="0" t="n">
        <v>53.2146452777186</v>
      </c>
      <c r="E80" s="0" t="n">
        <v>0.303792358539441</v>
      </c>
      <c r="F80" s="0" t="n">
        <v>6.50946406489321</v>
      </c>
      <c r="G80" s="0" t="n">
        <v>0.585732165206508</v>
      </c>
      <c r="H80" s="0" t="n">
        <v>0.344180225281602</v>
      </c>
      <c r="I80" s="0" t="n">
        <v>0.600185960018596</v>
      </c>
      <c r="J80" s="0" t="n">
        <v>0.492002148198963</v>
      </c>
      <c r="K80" s="0" t="n">
        <v>0.667715717403612</v>
      </c>
      <c r="L80" s="1" t="b">
        <f aca="false">FALSE()</f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12.9463874978647</v>
      </c>
      <c r="S80" s="0" t="n">
        <v>2.12623097582811</v>
      </c>
      <c r="T80" s="0" t="n">
        <v>0.380483437779771</v>
      </c>
      <c r="U80" s="0" t="n">
        <v>0.635983263598326</v>
      </c>
      <c r="V80" s="0" t="n">
        <v>0.299860529986053</v>
      </c>
      <c r="W80" s="0" t="n">
        <v>0.864714086471409</v>
      </c>
      <c r="X80" s="0" t="n">
        <v>0.303792358539441</v>
      </c>
      <c r="Y80" s="0" t="n">
        <v>6.50946406489321</v>
      </c>
      <c r="Z80" s="0" t="n">
        <v>0.492002148198963</v>
      </c>
      <c r="AA80" s="0" t="n">
        <v>-5.55111512312578E-017</v>
      </c>
    </row>
    <row r="81" customFormat="false" ht="15" hidden="false" customHeight="false" outlineLevel="0" collapsed="false">
      <c r="A81" s="0" t="s">
        <v>115</v>
      </c>
      <c r="B81" s="0" t="s">
        <v>33</v>
      </c>
      <c r="C81" s="0" t="s">
        <v>33</v>
      </c>
      <c r="D81" s="0" t="n">
        <v>-12.1167134027226</v>
      </c>
      <c r="E81" s="0" t="n">
        <v>0.369416593385065</v>
      </c>
      <c r="F81" s="0" t="n">
        <v>11.2506210015227</v>
      </c>
      <c r="G81" s="0" t="n">
        <v>0.871088861076345</v>
      </c>
      <c r="H81" s="0" t="n">
        <v>0.896120150187735</v>
      </c>
      <c r="I81" s="0" t="n">
        <v>0.5</v>
      </c>
      <c r="J81" s="0" t="n">
        <v>0.806883604505632</v>
      </c>
      <c r="K81" s="0" t="n">
        <v>0.667715717403612</v>
      </c>
      <c r="L81" s="1" t="b">
        <f aca="false">TRUE()</f>
        <v>1</v>
      </c>
      <c r="M81" s="0" t="s">
        <v>3035</v>
      </c>
      <c r="N81" s="0" t="n">
        <v>0</v>
      </c>
      <c r="O81" s="0" t="n">
        <v>0</v>
      </c>
      <c r="P81" s="0" t="n">
        <v>1</v>
      </c>
      <c r="Q81" s="0" t="n">
        <v>12.1167134027226</v>
      </c>
      <c r="U81" s="0" t="n">
        <v>0.5</v>
      </c>
      <c r="V81" s="0" t="n">
        <v>0.5</v>
      </c>
      <c r="W81" s="0" t="n">
        <v>0.5</v>
      </c>
      <c r="X81" s="0" t="n">
        <v>0.369416593385065</v>
      </c>
      <c r="Y81" s="0" t="n">
        <v>11.2506210015227</v>
      </c>
      <c r="Z81" s="0" t="n">
        <v>0.806883604505632</v>
      </c>
      <c r="AA81" s="0" t="n">
        <v>0</v>
      </c>
    </row>
    <row r="82" customFormat="false" ht="15" hidden="false" customHeight="false" outlineLevel="0" collapsed="false">
      <c r="A82" s="0" t="s">
        <v>116</v>
      </c>
      <c r="B82" s="0" t="s">
        <v>3013</v>
      </c>
      <c r="C82" s="0" t="s">
        <v>3038</v>
      </c>
      <c r="D82" s="0" t="n">
        <v>37.3033368303023</v>
      </c>
      <c r="E82" s="0" t="n">
        <v>0.157457593024199</v>
      </c>
      <c r="F82" s="0" t="n">
        <v>4.44677068226811</v>
      </c>
      <c r="G82" s="0" t="n">
        <v>0.0312891113892366</v>
      </c>
      <c r="H82" s="0" t="n">
        <v>0.083854818523154</v>
      </c>
      <c r="I82" s="0" t="n">
        <v>0.889353788935379</v>
      </c>
      <c r="J82" s="0" t="n">
        <v>0.223928329752032</v>
      </c>
      <c r="K82" s="0" t="n">
        <v>0.667715717403612</v>
      </c>
      <c r="L82" s="1" t="b">
        <f aca="false">FALSE()</f>
        <v>0</v>
      </c>
      <c r="N82" s="0" t="n">
        <v>12.1167134027226</v>
      </c>
      <c r="O82" s="0" t="n">
        <v>1</v>
      </c>
      <c r="P82" s="0" t="n">
        <v>0</v>
      </c>
      <c r="Q82" s="0" t="n">
        <v>0</v>
      </c>
      <c r="R82" s="0" t="n">
        <v>15.7795179896316</v>
      </c>
      <c r="S82" s="0" t="n">
        <v>28.4974093264249</v>
      </c>
      <c r="T82" s="0" t="n">
        <v>0.518134715025902</v>
      </c>
      <c r="U82" s="0" t="n">
        <v>0.723849372384937</v>
      </c>
      <c r="V82" s="0" t="n">
        <v>0.98326359832636</v>
      </c>
      <c r="W82" s="0" t="n">
        <v>0.96094839609484</v>
      </c>
      <c r="X82" s="0" t="n">
        <v>0.157457593024199</v>
      </c>
      <c r="Y82" s="0" t="n">
        <v>4.44677068226811</v>
      </c>
      <c r="Z82" s="0" t="n">
        <v>0.223928329752032</v>
      </c>
      <c r="AA82" s="0" t="n">
        <v>2.77555756156289E-017</v>
      </c>
    </row>
    <row r="83" customFormat="false" ht="15" hidden="false" customHeight="false" outlineLevel="0" collapsed="false">
      <c r="A83" s="0" t="s">
        <v>117</v>
      </c>
      <c r="B83" s="0" t="s">
        <v>3013</v>
      </c>
      <c r="C83" s="0" t="s">
        <v>3033</v>
      </c>
      <c r="D83" s="0" t="n">
        <v>29.4381579409551</v>
      </c>
      <c r="E83" s="0" t="n">
        <v>0.231471743084766</v>
      </c>
      <c r="F83" s="0" t="n">
        <v>8.10402509899607</v>
      </c>
      <c r="G83" s="0" t="n">
        <v>0.181476846057572</v>
      </c>
      <c r="H83" s="0" t="n">
        <v>0.554443053817272</v>
      </c>
      <c r="I83" s="0" t="n">
        <v>0.421664342166434</v>
      </c>
      <c r="J83" s="0" t="n">
        <v>0.378700828383224</v>
      </c>
      <c r="K83" s="0" t="n">
        <v>0.667715717403612</v>
      </c>
      <c r="L83" s="1" t="b">
        <f aca="false">FALSE()</f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6.35241651109799</v>
      </c>
      <c r="S83" s="0" t="n">
        <v>2.3067331670823</v>
      </c>
      <c r="T83" s="0" t="n">
        <v>0.270157938487118</v>
      </c>
      <c r="U83" s="0" t="n">
        <v>0.256624825662483</v>
      </c>
      <c r="V83" s="0" t="n">
        <v>0.340306834030683</v>
      </c>
      <c r="W83" s="0" t="n">
        <v>0.668061366806137</v>
      </c>
      <c r="X83" s="0" t="n">
        <v>0.231471743084766</v>
      </c>
      <c r="Y83" s="0" t="n">
        <v>8.10402509899607</v>
      </c>
      <c r="Z83" s="0" t="n">
        <v>0.378700828383224</v>
      </c>
      <c r="AA83" s="0" t="n">
        <v>0</v>
      </c>
    </row>
    <row r="84" customFormat="false" ht="15" hidden="false" customHeight="false" outlineLevel="0" collapsed="false">
      <c r="A84" s="0" t="s">
        <v>118</v>
      </c>
      <c r="B84" s="0" t="s">
        <v>3013</v>
      </c>
      <c r="C84" s="0" t="s">
        <v>3033</v>
      </c>
      <c r="D84" s="0" t="n">
        <v>-35.8301994736445</v>
      </c>
      <c r="E84" s="0" t="n">
        <v>0.211225183056766</v>
      </c>
      <c r="F84" s="0" t="n">
        <v>4.76749752412925</v>
      </c>
      <c r="G84" s="0" t="n">
        <v>0.126408010012516</v>
      </c>
      <c r="H84" s="0" t="n">
        <v>0.108886107634543</v>
      </c>
      <c r="I84" s="0" t="n">
        <v>0.463040446304045</v>
      </c>
      <c r="J84" s="0" t="n">
        <v>0.186725736319633</v>
      </c>
      <c r="K84" s="0" t="n">
        <v>0.667715717403612</v>
      </c>
      <c r="L84" s="1" t="b">
        <f aca="false">FALSE()</f>
        <v>0</v>
      </c>
      <c r="N84" s="0" t="n">
        <v>0</v>
      </c>
      <c r="O84" s="0" t="n">
        <v>0</v>
      </c>
      <c r="P84" s="0" t="n">
        <v>1</v>
      </c>
      <c r="Q84" s="0" t="n">
        <v>35.8301994736445</v>
      </c>
      <c r="R84" s="0" t="n">
        <v>4.23484119345548</v>
      </c>
      <c r="S84" s="0" t="n">
        <v>2.6654411764706</v>
      </c>
      <c r="T84" s="0" t="n">
        <v>0.398284313725494</v>
      </c>
      <c r="U84" s="0" t="n">
        <v>0.0850767085076709</v>
      </c>
      <c r="V84" s="0" t="n">
        <v>0.422594142259414</v>
      </c>
      <c r="W84" s="0" t="n">
        <v>0.881450488145049</v>
      </c>
      <c r="X84" s="0" t="n">
        <v>0.211225183056766</v>
      </c>
      <c r="Y84" s="0" t="n">
        <v>4.76749752412926</v>
      </c>
      <c r="Z84" s="0" t="n">
        <v>0.186725736319633</v>
      </c>
      <c r="AA84" s="0" t="n">
        <v>-2.77555756156289E-017</v>
      </c>
    </row>
    <row r="85" customFormat="false" ht="15" hidden="false" customHeight="false" outlineLevel="0" collapsed="false">
      <c r="A85" s="0" t="s">
        <v>119</v>
      </c>
      <c r="B85" s="0" t="s">
        <v>3013</v>
      </c>
      <c r="C85" s="0" t="s">
        <v>3033</v>
      </c>
      <c r="D85" s="0" t="n">
        <v>39.3260645730479</v>
      </c>
      <c r="E85" s="0" t="n">
        <v>0.215746223618692</v>
      </c>
      <c r="F85" s="0" t="n">
        <v>5.22957601736825</v>
      </c>
      <c r="G85" s="0" t="n">
        <v>0.131414267834794</v>
      </c>
      <c r="H85" s="0" t="n">
        <v>0.161451814768461</v>
      </c>
      <c r="I85" s="0" t="n">
        <v>0.625290562529056</v>
      </c>
      <c r="J85" s="0" t="n">
        <v>0.242204545547113</v>
      </c>
      <c r="K85" s="0" t="n">
        <v>0.667715717403612</v>
      </c>
      <c r="L85" s="1" t="b">
        <f aca="false">FALSE()</f>
        <v>0</v>
      </c>
      <c r="N85" s="0" t="n">
        <v>35.8301994736444</v>
      </c>
      <c r="O85" s="0" t="n">
        <v>1</v>
      </c>
      <c r="P85" s="0" t="n">
        <v>0</v>
      </c>
      <c r="Q85" s="0" t="n">
        <v>0</v>
      </c>
      <c r="R85" s="0" t="n">
        <v>8.64815511382498</v>
      </c>
      <c r="S85" s="0" t="n">
        <v>3.87096774193548</v>
      </c>
      <c r="T85" s="0" t="n">
        <v>0.379506641366224</v>
      </c>
      <c r="U85" s="0" t="n">
        <v>0.432357043235704</v>
      </c>
      <c r="V85" s="0" t="n">
        <v>0.580195258019526</v>
      </c>
      <c r="W85" s="0" t="n">
        <v>0.863319386331939</v>
      </c>
      <c r="X85" s="0" t="n">
        <v>0.215746223618692</v>
      </c>
      <c r="Y85" s="0" t="n">
        <v>5.22957601736825</v>
      </c>
      <c r="Z85" s="0" t="n">
        <v>0.242204545547113</v>
      </c>
      <c r="AA85" s="0" t="n">
        <v>-2.77555756156289E-017</v>
      </c>
    </row>
    <row r="86" customFormat="false" ht="15" hidden="false" customHeight="false" outlineLevel="0" collapsed="false">
      <c r="A86" s="0" t="s">
        <v>120</v>
      </c>
      <c r="B86" s="0" t="s">
        <v>33</v>
      </c>
      <c r="C86" s="0" t="s">
        <v>33</v>
      </c>
      <c r="D86" s="0" t="n">
        <v>19.4073608567033</v>
      </c>
      <c r="E86" s="0" t="n">
        <v>0.336908459621943</v>
      </c>
      <c r="F86" s="0" t="n">
        <v>10.0009655619413</v>
      </c>
      <c r="G86" s="0" t="n">
        <v>0.765957446808511</v>
      </c>
      <c r="H86" s="0" t="n">
        <v>0.78973717146433</v>
      </c>
      <c r="I86" s="0" t="n">
        <v>0.5</v>
      </c>
      <c r="J86" s="0" t="n">
        <v>0.722277847309136</v>
      </c>
      <c r="K86" s="0" t="n">
        <v>0.667715717403612</v>
      </c>
      <c r="L86" s="1" t="b">
        <f aca="false">TRUE()</f>
        <v>1</v>
      </c>
      <c r="M86" s="0" t="s">
        <v>3035</v>
      </c>
      <c r="N86" s="0" t="n">
        <v>0</v>
      </c>
      <c r="O86" s="0" t="n">
        <v>0</v>
      </c>
      <c r="P86" s="0" t="n">
        <v>0</v>
      </c>
      <c r="Q86" s="0" t="n">
        <v>0</v>
      </c>
      <c r="U86" s="0" t="n">
        <v>0.5</v>
      </c>
      <c r="V86" s="0" t="n">
        <v>0.5</v>
      </c>
      <c r="W86" s="0" t="n">
        <v>0.5</v>
      </c>
      <c r="X86" s="0" t="n">
        <v>0.336908459621943</v>
      </c>
      <c r="Y86" s="0" t="n">
        <v>10.0009655619413</v>
      </c>
      <c r="Z86" s="0" t="n">
        <v>0.722277847309136</v>
      </c>
      <c r="AA86" s="0" t="n">
        <v>0</v>
      </c>
    </row>
    <row r="87" customFormat="false" ht="15" hidden="false" customHeight="false" outlineLevel="0" collapsed="false">
      <c r="A87" s="0" t="s">
        <v>121</v>
      </c>
      <c r="B87" s="0" t="s">
        <v>3013</v>
      </c>
      <c r="C87" s="0" t="s">
        <v>3038</v>
      </c>
      <c r="D87" s="0" t="n">
        <v>30.2370810189335</v>
      </c>
      <c r="E87" s="0" t="n">
        <v>0.182731373177384</v>
      </c>
      <c r="F87" s="0" t="n">
        <v>5.40300969652183</v>
      </c>
      <c r="G87" s="0" t="n">
        <v>0.0700876095118899</v>
      </c>
      <c r="H87" s="0" t="n">
        <v>0.18648310387985</v>
      </c>
      <c r="I87" s="0" t="n">
        <v>0.848442584844258</v>
      </c>
      <c r="J87" s="0" t="n">
        <v>0.272316802325548</v>
      </c>
      <c r="K87" s="0" t="n">
        <v>0.667715717403612</v>
      </c>
      <c r="L87" s="1" t="b">
        <f aca="false">FALSE()</f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20.8139431106802</v>
      </c>
      <c r="S87" s="0" t="n">
        <v>8.75494940607126</v>
      </c>
      <c r="T87" s="0" t="n">
        <v>0.417949846018479</v>
      </c>
      <c r="U87" s="0" t="n">
        <v>0.806136680613668</v>
      </c>
      <c r="V87" s="0" t="n">
        <v>0.843793584379359</v>
      </c>
      <c r="W87" s="0" t="n">
        <v>0.895397489539749</v>
      </c>
      <c r="X87" s="0" t="n">
        <v>0.182731373177384</v>
      </c>
      <c r="Y87" s="0" t="n">
        <v>5.40300969652183</v>
      </c>
      <c r="Z87" s="0" t="n">
        <v>0.272316802325548</v>
      </c>
      <c r="AA87" s="0" t="n">
        <v>-5.55111512312578E-017</v>
      </c>
    </row>
    <row r="88" customFormat="false" ht="15" hidden="false" customHeight="false" outlineLevel="0" collapsed="false">
      <c r="A88" s="0" t="s">
        <v>122</v>
      </c>
      <c r="B88" s="0" t="s">
        <v>3013</v>
      </c>
      <c r="C88" s="0" t="s">
        <v>3033</v>
      </c>
      <c r="D88" s="0" t="n">
        <v>9.31839406938454</v>
      </c>
      <c r="E88" s="0" t="n">
        <v>0.365542309109859</v>
      </c>
      <c r="F88" s="0" t="n">
        <v>10.0448057073459</v>
      </c>
      <c r="G88" s="0" t="n">
        <v>0.862327909887359</v>
      </c>
      <c r="H88" s="0" t="n">
        <v>0.793491864831039</v>
      </c>
      <c r="I88" s="0" t="n">
        <v>0.139005113900511</v>
      </c>
      <c r="J88" s="0" t="n">
        <v>0.690128932667462</v>
      </c>
      <c r="K88" s="0" t="n">
        <v>0.667715717403612</v>
      </c>
      <c r="L88" s="1" t="b">
        <f aca="false">TRUE()</f>
        <v>1</v>
      </c>
      <c r="M88" s="0" t="s">
        <v>3035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6.23516761784739</v>
      </c>
      <c r="S88" s="0" t="n">
        <v>1.3245033112583</v>
      </c>
      <c r="T88" s="0" t="n">
        <v>0.137969094922737</v>
      </c>
      <c r="U88" s="0" t="n">
        <v>0.244072524407252</v>
      </c>
      <c r="V88" s="0" t="n">
        <v>0.0892608089260809</v>
      </c>
      <c r="W88" s="0" t="n">
        <v>0.0836820083682008</v>
      </c>
      <c r="X88" s="0" t="n">
        <v>0.365542309109859</v>
      </c>
      <c r="Y88" s="0" t="n">
        <v>10.0448057073459</v>
      </c>
      <c r="Z88" s="0" t="n">
        <v>0.690128932667462</v>
      </c>
      <c r="AA88" s="0" t="n">
        <v>0</v>
      </c>
    </row>
    <row r="89" customFormat="false" ht="15" hidden="false" customHeight="false" outlineLevel="0" collapsed="false">
      <c r="A89" s="0" t="s">
        <v>123</v>
      </c>
      <c r="B89" s="0" t="s">
        <v>3013</v>
      </c>
      <c r="C89" s="0" t="s">
        <v>3033</v>
      </c>
      <c r="D89" s="0" t="n">
        <v>23.9075689528817</v>
      </c>
      <c r="E89" s="0" t="n">
        <v>0.275197836061656</v>
      </c>
      <c r="F89" s="0" t="n">
        <v>6.46701048485868</v>
      </c>
      <c r="G89" s="0" t="n">
        <v>0.425531914893617</v>
      </c>
      <c r="H89" s="0" t="n">
        <v>0.337922403003755</v>
      </c>
      <c r="I89" s="0" t="n">
        <v>0.424453742445374</v>
      </c>
      <c r="J89" s="0" t="n">
        <v>0.390272475648024</v>
      </c>
      <c r="K89" s="0" t="n">
        <v>0.667715717403612</v>
      </c>
      <c r="L89" s="1" t="b">
        <f aca="false">FALSE()</f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5.90937684668096</v>
      </c>
      <c r="S89" s="0" t="n">
        <v>1.76470588235293</v>
      </c>
      <c r="T89" s="0" t="n">
        <v>0.359477124183014</v>
      </c>
      <c r="U89" s="0" t="n">
        <v>0.218967921896792</v>
      </c>
      <c r="V89" s="0" t="n">
        <v>0.206415620641562</v>
      </c>
      <c r="W89" s="0" t="n">
        <v>0.847977684797769</v>
      </c>
      <c r="X89" s="0" t="n">
        <v>0.275197836061656</v>
      </c>
      <c r="Y89" s="0" t="n">
        <v>6.46701048485868</v>
      </c>
      <c r="Z89" s="0" t="n">
        <v>0.390272475648024</v>
      </c>
      <c r="AA89" s="0" t="n">
        <v>0</v>
      </c>
    </row>
    <row r="90" customFormat="false" ht="15" hidden="false" customHeight="false" outlineLevel="0" collapsed="false">
      <c r="A90" s="0" t="s">
        <v>124</v>
      </c>
      <c r="B90" s="0" t="s">
        <v>3013</v>
      </c>
      <c r="C90" s="0" t="s">
        <v>3033</v>
      </c>
      <c r="D90" s="0" t="n">
        <v>-43.5476637720383</v>
      </c>
      <c r="E90" s="0" t="n">
        <v>0.312390787274718</v>
      </c>
      <c r="F90" s="0" t="n">
        <v>8.52505885004904</v>
      </c>
      <c r="G90" s="0" t="n">
        <v>0.625782227784731</v>
      </c>
      <c r="H90" s="0" t="n">
        <v>0.609511889862328</v>
      </c>
      <c r="I90" s="0" t="n">
        <v>0.413761041376104</v>
      </c>
      <c r="J90" s="0" t="n">
        <v>0.576869855334044</v>
      </c>
      <c r="K90" s="0" t="n">
        <v>0.667715717403612</v>
      </c>
      <c r="L90" s="1" t="b">
        <f aca="false">FALSE()</f>
        <v>0</v>
      </c>
      <c r="N90" s="0" t="n">
        <v>0</v>
      </c>
      <c r="O90" s="0" t="n">
        <v>0</v>
      </c>
      <c r="P90" s="0" t="n">
        <v>1</v>
      </c>
      <c r="Q90" s="0" t="n">
        <v>43.5476637720383</v>
      </c>
      <c r="R90" s="0" t="n">
        <v>5.74606822900417</v>
      </c>
      <c r="S90" s="0" t="n">
        <v>2.57192676547514</v>
      </c>
      <c r="T90" s="0" t="n">
        <v>0.261551874455104</v>
      </c>
      <c r="U90" s="0" t="n">
        <v>0.198047419804742</v>
      </c>
      <c r="V90" s="0" t="n">
        <v>0.403068340306834</v>
      </c>
      <c r="W90" s="0" t="n">
        <v>0.640167364016736</v>
      </c>
      <c r="X90" s="0" t="n">
        <v>0.312390787274718</v>
      </c>
      <c r="Y90" s="0" t="n">
        <v>8.52505885004904</v>
      </c>
      <c r="Z90" s="0" t="n">
        <v>0.576869855334044</v>
      </c>
      <c r="AA90" s="0" t="n">
        <v>0</v>
      </c>
    </row>
    <row r="91" customFormat="false" ht="15" hidden="false" customHeight="false" outlineLevel="0" collapsed="false">
      <c r="A91" s="0" t="s">
        <v>125</v>
      </c>
      <c r="B91" s="0" t="s">
        <v>3013</v>
      </c>
      <c r="C91" s="0" t="s">
        <v>3033</v>
      </c>
      <c r="D91" s="0" t="n">
        <v>20.4048623927486</v>
      </c>
      <c r="E91" s="0" t="n">
        <v>0.275756649334985</v>
      </c>
      <c r="F91" s="0" t="n">
        <v>9.16304531973756</v>
      </c>
      <c r="G91" s="0" t="n">
        <v>0.431789737171464</v>
      </c>
      <c r="H91" s="0" t="n">
        <v>0.699624530663329</v>
      </c>
      <c r="I91" s="0" t="n">
        <v>0.605299860529986</v>
      </c>
      <c r="J91" s="0" t="n">
        <v>0.573625679239915</v>
      </c>
      <c r="K91" s="0" t="n">
        <v>0.667715717403612</v>
      </c>
      <c r="L91" s="1" t="b">
        <f aca="false">FALSE()</f>
        <v>0</v>
      </c>
      <c r="N91" s="0" t="n">
        <v>43.5476637720383</v>
      </c>
      <c r="O91" s="0" t="n">
        <v>1</v>
      </c>
      <c r="P91" s="0" t="n">
        <v>0</v>
      </c>
      <c r="Q91" s="0" t="n">
        <v>0</v>
      </c>
      <c r="R91" s="0" t="n">
        <v>7.01660383616752</v>
      </c>
      <c r="S91" s="0" t="n">
        <v>4.54545454545455</v>
      </c>
      <c r="T91" s="0" t="n">
        <v>0.363636363636377</v>
      </c>
      <c r="U91" s="0" t="n">
        <v>0.315202231520223</v>
      </c>
      <c r="V91" s="0" t="n">
        <v>0.648535564853557</v>
      </c>
      <c r="W91" s="0" t="n">
        <v>0.852161785216179</v>
      </c>
      <c r="X91" s="0" t="n">
        <v>0.275756649334985</v>
      </c>
      <c r="Y91" s="0" t="n">
        <v>9.16304531973756</v>
      </c>
      <c r="Z91" s="0" t="n">
        <v>0.573625679239915</v>
      </c>
      <c r="AA91" s="0" t="n">
        <v>0</v>
      </c>
    </row>
    <row r="92" customFormat="false" ht="15" hidden="false" customHeight="false" outlineLevel="0" collapsed="false">
      <c r="A92" s="0" t="s">
        <v>126</v>
      </c>
      <c r="B92" s="0" t="s">
        <v>3013</v>
      </c>
      <c r="C92" s="0" t="s">
        <v>3036</v>
      </c>
      <c r="D92" s="0" t="n">
        <v>27.5533059158218</v>
      </c>
      <c r="E92" s="0" t="n">
        <v>0.2644475576619</v>
      </c>
      <c r="F92" s="0" t="n">
        <v>6.93217143623796</v>
      </c>
      <c r="G92" s="0" t="n">
        <v>0.362953692115144</v>
      </c>
      <c r="H92" s="0" t="n">
        <v>0.409261576971214</v>
      </c>
      <c r="I92" s="0" t="n">
        <v>0.243607624360762</v>
      </c>
      <c r="J92" s="0" t="n">
        <v>0.357607632506696</v>
      </c>
      <c r="K92" s="0" t="n">
        <v>0.667715717403612</v>
      </c>
      <c r="L92" s="1" t="b">
        <f aca="false">FALSE()</f>
        <v>0</v>
      </c>
      <c r="N92" s="0" t="n">
        <v>23.1428013792897</v>
      </c>
      <c r="O92" s="0" t="n">
        <v>0</v>
      </c>
      <c r="P92" s="0" t="n">
        <v>0</v>
      </c>
      <c r="Q92" s="0" t="n">
        <v>0</v>
      </c>
      <c r="R92" s="0" t="n">
        <v>5.85344863045122</v>
      </c>
      <c r="S92" s="0" t="n">
        <v>1.22759636631476</v>
      </c>
      <c r="T92" s="0" t="n">
        <v>0.220967345936657</v>
      </c>
      <c r="U92" s="0" t="n">
        <v>0.210599721059972</v>
      </c>
      <c r="V92" s="0" t="n">
        <v>0.0767085076708508</v>
      </c>
      <c r="W92" s="0" t="n">
        <v>0.443514644351464</v>
      </c>
      <c r="X92" s="0" t="n">
        <v>0.2644475576619</v>
      </c>
      <c r="Y92" s="0" t="n">
        <v>6.93217143623796</v>
      </c>
      <c r="Z92" s="0" t="n">
        <v>0.357607632506696</v>
      </c>
      <c r="AA92" s="0" t="n">
        <v>0</v>
      </c>
    </row>
    <row r="93" customFormat="false" ht="15" hidden="false" customHeight="false" outlineLevel="0" collapsed="false">
      <c r="A93" s="0" t="s">
        <v>127</v>
      </c>
      <c r="B93" s="0" t="s">
        <v>3013</v>
      </c>
      <c r="C93" s="0" t="s">
        <v>3034</v>
      </c>
      <c r="D93" s="0" t="n">
        <v>14.453933371777</v>
      </c>
      <c r="E93" s="0" t="n">
        <v>0.29554403509654</v>
      </c>
      <c r="F93" s="0" t="n">
        <v>8.3178188661758</v>
      </c>
      <c r="G93" s="0" t="n">
        <v>0.549436795994994</v>
      </c>
      <c r="H93" s="0" t="n">
        <v>0.583229036295369</v>
      </c>
      <c r="I93" s="0" t="n">
        <v>0.804277080427708</v>
      </c>
      <c r="J93" s="0" t="n">
        <v>0.613921749001687</v>
      </c>
      <c r="K93" s="0" t="n">
        <v>0.667715717403612</v>
      </c>
      <c r="L93" s="1" t="b">
        <f aca="false">FALSE()</f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24.3611573462912</v>
      </c>
      <c r="S93" s="0" t="n">
        <v>6.26625065002599</v>
      </c>
      <c r="T93" s="0" t="n">
        <v>0.338013520540817</v>
      </c>
      <c r="U93" s="0" t="n">
        <v>0.847977684797769</v>
      </c>
      <c r="V93" s="0" t="n">
        <v>0.753138075313808</v>
      </c>
      <c r="W93" s="0" t="n">
        <v>0.811715481171548</v>
      </c>
      <c r="X93" s="0" t="n">
        <v>0.29554403509654</v>
      </c>
      <c r="Y93" s="0" t="n">
        <v>8.3178188661758</v>
      </c>
      <c r="Z93" s="0" t="n">
        <v>0.613921749001687</v>
      </c>
      <c r="AA93" s="0" t="n">
        <v>0</v>
      </c>
    </row>
    <row r="94" customFormat="false" ht="15" hidden="false" customHeight="false" outlineLevel="0" collapsed="false">
      <c r="A94" s="0" t="s">
        <v>128</v>
      </c>
      <c r="B94" s="0" t="s">
        <v>3013</v>
      </c>
      <c r="C94" s="0" t="s">
        <v>3036</v>
      </c>
      <c r="D94" s="0" t="n">
        <v>22.3288914567391</v>
      </c>
      <c r="E94" s="0" t="n">
        <v>0.289761486761708</v>
      </c>
      <c r="F94" s="0" t="n">
        <v>5.99744406619564</v>
      </c>
      <c r="G94" s="0" t="n">
        <v>0.523153942428035</v>
      </c>
      <c r="H94" s="0" t="n">
        <v>0.267834793491865</v>
      </c>
      <c r="I94" s="0" t="n">
        <v>0.297071129707113</v>
      </c>
      <c r="J94" s="0" t="n">
        <v>0.375809720309383</v>
      </c>
      <c r="K94" s="0" t="n">
        <v>0.667715717403612</v>
      </c>
      <c r="L94" s="1" t="b">
        <f aca="false">FALSE()</f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5.07703854134544</v>
      </c>
      <c r="S94" s="0" t="n">
        <v>1.18302018093249</v>
      </c>
      <c r="T94" s="0" t="n">
        <v>0.27835768963118</v>
      </c>
      <c r="U94" s="0" t="n">
        <v>0.133891213389121</v>
      </c>
      <c r="V94" s="0" t="n">
        <v>0.0641562064156206</v>
      </c>
      <c r="W94" s="0" t="n">
        <v>0.693165969316597</v>
      </c>
      <c r="X94" s="0" t="n">
        <v>0.289761486761708</v>
      </c>
      <c r="Y94" s="0" t="n">
        <v>5.99744406619565</v>
      </c>
      <c r="Z94" s="0" t="n">
        <v>0.375809720309383</v>
      </c>
      <c r="AA94" s="0" t="n">
        <v>0</v>
      </c>
    </row>
    <row r="95" customFormat="false" ht="15" hidden="false" customHeight="false" outlineLevel="0" collapsed="false">
      <c r="A95" s="0" t="s">
        <v>129</v>
      </c>
      <c r="B95" s="0" t="s">
        <v>3013</v>
      </c>
      <c r="C95" s="0" t="s">
        <v>3033</v>
      </c>
      <c r="D95" s="0" t="n">
        <v>-13.6060960288464</v>
      </c>
      <c r="E95" s="0" t="n">
        <v>0.328207648879302</v>
      </c>
      <c r="F95" s="0" t="n">
        <v>9.71309373848454</v>
      </c>
      <c r="G95" s="0" t="n">
        <v>0.724655819774718</v>
      </c>
      <c r="H95" s="0" t="n">
        <v>0.749687108886108</v>
      </c>
      <c r="I95" s="0" t="n">
        <v>0.482566248256625</v>
      </c>
      <c r="J95" s="0" t="n">
        <v>0.686250421115656</v>
      </c>
      <c r="K95" s="0" t="n">
        <v>0.667715717403612</v>
      </c>
      <c r="L95" s="1" t="b">
        <f aca="false">TRUE()</f>
        <v>1</v>
      </c>
      <c r="M95" s="0" t="s">
        <v>3035</v>
      </c>
      <c r="N95" s="0" t="n">
        <v>0</v>
      </c>
      <c r="O95" s="0" t="n">
        <v>0</v>
      </c>
      <c r="P95" s="0" t="n">
        <v>1</v>
      </c>
      <c r="Q95" s="0" t="n">
        <v>13.6060960288464</v>
      </c>
      <c r="R95" s="0" t="n">
        <v>7.35665572114147</v>
      </c>
      <c r="S95" s="0" t="n">
        <v>2.46507806080526</v>
      </c>
      <c r="T95" s="0" t="n">
        <v>0.287592440427276</v>
      </c>
      <c r="U95" s="0" t="n">
        <v>0.341701534170153</v>
      </c>
      <c r="V95" s="0" t="n">
        <v>0.386331938633194</v>
      </c>
      <c r="W95" s="0" t="n">
        <v>0.719665271966527</v>
      </c>
      <c r="X95" s="0" t="n">
        <v>0.328207648879302</v>
      </c>
      <c r="Y95" s="0" t="n">
        <v>9.71309373848454</v>
      </c>
      <c r="Z95" s="0" t="n">
        <v>0.686250421115656</v>
      </c>
      <c r="AA95" s="0" t="n">
        <v>0</v>
      </c>
    </row>
    <row r="96" customFormat="false" ht="15" hidden="false" customHeight="false" outlineLevel="0" collapsed="false">
      <c r="A96" s="0" t="s">
        <v>130</v>
      </c>
      <c r="B96" s="0" t="s">
        <v>3013</v>
      </c>
      <c r="C96" s="0" t="s">
        <v>3033</v>
      </c>
      <c r="D96" s="0" t="n">
        <v>50.1779027547682</v>
      </c>
      <c r="E96" s="0" t="n">
        <v>0.271782846129358</v>
      </c>
      <c r="F96" s="0" t="n">
        <v>9.80698760316111</v>
      </c>
      <c r="G96" s="0" t="n">
        <v>0.400500625782228</v>
      </c>
      <c r="H96" s="0" t="n">
        <v>0.76720901126408</v>
      </c>
      <c r="I96" s="0" t="n">
        <v>0.766620176662018</v>
      </c>
      <c r="J96" s="0" t="n">
        <v>0.620407890150927</v>
      </c>
      <c r="K96" s="0" t="n">
        <v>0.667715717403612</v>
      </c>
      <c r="L96" s="1" t="b">
        <f aca="false">FALSE()</f>
        <v>0</v>
      </c>
      <c r="N96" s="0" t="n">
        <v>13.6060960288464</v>
      </c>
      <c r="O96" s="0" t="n">
        <v>1</v>
      </c>
      <c r="P96" s="0" t="n">
        <v>0</v>
      </c>
      <c r="Q96" s="0" t="n">
        <v>0</v>
      </c>
      <c r="R96" s="0" t="n">
        <v>11.6395502350232</v>
      </c>
      <c r="S96" s="0" t="n">
        <v>6.61925601750547</v>
      </c>
      <c r="T96" s="0" t="n">
        <v>0.492341356673964</v>
      </c>
      <c r="U96" s="0" t="n">
        <v>0.581589958158996</v>
      </c>
      <c r="V96" s="0" t="n">
        <v>0.771269177126918</v>
      </c>
      <c r="W96" s="0" t="n">
        <v>0.947001394700139</v>
      </c>
      <c r="X96" s="0" t="n">
        <v>0.271782846129358</v>
      </c>
      <c r="Y96" s="0" t="n">
        <v>9.80698760316112</v>
      </c>
      <c r="Z96" s="0" t="n">
        <v>0.620407890150927</v>
      </c>
      <c r="AA96" s="0" t="n">
        <v>0</v>
      </c>
    </row>
    <row r="97" customFormat="false" ht="15" hidden="false" customHeight="false" outlineLevel="0" collapsed="false">
      <c r="A97" s="0" t="s">
        <v>131</v>
      </c>
      <c r="B97" s="0" t="s">
        <v>3013</v>
      </c>
      <c r="C97" s="0" t="s">
        <v>3034</v>
      </c>
      <c r="D97" s="0" t="n">
        <v>-41.6233035068069</v>
      </c>
      <c r="E97" s="0" t="n">
        <v>0.300638621291282</v>
      </c>
      <c r="F97" s="0" t="n">
        <v>12.8620145552938</v>
      </c>
      <c r="G97" s="0" t="n">
        <v>0.569461827284105</v>
      </c>
      <c r="H97" s="0" t="n">
        <v>0.948685857321652</v>
      </c>
      <c r="I97" s="0" t="n">
        <v>0.708042770804277</v>
      </c>
      <c r="J97" s="0" t="n">
        <v>0.748867628003158</v>
      </c>
      <c r="K97" s="0" t="n">
        <v>0.667715717403612</v>
      </c>
      <c r="L97" s="1" t="b">
        <f aca="false">TRUE()</f>
        <v>1</v>
      </c>
      <c r="M97" s="0" t="s">
        <v>3035</v>
      </c>
      <c r="N97" s="0" t="n">
        <v>0</v>
      </c>
      <c r="O97" s="0" t="n">
        <v>0</v>
      </c>
      <c r="P97" s="0" t="n">
        <v>1</v>
      </c>
      <c r="Q97" s="0" t="n">
        <v>41.6233035068069</v>
      </c>
      <c r="R97" s="0" t="n">
        <v>16.4859308296545</v>
      </c>
      <c r="S97" s="0" t="n">
        <v>4.82614478434354</v>
      </c>
      <c r="T97" s="0" t="n">
        <v>0.285008550256508</v>
      </c>
      <c r="U97" s="0" t="n">
        <v>0.735006973500697</v>
      </c>
      <c r="V97" s="0" t="n">
        <v>0.677824267782427</v>
      </c>
      <c r="W97" s="0" t="n">
        <v>0.711297071129707</v>
      </c>
      <c r="X97" s="0" t="n">
        <v>0.300638621291282</v>
      </c>
      <c r="Y97" s="0" t="n">
        <v>12.8620145552938</v>
      </c>
      <c r="Z97" s="0" t="n">
        <v>0.748867628003158</v>
      </c>
      <c r="AA97" s="0" t="n">
        <v>0</v>
      </c>
    </row>
    <row r="98" customFormat="false" ht="15" hidden="false" customHeight="false" outlineLevel="0" collapsed="false">
      <c r="A98" s="0" t="s">
        <v>132</v>
      </c>
      <c r="B98" s="0" t="s">
        <v>3013</v>
      </c>
      <c r="C98" s="0" t="s">
        <v>3036</v>
      </c>
      <c r="D98" s="0" t="n">
        <v>9.1129722783956</v>
      </c>
      <c r="E98" s="0" t="n">
        <v>0.382363764273069</v>
      </c>
      <c r="F98" s="0" t="n">
        <v>8.4109650590109</v>
      </c>
      <c r="G98" s="0" t="n">
        <v>0.908635794743429</v>
      </c>
      <c r="H98" s="0" t="n">
        <v>0.594493116395494</v>
      </c>
      <c r="I98" s="0" t="n">
        <v>0.474198047419805</v>
      </c>
      <c r="J98" s="0" t="n">
        <v>0.696091173939531</v>
      </c>
      <c r="K98" s="0" t="n">
        <v>0.667715717403612</v>
      </c>
      <c r="L98" s="1" t="b">
        <f aca="false">TRUE()</f>
        <v>1</v>
      </c>
      <c r="M98" s="0" t="s">
        <v>3035</v>
      </c>
      <c r="N98" s="0" t="n">
        <v>41.6233035068069</v>
      </c>
      <c r="O98" s="0" t="n">
        <v>1</v>
      </c>
      <c r="P98" s="0" t="n">
        <v>0</v>
      </c>
      <c r="Q98" s="0" t="n">
        <v>0</v>
      </c>
      <c r="R98" s="0" t="n">
        <v>10.8593377415158</v>
      </c>
      <c r="S98" s="0" t="n">
        <v>1.92599004544472</v>
      </c>
      <c r="T98" s="0" t="n">
        <v>0.2596840510712</v>
      </c>
      <c r="U98" s="0" t="n">
        <v>0.539748953974895</v>
      </c>
      <c r="V98" s="0" t="n">
        <v>0.252440725244073</v>
      </c>
      <c r="W98" s="0" t="n">
        <v>0.630404463040446</v>
      </c>
      <c r="X98" s="0" t="n">
        <v>0.382363764273069</v>
      </c>
      <c r="Y98" s="0" t="n">
        <v>8.4109650590109</v>
      </c>
      <c r="Z98" s="0" t="n">
        <v>0.696091173939531</v>
      </c>
      <c r="AA98" s="0" t="n">
        <v>0</v>
      </c>
    </row>
    <row r="99" customFormat="false" ht="15" hidden="false" customHeight="false" outlineLevel="0" collapsed="false">
      <c r="A99" s="0" t="s">
        <v>133</v>
      </c>
      <c r="B99" s="0" t="s">
        <v>3013</v>
      </c>
      <c r="C99" s="0" t="s">
        <v>3036</v>
      </c>
      <c r="D99" s="0" t="n">
        <v>-44.0876468152078</v>
      </c>
      <c r="E99" s="0" t="n">
        <v>0.325217680347208</v>
      </c>
      <c r="F99" s="0" t="n">
        <v>9.7118396534443</v>
      </c>
      <c r="G99" s="0" t="n">
        <v>0.704630788485607</v>
      </c>
      <c r="H99" s="0" t="n">
        <v>0.748435544430538</v>
      </c>
      <c r="I99" s="0" t="n">
        <v>0.452347745234775</v>
      </c>
      <c r="J99" s="0" t="n">
        <v>0.671696082213413</v>
      </c>
      <c r="K99" s="0" t="n">
        <v>0.667715717403612</v>
      </c>
      <c r="L99" s="1" t="b">
        <f aca="false">TRUE()</f>
        <v>1</v>
      </c>
      <c r="M99" s="0" t="s">
        <v>3035</v>
      </c>
      <c r="N99" s="0" t="n">
        <v>32.5103312284114</v>
      </c>
      <c r="O99" s="0" t="n">
        <v>0</v>
      </c>
      <c r="P99" s="0" t="n">
        <v>1</v>
      </c>
      <c r="Q99" s="0" t="n">
        <v>44.0876468152078</v>
      </c>
      <c r="R99" s="0" t="n">
        <v>8.62815496545555</v>
      </c>
      <c r="S99" s="0" t="n">
        <v>1.69204737732657</v>
      </c>
      <c r="T99" s="0" t="n">
        <v>0.296108291032144</v>
      </c>
      <c r="U99" s="0" t="n">
        <v>0.429567642956764</v>
      </c>
      <c r="V99" s="0" t="n">
        <v>0.186889818688982</v>
      </c>
      <c r="W99" s="0" t="n">
        <v>0.740585774058577</v>
      </c>
      <c r="X99" s="0" t="n">
        <v>0.325217680347208</v>
      </c>
      <c r="Y99" s="0" t="n">
        <v>9.7118396534443</v>
      </c>
      <c r="Z99" s="0" t="n">
        <v>0.671696082213413</v>
      </c>
      <c r="AA99" s="0" t="n">
        <v>0</v>
      </c>
    </row>
    <row r="100" customFormat="false" ht="15" hidden="false" customHeight="false" outlineLevel="0" collapsed="false">
      <c r="A100" s="0" t="s">
        <v>134</v>
      </c>
      <c r="B100" s="0" t="s">
        <v>3013</v>
      </c>
      <c r="C100" s="0" t="s">
        <v>3033</v>
      </c>
      <c r="D100" s="0" t="n">
        <v>17.9068905593983</v>
      </c>
      <c r="E100" s="0" t="n">
        <v>0.293557388191295</v>
      </c>
      <c r="F100" s="0" t="n">
        <v>12.150666889024</v>
      </c>
      <c r="G100" s="0" t="n">
        <v>0.544430538172716</v>
      </c>
      <c r="H100" s="0" t="n">
        <v>0.924906132665832</v>
      </c>
      <c r="I100" s="0" t="n">
        <v>0.735006973500697</v>
      </c>
      <c r="J100" s="0" t="n">
        <v>0.734736063035559</v>
      </c>
      <c r="K100" s="0" t="n">
        <v>0.667715717403612</v>
      </c>
      <c r="L100" s="1" t="b">
        <f aca="false">TRUE()</f>
        <v>1</v>
      </c>
      <c r="M100" s="0" t="s">
        <v>3035</v>
      </c>
      <c r="N100" s="0" t="n">
        <v>76.5979780436192</v>
      </c>
      <c r="O100" s="0" t="n">
        <v>1</v>
      </c>
      <c r="P100" s="0" t="n">
        <v>0</v>
      </c>
      <c r="Q100" s="0" t="n">
        <v>0</v>
      </c>
      <c r="R100" s="0" t="n">
        <v>10.049771812935</v>
      </c>
      <c r="S100" s="0" t="n">
        <v>6.38075313807531</v>
      </c>
      <c r="T100" s="0" t="n">
        <v>0.470711297071125</v>
      </c>
      <c r="U100" s="0" t="n">
        <v>0.509065550906555</v>
      </c>
      <c r="V100" s="0" t="n">
        <v>0.758716875871688</v>
      </c>
      <c r="W100" s="0" t="n">
        <v>0.937238493723849</v>
      </c>
      <c r="X100" s="0" t="n">
        <v>0.293557388191295</v>
      </c>
      <c r="Y100" s="0" t="n">
        <v>12.150666889024</v>
      </c>
      <c r="Z100" s="0" t="n">
        <v>0.734736063035559</v>
      </c>
      <c r="AA100" s="0" t="n">
        <v>0</v>
      </c>
    </row>
    <row r="101" customFormat="false" ht="15" hidden="false" customHeight="false" outlineLevel="0" collapsed="false">
      <c r="A101" s="0" t="s">
        <v>135</v>
      </c>
      <c r="B101" s="0" t="s">
        <v>3013</v>
      </c>
      <c r="C101" s="0" t="s">
        <v>3036</v>
      </c>
      <c r="D101" s="0" t="n">
        <v>30.9231504524188</v>
      </c>
      <c r="E101" s="0" t="n">
        <v>0.286276581456239</v>
      </c>
      <c r="F101" s="0" t="n">
        <v>8.76663136995444</v>
      </c>
      <c r="G101" s="0" t="n">
        <v>0.500625782227785</v>
      </c>
      <c r="H101" s="0" t="n">
        <v>0.645807259073842</v>
      </c>
      <c r="I101" s="0" t="n">
        <v>0.350999535099954</v>
      </c>
      <c r="J101" s="0" t="n">
        <v>0.528773123540642</v>
      </c>
      <c r="K101" s="0" t="n">
        <v>0.667715717403612</v>
      </c>
      <c r="L101" s="1" t="b">
        <f aca="false">FALSE()</f>
        <v>0</v>
      </c>
      <c r="N101" s="0" t="n">
        <v>58.6910874842208</v>
      </c>
      <c r="O101" s="0" t="n">
        <v>0</v>
      </c>
      <c r="P101" s="0" t="n">
        <v>0</v>
      </c>
      <c r="Q101" s="0" t="n">
        <v>0</v>
      </c>
      <c r="R101" s="0" t="n">
        <v>7.83300537887403</v>
      </c>
      <c r="S101" s="0" t="n">
        <v>0.915382897968289</v>
      </c>
      <c r="T101" s="0" t="n">
        <v>0.267916945746822</v>
      </c>
      <c r="U101" s="0" t="n">
        <v>0.372384937238494</v>
      </c>
      <c r="V101" s="0" t="n">
        <v>0.0209205020920502</v>
      </c>
      <c r="W101" s="0" t="n">
        <v>0.659693165969317</v>
      </c>
      <c r="X101" s="0" t="n">
        <v>0.286276581456239</v>
      </c>
      <c r="Y101" s="0" t="n">
        <v>8.76663136995444</v>
      </c>
      <c r="Z101" s="0" t="n">
        <v>0.528773123540642</v>
      </c>
      <c r="AA101" s="0" t="n">
        <v>0</v>
      </c>
    </row>
    <row r="102" customFormat="false" ht="15" hidden="false" customHeight="false" outlineLevel="0" collapsed="false">
      <c r="A102" s="0" t="s">
        <v>136</v>
      </c>
      <c r="B102" s="0" t="s">
        <v>3013</v>
      </c>
      <c r="C102" s="0" t="s">
        <v>3036</v>
      </c>
      <c r="D102" s="0" t="n">
        <v>46.9623077258824</v>
      </c>
      <c r="E102" s="0" t="n">
        <v>0.33964673960717</v>
      </c>
      <c r="F102" s="0" t="n">
        <v>8.72962962267711</v>
      </c>
      <c r="G102" s="0" t="n">
        <v>0.782227784730914</v>
      </c>
      <c r="H102" s="0" t="n">
        <v>0.635794743429287</v>
      </c>
      <c r="I102" s="0" t="n">
        <v>0.317991631799163</v>
      </c>
      <c r="J102" s="0" t="n">
        <v>0.630807337623913</v>
      </c>
      <c r="K102" s="0" t="n">
        <v>0.667715717403612</v>
      </c>
      <c r="L102" s="1" t="b">
        <f aca="false">FALSE()</f>
        <v>0</v>
      </c>
      <c r="N102" s="0" t="n">
        <v>27.7679370318022</v>
      </c>
      <c r="O102" s="0" t="n">
        <v>0</v>
      </c>
      <c r="P102" s="0" t="n">
        <v>0</v>
      </c>
      <c r="Q102" s="0" t="n">
        <v>0</v>
      </c>
      <c r="R102" s="0" t="n">
        <v>6.98710389285973</v>
      </c>
      <c r="S102" s="0" t="n">
        <v>1.10097514941806</v>
      </c>
      <c r="T102" s="0" t="n">
        <v>0.251651462724122</v>
      </c>
      <c r="U102" s="0" t="n">
        <v>0.311018131101813</v>
      </c>
      <c r="V102" s="0" t="n">
        <v>0.0432357043235704</v>
      </c>
      <c r="W102" s="0" t="n">
        <v>0.599721059972106</v>
      </c>
      <c r="X102" s="0" t="n">
        <v>0.33964673960717</v>
      </c>
      <c r="Y102" s="0" t="n">
        <v>8.72962962267711</v>
      </c>
      <c r="Z102" s="0" t="n">
        <v>0.630807337623913</v>
      </c>
      <c r="AA102" s="0" t="n">
        <v>0</v>
      </c>
    </row>
    <row r="103" customFormat="false" ht="15" hidden="false" customHeight="false" outlineLevel="0" collapsed="false">
      <c r="A103" s="0" t="s">
        <v>137</v>
      </c>
      <c r="B103" s="0" t="s">
        <v>3013</v>
      </c>
      <c r="C103" s="0" t="s">
        <v>3036</v>
      </c>
      <c r="D103" s="0" t="n">
        <v>24.3564865763699</v>
      </c>
      <c r="E103" s="0" t="n">
        <v>0.261915419396014</v>
      </c>
      <c r="F103" s="0" t="n">
        <v>7.65096005418894</v>
      </c>
      <c r="G103" s="0" t="n">
        <v>0.345431789737172</v>
      </c>
      <c r="H103" s="0" t="n">
        <v>0.506883604505632</v>
      </c>
      <c r="I103" s="0" t="n">
        <v>0.379358437935844</v>
      </c>
      <c r="J103" s="0" t="n">
        <v>0.41679784528429</v>
      </c>
      <c r="K103" s="0" t="n">
        <v>0.667715717403612</v>
      </c>
      <c r="L103" s="1" t="b">
        <f aca="false">FALSE()</f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4.68342291308928</v>
      </c>
      <c r="S103" s="0" t="n">
        <v>1.81513543702876</v>
      </c>
      <c r="T103" s="0" t="n">
        <v>0.335101926836084</v>
      </c>
      <c r="U103" s="0" t="n">
        <v>0.111576011157601</v>
      </c>
      <c r="V103" s="0" t="n">
        <v>0.218967921896792</v>
      </c>
      <c r="W103" s="0" t="n">
        <v>0.807531380753138</v>
      </c>
      <c r="X103" s="0" t="n">
        <v>0.261915419396014</v>
      </c>
      <c r="Y103" s="0" t="n">
        <v>7.65096005418895</v>
      </c>
      <c r="Z103" s="0" t="n">
        <v>0.41679784528429</v>
      </c>
      <c r="AA103" s="0" t="n">
        <v>0</v>
      </c>
    </row>
    <row r="104" customFormat="false" ht="15" hidden="false" customHeight="false" outlineLevel="0" collapsed="false">
      <c r="A104" s="0" t="s">
        <v>138</v>
      </c>
      <c r="B104" s="0" t="s">
        <v>3013</v>
      </c>
      <c r="C104" s="0" t="s">
        <v>3036</v>
      </c>
      <c r="D104" s="0" t="n">
        <v>26.498767602304</v>
      </c>
      <c r="E104" s="0" t="n">
        <v>0.338347506545868</v>
      </c>
      <c r="F104" s="0" t="n">
        <v>9.46053631885491</v>
      </c>
      <c r="G104" s="0" t="n">
        <v>0.779724655819775</v>
      </c>
      <c r="H104" s="0" t="n">
        <v>0.724655819774718</v>
      </c>
      <c r="I104" s="0" t="n">
        <v>0.127150162715016</v>
      </c>
      <c r="J104" s="0" t="n">
        <v>0.627182222780801</v>
      </c>
      <c r="K104" s="0" t="n">
        <v>0.667715717403612</v>
      </c>
      <c r="L104" s="1" t="b">
        <f aca="false">FALSE()</f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4.1139533177922</v>
      </c>
      <c r="S104" s="0" t="n">
        <v>1.15729806329713</v>
      </c>
      <c r="T104" s="0" t="n">
        <v>0.188946622579124</v>
      </c>
      <c r="U104" s="0" t="n">
        <v>0.0794979079497908</v>
      </c>
      <c r="V104" s="0" t="n">
        <v>0.0557880055788006</v>
      </c>
      <c r="W104" s="0" t="n">
        <v>0.246164574616458</v>
      </c>
      <c r="X104" s="0" t="n">
        <v>0.338347506545868</v>
      </c>
      <c r="Y104" s="0" t="n">
        <v>9.46053631885491</v>
      </c>
      <c r="Z104" s="0" t="n">
        <v>0.627182222780801</v>
      </c>
      <c r="AA104" s="0" t="n">
        <v>0</v>
      </c>
    </row>
    <row r="105" customFormat="false" ht="15" hidden="false" customHeight="false" outlineLevel="0" collapsed="false">
      <c r="A105" s="0" t="s">
        <v>139</v>
      </c>
      <c r="B105" s="0" t="s">
        <v>3013</v>
      </c>
      <c r="C105" s="0" t="s">
        <v>3033</v>
      </c>
      <c r="D105" s="0" t="n">
        <v>13.8148849665922</v>
      </c>
      <c r="E105" s="0" t="n">
        <v>0.206131519310154</v>
      </c>
      <c r="F105" s="0" t="n">
        <v>7.06142539806725</v>
      </c>
      <c r="G105" s="0" t="n">
        <v>0.113892365456821</v>
      </c>
      <c r="H105" s="0" t="n">
        <v>0.425531914893617</v>
      </c>
      <c r="I105" s="0" t="n">
        <v>0.421199442119944</v>
      </c>
      <c r="J105" s="0" t="n">
        <v>0.300009600564164</v>
      </c>
      <c r="K105" s="0" t="n">
        <v>0.667715717403612</v>
      </c>
      <c r="L105" s="1" t="b">
        <f aca="false">FALSE()</f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5.26429585342673</v>
      </c>
      <c r="S105" s="0" t="n">
        <v>1.83052849129021</v>
      </c>
      <c r="T105" s="0" t="n">
        <v>0.413345143194569</v>
      </c>
      <c r="U105" s="0" t="n">
        <v>0.146443514644352</v>
      </c>
      <c r="V105" s="0" t="n">
        <v>0.225941422594142</v>
      </c>
      <c r="W105" s="0" t="n">
        <v>0.891213389121339</v>
      </c>
      <c r="X105" s="0" t="n">
        <v>0.206131519310154</v>
      </c>
      <c r="Y105" s="0" t="n">
        <v>7.06142539806725</v>
      </c>
      <c r="Z105" s="0" t="n">
        <v>0.300009600564164</v>
      </c>
      <c r="AA105" s="0" t="n">
        <v>0</v>
      </c>
    </row>
    <row r="106" customFormat="false" ht="15" hidden="false" customHeight="false" outlineLevel="0" collapsed="false">
      <c r="A106" s="0" t="s">
        <v>140</v>
      </c>
      <c r="B106" s="0" t="s">
        <v>3013</v>
      </c>
      <c r="C106" s="0" t="s">
        <v>3034</v>
      </c>
      <c r="D106" s="0" t="n">
        <v>28.4813626005651</v>
      </c>
      <c r="E106" s="0" t="n">
        <v>0.358075089997394</v>
      </c>
      <c r="F106" s="0" t="n">
        <v>8.94686502044864</v>
      </c>
      <c r="G106" s="0" t="n">
        <v>0.842302878598248</v>
      </c>
      <c r="H106" s="0" t="n">
        <v>0.673341677096371</v>
      </c>
      <c r="I106" s="0" t="n">
        <v>0.570897257089726</v>
      </c>
      <c r="J106" s="0" t="n">
        <v>0.720437273695793</v>
      </c>
      <c r="K106" s="0" t="n">
        <v>0.667715717403612</v>
      </c>
      <c r="L106" s="1" t="b">
        <f aca="false">TRUE()</f>
        <v>1</v>
      </c>
      <c r="M106" s="0" t="s">
        <v>3035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8.48723735655956</v>
      </c>
      <c r="S106" s="0" t="n">
        <v>5.21684475172846</v>
      </c>
      <c r="T106" s="0" t="n">
        <v>0.251414204902581</v>
      </c>
      <c r="U106" s="0" t="n">
        <v>0.415620641562064</v>
      </c>
      <c r="V106" s="0" t="n">
        <v>0.700139470013947</v>
      </c>
      <c r="W106" s="0" t="n">
        <v>0.596931659693166</v>
      </c>
      <c r="X106" s="0" t="n">
        <v>0.358075089997394</v>
      </c>
      <c r="Y106" s="0" t="n">
        <v>8.94686502044864</v>
      </c>
      <c r="Z106" s="0" t="n">
        <v>0.720437273695793</v>
      </c>
      <c r="AA106" s="0" t="n">
        <v>0</v>
      </c>
    </row>
    <row r="107" customFormat="false" ht="15" hidden="false" customHeight="false" outlineLevel="0" collapsed="false">
      <c r="A107" s="0" t="s">
        <v>141</v>
      </c>
      <c r="B107" s="0" t="s">
        <v>3013</v>
      </c>
      <c r="C107" s="0" t="s">
        <v>3034</v>
      </c>
      <c r="D107" s="0" t="n">
        <v>35.7045066914651</v>
      </c>
      <c r="E107" s="0" t="n">
        <v>0.291468620493763</v>
      </c>
      <c r="F107" s="0" t="n">
        <v>8.03622349380937</v>
      </c>
      <c r="G107" s="0" t="n">
        <v>0.530663329161452</v>
      </c>
      <c r="H107" s="0" t="n">
        <v>0.548185231539424</v>
      </c>
      <c r="I107" s="0" t="n">
        <v>0.604834960483496</v>
      </c>
      <c r="J107" s="0" t="n">
        <v>0.55250641637705</v>
      </c>
      <c r="K107" s="0" t="n">
        <v>0.667715717403612</v>
      </c>
      <c r="L107" s="1" t="b">
        <f aca="false">FALSE()</f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10.2201810249564</v>
      </c>
      <c r="S107" s="0" t="n">
        <v>5.22735409953456</v>
      </c>
      <c r="T107" s="0" t="n">
        <v>0.250626566416046</v>
      </c>
      <c r="U107" s="0" t="n">
        <v>0.517433751743375</v>
      </c>
      <c r="V107" s="0" t="n">
        <v>0.702928870292887</v>
      </c>
      <c r="W107" s="0" t="n">
        <v>0.594142259414226</v>
      </c>
      <c r="X107" s="0" t="n">
        <v>0.291468620493763</v>
      </c>
      <c r="Y107" s="0" t="n">
        <v>8.03622349380937</v>
      </c>
      <c r="Z107" s="0" t="n">
        <v>0.55250641637705</v>
      </c>
      <c r="AA107" s="0" t="n">
        <v>0</v>
      </c>
    </row>
    <row r="108" customFormat="false" ht="15" hidden="false" customHeight="false" outlineLevel="0" collapsed="false">
      <c r="A108" s="0" t="s">
        <v>142</v>
      </c>
      <c r="B108" s="0" t="s">
        <v>3013</v>
      </c>
      <c r="C108" s="0" t="s">
        <v>3033</v>
      </c>
      <c r="D108" s="0" t="n">
        <v>11.5976370693938</v>
      </c>
      <c r="E108" s="0" t="n">
        <v>0.284548891266479</v>
      </c>
      <c r="F108" s="0" t="n">
        <v>5.83296400789795</v>
      </c>
      <c r="G108" s="0" t="n">
        <v>0.486858573216521</v>
      </c>
      <c r="H108" s="0" t="n">
        <v>0.244055068836045</v>
      </c>
      <c r="I108" s="0" t="n">
        <v>0.471408647140865</v>
      </c>
      <c r="J108" s="0" t="n">
        <v>0.386647186249199</v>
      </c>
      <c r="K108" s="0" t="n">
        <v>0.667715717403612</v>
      </c>
      <c r="L108" s="1" t="b">
        <f aca="false">FALSE()</f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2.21499360816015</v>
      </c>
      <c r="S108" s="0" t="n">
        <v>4.27841634738186</v>
      </c>
      <c r="T108" s="0" t="n">
        <v>0.319284802043423</v>
      </c>
      <c r="U108" s="0" t="n">
        <v>0.0097629009762901</v>
      </c>
      <c r="V108" s="0" t="n">
        <v>0.631799163179916</v>
      </c>
      <c r="W108" s="0" t="n">
        <v>0.772663877266388</v>
      </c>
      <c r="X108" s="0" t="n">
        <v>0.284548891266479</v>
      </c>
      <c r="Y108" s="0" t="n">
        <v>5.83296400789795</v>
      </c>
      <c r="Z108" s="0" t="n">
        <v>0.386647186249199</v>
      </c>
      <c r="AA108" s="0" t="n">
        <v>5.55111512312578E-017</v>
      </c>
    </row>
    <row r="109" customFormat="false" ht="15" hidden="false" customHeight="false" outlineLevel="0" collapsed="false">
      <c r="A109" s="0" t="s">
        <v>143</v>
      </c>
      <c r="B109" s="0" t="s">
        <v>3013</v>
      </c>
      <c r="C109" s="0" t="s">
        <v>3036</v>
      </c>
      <c r="D109" s="0" t="n">
        <v>-39.9712370625823</v>
      </c>
      <c r="E109" s="0" t="n">
        <v>0.323999668351503</v>
      </c>
      <c r="F109" s="0" t="n">
        <v>8.18306828319046</v>
      </c>
      <c r="G109" s="0" t="n">
        <v>0.69712140175219</v>
      </c>
      <c r="H109" s="0" t="n">
        <v>0.55944931163955</v>
      </c>
      <c r="I109" s="0" t="n">
        <v>0.473733147373315</v>
      </c>
      <c r="J109" s="0" t="n">
        <v>0.597374914831359</v>
      </c>
      <c r="K109" s="0" t="n">
        <v>0.667715717403612</v>
      </c>
      <c r="L109" s="1" t="b">
        <f aca="false">FALSE()</f>
        <v>0</v>
      </c>
      <c r="N109" s="0" t="n">
        <v>0</v>
      </c>
      <c r="O109" s="0" t="n">
        <v>0</v>
      </c>
      <c r="P109" s="0" t="n">
        <v>1</v>
      </c>
      <c r="Q109" s="0" t="n">
        <v>39.9712370625823</v>
      </c>
      <c r="R109" s="0" t="n">
        <v>3.75948233839894</v>
      </c>
      <c r="S109" s="0" t="n">
        <v>3.78133990957665</v>
      </c>
      <c r="T109" s="0" t="n">
        <v>0.328812166050149</v>
      </c>
      <c r="U109" s="0" t="n">
        <v>0.0599721059972106</v>
      </c>
      <c r="V109" s="0" t="n">
        <v>0.566248256624826</v>
      </c>
      <c r="W109" s="0" t="n">
        <v>0.794979079497908</v>
      </c>
      <c r="X109" s="0" t="n">
        <v>0.323999668351503</v>
      </c>
      <c r="Y109" s="0" t="n">
        <v>8.18306828319046</v>
      </c>
      <c r="Z109" s="0" t="n">
        <v>0.597374914831359</v>
      </c>
      <c r="AA109" s="0" t="n">
        <v>0</v>
      </c>
    </row>
    <row r="110" customFormat="false" ht="15" hidden="false" customHeight="false" outlineLevel="0" collapsed="false">
      <c r="A110" s="0" t="s">
        <v>144</v>
      </c>
      <c r="B110" s="0" t="s">
        <v>33</v>
      </c>
      <c r="C110" s="0" t="s">
        <v>33</v>
      </c>
      <c r="D110" s="0" t="n">
        <v>21.1209786339489</v>
      </c>
      <c r="E110" s="0" t="n">
        <v>0.341986599343023</v>
      </c>
      <c r="F110" s="0" t="n">
        <v>10.0684252430965</v>
      </c>
      <c r="G110" s="0" t="n">
        <v>0.78973717146433</v>
      </c>
      <c r="H110" s="0" t="n">
        <v>0.798498122653317</v>
      </c>
      <c r="I110" s="0" t="n">
        <v>0.5</v>
      </c>
      <c r="J110" s="0" t="n">
        <v>0.735294117647059</v>
      </c>
      <c r="K110" s="0" t="n">
        <v>0.667715717403612</v>
      </c>
      <c r="L110" s="1" t="b">
        <f aca="false">TRUE()</f>
        <v>1</v>
      </c>
      <c r="M110" s="0" t="s">
        <v>3035</v>
      </c>
      <c r="N110" s="0" t="n">
        <v>39.9712370625825</v>
      </c>
      <c r="O110" s="0" t="n">
        <v>1</v>
      </c>
      <c r="P110" s="0" t="n">
        <v>0</v>
      </c>
      <c r="Q110" s="0" t="n">
        <v>0</v>
      </c>
      <c r="U110" s="0" t="n">
        <v>0.5</v>
      </c>
      <c r="V110" s="0" t="n">
        <v>0.5</v>
      </c>
      <c r="W110" s="0" t="n">
        <v>0.5</v>
      </c>
      <c r="X110" s="0" t="n">
        <v>0.341986599343023</v>
      </c>
      <c r="Y110" s="0" t="n">
        <v>10.0684252430965</v>
      </c>
      <c r="Z110" s="0" t="n">
        <v>0.735294117647059</v>
      </c>
      <c r="AA110" s="0" t="n">
        <v>0</v>
      </c>
    </row>
    <row r="111" customFormat="false" ht="15" hidden="false" customHeight="false" outlineLevel="0" collapsed="false">
      <c r="A111" s="0" t="s">
        <v>145</v>
      </c>
      <c r="B111" s="0" t="s">
        <v>3013</v>
      </c>
      <c r="C111" s="0" t="s">
        <v>3034</v>
      </c>
      <c r="D111" s="0" t="n">
        <v>-37.7004970286965</v>
      </c>
      <c r="E111" s="0" t="n">
        <v>0.331677031347855</v>
      </c>
      <c r="F111" s="0" t="n">
        <v>8.77731655177892</v>
      </c>
      <c r="G111" s="0" t="n">
        <v>0.74468085106383</v>
      </c>
      <c r="H111" s="0" t="n">
        <v>0.647058823529412</v>
      </c>
      <c r="I111" s="0" t="n">
        <v>0.0883310088331009</v>
      </c>
      <c r="J111" s="0" t="n">
        <v>0.574362071603917</v>
      </c>
      <c r="K111" s="0" t="n">
        <v>0.667715717403612</v>
      </c>
      <c r="L111" s="1" t="b">
        <f aca="false">FALSE()</f>
        <v>0</v>
      </c>
      <c r="N111" s="0" t="n">
        <v>18.8502584286339</v>
      </c>
      <c r="O111" s="0" t="n">
        <v>0</v>
      </c>
      <c r="P111" s="0" t="n">
        <v>1</v>
      </c>
      <c r="Q111" s="0" t="n">
        <v>37.7004970286965</v>
      </c>
      <c r="R111" s="0" t="n">
        <v>2.00403311664657</v>
      </c>
      <c r="S111" s="0" t="n">
        <v>0.928677563150095</v>
      </c>
      <c r="T111" s="0" t="n">
        <v>0.18573551263001</v>
      </c>
      <c r="U111" s="0" t="n">
        <v>0.00557880055788006</v>
      </c>
      <c r="V111" s="0" t="n">
        <v>0.0223152022315202</v>
      </c>
      <c r="W111" s="0" t="n">
        <v>0.237099023709902</v>
      </c>
      <c r="X111" s="0" t="n">
        <v>0.331677031347855</v>
      </c>
      <c r="Y111" s="0" t="n">
        <v>8.77731655177892</v>
      </c>
      <c r="Z111" s="0" t="n">
        <v>0.574362071603917</v>
      </c>
      <c r="AA111" s="0" t="n">
        <v>0</v>
      </c>
    </row>
    <row r="112" customFormat="false" ht="15" hidden="false" customHeight="false" outlineLevel="0" collapsed="false">
      <c r="A112" s="0" t="s">
        <v>146</v>
      </c>
      <c r="B112" s="0" t="s">
        <v>3013</v>
      </c>
      <c r="C112" s="0" t="s">
        <v>3038</v>
      </c>
      <c r="D112" s="0" t="n">
        <v>35.5849095593482</v>
      </c>
      <c r="E112" s="0" t="n">
        <v>0.11889454363661</v>
      </c>
      <c r="F112" s="0" t="n">
        <v>5.15044672657273</v>
      </c>
      <c r="G112" s="0" t="n">
        <v>0.00500625782227785</v>
      </c>
      <c r="H112" s="0" t="n">
        <v>0.155193992490613</v>
      </c>
      <c r="I112" s="0" t="n">
        <v>0.953509995351</v>
      </c>
      <c r="J112" s="0" t="n">
        <v>0.254782099195356</v>
      </c>
      <c r="K112" s="0" t="n">
        <v>0.667715717403612</v>
      </c>
      <c r="L112" s="1" t="b">
        <f aca="false">FALSE()</f>
        <v>0</v>
      </c>
      <c r="N112" s="0" t="n">
        <v>56.5507554573305</v>
      </c>
      <c r="O112" s="0" t="n">
        <v>1</v>
      </c>
      <c r="P112" s="0" t="n">
        <v>0</v>
      </c>
      <c r="Q112" s="0" t="n">
        <v>0</v>
      </c>
      <c r="R112" s="0" t="n">
        <v>33.7456429871365</v>
      </c>
      <c r="S112" s="0" t="n">
        <v>21.806167400881</v>
      </c>
      <c r="T112" s="0" t="n">
        <v>0.587371512481648</v>
      </c>
      <c r="U112" s="0" t="n">
        <v>0.919107391910739</v>
      </c>
      <c r="V112" s="0" t="n">
        <v>0.96652719665272</v>
      </c>
      <c r="W112" s="0" t="n">
        <v>0.97489539748954</v>
      </c>
      <c r="X112" s="0" t="n">
        <v>0.11889454363661</v>
      </c>
      <c r="Y112" s="0" t="n">
        <v>5.15044672657273</v>
      </c>
      <c r="Z112" s="0" t="n">
        <v>0.254782099195356</v>
      </c>
      <c r="AA112" s="0" t="n">
        <v>0</v>
      </c>
    </row>
    <row r="113" customFormat="false" ht="15" hidden="false" customHeight="false" outlineLevel="0" collapsed="false">
      <c r="A113" s="0" t="s">
        <v>147</v>
      </c>
      <c r="B113" s="0" t="s">
        <v>33</v>
      </c>
      <c r="C113" s="0" t="s">
        <v>33</v>
      </c>
      <c r="D113" s="0" t="n">
        <v>13.957404378511</v>
      </c>
      <c r="E113" s="0" t="n">
        <v>0.339997116304278</v>
      </c>
      <c r="F113" s="0" t="n">
        <v>9.7193015769144</v>
      </c>
      <c r="G113" s="0" t="n">
        <v>0.783479349186483</v>
      </c>
      <c r="H113" s="0" t="n">
        <v>0.753441802252816</v>
      </c>
      <c r="I113" s="0" t="n">
        <v>0.5</v>
      </c>
      <c r="J113" s="0" t="n">
        <v>0.71476846057572</v>
      </c>
      <c r="K113" s="0" t="n">
        <v>0.667715717403612</v>
      </c>
      <c r="L113" s="1" t="b">
        <f aca="false">TRUE()</f>
        <v>1</v>
      </c>
      <c r="M113" s="0" t="s">
        <v>3035</v>
      </c>
      <c r="N113" s="0" t="n">
        <v>20.9658458979825</v>
      </c>
      <c r="O113" s="0" t="n">
        <v>0</v>
      </c>
      <c r="P113" s="0" t="n">
        <v>0</v>
      </c>
      <c r="Q113" s="0" t="n">
        <v>0</v>
      </c>
      <c r="U113" s="0" t="n">
        <v>0.5</v>
      </c>
      <c r="V113" s="0" t="n">
        <v>0.5</v>
      </c>
      <c r="W113" s="0" t="n">
        <v>0.5</v>
      </c>
      <c r="X113" s="0" t="n">
        <v>0.339997116304278</v>
      </c>
      <c r="Y113" s="0" t="n">
        <v>9.7193015769144</v>
      </c>
      <c r="Z113" s="0" t="n">
        <v>0.71476846057572</v>
      </c>
      <c r="AA113" s="0" t="n">
        <v>0</v>
      </c>
    </row>
    <row r="114" customFormat="false" ht="15" hidden="false" customHeight="false" outlineLevel="0" collapsed="false">
      <c r="A114" s="0" t="s">
        <v>148</v>
      </c>
      <c r="B114" s="0" t="s">
        <v>3013</v>
      </c>
      <c r="C114" s="0" t="s">
        <v>3034</v>
      </c>
      <c r="D114" s="0" t="n">
        <v>36.583254349526</v>
      </c>
      <c r="E114" s="0" t="n">
        <v>0.317579215984507</v>
      </c>
      <c r="F114" s="0" t="n">
        <v>10.4605663148415</v>
      </c>
      <c r="G114" s="0" t="n">
        <v>0.657071339173967</v>
      </c>
      <c r="H114" s="0" t="n">
        <v>0.836045056320401</v>
      </c>
      <c r="I114" s="0" t="n">
        <v>0.555090655509066</v>
      </c>
      <c r="J114" s="0" t="n">
        <v>0.70826468929956</v>
      </c>
      <c r="K114" s="0" t="n">
        <v>0.667715717403612</v>
      </c>
      <c r="L114" s="1" t="b">
        <f aca="false">TRUE()</f>
        <v>1</v>
      </c>
      <c r="M114" s="0" t="s">
        <v>3035</v>
      </c>
      <c r="N114" s="0" t="n">
        <v>7.00844151947149</v>
      </c>
      <c r="O114" s="0" t="n">
        <v>0</v>
      </c>
      <c r="P114" s="0" t="n">
        <v>0</v>
      </c>
      <c r="Q114" s="0" t="n">
        <v>0</v>
      </c>
      <c r="R114" s="0" t="n">
        <v>7.61551476887923</v>
      </c>
      <c r="S114" s="0" t="n">
        <v>4.89060489060491</v>
      </c>
      <c r="T114" s="0" t="n">
        <v>0.257400257400267</v>
      </c>
      <c r="U114" s="0" t="n">
        <v>0.362622036262204</v>
      </c>
      <c r="V114" s="0" t="n">
        <v>0.686192468619247</v>
      </c>
      <c r="W114" s="0" t="n">
        <v>0.616457461645746</v>
      </c>
      <c r="X114" s="0" t="n">
        <v>0.317579215984507</v>
      </c>
      <c r="Y114" s="0" t="n">
        <v>10.4605663148415</v>
      </c>
      <c r="Z114" s="0" t="n">
        <v>0.70826468929956</v>
      </c>
      <c r="AA114" s="0" t="n">
        <v>0</v>
      </c>
    </row>
    <row r="115" customFormat="false" ht="15" hidden="false" customHeight="false" outlineLevel="0" collapsed="false">
      <c r="A115" s="0" t="s">
        <v>149</v>
      </c>
      <c r="B115" s="0" t="s">
        <v>33</v>
      </c>
      <c r="C115" s="0" t="s">
        <v>33</v>
      </c>
      <c r="D115" s="0" t="n">
        <v>21.6407827767348</v>
      </c>
      <c r="E115" s="0" t="n">
        <v>0.321023739004546</v>
      </c>
      <c r="F115" s="0" t="n">
        <v>9.12990209581398</v>
      </c>
      <c r="G115" s="0" t="n">
        <v>0.678347934918648</v>
      </c>
      <c r="H115" s="0" t="n">
        <v>0.695869837296621</v>
      </c>
      <c r="I115" s="0" t="n">
        <v>0.5</v>
      </c>
      <c r="J115" s="0" t="n">
        <v>0.649687108886108</v>
      </c>
      <c r="K115" s="0" t="n">
        <v>0.667715717403612</v>
      </c>
      <c r="L115" s="1" t="b">
        <f aca="false">FALSE()</f>
        <v>0</v>
      </c>
      <c r="N115" s="0" t="n">
        <v>0</v>
      </c>
      <c r="O115" s="0" t="n">
        <v>0</v>
      </c>
      <c r="P115" s="0" t="n">
        <v>0</v>
      </c>
      <c r="Q115" s="0" t="n">
        <v>0</v>
      </c>
      <c r="U115" s="0" t="n">
        <v>0.5</v>
      </c>
      <c r="V115" s="0" t="n">
        <v>0.5</v>
      </c>
      <c r="W115" s="0" t="n">
        <v>0.5</v>
      </c>
      <c r="X115" s="0" t="n">
        <v>0.321023739004546</v>
      </c>
      <c r="Y115" s="0" t="n">
        <v>9.12990209581399</v>
      </c>
      <c r="Z115" s="0" t="n">
        <v>0.649687108886108</v>
      </c>
      <c r="AA115" s="0" t="n">
        <v>0</v>
      </c>
    </row>
    <row r="116" customFormat="false" ht="15" hidden="false" customHeight="false" outlineLevel="0" collapsed="false">
      <c r="A116" s="0" t="s">
        <v>150</v>
      </c>
      <c r="B116" s="0" t="s">
        <v>3013</v>
      </c>
      <c r="C116" s="0" t="s">
        <v>3036</v>
      </c>
      <c r="D116" s="0" t="n">
        <v>11.3033619560062</v>
      </c>
      <c r="E116" s="0" t="n">
        <v>0.30294589864112</v>
      </c>
      <c r="F116" s="0" t="n">
        <v>6.53779246993946</v>
      </c>
      <c r="G116" s="0" t="n">
        <v>0.583229036295369</v>
      </c>
      <c r="H116" s="0" t="n">
        <v>0.34793491864831</v>
      </c>
      <c r="I116" s="0" t="n">
        <v>0.315202231520223</v>
      </c>
      <c r="J116" s="0" t="n">
        <v>0.435506028281517</v>
      </c>
      <c r="K116" s="0" t="n">
        <v>0.667715717403612</v>
      </c>
      <c r="L116" s="1" t="b">
        <f aca="false">FALSE()</f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8.5192820761577</v>
      </c>
      <c r="S116" s="0" t="n">
        <v>1.98083067092651</v>
      </c>
      <c r="T116" s="0" t="n">
        <v>0.191693290734822</v>
      </c>
      <c r="U116" s="0" t="n">
        <v>0.418410041841004</v>
      </c>
      <c r="V116" s="0" t="n">
        <v>0.264993026499303</v>
      </c>
      <c r="W116" s="0" t="n">
        <v>0.262203626220363</v>
      </c>
      <c r="X116" s="0" t="n">
        <v>0.30294589864112</v>
      </c>
      <c r="Y116" s="0" t="n">
        <v>6.53779246993946</v>
      </c>
      <c r="Z116" s="0" t="n">
        <v>0.435506028281517</v>
      </c>
      <c r="AA116" s="0" t="n">
        <v>0</v>
      </c>
    </row>
    <row r="117" customFormat="false" ht="15" hidden="false" customHeight="false" outlineLevel="0" collapsed="false">
      <c r="A117" s="0" t="s">
        <v>151</v>
      </c>
      <c r="B117" s="0" t="s">
        <v>3013</v>
      </c>
      <c r="C117" s="0" t="s">
        <v>3038</v>
      </c>
      <c r="D117" s="0" t="n">
        <v>-4.97675606413023</v>
      </c>
      <c r="E117" s="0" t="n">
        <v>0.259821344542202</v>
      </c>
      <c r="F117" s="0" t="n">
        <v>5.79285972702809</v>
      </c>
      <c r="G117" s="0" t="n">
        <v>0.332916145181477</v>
      </c>
      <c r="H117" s="0" t="n">
        <v>0.240300375469337</v>
      </c>
      <c r="I117" s="0" t="n">
        <v>0.718270571827057</v>
      </c>
      <c r="J117" s="0" t="n">
        <v>0.372940722625737</v>
      </c>
      <c r="K117" s="0" t="n">
        <v>0.667715717403612</v>
      </c>
      <c r="L117" s="1" t="b">
        <f aca="false">FALSE()</f>
        <v>0</v>
      </c>
      <c r="N117" s="0" t="n">
        <v>0</v>
      </c>
      <c r="O117" s="0" t="n">
        <v>0</v>
      </c>
      <c r="P117" s="0" t="n">
        <v>1</v>
      </c>
      <c r="Q117" s="0" t="n">
        <v>4.97675606413023</v>
      </c>
      <c r="R117" s="0" t="n">
        <v>11.6513081241372</v>
      </c>
      <c r="S117" s="0" t="n">
        <v>8.07966929725669</v>
      </c>
      <c r="T117" s="0" t="n">
        <v>0.300638857572346</v>
      </c>
      <c r="U117" s="0" t="n">
        <v>0.582984658298466</v>
      </c>
      <c r="V117" s="0" t="n">
        <v>0.825662482566248</v>
      </c>
      <c r="W117" s="0" t="n">
        <v>0.746164574616458</v>
      </c>
      <c r="X117" s="0" t="n">
        <v>0.259821344542202</v>
      </c>
      <c r="Y117" s="0" t="n">
        <v>5.79285972702809</v>
      </c>
      <c r="Z117" s="0" t="n">
        <v>0.372940722625737</v>
      </c>
      <c r="AA117" s="0" t="n">
        <v>-5.55111512312578E-017</v>
      </c>
    </row>
    <row r="118" customFormat="false" ht="15" hidden="false" customHeight="false" outlineLevel="0" collapsed="false">
      <c r="A118" s="0" t="s">
        <v>152</v>
      </c>
      <c r="B118" s="0" t="s">
        <v>3013</v>
      </c>
      <c r="C118" s="0" t="s">
        <v>3036</v>
      </c>
      <c r="D118" s="0" t="n">
        <v>-25.4831806794124</v>
      </c>
      <c r="E118" s="0" t="n">
        <v>0.326963819062937</v>
      </c>
      <c r="F118" s="0" t="n">
        <v>9.22720508231175</v>
      </c>
      <c r="G118" s="0" t="n">
        <v>0.715894868585732</v>
      </c>
      <c r="H118" s="0" t="n">
        <v>0.708385481852315</v>
      </c>
      <c r="I118" s="0" t="n">
        <v>0.280799628079963</v>
      </c>
      <c r="J118" s="0" t="n">
        <v>0.625872065791212</v>
      </c>
      <c r="K118" s="0" t="n">
        <v>0.667715717403612</v>
      </c>
      <c r="L118" s="1" t="b">
        <f aca="false">FALSE()</f>
        <v>0</v>
      </c>
      <c r="N118" s="0" t="n">
        <v>4.97675606413031</v>
      </c>
      <c r="O118" s="0" t="n">
        <v>1</v>
      </c>
      <c r="P118" s="0" t="n">
        <v>1</v>
      </c>
      <c r="Q118" s="0" t="n">
        <v>25.4831806794124</v>
      </c>
      <c r="R118" s="0" t="n">
        <v>7.2375925920419</v>
      </c>
      <c r="S118" s="0" t="n">
        <v>1.45234493192135</v>
      </c>
      <c r="T118" s="0" t="n">
        <v>0.211800302571857</v>
      </c>
      <c r="U118" s="0" t="n">
        <v>0.331938633193863</v>
      </c>
      <c r="V118" s="0" t="n">
        <v>0.119944211994421</v>
      </c>
      <c r="W118" s="0" t="n">
        <v>0.390516039051604</v>
      </c>
      <c r="X118" s="0" t="n">
        <v>0.326963819062937</v>
      </c>
      <c r="Y118" s="0" t="n">
        <v>9.22720508231175</v>
      </c>
      <c r="Z118" s="0" t="n">
        <v>0.625872065791212</v>
      </c>
      <c r="AA118" s="0" t="n">
        <v>0</v>
      </c>
    </row>
    <row r="119" customFormat="false" ht="15" hidden="false" customHeight="false" outlineLevel="0" collapsed="false">
      <c r="A119" s="0" t="s">
        <v>153</v>
      </c>
      <c r="B119" s="0" t="s">
        <v>3013</v>
      </c>
      <c r="C119" s="0" t="s">
        <v>3033</v>
      </c>
      <c r="D119" s="0" t="n">
        <v>-39.3956416052261</v>
      </c>
      <c r="E119" s="0" t="n">
        <v>0.246191575943314</v>
      </c>
      <c r="F119" s="0" t="n">
        <v>6.4054772298192</v>
      </c>
      <c r="G119" s="0" t="n">
        <v>0.247809762202753</v>
      </c>
      <c r="H119" s="0" t="n">
        <v>0.327909887359199</v>
      </c>
      <c r="I119" s="0" t="n">
        <v>0.468154346815435</v>
      </c>
      <c r="J119" s="0" t="n">
        <v>0.323918729187868</v>
      </c>
      <c r="K119" s="0" t="n">
        <v>0.667715717403612</v>
      </c>
      <c r="L119" s="1" t="b">
        <f aca="false">FALSE()</f>
        <v>0</v>
      </c>
      <c r="N119" s="0" t="n">
        <v>30.4599367435426</v>
      </c>
      <c r="O119" s="0" t="n">
        <v>2</v>
      </c>
      <c r="P119" s="0" t="n">
        <v>1</v>
      </c>
      <c r="Q119" s="0" t="n">
        <v>39.3956416052261</v>
      </c>
      <c r="R119" s="0" t="n">
        <v>6.960933236981</v>
      </c>
      <c r="S119" s="0" t="n">
        <v>3.97372742200329</v>
      </c>
      <c r="T119" s="0" t="n">
        <v>0.22988505747127</v>
      </c>
      <c r="U119" s="0" t="n">
        <v>0.309623430962343</v>
      </c>
      <c r="V119" s="0" t="n">
        <v>0.592747559274756</v>
      </c>
      <c r="W119" s="0" t="n">
        <v>0.502092050209205</v>
      </c>
      <c r="X119" s="0" t="n">
        <v>0.246191575943314</v>
      </c>
      <c r="Y119" s="0" t="n">
        <v>6.4054772298192</v>
      </c>
      <c r="Z119" s="0" t="n">
        <v>0.323918729187868</v>
      </c>
      <c r="AA119" s="0" t="n">
        <v>-5.55111512312578E-017</v>
      </c>
    </row>
    <row r="120" customFormat="false" ht="15" hidden="false" customHeight="false" outlineLevel="0" collapsed="false">
      <c r="A120" s="0" t="s">
        <v>154</v>
      </c>
      <c r="B120" s="0" t="s">
        <v>33</v>
      </c>
      <c r="C120" s="0" t="s">
        <v>33</v>
      </c>
      <c r="D120" s="0" t="n">
        <v>-8.55428114034747</v>
      </c>
      <c r="E120" s="0" t="n">
        <v>0.344005928135193</v>
      </c>
      <c r="F120" s="0" t="n">
        <v>10.7279273907548</v>
      </c>
      <c r="G120" s="0" t="n">
        <v>0.798498122653317</v>
      </c>
      <c r="H120" s="0" t="n">
        <v>0.85982478097622</v>
      </c>
      <c r="I120" s="0" t="n">
        <v>0.5</v>
      </c>
      <c r="J120" s="0" t="n">
        <v>0.763329161451815</v>
      </c>
      <c r="K120" s="0" t="n">
        <v>0.667715717403612</v>
      </c>
      <c r="L120" s="1" t="b">
        <f aca="false">TRUE()</f>
        <v>1</v>
      </c>
      <c r="M120" s="0" t="s">
        <v>3035</v>
      </c>
      <c r="N120" s="0" t="n">
        <v>69.8555783487686</v>
      </c>
      <c r="O120" s="0" t="n">
        <v>3</v>
      </c>
      <c r="P120" s="0" t="n">
        <v>1</v>
      </c>
      <c r="Q120" s="0" t="n">
        <v>8.55428114034747</v>
      </c>
      <c r="U120" s="0" t="n">
        <v>0.5</v>
      </c>
      <c r="V120" s="0" t="n">
        <v>0.5</v>
      </c>
      <c r="W120" s="0" t="n">
        <v>0.5</v>
      </c>
      <c r="X120" s="0" t="n">
        <v>0.344005928135193</v>
      </c>
      <c r="Y120" s="0" t="n">
        <v>10.7279273907548</v>
      </c>
      <c r="Z120" s="0" t="n">
        <v>0.763329161451815</v>
      </c>
      <c r="AA120" s="0" t="n">
        <v>0</v>
      </c>
    </row>
    <row r="121" customFormat="false" ht="15" hidden="false" customHeight="false" outlineLevel="0" collapsed="false">
      <c r="A121" s="0" t="s">
        <v>155</v>
      </c>
      <c r="B121" s="0" t="s">
        <v>3013</v>
      </c>
      <c r="C121" s="0" t="s">
        <v>3038</v>
      </c>
      <c r="D121" s="0" t="n">
        <v>9.62829025861602</v>
      </c>
      <c r="E121" s="0" t="n">
        <v>0.174894001503152</v>
      </c>
      <c r="F121" s="0" t="n">
        <v>6.77350768064293</v>
      </c>
      <c r="G121" s="0" t="n">
        <v>0.0525657071339174</v>
      </c>
      <c r="H121" s="0" t="n">
        <v>0.389236545682103</v>
      </c>
      <c r="I121" s="0" t="n">
        <v>0.795443979544398</v>
      </c>
      <c r="J121" s="0" t="n">
        <v>0.335809697035288</v>
      </c>
      <c r="K121" s="0" t="n">
        <v>0.667715717403612</v>
      </c>
      <c r="L121" s="1" t="b">
        <f aca="false">FALSE()</f>
        <v>0</v>
      </c>
      <c r="N121" s="0" t="n">
        <v>78.4098594891161</v>
      </c>
      <c r="O121" s="0" t="n">
        <v>4</v>
      </c>
      <c r="P121" s="0" t="n">
        <v>0</v>
      </c>
      <c r="Q121" s="0" t="n">
        <v>0</v>
      </c>
      <c r="R121" s="0" t="n">
        <v>14.5483784198077</v>
      </c>
      <c r="S121" s="0" t="n">
        <v>7.92827824584144</v>
      </c>
      <c r="T121" s="0" t="n">
        <v>0.388852883992219</v>
      </c>
      <c r="U121" s="0" t="n">
        <v>0.694560669456067</v>
      </c>
      <c r="V121" s="0" t="n">
        <v>0.818688981868898</v>
      </c>
      <c r="W121" s="0" t="n">
        <v>0.873082287308229</v>
      </c>
      <c r="X121" s="0" t="n">
        <v>0.174894001503152</v>
      </c>
      <c r="Y121" s="0" t="n">
        <v>6.77350768064293</v>
      </c>
      <c r="Z121" s="0" t="n">
        <v>0.335809697035288</v>
      </c>
      <c r="AA121" s="0" t="n">
        <v>0</v>
      </c>
    </row>
    <row r="122" customFormat="false" ht="15" hidden="false" customHeight="false" outlineLevel="0" collapsed="false">
      <c r="A122" s="0" t="s">
        <v>156</v>
      </c>
      <c r="B122" s="0" t="s">
        <v>3013</v>
      </c>
      <c r="C122" s="0" t="s">
        <v>3033</v>
      </c>
      <c r="D122" s="0" t="n">
        <v>22.1171955459408</v>
      </c>
      <c r="E122" s="0" t="n">
        <v>0.277124899581231</v>
      </c>
      <c r="F122" s="0" t="n">
        <v>8.26946728929095</v>
      </c>
      <c r="G122" s="0" t="n">
        <v>0.445556946182728</v>
      </c>
      <c r="H122" s="0" t="n">
        <v>0.575719649561952</v>
      </c>
      <c r="I122" s="0" t="n">
        <v>0.556020455602046</v>
      </c>
      <c r="J122" s="0" t="n">
        <v>0.519714729418282</v>
      </c>
      <c r="K122" s="0" t="n">
        <v>0.667715717403612</v>
      </c>
      <c r="L122" s="1" t="b">
        <f aca="false">FALSE()</f>
        <v>0</v>
      </c>
      <c r="N122" s="0" t="n">
        <v>68.7815692305003</v>
      </c>
      <c r="O122" s="0" t="n">
        <v>0</v>
      </c>
      <c r="P122" s="0" t="n">
        <v>0</v>
      </c>
      <c r="Q122" s="0" t="n">
        <v>0</v>
      </c>
      <c r="R122" s="0" t="n">
        <v>6.90196619762055</v>
      </c>
      <c r="S122" s="0" t="n">
        <v>4.6926804386636</v>
      </c>
      <c r="T122" s="0" t="n">
        <v>0.280540678398374</v>
      </c>
      <c r="U122" s="0" t="n">
        <v>0.304044630404463</v>
      </c>
      <c r="V122" s="0" t="n">
        <v>0.663877266387727</v>
      </c>
      <c r="W122" s="0" t="n">
        <v>0.700139470013947</v>
      </c>
      <c r="X122" s="0" t="n">
        <v>0.277124899581231</v>
      </c>
      <c r="Y122" s="0" t="n">
        <v>8.26946728929095</v>
      </c>
      <c r="Z122" s="0" t="n">
        <v>0.519714729418282</v>
      </c>
      <c r="AA122" s="0" t="n">
        <v>0</v>
      </c>
    </row>
    <row r="123" customFormat="false" ht="15" hidden="false" customHeight="false" outlineLevel="0" collapsed="false">
      <c r="A123" s="0" t="s">
        <v>157</v>
      </c>
      <c r="B123" s="0" t="s">
        <v>3013</v>
      </c>
      <c r="C123" s="0" t="s">
        <v>3033</v>
      </c>
      <c r="D123" s="0" t="n">
        <v>28.5796194825573</v>
      </c>
      <c r="E123" s="0" t="n">
        <v>0.278224177466624</v>
      </c>
      <c r="F123" s="0" t="n">
        <v>7.31855120229942</v>
      </c>
      <c r="G123" s="0" t="n">
        <v>0.455569461827284</v>
      </c>
      <c r="H123" s="0" t="n">
        <v>0.451814768460576</v>
      </c>
      <c r="I123" s="0" t="n">
        <v>0.240818224081822</v>
      </c>
      <c r="J123" s="0" t="n">
        <v>0.411117336931508</v>
      </c>
      <c r="K123" s="0" t="n">
        <v>0.667715717403612</v>
      </c>
      <c r="L123" s="1" t="b">
        <f aca="false">FALSE()</f>
        <v>0</v>
      </c>
      <c r="N123" s="0" t="n">
        <v>46.6643736845595</v>
      </c>
      <c r="O123" s="0" t="n">
        <v>0</v>
      </c>
      <c r="P123" s="0" t="n">
        <v>0</v>
      </c>
      <c r="Q123" s="0" t="n">
        <v>0</v>
      </c>
      <c r="R123" s="0" t="n">
        <v>5.54986829846298</v>
      </c>
      <c r="S123" s="0" t="n">
        <v>1.17075956596231</v>
      </c>
      <c r="T123" s="0" t="n">
        <v>0.228440890919478</v>
      </c>
      <c r="U123" s="0" t="n">
        <v>0.172942817294282</v>
      </c>
      <c r="V123" s="0" t="n">
        <v>0.0599721059972106</v>
      </c>
      <c r="W123" s="0" t="n">
        <v>0.489539748953975</v>
      </c>
      <c r="X123" s="0" t="n">
        <v>0.278224177466624</v>
      </c>
      <c r="Y123" s="0" t="n">
        <v>7.31855120229942</v>
      </c>
      <c r="Z123" s="0" t="n">
        <v>0.411117336931508</v>
      </c>
      <c r="AA123" s="0" t="n">
        <v>0</v>
      </c>
    </row>
    <row r="124" customFormat="false" ht="15" hidden="false" customHeight="false" outlineLevel="0" collapsed="false">
      <c r="A124" s="0" t="s">
        <v>158</v>
      </c>
      <c r="B124" s="0" t="s">
        <v>3013</v>
      </c>
      <c r="C124" s="0" t="s">
        <v>3033</v>
      </c>
      <c r="D124" s="0" t="n">
        <v>45.3742573366464</v>
      </c>
      <c r="E124" s="0" t="n">
        <v>0.276359424816841</v>
      </c>
      <c r="F124" s="0" t="n">
        <v>8.25741604299714</v>
      </c>
      <c r="G124" s="0" t="n">
        <v>0.438047559449312</v>
      </c>
      <c r="H124" s="0" t="n">
        <v>0.573216520650814</v>
      </c>
      <c r="I124" s="0" t="n">
        <v>0.608089260808926</v>
      </c>
      <c r="J124" s="0" t="n">
        <v>0.526123484201835</v>
      </c>
      <c r="K124" s="0" t="n">
        <v>0.667715717403612</v>
      </c>
      <c r="L124" s="1" t="b">
        <f aca="false">FALSE()</f>
        <v>0</v>
      </c>
      <c r="N124" s="0" t="n">
        <v>18.0847542020024</v>
      </c>
      <c r="O124" s="0" t="n">
        <v>0</v>
      </c>
      <c r="P124" s="0" t="n">
        <v>0</v>
      </c>
      <c r="Q124" s="0" t="n">
        <v>0</v>
      </c>
      <c r="R124" s="0" t="n">
        <v>10.315219270444</v>
      </c>
      <c r="S124" s="0" t="n">
        <v>3.20895522388061</v>
      </c>
      <c r="T124" s="0" t="n">
        <v>0.33582089552239</v>
      </c>
      <c r="U124" s="0" t="n">
        <v>0.520223152022315</v>
      </c>
      <c r="V124" s="0" t="n">
        <v>0.495118549511855</v>
      </c>
      <c r="W124" s="0" t="n">
        <v>0.808926080892608</v>
      </c>
      <c r="X124" s="0" t="n">
        <v>0.276359424816841</v>
      </c>
      <c r="Y124" s="0" t="n">
        <v>8.25741604299713</v>
      </c>
      <c r="Z124" s="0" t="n">
        <v>0.526123484201835</v>
      </c>
      <c r="AA124" s="0" t="n">
        <v>0</v>
      </c>
    </row>
    <row r="125" customFormat="false" ht="15" hidden="false" customHeight="false" outlineLevel="0" collapsed="false">
      <c r="A125" s="0" t="s">
        <v>159</v>
      </c>
      <c r="B125" s="0" t="s">
        <v>33</v>
      </c>
      <c r="C125" s="0" t="s">
        <v>33</v>
      </c>
      <c r="D125" s="0" t="n">
        <v>12.3497821696733</v>
      </c>
      <c r="E125" s="0" t="n">
        <v>0.34310330009686</v>
      </c>
      <c r="F125" s="0" t="n">
        <v>10.1035164603936</v>
      </c>
      <c r="G125" s="0" t="n">
        <v>0.794743429286608</v>
      </c>
      <c r="H125" s="0" t="n">
        <v>0.801001251564456</v>
      </c>
      <c r="I125" s="0" t="n">
        <v>0.5</v>
      </c>
      <c r="J125" s="0" t="n">
        <v>0.738297872340426</v>
      </c>
      <c r="K125" s="0" t="n">
        <v>0.667715717403612</v>
      </c>
      <c r="L125" s="1" t="b">
        <f aca="false">TRUE()</f>
        <v>1</v>
      </c>
      <c r="M125" s="0" t="s">
        <v>3035</v>
      </c>
      <c r="N125" s="0" t="n">
        <v>0</v>
      </c>
      <c r="O125" s="0" t="n">
        <v>0</v>
      </c>
      <c r="P125" s="0" t="n">
        <v>0</v>
      </c>
      <c r="Q125" s="0" t="n">
        <v>0</v>
      </c>
      <c r="U125" s="0" t="n">
        <v>0.5</v>
      </c>
      <c r="V125" s="0" t="n">
        <v>0.5</v>
      </c>
      <c r="W125" s="0" t="n">
        <v>0.5</v>
      </c>
      <c r="X125" s="0" t="n">
        <v>0.34310330009686</v>
      </c>
      <c r="Y125" s="0" t="n">
        <v>10.1035164603936</v>
      </c>
      <c r="Z125" s="0" t="n">
        <v>0.738297872340426</v>
      </c>
      <c r="AA125" s="0" t="n">
        <v>0</v>
      </c>
    </row>
    <row r="126" customFormat="false" ht="15" hidden="false" customHeight="false" outlineLevel="0" collapsed="false">
      <c r="A126" s="0" t="s">
        <v>160</v>
      </c>
      <c r="B126" s="0" t="s">
        <v>3013</v>
      </c>
      <c r="C126" s="0" t="s">
        <v>3038</v>
      </c>
      <c r="D126" s="0" t="n">
        <v>37.2113469650273</v>
      </c>
      <c r="E126" s="0" t="n">
        <v>0.283695288527021</v>
      </c>
      <c r="F126" s="0" t="n">
        <v>7.72476569535707</v>
      </c>
      <c r="G126" s="0" t="n">
        <v>0.480600750938673</v>
      </c>
      <c r="H126" s="0" t="n">
        <v>0.516896120150188</v>
      </c>
      <c r="I126" s="0" t="n">
        <v>0.718735471873547</v>
      </c>
      <c r="J126" s="0" t="n">
        <v>0.542745842810254</v>
      </c>
      <c r="K126" s="0" t="n">
        <v>0.667715717403612</v>
      </c>
      <c r="L126" s="1" t="b">
        <f aca="false">FALSE()</f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21.5836264532145</v>
      </c>
      <c r="S126" s="0" t="n">
        <v>3.94670688788336</v>
      </c>
      <c r="T126" s="0" t="n">
        <v>0.301659125188541</v>
      </c>
      <c r="U126" s="0" t="n">
        <v>0.817294281729428</v>
      </c>
      <c r="V126" s="0" t="n">
        <v>0.589958158995816</v>
      </c>
      <c r="W126" s="0" t="n">
        <v>0.748953974895398</v>
      </c>
      <c r="X126" s="0" t="n">
        <v>0.283695288527021</v>
      </c>
      <c r="Y126" s="0" t="n">
        <v>7.72476569535707</v>
      </c>
      <c r="Z126" s="0" t="n">
        <v>0.542745842810254</v>
      </c>
      <c r="AA126" s="0" t="n">
        <v>0</v>
      </c>
    </row>
    <row r="127" customFormat="false" ht="15" hidden="false" customHeight="false" outlineLevel="0" collapsed="false">
      <c r="A127" s="0" t="s">
        <v>161</v>
      </c>
      <c r="B127" s="0" t="s">
        <v>33</v>
      </c>
      <c r="C127" s="0" t="s">
        <v>33</v>
      </c>
      <c r="D127" s="0" t="n">
        <v>10.0950228611235</v>
      </c>
      <c r="E127" s="0" t="n">
        <v>0.40070272975387</v>
      </c>
      <c r="F127" s="0" t="n">
        <v>12.3814579696558</v>
      </c>
      <c r="G127" s="0" t="n">
        <v>0.944931163954944</v>
      </c>
      <c r="H127" s="0" t="n">
        <v>0.938673341677096</v>
      </c>
      <c r="I127" s="0" t="n">
        <v>0.5</v>
      </c>
      <c r="J127" s="0" t="n">
        <v>0.853441802252816</v>
      </c>
      <c r="K127" s="0" t="n">
        <v>0.667715717403612</v>
      </c>
      <c r="L127" s="1" t="b">
        <f aca="false">TRUE()</f>
        <v>1</v>
      </c>
      <c r="M127" s="0" t="s">
        <v>3035</v>
      </c>
      <c r="N127" s="0" t="n">
        <v>0</v>
      </c>
      <c r="O127" s="0" t="n">
        <v>0</v>
      </c>
      <c r="P127" s="0" t="n">
        <v>0</v>
      </c>
      <c r="Q127" s="0" t="n">
        <v>0</v>
      </c>
      <c r="U127" s="0" t="n">
        <v>0.5</v>
      </c>
      <c r="V127" s="0" t="n">
        <v>0.5</v>
      </c>
      <c r="W127" s="0" t="n">
        <v>0.5</v>
      </c>
      <c r="X127" s="0" t="n">
        <v>0.40070272975387</v>
      </c>
      <c r="Y127" s="0" t="n">
        <v>12.3814579696558</v>
      </c>
      <c r="Z127" s="0" t="n">
        <v>0.853441802252816</v>
      </c>
      <c r="AA127" s="0" t="n">
        <v>0</v>
      </c>
    </row>
    <row r="128" customFormat="false" ht="15" hidden="false" customHeight="false" outlineLevel="0" collapsed="false">
      <c r="A128" s="0" t="s">
        <v>162</v>
      </c>
      <c r="B128" s="0" t="s">
        <v>33</v>
      </c>
      <c r="C128" s="0" t="s">
        <v>33</v>
      </c>
      <c r="D128" s="0" t="n">
        <v>-38.8276966418992</v>
      </c>
      <c r="E128" s="0" t="n">
        <v>0.384317657668463</v>
      </c>
      <c r="F128" s="0" t="n">
        <v>11.6146147056491</v>
      </c>
      <c r="G128" s="0" t="n">
        <v>0.912390488110138</v>
      </c>
      <c r="H128" s="0" t="n">
        <v>0.90738423028786</v>
      </c>
      <c r="I128" s="0" t="n">
        <v>0.5</v>
      </c>
      <c r="J128" s="0" t="n">
        <v>0.827909887359199</v>
      </c>
      <c r="K128" s="0" t="n">
        <v>0.667715717403612</v>
      </c>
      <c r="L128" s="1" t="b">
        <f aca="false">TRUE()</f>
        <v>1</v>
      </c>
      <c r="M128" s="0" t="s">
        <v>3035</v>
      </c>
      <c r="N128" s="0" t="n">
        <v>0</v>
      </c>
      <c r="O128" s="0" t="n">
        <v>0</v>
      </c>
      <c r="P128" s="0" t="n">
        <v>1</v>
      </c>
      <c r="Q128" s="0" t="n">
        <v>38.8276966418992</v>
      </c>
      <c r="U128" s="0" t="n">
        <v>0.5</v>
      </c>
      <c r="V128" s="0" t="n">
        <v>0.5</v>
      </c>
      <c r="W128" s="0" t="n">
        <v>0.5</v>
      </c>
      <c r="X128" s="0" t="n">
        <v>0.384317657668463</v>
      </c>
      <c r="Y128" s="0" t="n">
        <v>11.6146147056491</v>
      </c>
      <c r="Z128" s="0" t="n">
        <v>0.827909887359199</v>
      </c>
      <c r="AA128" s="0" t="n">
        <v>0</v>
      </c>
    </row>
    <row r="129" customFormat="false" ht="15" hidden="false" customHeight="false" outlineLevel="0" collapsed="false">
      <c r="A129" s="0" t="s">
        <v>163</v>
      </c>
      <c r="B129" s="0" t="s">
        <v>3013</v>
      </c>
      <c r="C129" s="0" t="s">
        <v>3038</v>
      </c>
      <c r="D129" s="0" t="n">
        <v>30.7386816852367</v>
      </c>
      <c r="E129" s="0" t="n">
        <v>0.159639602002332</v>
      </c>
      <c r="F129" s="0" t="n">
        <v>6.66829433893569</v>
      </c>
      <c r="G129" s="0" t="n">
        <v>0.0337922403003755</v>
      </c>
      <c r="H129" s="0" t="n">
        <v>0.370463078848561</v>
      </c>
      <c r="I129" s="0" t="n">
        <v>0.814969781496978</v>
      </c>
      <c r="J129" s="0" t="n">
        <v>0.32469608395897</v>
      </c>
      <c r="K129" s="0" t="n">
        <v>0.667715717403612</v>
      </c>
      <c r="L129" s="1" t="b">
        <f aca="false">FALSE()</f>
        <v>0</v>
      </c>
      <c r="N129" s="0" t="n">
        <v>38.8276966418994</v>
      </c>
      <c r="O129" s="0" t="n">
        <v>1</v>
      </c>
      <c r="P129" s="0" t="n">
        <v>0</v>
      </c>
      <c r="Q129" s="0" t="n">
        <v>0</v>
      </c>
      <c r="R129" s="0" t="n">
        <v>69.5721175070271</v>
      </c>
      <c r="S129" s="0" t="n">
        <v>7.94738792145241</v>
      </c>
      <c r="T129" s="0" t="n">
        <v>0.25935531678399</v>
      </c>
      <c r="U129" s="0" t="n">
        <v>0.99721059972106</v>
      </c>
      <c r="V129" s="0" t="n">
        <v>0.820083682008368</v>
      </c>
      <c r="W129" s="0" t="n">
        <v>0.627615062761506</v>
      </c>
      <c r="X129" s="0" t="n">
        <v>0.159639602002332</v>
      </c>
      <c r="Y129" s="0" t="n">
        <v>6.66829433893569</v>
      </c>
      <c r="Z129" s="0" t="n">
        <v>0.32469608395897</v>
      </c>
      <c r="AA129" s="0" t="n">
        <v>0</v>
      </c>
    </row>
    <row r="130" customFormat="false" ht="15" hidden="false" customHeight="false" outlineLevel="0" collapsed="false">
      <c r="A130" s="0" t="s">
        <v>164</v>
      </c>
      <c r="B130" s="0" t="s">
        <v>3013</v>
      </c>
      <c r="C130" s="0" t="s">
        <v>3033</v>
      </c>
      <c r="D130" s="0" t="n">
        <v>11.3188751398951</v>
      </c>
      <c r="E130" s="0" t="n">
        <v>0.321047263267924</v>
      </c>
      <c r="F130" s="0" t="n">
        <v>9.66445250028018</v>
      </c>
      <c r="G130" s="0" t="n">
        <v>0.679599499374218</v>
      </c>
      <c r="H130" s="0" t="n">
        <v>0.74468085106383</v>
      </c>
      <c r="I130" s="0" t="n">
        <v>0.382147838214784</v>
      </c>
      <c r="J130" s="0" t="n">
        <v>0.646141707818176</v>
      </c>
      <c r="K130" s="0" t="n">
        <v>0.667715717403612</v>
      </c>
      <c r="L130" s="1" t="b">
        <f aca="false">FALSE()</f>
        <v>0</v>
      </c>
      <c r="N130" s="0" t="n">
        <v>8.0890149566626</v>
      </c>
      <c r="O130" s="0" t="n">
        <v>0</v>
      </c>
      <c r="P130" s="0" t="n">
        <v>0</v>
      </c>
      <c r="Q130" s="0" t="n">
        <v>0</v>
      </c>
      <c r="R130" s="0" t="n">
        <v>9.04143993302678</v>
      </c>
      <c r="S130" s="0" t="n">
        <v>1.05428443248092</v>
      </c>
      <c r="T130" s="0" t="n">
        <v>0.269179004037683</v>
      </c>
      <c r="U130" s="0" t="n">
        <v>0.447698744769875</v>
      </c>
      <c r="V130" s="0" t="n">
        <v>0.0348675034867504</v>
      </c>
      <c r="W130" s="0" t="n">
        <v>0.663877266387727</v>
      </c>
      <c r="X130" s="0" t="n">
        <v>0.321047263267924</v>
      </c>
      <c r="Y130" s="0" t="n">
        <v>9.66445250028019</v>
      </c>
      <c r="Z130" s="0" t="n">
        <v>0.646141707818176</v>
      </c>
      <c r="AA130" s="0" t="n">
        <v>0</v>
      </c>
    </row>
    <row r="131" customFormat="false" ht="15" hidden="false" customHeight="false" outlineLevel="0" collapsed="false">
      <c r="A131" s="0" t="s">
        <v>165</v>
      </c>
      <c r="B131" s="0" t="s">
        <v>3013</v>
      </c>
      <c r="C131" s="0" t="s">
        <v>3033</v>
      </c>
      <c r="D131" s="0" t="n">
        <v>-46.7361785090866</v>
      </c>
      <c r="E131" s="0" t="n">
        <v>0.276587264215779</v>
      </c>
      <c r="F131" s="0" t="n">
        <v>7.40330153409135</v>
      </c>
      <c r="G131" s="0" t="n">
        <v>0.440550688360451</v>
      </c>
      <c r="H131" s="0" t="n">
        <v>0.458072590738423</v>
      </c>
      <c r="I131" s="0" t="n">
        <v>0.332403533240353</v>
      </c>
      <c r="J131" s="0" t="n">
        <v>0.42593001828762</v>
      </c>
      <c r="K131" s="0" t="n">
        <v>0.667715717403612</v>
      </c>
      <c r="L131" s="1" t="b">
        <f aca="false">FALSE()</f>
        <v>0</v>
      </c>
      <c r="N131" s="0" t="n">
        <v>0</v>
      </c>
      <c r="O131" s="0" t="n">
        <v>0</v>
      </c>
      <c r="P131" s="0" t="n">
        <v>1</v>
      </c>
      <c r="Q131" s="0" t="n">
        <v>46.7361785090866</v>
      </c>
      <c r="R131" s="0" t="n">
        <v>10.0340430765087</v>
      </c>
      <c r="S131" s="0" t="n">
        <v>2.02072538860105</v>
      </c>
      <c r="T131" s="0" t="n">
        <v>0.181347150259072</v>
      </c>
      <c r="U131" s="0" t="n">
        <v>0.507670850767085</v>
      </c>
      <c r="V131" s="0" t="n">
        <v>0.274755927475593</v>
      </c>
      <c r="W131" s="0" t="n">
        <v>0.214783821478382</v>
      </c>
      <c r="X131" s="0" t="n">
        <v>0.276587264215779</v>
      </c>
      <c r="Y131" s="0" t="n">
        <v>7.40330153409135</v>
      </c>
      <c r="Z131" s="0" t="n">
        <v>0.42593001828762</v>
      </c>
      <c r="AA131" s="0" t="n">
        <v>-5.55111512312578E-017</v>
      </c>
    </row>
    <row r="132" customFormat="false" ht="15" hidden="false" customHeight="false" outlineLevel="0" collapsed="false">
      <c r="A132" s="0" t="s">
        <v>166</v>
      </c>
      <c r="B132" s="0" t="s">
        <v>3013</v>
      </c>
      <c r="C132" s="0" t="s">
        <v>3038</v>
      </c>
      <c r="D132" s="0" t="n">
        <v>53.8907993094185</v>
      </c>
      <c r="E132" s="0" t="n">
        <v>0.186923835607555</v>
      </c>
      <c r="F132" s="0" t="n">
        <v>5.01946207518405</v>
      </c>
      <c r="G132" s="0" t="n">
        <v>0.0763454317897372</v>
      </c>
      <c r="H132" s="0" t="n">
        <v>0.137672090112641</v>
      </c>
      <c r="I132" s="0" t="n">
        <v>0.900511390051139</v>
      </c>
      <c r="J132" s="0" t="n">
        <v>0.265709286771179</v>
      </c>
      <c r="K132" s="0" t="n">
        <v>0.667715717403612</v>
      </c>
      <c r="L132" s="1" t="b">
        <f aca="false">FALSE()</f>
        <v>0</v>
      </c>
      <c r="N132" s="0" t="n">
        <v>46.7361785090866</v>
      </c>
      <c r="O132" s="0" t="n">
        <v>1</v>
      </c>
      <c r="P132" s="0" t="n">
        <v>0</v>
      </c>
      <c r="Q132" s="0" t="n">
        <v>0</v>
      </c>
      <c r="R132" s="0" t="n">
        <v>28.1464180635953</v>
      </c>
      <c r="S132" s="0" t="n">
        <v>11.6732617297908</v>
      </c>
      <c r="T132" s="0" t="n">
        <v>0.423968343697004</v>
      </c>
      <c r="U132" s="0" t="n">
        <v>0.895397489539749</v>
      </c>
      <c r="V132" s="0" t="n">
        <v>0.902370990237099</v>
      </c>
      <c r="W132" s="0" t="n">
        <v>0.903765690376569</v>
      </c>
      <c r="X132" s="0" t="n">
        <v>0.186923835607555</v>
      </c>
      <c r="Y132" s="0" t="n">
        <v>5.01946207518405</v>
      </c>
      <c r="Z132" s="0" t="n">
        <v>0.265709286771179</v>
      </c>
      <c r="AA132" s="0" t="n">
        <v>0</v>
      </c>
    </row>
    <row r="133" customFormat="false" ht="15" hidden="false" customHeight="false" outlineLevel="0" collapsed="false">
      <c r="A133" s="0" t="s">
        <v>167</v>
      </c>
      <c r="B133" s="0" t="s">
        <v>3013</v>
      </c>
      <c r="C133" s="0" t="s">
        <v>3036</v>
      </c>
      <c r="D133" s="0" t="n">
        <v>33.3117003022157</v>
      </c>
      <c r="E133" s="0" t="n">
        <v>0.333930354175465</v>
      </c>
      <c r="F133" s="0" t="n">
        <v>10.0608104993761</v>
      </c>
      <c r="G133" s="0" t="n">
        <v>0.754693366708386</v>
      </c>
      <c r="H133" s="0" t="n">
        <v>0.795994993742178</v>
      </c>
      <c r="I133" s="0" t="n">
        <v>0.614597861459786</v>
      </c>
      <c r="J133" s="0" t="n">
        <v>0.743194916472183</v>
      </c>
      <c r="K133" s="0" t="n">
        <v>0.667715717403612</v>
      </c>
      <c r="L133" s="1" t="b">
        <f aca="false">TRUE()</f>
        <v>1</v>
      </c>
      <c r="M133" s="0" t="s">
        <v>3035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9.52426709775639</v>
      </c>
      <c r="S133" s="0" t="n">
        <v>4.7486033519553</v>
      </c>
      <c r="T133" s="0" t="n">
        <v>0.279329608938545</v>
      </c>
      <c r="U133" s="0" t="n">
        <v>0.478382147838215</v>
      </c>
      <c r="V133" s="0" t="n">
        <v>0.668061366806137</v>
      </c>
      <c r="W133" s="0" t="n">
        <v>0.697350069735007</v>
      </c>
      <c r="X133" s="0" t="n">
        <v>0.333930354175465</v>
      </c>
      <c r="Y133" s="0" t="n">
        <v>10.0608104993761</v>
      </c>
      <c r="Z133" s="0" t="n">
        <v>0.743194916472183</v>
      </c>
      <c r="AA133" s="0" t="n">
        <v>0</v>
      </c>
    </row>
    <row r="134" customFormat="false" ht="15" hidden="false" customHeight="false" outlineLevel="0" collapsed="false">
      <c r="A134" s="0" t="s">
        <v>168</v>
      </c>
      <c r="B134" s="0" t="s">
        <v>3013</v>
      </c>
      <c r="C134" s="0" t="s">
        <v>3033</v>
      </c>
      <c r="D134" s="0" t="n">
        <v>37.7079140562504</v>
      </c>
      <c r="E134" s="0" t="n">
        <v>0.240564178562122</v>
      </c>
      <c r="F134" s="0" t="n">
        <v>7.57147145293442</v>
      </c>
      <c r="G134" s="0" t="n">
        <v>0.227784730913642</v>
      </c>
      <c r="H134" s="0" t="n">
        <v>0.494367959949937</v>
      </c>
      <c r="I134" s="0" t="n">
        <v>0.455137145513715</v>
      </c>
      <c r="J134" s="0" t="n">
        <v>0.379888505448175</v>
      </c>
      <c r="K134" s="0" t="n">
        <v>0.667715717403612</v>
      </c>
      <c r="L134" s="1" t="b">
        <f aca="false">FALSE()</f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15.1531179684529</v>
      </c>
      <c r="S134" s="0" t="n">
        <v>1.33718279896672</v>
      </c>
      <c r="T134" s="0" t="n">
        <v>0.243124145266672</v>
      </c>
      <c r="U134" s="0" t="n">
        <v>0.708507670850767</v>
      </c>
      <c r="V134" s="0" t="n">
        <v>0.094839609483961</v>
      </c>
      <c r="W134" s="0" t="n">
        <v>0.562064156206416</v>
      </c>
      <c r="X134" s="0" t="n">
        <v>0.240564178562122</v>
      </c>
      <c r="Y134" s="0" t="n">
        <v>7.57147145293442</v>
      </c>
      <c r="Z134" s="0" t="n">
        <v>0.379888505448175</v>
      </c>
      <c r="AA134" s="0" t="n">
        <v>0</v>
      </c>
    </row>
    <row r="135" customFormat="false" ht="15" hidden="false" customHeight="false" outlineLevel="0" collapsed="false">
      <c r="A135" s="0" t="s">
        <v>169</v>
      </c>
      <c r="B135" s="0" t="s">
        <v>3013</v>
      </c>
      <c r="C135" s="0" t="s">
        <v>3033</v>
      </c>
      <c r="D135" s="0" t="n">
        <v>7.06010614637277</v>
      </c>
      <c r="E135" s="0" t="n">
        <v>0.221332755233825</v>
      </c>
      <c r="F135" s="0" t="n">
        <v>4.53646058772652</v>
      </c>
      <c r="G135" s="0" t="n">
        <v>0.148936170212766</v>
      </c>
      <c r="H135" s="0" t="n">
        <v>0.0863579474342929</v>
      </c>
      <c r="I135" s="0" t="n">
        <v>0.656438865643887</v>
      </c>
      <c r="J135" s="0" t="n">
        <v>0.225405420187601</v>
      </c>
      <c r="K135" s="0" t="n">
        <v>0.667715717403612</v>
      </c>
      <c r="L135" s="1" t="b">
        <f aca="false">FALSE()</f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16.0940253764254</v>
      </c>
      <c r="S135" s="0" t="n">
        <v>2.65719547487504</v>
      </c>
      <c r="T135" s="0" t="n">
        <v>0.342015259142326</v>
      </c>
      <c r="U135" s="0" t="n">
        <v>0.730822873082287</v>
      </c>
      <c r="V135" s="0" t="n">
        <v>0.419804741980474</v>
      </c>
      <c r="W135" s="0" t="n">
        <v>0.818688981868898</v>
      </c>
      <c r="X135" s="0" t="n">
        <v>0.221332755233825</v>
      </c>
      <c r="Y135" s="0" t="n">
        <v>4.53646058772652</v>
      </c>
      <c r="Z135" s="0" t="n">
        <v>0.225405420187601</v>
      </c>
      <c r="AA135" s="0" t="n">
        <v>5.55111512312578E-017</v>
      </c>
    </row>
    <row r="136" customFormat="false" ht="15" hidden="false" customHeight="false" outlineLevel="0" collapsed="false">
      <c r="A136" s="0" t="s">
        <v>170</v>
      </c>
      <c r="B136" s="0" t="s">
        <v>3013</v>
      </c>
      <c r="C136" s="0" t="s">
        <v>3033</v>
      </c>
      <c r="D136" s="0" t="n">
        <v>-38.8804918444982</v>
      </c>
      <c r="E136" s="0" t="n">
        <v>0.279086969948207</v>
      </c>
      <c r="F136" s="0" t="n">
        <v>8.32187507102201</v>
      </c>
      <c r="G136" s="0" t="n">
        <v>0.459324155193993</v>
      </c>
      <c r="H136" s="0" t="n">
        <v>0.584480600750939</v>
      </c>
      <c r="I136" s="0" t="n">
        <v>0.496048349604835</v>
      </c>
      <c r="J136" s="0" t="n">
        <v>0.51673157229894</v>
      </c>
      <c r="K136" s="0" t="n">
        <v>0.667715717403612</v>
      </c>
      <c r="L136" s="1" t="b">
        <f aca="false">FALSE()</f>
        <v>0</v>
      </c>
      <c r="N136" s="0" t="n">
        <v>0</v>
      </c>
      <c r="O136" s="0" t="n">
        <v>0</v>
      </c>
      <c r="P136" s="0" t="n">
        <v>1</v>
      </c>
      <c r="Q136" s="0" t="n">
        <v>38.8804918444982</v>
      </c>
      <c r="R136" s="0" t="n">
        <v>10.4797424337084</v>
      </c>
      <c r="S136" s="0" t="n">
        <v>1.67797215280257</v>
      </c>
      <c r="T136" s="0" t="n">
        <v>0.321313816494101</v>
      </c>
      <c r="U136" s="0" t="n">
        <v>0.528591352859135</v>
      </c>
      <c r="V136" s="0" t="n">
        <v>0.179916317991632</v>
      </c>
      <c r="W136" s="0" t="n">
        <v>0.779637377963738</v>
      </c>
      <c r="X136" s="0" t="n">
        <v>0.279086969948207</v>
      </c>
      <c r="Y136" s="0" t="n">
        <v>8.32187507102201</v>
      </c>
      <c r="Z136" s="0" t="n">
        <v>0.51673157229894</v>
      </c>
      <c r="AA136" s="0" t="n">
        <v>0</v>
      </c>
    </row>
    <row r="137" customFormat="false" ht="15" hidden="false" customHeight="false" outlineLevel="0" collapsed="false">
      <c r="A137" s="0" t="s">
        <v>171</v>
      </c>
      <c r="B137" s="0" t="s">
        <v>33</v>
      </c>
      <c r="C137" s="0" t="s">
        <v>33</v>
      </c>
      <c r="D137" s="0" t="n">
        <v>36.6695875812963</v>
      </c>
      <c r="E137" s="0" t="n">
        <v>0.357544769714237</v>
      </c>
      <c r="F137" s="0" t="n">
        <v>10.8994162874143</v>
      </c>
      <c r="G137" s="0" t="n">
        <v>0.839799749687109</v>
      </c>
      <c r="H137" s="0" t="n">
        <v>0.869837296620776</v>
      </c>
      <c r="I137" s="0" t="n">
        <v>0.5</v>
      </c>
      <c r="J137" s="0" t="n">
        <v>0.783854818523154</v>
      </c>
      <c r="K137" s="0" t="n">
        <v>0.667715717403612</v>
      </c>
      <c r="L137" s="1" t="b">
        <f aca="false">TRUE()</f>
        <v>1</v>
      </c>
      <c r="M137" s="0" t="s">
        <v>3035</v>
      </c>
      <c r="N137" s="0" t="n">
        <v>38.880491844498</v>
      </c>
      <c r="O137" s="0" t="n">
        <v>1</v>
      </c>
      <c r="P137" s="0" t="n">
        <v>0</v>
      </c>
      <c r="Q137" s="0" t="n">
        <v>0</v>
      </c>
      <c r="U137" s="0" t="n">
        <v>0.5</v>
      </c>
      <c r="V137" s="0" t="n">
        <v>0.5</v>
      </c>
      <c r="W137" s="0" t="n">
        <v>0.5</v>
      </c>
      <c r="X137" s="0" t="n">
        <v>0.357544769714237</v>
      </c>
      <c r="Y137" s="0" t="n">
        <v>10.8994162874143</v>
      </c>
      <c r="Z137" s="0" t="n">
        <v>0.783854818523154</v>
      </c>
      <c r="AA137" s="0" t="n">
        <v>0</v>
      </c>
    </row>
    <row r="138" customFormat="false" ht="15" hidden="false" customHeight="false" outlineLevel="0" collapsed="false">
      <c r="A138" s="0" t="s">
        <v>172</v>
      </c>
      <c r="B138" s="0" t="s">
        <v>3013</v>
      </c>
      <c r="C138" s="0" t="s">
        <v>3033</v>
      </c>
      <c r="D138" s="0" t="n">
        <v>-2.14592918879239</v>
      </c>
      <c r="E138" s="0" t="n">
        <v>0.306167346356634</v>
      </c>
      <c r="F138" s="0" t="n">
        <v>7.45033990707672</v>
      </c>
      <c r="G138" s="0" t="n">
        <v>0.602002503128911</v>
      </c>
      <c r="H138" s="0" t="n">
        <v>0.474342928660826</v>
      </c>
      <c r="I138" s="0" t="n">
        <v>0.298465829846583</v>
      </c>
      <c r="J138" s="0" t="n">
        <v>0.490231338685212</v>
      </c>
      <c r="K138" s="0" t="n">
        <v>0.667715717403612</v>
      </c>
      <c r="L138" s="1" t="b">
        <f aca="false">FALSE()</f>
        <v>0</v>
      </c>
      <c r="N138" s="0" t="n">
        <v>2.21090426320188</v>
      </c>
      <c r="O138" s="0" t="n">
        <v>0</v>
      </c>
      <c r="P138" s="0" t="n">
        <v>1</v>
      </c>
      <c r="Q138" s="0" t="n">
        <v>2.14592918879239</v>
      </c>
      <c r="R138" s="0" t="n">
        <v>5.78624439195639</v>
      </c>
      <c r="S138" s="0" t="n">
        <v>2.08679155797961</v>
      </c>
      <c r="T138" s="0" t="n">
        <v>0.213421863884279</v>
      </c>
      <c r="U138" s="0" t="n">
        <v>0.205020920502092</v>
      </c>
      <c r="V138" s="0" t="n">
        <v>0.292887029288703</v>
      </c>
      <c r="W138" s="0" t="n">
        <v>0.397489539748954</v>
      </c>
      <c r="X138" s="0" t="n">
        <v>0.306167346356634</v>
      </c>
      <c r="Y138" s="0" t="n">
        <v>7.45033990707672</v>
      </c>
      <c r="Z138" s="0" t="n">
        <v>0.490231338685212</v>
      </c>
      <c r="AA138" s="0" t="n">
        <v>0</v>
      </c>
    </row>
    <row r="139" customFormat="false" ht="15" hidden="false" customHeight="false" outlineLevel="0" collapsed="false">
      <c r="A139" s="0" t="s">
        <v>173</v>
      </c>
      <c r="B139" s="0" t="s">
        <v>3013</v>
      </c>
      <c r="C139" s="0" t="s">
        <v>3038</v>
      </c>
      <c r="D139" s="0" t="n">
        <v>5.32263894066147</v>
      </c>
      <c r="E139" s="0" t="n">
        <v>0.174508077567798</v>
      </c>
      <c r="F139" s="0" t="n">
        <v>2.82393149189155</v>
      </c>
      <c r="G139" s="0" t="n">
        <v>0.0500625782227785</v>
      </c>
      <c r="H139" s="0" t="n">
        <v>0.0212765957446809</v>
      </c>
      <c r="I139" s="0" t="n">
        <v>0.828916782891678</v>
      </c>
      <c r="J139" s="0" t="n">
        <v>0.194319026165319</v>
      </c>
      <c r="K139" s="0" t="n">
        <v>0.667715717403612</v>
      </c>
      <c r="L139" s="1" t="b">
        <f aca="false">FALSE()</f>
        <v>0</v>
      </c>
      <c r="N139" s="0" t="n">
        <v>4.35683345199414</v>
      </c>
      <c r="O139" s="0" t="n">
        <v>1</v>
      </c>
      <c r="P139" s="0" t="n">
        <v>0</v>
      </c>
      <c r="Q139" s="0" t="n">
        <v>0</v>
      </c>
      <c r="R139" s="0" t="n">
        <v>20.6359210034635</v>
      </c>
      <c r="S139" s="0" t="n">
        <v>11.5228563700297</v>
      </c>
      <c r="T139" s="0" t="n">
        <v>0.324587503381117</v>
      </c>
      <c r="U139" s="0" t="n">
        <v>0.797768479776848</v>
      </c>
      <c r="V139" s="0" t="n">
        <v>0.899581589958159</v>
      </c>
      <c r="W139" s="0" t="n">
        <v>0.789400278940028</v>
      </c>
      <c r="X139" s="0" t="n">
        <v>0.174508077567798</v>
      </c>
      <c r="Y139" s="0" t="n">
        <v>2.82393149189155</v>
      </c>
      <c r="Z139" s="0" t="n">
        <v>0.194319026165319</v>
      </c>
      <c r="AA139" s="0" t="n">
        <v>-2.77555756156289E-017</v>
      </c>
    </row>
    <row r="140" customFormat="false" ht="15" hidden="false" customHeight="false" outlineLevel="0" collapsed="false">
      <c r="A140" s="0" t="s">
        <v>174</v>
      </c>
      <c r="B140" s="0" t="s">
        <v>3013</v>
      </c>
      <c r="C140" s="0" t="s">
        <v>3033</v>
      </c>
      <c r="D140" s="0" t="n">
        <v>3.49009196578073</v>
      </c>
      <c r="E140" s="0" t="n">
        <v>0.274465778490284</v>
      </c>
      <c r="F140" s="0" t="n">
        <v>8.69262769902547</v>
      </c>
      <c r="G140" s="0" t="n">
        <v>0.4180225281602</v>
      </c>
      <c r="H140" s="0" t="n">
        <v>0.632040050062578</v>
      </c>
      <c r="I140" s="0" t="n">
        <v>0.376569037656904</v>
      </c>
      <c r="J140" s="0" t="n">
        <v>0.495338838820492</v>
      </c>
      <c r="K140" s="0" t="n">
        <v>0.667715717403612</v>
      </c>
      <c r="L140" s="1" t="b">
        <f aca="false">FALSE()</f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4.87356423689912</v>
      </c>
      <c r="S140" s="0" t="n">
        <v>1.44329896907216</v>
      </c>
      <c r="T140" s="0" t="n">
        <v>0.412371134020624</v>
      </c>
      <c r="U140" s="0" t="n">
        <v>0.122733612273361</v>
      </c>
      <c r="V140" s="0" t="n">
        <v>0.117154811715481</v>
      </c>
      <c r="W140" s="0" t="n">
        <v>0.889818688981869</v>
      </c>
      <c r="X140" s="0" t="n">
        <v>0.274465778490284</v>
      </c>
      <c r="Y140" s="0" t="n">
        <v>8.69262769902547</v>
      </c>
      <c r="Z140" s="0" t="n">
        <v>0.495338838820492</v>
      </c>
      <c r="AA140" s="0" t="n">
        <v>0</v>
      </c>
    </row>
    <row r="141" customFormat="false" ht="15" hidden="false" customHeight="false" outlineLevel="0" collapsed="false">
      <c r="A141" s="0" t="s">
        <v>175</v>
      </c>
      <c r="B141" s="0" t="s">
        <v>3013</v>
      </c>
      <c r="C141" s="0" t="s">
        <v>3033</v>
      </c>
      <c r="D141" s="0" t="n">
        <v>-31.262154892469</v>
      </c>
      <c r="E141" s="0" t="n">
        <v>0.244086953124923</v>
      </c>
      <c r="F141" s="0" t="n">
        <v>6.29509956918273</v>
      </c>
      <c r="G141" s="0" t="n">
        <v>0.239048811013767</v>
      </c>
      <c r="H141" s="0" t="n">
        <v>0.311639549436796</v>
      </c>
      <c r="I141" s="0" t="n">
        <v>0.391445839144584</v>
      </c>
      <c r="J141" s="0" t="n">
        <v>0.298564512009142</v>
      </c>
      <c r="K141" s="0" t="n">
        <v>0.667715717403612</v>
      </c>
      <c r="L141" s="1" t="b">
        <f aca="false">FALSE()</f>
        <v>0</v>
      </c>
      <c r="N141" s="0" t="n">
        <v>0</v>
      </c>
      <c r="O141" s="0" t="n">
        <v>0</v>
      </c>
      <c r="P141" s="0" t="n">
        <v>1</v>
      </c>
      <c r="Q141" s="0" t="n">
        <v>31.262154892469</v>
      </c>
      <c r="R141" s="0" t="n">
        <v>6.55129556587905</v>
      </c>
      <c r="S141" s="0" t="n">
        <v>2.36765097100292</v>
      </c>
      <c r="T141" s="0" t="n">
        <v>0.239425379090185</v>
      </c>
      <c r="U141" s="0" t="n">
        <v>0.277545327754533</v>
      </c>
      <c r="V141" s="0" t="n">
        <v>0.358437935843794</v>
      </c>
      <c r="W141" s="0" t="n">
        <v>0.538354253835425</v>
      </c>
      <c r="X141" s="0" t="n">
        <v>0.244086953124923</v>
      </c>
      <c r="Y141" s="0" t="n">
        <v>6.29509956918273</v>
      </c>
      <c r="Z141" s="0" t="n">
        <v>0.298564512009142</v>
      </c>
      <c r="AA141" s="0" t="n">
        <v>0</v>
      </c>
    </row>
    <row r="142" customFormat="false" ht="15" hidden="false" customHeight="false" outlineLevel="0" collapsed="false">
      <c r="A142" s="0" t="s">
        <v>176</v>
      </c>
      <c r="B142" s="0" t="s">
        <v>3013</v>
      </c>
      <c r="C142" s="0" t="s">
        <v>3033</v>
      </c>
      <c r="D142" s="0" t="n">
        <v>53.7682442162164</v>
      </c>
      <c r="E142" s="0" t="n">
        <v>0.280630233183239</v>
      </c>
      <c r="F142" s="0" t="n">
        <v>9.57476037457092</v>
      </c>
      <c r="G142" s="0" t="n">
        <v>0.46558197747184</v>
      </c>
      <c r="H142" s="0" t="n">
        <v>0.734668335419274</v>
      </c>
      <c r="I142" s="0" t="n">
        <v>0.613668061366806</v>
      </c>
      <c r="J142" s="0" t="n">
        <v>0.602833737429807</v>
      </c>
      <c r="K142" s="0" t="n">
        <v>0.667715717403612</v>
      </c>
      <c r="L142" s="1" t="b">
        <f aca="false">FALSE()</f>
        <v>0</v>
      </c>
      <c r="N142" s="0" t="n">
        <v>31.262154892469</v>
      </c>
      <c r="O142" s="0" t="n">
        <v>1</v>
      </c>
      <c r="P142" s="0" t="n">
        <v>0</v>
      </c>
      <c r="Q142" s="0" t="n">
        <v>0</v>
      </c>
      <c r="R142" s="0" t="n">
        <v>13.6852766516694</v>
      </c>
      <c r="S142" s="0" t="n">
        <v>4.24845388545307</v>
      </c>
      <c r="T142" s="0" t="n">
        <v>0.242000537778974</v>
      </c>
      <c r="U142" s="0" t="n">
        <v>0.669456066945607</v>
      </c>
      <c r="V142" s="0" t="n">
        <v>0.619246861924686</v>
      </c>
      <c r="W142" s="0" t="n">
        <v>0.552301255230126</v>
      </c>
      <c r="X142" s="0" t="n">
        <v>0.280630233183239</v>
      </c>
      <c r="Y142" s="0" t="n">
        <v>9.57476037457092</v>
      </c>
      <c r="Z142" s="0" t="n">
        <v>0.602833737429807</v>
      </c>
      <c r="AA142" s="0" t="n">
        <v>0</v>
      </c>
    </row>
    <row r="143" customFormat="false" ht="15" hidden="false" customHeight="false" outlineLevel="0" collapsed="false">
      <c r="A143" s="0" t="s">
        <v>177</v>
      </c>
      <c r="B143" s="0" t="s">
        <v>3013</v>
      </c>
      <c r="C143" s="0" t="s">
        <v>3033</v>
      </c>
      <c r="D143" s="0" t="n">
        <v>-38.3878041079425</v>
      </c>
      <c r="E143" s="0" t="n">
        <v>0.304699818613506</v>
      </c>
      <c r="F143" s="0" t="n">
        <v>10.0057538953665</v>
      </c>
      <c r="G143" s="0" t="n">
        <v>0.589486858573217</v>
      </c>
      <c r="H143" s="0" t="n">
        <v>0.792240300375469</v>
      </c>
      <c r="I143" s="0" t="n">
        <v>0.418874941887494</v>
      </c>
      <c r="J143" s="0" t="n">
        <v>0.636465851956973</v>
      </c>
      <c r="K143" s="0" t="n">
        <v>0.667715717403612</v>
      </c>
      <c r="L143" s="1" t="b">
        <f aca="false">FALSE()</f>
        <v>0</v>
      </c>
      <c r="N143" s="0" t="n">
        <v>0</v>
      </c>
      <c r="O143" s="0" t="n">
        <v>0</v>
      </c>
      <c r="P143" s="0" t="n">
        <v>1</v>
      </c>
      <c r="Q143" s="0" t="n">
        <v>38.3878041079425</v>
      </c>
      <c r="R143" s="0" t="n">
        <v>7.194734762288</v>
      </c>
      <c r="S143" s="0" t="n">
        <v>4.60271317829457</v>
      </c>
      <c r="T143" s="0" t="n">
        <v>0.193798449612399</v>
      </c>
      <c r="U143" s="0" t="n">
        <v>0.329149232914923</v>
      </c>
      <c r="V143" s="0" t="n">
        <v>0.651324965132497</v>
      </c>
      <c r="W143" s="0" t="n">
        <v>0.276150627615063</v>
      </c>
      <c r="X143" s="0" t="n">
        <v>0.304699818613506</v>
      </c>
      <c r="Y143" s="0" t="n">
        <v>10.0057538953665</v>
      </c>
      <c r="Z143" s="0" t="n">
        <v>0.636465851956973</v>
      </c>
      <c r="AA143" s="0" t="n">
        <v>0</v>
      </c>
    </row>
    <row r="144" customFormat="false" ht="15" hidden="false" customHeight="false" outlineLevel="0" collapsed="false">
      <c r="A144" s="0" t="s">
        <v>178</v>
      </c>
      <c r="B144" s="0" t="s">
        <v>3013</v>
      </c>
      <c r="C144" s="0" t="s">
        <v>3033</v>
      </c>
      <c r="D144" s="0" t="n">
        <v>-33.3732758515162</v>
      </c>
      <c r="E144" s="0" t="n">
        <v>0.28354108444477</v>
      </c>
      <c r="F144" s="0" t="n">
        <v>8.38517670090338</v>
      </c>
      <c r="G144" s="0" t="n">
        <v>0.479349186483104</v>
      </c>
      <c r="H144" s="0" t="n">
        <v>0.590738423028786</v>
      </c>
      <c r="I144" s="0" t="n">
        <v>0.573221757322176</v>
      </c>
      <c r="J144" s="0" t="n">
        <v>0.542679395269191</v>
      </c>
      <c r="K144" s="0" t="n">
        <v>0.667715717403612</v>
      </c>
      <c r="L144" s="1" t="b">
        <f aca="false">FALSE()</f>
        <v>0</v>
      </c>
      <c r="N144" s="0" t="n">
        <v>38.3878041079424</v>
      </c>
      <c r="O144" s="0" t="n">
        <v>1</v>
      </c>
      <c r="P144" s="0" t="n">
        <v>1</v>
      </c>
      <c r="Q144" s="0" t="n">
        <v>33.3732758515162</v>
      </c>
      <c r="R144" s="0" t="n">
        <v>13.3021938980669</v>
      </c>
      <c r="S144" s="0" t="n">
        <v>3.22155237377544</v>
      </c>
      <c r="T144" s="0" t="n">
        <v>0.244913338357199</v>
      </c>
      <c r="U144" s="0" t="n">
        <v>0.654114365411437</v>
      </c>
      <c r="V144" s="0" t="n">
        <v>0.499302649930265</v>
      </c>
      <c r="W144" s="0" t="n">
        <v>0.566248256624826</v>
      </c>
      <c r="X144" s="0" t="n">
        <v>0.28354108444477</v>
      </c>
      <c r="Y144" s="0" t="n">
        <v>8.38517670090338</v>
      </c>
      <c r="Z144" s="0" t="n">
        <v>0.542679395269191</v>
      </c>
      <c r="AA144" s="0" t="n">
        <v>0</v>
      </c>
    </row>
    <row r="145" customFormat="false" ht="15" hidden="false" customHeight="false" outlineLevel="0" collapsed="false">
      <c r="A145" s="0" t="s">
        <v>179</v>
      </c>
      <c r="B145" s="0" t="s">
        <v>3013</v>
      </c>
      <c r="C145" s="0" t="s">
        <v>3033</v>
      </c>
      <c r="D145" s="0" t="n">
        <v>12.714428223576</v>
      </c>
      <c r="E145" s="0" t="n">
        <v>0.243959237767206</v>
      </c>
      <c r="F145" s="0" t="n">
        <v>6.63058589980505</v>
      </c>
      <c r="G145" s="0" t="n">
        <v>0.237797246558198</v>
      </c>
      <c r="H145" s="0" t="n">
        <v>0.365456821026283</v>
      </c>
      <c r="I145" s="0" t="n">
        <v>0.286378428637843</v>
      </c>
      <c r="J145" s="0" t="n">
        <v>0.298577312761361</v>
      </c>
      <c r="K145" s="0" t="n">
        <v>0.667715717403612</v>
      </c>
      <c r="L145" s="1" t="b">
        <f aca="false">FALSE()</f>
        <v>0</v>
      </c>
      <c r="N145" s="0" t="n">
        <v>71.7610799594586</v>
      </c>
      <c r="O145" s="0" t="n">
        <v>2</v>
      </c>
      <c r="P145" s="0" t="n">
        <v>0</v>
      </c>
      <c r="Q145" s="0" t="n">
        <v>0</v>
      </c>
      <c r="R145" s="0" t="n">
        <v>6.78910884013555</v>
      </c>
      <c r="S145" s="0" t="n">
        <v>1.47382314122305</v>
      </c>
      <c r="T145" s="0" t="n">
        <v>0.219973603167614</v>
      </c>
      <c r="U145" s="0" t="n">
        <v>0.294281729428173</v>
      </c>
      <c r="V145" s="0" t="n">
        <v>0.128312412831241</v>
      </c>
      <c r="W145" s="0" t="n">
        <v>0.436541143654114</v>
      </c>
      <c r="X145" s="0" t="n">
        <v>0.243959237767206</v>
      </c>
      <c r="Y145" s="0" t="n">
        <v>6.63058589980506</v>
      </c>
      <c r="Z145" s="0" t="n">
        <v>0.298577312761361</v>
      </c>
      <c r="AA145" s="0" t="n">
        <v>0</v>
      </c>
    </row>
    <row r="146" customFormat="false" ht="15" hidden="false" customHeight="false" outlineLevel="0" collapsed="false">
      <c r="A146" s="0" t="s">
        <v>180</v>
      </c>
      <c r="B146" s="0" t="s">
        <v>3013</v>
      </c>
      <c r="C146" s="0" t="s">
        <v>3033</v>
      </c>
      <c r="D146" s="0" t="n">
        <v>25.6398649623136</v>
      </c>
      <c r="E146" s="0" t="n">
        <v>0.22248459236892</v>
      </c>
      <c r="F146" s="0" t="n">
        <v>6.12991624356264</v>
      </c>
      <c r="G146" s="0" t="n">
        <v>0.152690863579474</v>
      </c>
      <c r="H146" s="0" t="n">
        <v>0.281602002503129</v>
      </c>
      <c r="I146" s="0" t="n">
        <v>0.670850767085077</v>
      </c>
      <c r="J146" s="0" t="n">
        <v>0.307887299850057</v>
      </c>
      <c r="K146" s="0" t="n">
        <v>0.667715717403612</v>
      </c>
      <c r="L146" s="1" t="b">
        <f aca="false">FALSE()</f>
        <v>0</v>
      </c>
      <c r="N146" s="0" t="n">
        <v>59.0466517358827</v>
      </c>
      <c r="O146" s="0" t="n">
        <v>0</v>
      </c>
      <c r="P146" s="0" t="n">
        <v>0</v>
      </c>
      <c r="Q146" s="0" t="n">
        <v>0</v>
      </c>
      <c r="R146" s="0" t="n">
        <v>22.6107022167776</v>
      </c>
      <c r="S146" s="0" t="n">
        <v>8.19526627218935</v>
      </c>
      <c r="T146" s="0" t="n">
        <v>0.207100591715981</v>
      </c>
      <c r="U146" s="0" t="n">
        <v>0.828451882845188</v>
      </c>
      <c r="V146" s="0" t="n">
        <v>0.827057182705718</v>
      </c>
      <c r="W146" s="0" t="n">
        <v>0.357043235704324</v>
      </c>
      <c r="X146" s="0" t="n">
        <v>0.22248459236892</v>
      </c>
      <c r="Y146" s="0" t="n">
        <v>6.12991624356264</v>
      </c>
      <c r="Z146" s="0" t="n">
        <v>0.307887299850057</v>
      </c>
      <c r="AA146" s="0" t="n">
        <v>5.55111512312578E-017</v>
      </c>
    </row>
    <row r="147" customFormat="false" ht="15" hidden="false" customHeight="false" outlineLevel="0" collapsed="false">
      <c r="A147" s="0" t="s">
        <v>181</v>
      </c>
      <c r="B147" s="0" t="s">
        <v>3013</v>
      </c>
      <c r="C147" s="0" t="s">
        <v>3038</v>
      </c>
      <c r="D147" s="0" t="n">
        <v>11.0353374740835</v>
      </c>
      <c r="E147" s="0" t="n">
        <v>0.237773330684138</v>
      </c>
      <c r="F147" s="0" t="n">
        <v>8.7370294047479</v>
      </c>
      <c r="G147" s="0" t="n">
        <v>0.211514392991239</v>
      </c>
      <c r="H147" s="0" t="n">
        <v>0.642052565707134</v>
      </c>
      <c r="I147" s="0" t="n">
        <v>0.862854486285449</v>
      </c>
      <c r="J147" s="0" t="n">
        <v>0.513997680736439</v>
      </c>
      <c r="K147" s="0" t="n">
        <v>0.667715717403612</v>
      </c>
      <c r="L147" s="1" t="b">
        <f aca="false">FALSE()</f>
        <v>0</v>
      </c>
      <c r="N147" s="0" t="n">
        <v>33.4067867735689</v>
      </c>
      <c r="O147" s="0" t="n">
        <v>0</v>
      </c>
      <c r="P147" s="0" t="n">
        <v>0</v>
      </c>
      <c r="Q147" s="0" t="n">
        <v>0</v>
      </c>
      <c r="R147" s="0" t="n">
        <v>25.0519621742901</v>
      </c>
      <c r="S147" s="0" t="n">
        <v>6.28778718258765</v>
      </c>
      <c r="T147" s="0" t="n">
        <v>0.604594921402654</v>
      </c>
      <c r="U147" s="0" t="n">
        <v>0.857740585774059</v>
      </c>
      <c r="V147" s="0" t="n">
        <v>0.754532775453278</v>
      </c>
      <c r="W147" s="0" t="n">
        <v>0.97629009762901</v>
      </c>
      <c r="X147" s="0" t="n">
        <v>0.237773330684138</v>
      </c>
      <c r="Y147" s="0" t="n">
        <v>8.73702940474789</v>
      </c>
      <c r="Z147" s="0" t="n">
        <v>0.513997680736439</v>
      </c>
      <c r="AA147" s="0" t="n">
        <v>0</v>
      </c>
    </row>
    <row r="148" customFormat="false" ht="15" hidden="false" customHeight="false" outlineLevel="0" collapsed="false">
      <c r="A148" s="0" t="s">
        <v>182</v>
      </c>
      <c r="B148" s="0" t="s">
        <v>3013</v>
      </c>
      <c r="C148" s="0" t="s">
        <v>3033</v>
      </c>
      <c r="D148" s="0" t="n">
        <v>-39.4220352119786</v>
      </c>
      <c r="E148" s="0" t="n">
        <v>0.274021939854023</v>
      </c>
      <c r="F148" s="0" t="n">
        <v>9.13927246351187</v>
      </c>
      <c r="G148" s="0" t="n">
        <v>0.415519399249061</v>
      </c>
      <c r="H148" s="0" t="n">
        <v>0.69837296620776</v>
      </c>
      <c r="I148" s="0" t="n">
        <v>0.431427243142724</v>
      </c>
      <c r="J148" s="0" t="n">
        <v>0.531842394811273</v>
      </c>
      <c r="K148" s="0" t="n">
        <v>0.667715717403612</v>
      </c>
      <c r="L148" s="1" t="b">
        <f aca="false">FALSE()</f>
        <v>0</v>
      </c>
      <c r="N148" s="0" t="n">
        <v>22.3714492994855</v>
      </c>
      <c r="O148" s="0" t="n">
        <v>0</v>
      </c>
      <c r="P148" s="0" t="n">
        <v>1</v>
      </c>
      <c r="Q148" s="0" t="n">
        <v>39.4220352119786</v>
      </c>
      <c r="R148" s="0" t="n">
        <v>21.140876390536</v>
      </c>
      <c r="S148" s="0" t="n">
        <v>2.54866265228959</v>
      </c>
      <c r="T148" s="0" t="n">
        <v>0.140036409466453</v>
      </c>
      <c r="U148" s="0" t="n">
        <v>0.814504881450488</v>
      </c>
      <c r="V148" s="0" t="n">
        <v>0.393305439330544</v>
      </c>
      <c r="W148" s="0" t="n">
        <v>0.0864714086471409</v>
      </c>
      <c r="X148" s="0" t="n">
        <v>0.274021939854023</v>
      </c>
      <c r="Y148" s="0" t="n">
        <v>9.13927246351187</v>
      </c>
      <c r="Z148" s="0" t="n">
        <v>0.531842394811273</v>
      </c>
      <c r="AA148" s="0" t="n">
        <v>0</v>
      </c>
    </row>
    <row r="149" customFormat="false" ht="15" hidden="false" customHeight="false" outlineLevel="0" collapsed="false">
      <c r="A149" s="0" t="s">
        <v>183</v>
      </c>
      <c r="B149" s="0" t="s">
        <v>3013</v>
      </c>
      <c r="C149" s="0" t="s">
        <v>3033</v>
      </c>
      <c r="D149" s="0" t="n">
        <v>27.9540133060749</v>
      </c>
      <c r="E149" s="0" t="n">
        <v>0.244726533366386</v>
      </c>
      <c r="F149" s="0" t="n">
        <v>4.90785099272389</v>
      </c>
      <c r="G149" s="0" t="n">
        <v>0.242803504380476</v>
      </c>
      <c r="H149" s="0" t="n">
        <v>0.126408010012516</v>
      </c>
      <c r="I149" s="0" t="n">
        <v>0.594607159460716</v>
      </c>
      <c r="J149" s="0" t="n">
        <v>0.26660603764934</v>
      </c>
      <c r="K149" s="0" t="n">
        <v>0.667715717403612</v>
      </c>
      <c r="L149" s="1" t="b">
        <f aca="false">FALSE()</f>
        <v>0</v>
      </c>
      <c r="N149" s="0" t="n">
        <v>61.7934845114642</v>
      </c>
      <c r="O149" s="0" t="n">
        <v>1</v>
      </c>
      <c r="P149" s="0" t="n">
        <v>0</v>
      </c>
      <c r="Q149" s="0" t="n">
        <v>0</v>
      </c>
      <c r="R149" s="0" t="n">
        <v>11.2430667754885</v>
      </c>
      <c r="S149" s="0" t="n">
        <v>4.22857142857142</v>
      </c>
      <c r="T149" s="0" t="n">
        <v>0.257142857142859</v>
      </c>
      <c r="U149" s="0" t="n">
        <v>0.556485355648536</v>
      </c>
      <c r="V149" s="0" t="n">
        <v>0.613668061366806</v>
      </c>
      <c r="W149" s="0" t="n">
        <v>0.613668061366806</v>
      </c>
      <c r="X149" s="0" t="n">
        <v>0.244726533366386</v>
      </c>
      <c r="Y149" s="0" t="n">
        <v>4.90785099272389</v>
      </c>
      <c r="Z149" s="0" t="n">
        <v>0.26660603764934</v>
      </c>
      <c r="AA149" s="0" t="n">
        <v>0</v>
      </c>
    </row>
    <row r="150" customFormat="false" ht="15" hidden="false" customHeight="false" outlineLevel="0" collapsed="false">
      <c r="A150" s="0" t="s">
        <v>184</v>
      </c>
      <c r="B150" s="0" t="s">
        <v>3013</v>
      </c>
      <c r="C150" s="0" t="s">
        <v>3033</v>
      </c>
      <c r="D150" s="0" t="n">
        <v>-14.982111363849</v>
      </c>
      <c r="E150" s="0" t="n">
        <v>0.250157604521367</v>
      </c>
      <c r="F150" s="0" t="n">
        <v>7.40387080214339</v>
      </c>
      <c r="G150" s="0" t="n">
        <v>0.267834793491865</v>
      </c>
      <c r="H150" s="0" t="n">
        <v>0.459324155193993</v>
      </c>
      <c r="I150" s="0" t="n">
        <v>0.556485355648536</v>
      </c>
      <c r="J150" s="0" t="n">
        <v>0.40216065060405</v>
      </c>
      <c r="K150" s="0" t="n">
        <v>0.667715717403612</v>
      </c>
      <c r="L150" s="1" t="b">
        <f aca="false">FALSE()</f>
        <v>0</v>
      </c>
      <c r="N150" s="0" t="n">
        <v>33.8394712053892</v>
      </c>
      <c r="O150" s="0" t="n">
        <v>0</v>
      </c>
      <c r="P150" s="0" t="n">
        <v>1</v>
      </c>
      <c r="Q150" s="0" t="n">
        <v>14.982111363849</v>
      </c>
      <c r="R150" s="0" t="n">
        <v>7.93427635223935</v>
      </c>
      <c r="S150" s="0" t="n">
        <v>3.08433734939758</v>
      </c>
      <c r="T150" s="0" t="n">
        <v>0.33734939759037</v>
      </c>
      <c r="U150" s="0" t="n">
        <v>0.383542538354254</v>
      </c>
      <c r="V150" s="0" t="n">
        <v>0.475592747559275</v>
      </c>
      <c r="W150" s="0" t="n">
        <v>0.810320781032078</v>
      </c>
      <c r="X150" s="0" t="n">
        <v>0.250157604521367</v>
      </c>
      <c r="Y150" s="0" t="n">
        <v>7.40387080214339</v>
      </c>
      <c r="Z150" s="0" t="n">
        <v>0.40216065060405</v>
      </c>
      <c r="AA150" s="0" t="n">
        <v>5.55111512312578E-017</v>
      </c>
    </row>
    <row r="151" customFormat="false" ht="15" hidden="false" customHeight="false" outlineLevel="0" collapsed="false">
      <c r="A151" s="0" t="s">
        <v>185</v>
      </c>
      <c r="B151" s="0" t="s">
        <v>3013</v>
      </c>
      <c r="C151" s="0" t="s">
        <v>3033</v>
      </c>
      <c r="D151" s="0" t="n">
        <v>-9.26990377162364</v>
      </c>
      <c r="E151" s="0" t="n">
        <v>0.28800424202663</v>
      </c>
      <c r="F151" s="0" t="n">
        <v>7.96130983466668</v>
      </c>
      <c r="G151" s="0" t="n">
        <v>0.506883604505632</v>
      </c>
      <c r="H151" s="0" t="n">
        <v>0.536921151439299</v>
      </c>
      <c r="I151" s="0" t="n">
        <v>0.568107856810786</v>
      </c>
      <c r="J151" s="0" t="n">
        <v>0.53114347374013</v>
      </c>
      <c r="K151" s="0" t="n">
        <v>0.667715717403612</v>
      </c>
      <c r="L151" s="1" t="b">
        <f aca="false">FALSE()</f>
        <v>0</v>
      </c>
      <c r="N151" s="0" t="n">
        <v>48.8215825692382</v>
      </c>
      <c r="O151" s="0" t="n">
        <v>1</v>
      </c>
      <c r="P151" s="0" t="n">
        <v>1</v>
      </c>
      <c r="Q151" s="0" t="n">
        <v>9.26990377162364</v>
      </c>
      <c r="R151" s="0" t="n">
        <v>9.9384761003325</v>
      </c>
      <c r="S151" s="0" t="n">
        <v>4.97881355932203</v>
      </c>
      <c r="T151" s="0" t="n">
        <v>0.233050847457632</v>
      </c>
      <c r="U151" s="0" t="n">
        <v>0.502092050209205</v>
      </c>
      <c r="V151" s="0" t="n">
        <v>0.687587168758717</v>
      </c>
      <c r="W151" s="0" t="n">
        <v>0.514644351464435</v>
      </c>
      <c r="X151" s="0" t="n">
        <v>0.288004242026629</v>
      </c>
      <c r="Y151" s="0" t="n">
        <v>7.96130983466668</v>
      </c>
      <c r="Z151" s="0" t="n">
        <v>0.53114347374013</v>
      </c>
      <c r="AA151" s="0" t="n">
        <v>0</v>
      </c>
    </row>
    <row r="152" customFormat="false" ht="15" hidden="false" customHeight="false" outlineLevel="0" collapsed="false">
      <c r="A152" s="0" t="s">
        <v>186</v>
      </c>
      <c r="B152" s="0" t="s">
        <v>3013</v>
      </c>
      <c r="C152" s="0" t="s">
        <v>3036</v>
      </c>
      <c r="D152" s="0" t="n">
        <v>15.0331249410799</v>
      </c>
      <c r="E152" s="0" t="n">
        <v>0.255691684653533</v>
      </c>
      <c r="F152" s="0" t="n">
        <v>3.7400139054168</v>
      </c>
      <c r="G152" s="0" t="n">
        <v>0.299123904881101</v>
      </c>
      <c r="H152" s="0" t="n">
        <v>0.0387984981226533</v>
      </c>
      <c r="I152" s="0" t="n">
        <v>0.384472338447234</v>
      </c>
      <c r="J152" s="0" t="n">
        <v>0.212063428890949</v>
      </c>
      <c r="K152" s="0" t="n">
        <v>0.667715717403612</v>
      </c>
      <c r="L152" s="1" t="b">
        <f aca="false">FALSE()</f>
        <v>0</v>
      </c>
      <c r="N152" s="0" t="n">
        <v>58.0914863408621</v>
      </c>
      <c r="O152" s="0" t="n">
        <v>2</v>
      </c>
      <c r="P152" s="0" t="n">
        <v>0</v>
      </c>
      <c r="Q152" s="0" t="n">
        <v>0</v>
      </c>
      <c r="R152" s="0" t="n">
        <v>11.0300215624466</v>
      </c>
      <c r="S152" s="0" t="n">
        <v>3.22255790533735</v>
      </c>
      <c r="T152" s="0" t="n">
        <v>0.151057401812695</v>
      </c>
      <c r="U152" s="0" t="n">
        <v>0.542538354253836</v>
      </c>
      <c r="V152" s="0" t="n">
        <v>0.500697350069735</v>
      </c>
      <c r="W152" s="0" t="n">
        <v>0.110181311018131</v>
      </c>
      <c r="X152" s="0" t="n">
        <v>0.255691684653533</v>
      </c>
      <c r="Y152" s="0" t="n">
        <v>3.7400139054168</v>
      </c>
      <c r="Z152" s="0" t="n">
        <v>0.212063428890949</v>
      </c>
      <c r="AA152" s="0" t="n">
        <v>5.55111512312578E-017</v>
      </c>
    </row>
    <row r="153" customFormat="false" ht="15" hidden="false" customHeight="false" outlineLevel="0" collapsed="false">
      <c r="A153" s="0" t="s">
        <v>187</v>
      </c>
      <c r="B153" s="0" t="s">
        <v>3013</v>
      </c>
      <c r="C153" s="0" t="s">
        <v>3036</v>
      </c>
      <c r="D153" s="0" t="n">
        <v>3.74285016959388</v>
      </c>
      <c r="E153" s="0" t="n">
        <v>0.299281878649058</v>
      </c>
      <c r="F153" s="0" t="n">
        <v>6.08326460101218</v>
      </c>
      <c r="G153" s="0" t="n">
        <v>0.564455569461827</v>
      </c>
      <c r="H153" s="0" t="n">
        <v>0.277847309136421</v>
      </c>
      <c r="I153" s="0" t="n">
        <v>0.426778242677824</v>
      </c>
      <c r="J153" s="0" t="n">
        <v>0.422276799974864</v>
      </c>
      <c r="K153" s="0" t="n">
        <v>0.667715717403612</v>
      </c>
      <c r="L153" s="1" t="b">
        <f aca="false">FALSE()</f>
        <v>0</v>
      </c>
      <c r="N153" s="0" t="n">
        <v>43.0583613997819</v>
      </c>
      <c r="O153" s="0" t="n">
        <v>0</v>
      </c>
      <c r="P153" s="0" t="n">
        <v>0</v>
      </c>
      <c r="Q153" s="0" t="n">
        <v>0</v>
      </c>
      <c r="R153" s="0" t="n">
        <v>10.5625461588845</v>
      </c>
      <c r="S153" s="0" t="n">
        <v>1.76805513934675</v>
      </c>
      <c r="T153" s="0" t="n">
        <v>0.239736290080914</v>
      </c>
      <c r="U153" s="0" t="n">
        <v>0.531380753138075</v>
      </c>
      <c r="V153" s="0" t="n">
        <v>0.207810320781032</v>
      </c>
      <c r="W153" s="0" t="n">
        <v>0.541143654114365</v>
      </c>
      <c r="X153" s="0" t="n">
        <v>0.299281878649058</v>
      </c>
      <c r="Y153" s="0" t="n">
        <v>6.08326460101218</v>
      </c>
      <c r="Z153" s="0" t="n">
        <v>0.422276799974864</v>
      </c>
      <c r="AA153" s="0" t="n">
        <v>0</v>
      </c>
    </row>
    <row r="154" customFormat="false" ht="15" hidden="false" customHeight="false" outlineLevel="0" collapsed="false">
      <c r="A154" s="0" t="s">
        <v>188</v>
      </c>
      <c r="B154" s="0" t="s">
        <v>3013</v>
      </c>
      <c r="C154" s="0" t="s">
        <v>3033</v>
      </c>
      <c r="D154" s="0" t="n">
        <v>1.73874549903915</v>
      </c>
      <c r="E154" s="0" t="n">
        <v>0.252529452542528</v>
      </c>
      <c r="F154" s="0" t="n">
        <v>7.53098294799133</v>
      </c>
      <c r="G154" s="0" t="n">
        <v>0.284105131414268</v>
      </c>
      <c r="H154" s="0" t="n">
        <v>0.486858573216521</v>
      </c>
      <c r="I154" s="0" t="n">
        <v>0.552766155276616</v>
      </c>
      <c r="J154" s="0" t="n">
        <v>0.418938712907639</v>
      </c>
      <c r="K154" s="0" t="n">
        <v>0.667715717403612</v>
      </c>
      <c r="L154" s="1" t="b">
        <f aca="false">FALSE()</f>
        <v>0</v>
      </c>
      <c r="N154" s="0" t="n">
        <v>39.3155112301879</v>
      </c>
      <c r="O154" s="0" t="n">
        <v>0</v>
      </c>
      <c r="P154" s="0" t="n">
        <v>0</v>
      </c>
      <c r="Q154" s="0" t="n">
        <v>0</v>
      </c>
      <c r="R154" s="0" t="n">
        <v>8.32806446311675</v>
      </c>
      <c r="S154" s="0" t="n">
        <v>2.46495891735139</v>
      </c>
      <c r="T154" s="0" t="n">
        <v>0.386660222329627</v>
      </c>
      <c r="U154" s="0" t="n">
        <v>0.403068340306834</v>
      </c>
      <c r="V154" s="0" t="n">
        <v>0.384937238493724</v>
      </c>
      <c r="W154" s="0" t="n">
        <v>0.870292887029289</v>
      </c>
      <c r="X154" s="0" t="n">
        <v>0.252529452542528</v>
      </c>
      <c r="Y154" s="0" t="n">
        <v>7.53098294799133</v>
      </c>
      <c r="Z154" s="0" t="n">
        <v>0.418938712907639</v>
      </c>
      <c r="AA154" s="0" t="n">
        <v>0</v>
      </c>
    </row>
    <row r="155" customFormat="false" ht="15" hidden="false" customHeight="false" outlineLevel="0" collapsed="false">
      <c r="A155" s="0" t="s">
        <v>189</v>
      </c>
      <c r="B155" s="0" t="s">
        <v>3013</v>
      </c>
      <c r="C155" s="0" t="s">
        <v>3038</v>
      </c>
      <c r="D155" s="0" t="n">
        <v>19.4167047222414</v>
      </c>
      <c r="E155" s="0" t="n">
        <v>0.103909280877637</v>
      </c>
      <c r="F155" s="0" t="n">
        <v>0</v>
      </c>
      <c r="G155" s="0" t="n">
        <v>0.00250312891113892</v>
      </c>
      <c r="H155" s="0" t="n">
        <v>0.00187734668335419</v>
      </c>
      <c r="I155" s="0" t="n">
        <v>0.929800092980009</v>
      </c>
      <c r="J155" s="0" t="n">
        <v>0.187712208833799</v>
      </c>
      <c r="K155" s="0" t="n">
        <v>0.667715717403612</v>
      </c>
      <c r="L155" s="1" t="b">
        <f aca="false">FALSE()</f>
        <v>0</v>
      </c>
      <c r="N155" s="0" t="n">
        <v>37.576765731149</v>
      </c>
      <c r="O155" s="0" t="n">
        <v>0</v>
      </c>
      <c r="P155" s="0" t="n">
        <v>0</v>
      </c>
      <c r="Q155" s="0" t="n">
        <v>0</v>
      </c>
      <c r="R155" s="0" t="n">
        <v>26.0929350272112</v>
      </c>
      <c r="S155" s="0" t="n">
        <v>27.5142786193196</v>
      </c>
      <c r="T155" s="0" t="n">
        <v>0.47181524708219</v>
      </c>
      <c r="U155" s="0" t="n">
        <v>0.868898186889819</v>
      </c>
      <c r="V155" s="0" t="n">
        <v>0.98047419804742</v>
      </c>
      <c r="W155" s="0" t="n">
        <v>0.940027894002789</v>
      </c>
      <c r="X155" s="0" t="n">
        <v>0.103909280877637</v>
      </c>
      <c r="Y155" s="0" t="n">
        <v>0</v>
      </c>
      <c r="Z155" s="0" t="n">
        <v>0.187712208833799</v>
      </c>
      <c r="AA155" s="0" t="n">
        <v>0</v>
      </c>
    </row>
    <row r="156" customFormat="false" ht="15" hidden="false" customHeight="false" outlineLevel="0" collapsed="false">
      <c r="A156" s="0" t="s">
        <v>190</v>
      </c>
      <c r="B156" s="0" t="s">
        <v>3013</v>
      </c>
      <c r="C156" s="0" t="s">
        <v>3033</v>
      </c>
      <c r="D156" s="0" t="n">
        <v>22.9576937619611</v>
      </c>
      <c r="E156" s="0" t="n">
        <v>0.297147127673438</v>
      </c>
      <c r="F156" s="0" t="n">
        <v>7.33443715772342</v>
      </c>
      <c r="G156" s="0" t="n">
        <v>0.554443053817272</v>
      </c>
      <c r="H156" s="0" t="n">
        <v>0.453066332916145</v>
      </c>
      <c r="I156" s="0" t="n">
        <v>0.444444444444445</v>
      </c>
      <c r="J156" s="0" t="n">
        <v>0.491892643582256</v>
      </c>
      <c r="K156" s="0" t="n">
        <v>0.667715717403612</v>
      </c>
      <c r="L156" s="1" t="b">
        <f aca="false">FALSE()</f>
        <v>0</v>
      </c>
      <c r="N156" s="0" t="n">
        <v>18.1600610089076</v>
      </c>
      <c r="O156" s="0" t="n">
        <v>0</v>
      </c>
      <c r="P156" s="0" t="n">
        <v>0</v>
      </c>
      <c r="Q156" s="0" t="n">
        <v>0</v>
      </c>
      <c r="R156" s="0" t="n">
        <v>5.85628672380003</v>
      </c>
      <c r="S156" s="0" t="n">
        <v>2.57224515719277</v>
      </c>
      <c r="T156" s="0" t="n">
        <v>0.285805017465864</v>
      </c>
      <c r="U156" s="0" t="n">
        <v>0.213389121338912</v>
      </c>
      <c r="V156" s="0" t="n">
        <v>0.404463040446304</v>
      </c>
      <c r="W156" s="0" t="n">
        <v>0.715481171548117</v>
      </c>
      <c r="X156" s="0" t="n">
        <v>0.297147127673438</v>
      </c>
      <c r="Y156" s="0" t="n">
        <v>7.33443715772342</v>
      </c>
      <c r="Z156" s="0" t="n">
        <v>0.491892643582256</v>
      </c>
      <c r="AA156" s="0" t="n">
        <v>0</v>
      </c>
    </row>
    <row r="157" customFormat="false" ht="15" hidden="false" customHeight="false" outlineLevel="0" collapsed="false">
      <c r="A157" s="0" t="s">
        <v>191</v>
      </c>
      <c r="B157" s="0" t="s">
        <v>3013</v>
      </c>
      <c r="C157" s="0" t="s">
        <v>3033</v>
      </c>
      <c r="D157" s="0" t="n">
        <v>-36.9530260074853</v>
      </c>
      <c r="E157" s="0" t="n">
        <v>0.277655163821623</v>
      </c>
      <c r="F157" s="0" t="n">
        <v>8.5932102074187</v>
      </c>
      <c r="G157" s="0" t="n">
        <v>0.449311639549437</v>
      </c>
      <c r="H157" s="0" t="n">
        <v>0.619524405506884</v>
      </c>
      <c r="I157" s="0" t="n">
        <v>0.693165969316597</v>
      </c>
      <c r="J157" s="0" t="n">
        <v>0.566167611885848</v>
      </c>
      <c r="K157" s="0" t="n">
        <v>0.667715717403612</v>
      </c>
      <c r="L157" s="1" t="b">
        <f aca="false">FALSE()</f>
        <v>0</v>
      </c>
      <c r="N157" s="0" t="n">
        <v>0</v>
      </c>
      <c r="O157" s="0" t="n">
        <v>0</v>
      </c>
      <c r="P157" s="0" t="n">
        <v>1</v>
      </c>
      <c r="Q157" s="0" t="n">
        <v>36.9530260074853</v>
      </c>
      <c r="R157" s="0" t="n">
        <v>10.3243232685113</v>
      </c>
      <c r="S157" s="0" t="n">
        <v>5.43147208121828</v>
      </c>
      <c r="T157" s="0" t="n">
        <v>0.355329949238587</v>
      </c>
      <c r="U157" s="0" t="n">
        <v>0.521617852161785</v>
      </c>
      <c r="V157" s="0" t="n">
        <v>0.715481171548117</v>
      </c>
      <c r="W157" s="0" t="n">
        <v>0.842398884239888</v>
      </c>
      <c r="X157" s="0" t="n">
        <v>0.277655163821623</v>
      </c>
      <c r="Y157" s="0" t="n">
        <v>8.5932102074187</v>
      </c>
      <c r="Z157" s="0" t="n">
        <v>0.566167611885848</v>
      </c>
      <c r="AA157" s="0" t="n">
        <v>0</v>
      </c>
    </row>
    <row r="158" customFormat="false" ht="15" hidden="false" customHeight="false" outlineLevel="0" collapsed="false">
      <c r="A158" s="0" t="s">
        <v>192</v>
      </c>
      <c r="B158" s="0" t="s">
        <v>3013</v>
      </c>
      <c r="C158" s="0" t="s">
        <v>3033</v>
      </c>
      <c r="D158" s="0" t="n">
        <v>-24.3516511952485</v>
      </c>
      <c r="E158" s="0" t="n">
        <v>0.244135748381182</v>
      </c>
      <c r="F158" s="0" t="n">
        <v>5.79887535182355</v>
      </c>
      <c r="G158" s="0" t="n">
        <v>0.240300375469337</v>
      </c>
      <c r="H158" s="0" t="n">
        <v>0.241551939924906</v>
      </c>
      <c r="I158" s="0" t="n">
        <v>0.708507670850767</v>
      </c>
      <c r="J158" s="0" t="n">
        <v>0.334442460327851</v>
      </c>
      <c r="K158" s="0" t="n">
        <v>0.667715717403612</v>
      </c>
      <c r="L158" s="1" t="b">
        <f aca="false">FALSE()</f>
        <v>0</v>
      </c>
      <c r="N158" s="0" t="n">
        <v>36.9530260074853</v>
      </c>
      <c r="O158" s="0" t="n">
        <v>1</v>
      </c>
      <c r="P158" s="0" t="n">
        <v>1</v>
      </c>
      <c r="Q158" s="0" t="n">
        <v>24.3516511952485</v>
      </c>
      <c r="R158" s="0" t="n">
        <v>17.6978660946157</v>
      </c>
      <c r="S158" s="0" t="n">
        <v>2.77355623100302</v>
      </c>
      <c r="T158" s="0" t="n">
        <v>0.455927051671739</v>
      </c>
      <c r="U158" s="0" t="n">
        <v>0.757322175732218</v>
      </c>
      <c r="V158" s="0" t="n">
        <v>0.439330543933054</v>
      </c>
      <c r="W158" s="0" t="n">
        <v>0.928870292887029</v>
      </c>
      <c r="X158" s="0" t="n">
        <v>0.244135748381183</v>
      </c>
      <c r="Y158" s="0" t="n">
        <v>5.79887535182355</v>
      </c>
      <c r="Z158" s="0" t="n">
        <v>0.334442460327851</v>
      </c>
      <c r="AA158" s="0" t="n">
        <v>0</v>
      </c>
    </row>
    <row r="159" customFormat="false" ht="15" hidden="false" customHeight="false" outlineLevel="0" collapsed="false">
      <c r="A159" s="0" t="s">
        <v>193</v>
      </c>
      <c r="B159" s="0" t="s">
        <v>3013</v>
      </c>
      <c r="C159" s="0" t="s">
        <v>3036</v>
      </c>
      <c r="D159" s="0" t="n">
        <v>14.2932630367523</v>
      </c>
      <c r="E159" s="0" t="n">
        <v>0.257776779580653</v>
      </c>
      <c r="F159" s="0" t="n">
        <v>4.04189606908865</v>
      </c>
      <c r="G159" s="0" t="n">
        <v>0.317897371714643</v>
      </c>
      <c r="H159" s="0" t="n">
        <v>0.0550688360450563</v>
      </c>
      <c r="I159" s="0" t="n">
        <v>0.410041841004184</v>
      </c>
      <c r="J159" s="0" t="n">
        <v>0.231194851304717</v>
      </c>
      <c r="K159" s="0" t="n">
        <v>0.667715717403612</v>
      </c>
      <c r="L159" s="1" t="b">
        <f aca="false">FALSE()</f>
        <v>0</v>
      </c>
      <c r="N159" s="0" t="n">
        <v>61.3046772027337</v>
      </c>
      <c r="O159" s="0" t="n">
        <v>2</v>
      </c>
      <c r="P159" s="0" t="n">
        <v>0</v>
      </c>
      <c r="Q159" s="0" t="n">
        <v>0</v>
      </c>
      <c r="R159" s="0" t="n">
        <v>17.6018682836882</v>
      </c>
      <c r="S159" s="0" t="n">
        <v>1.85414091470952</v>
      </c>
      <c r="T159" s="0" t="n">
        <v>0.185414091470953</v>
      </c>
      <c r="U159" s="0" t="n">
        <v>0.755927475592748</v>
      </c>
      <c r="V159" s="0" t="n">
        <v>0.238493723849372</v>
      </c>
      <c r="W159" s="0" t="n">
        <v>0.235704323570432</v>
      </c>
      <c r="X159" s="0" t="n">
        <v>0.257776779580653</v>
      </c>
      <c r="Y159" s="0" t="n">
        <v>4.04189606908865</v>
      </c>
      <c r="Z159" s="0" t="n">
        <v>0.231194851304717</v>
      </c>
      <c r="AA159" s="0" t="n">
        <v>-2.77555756156289E-017</v>
      </c>
    </row>
    <row r="160" customFormat="false" ht="15" hidden="false" customHeight="false" outlineLevel="0" collapsed="false">
      <c r="A160" s="0" t="s">
        <v>194</v>
      </c>
      <c r="B160" s="0" t="s">
        <v>3013</v>
      </c>
      <c r="C160" s="0" t="s">
        <v>3036</v>
      </c>
      <c r="D160" s="0" t="n">
        <v>54.3254075592551</v>
      </c>
      <c r="E160" s="0" t="n">
        <v>0.259566705543536</v>
      </c>
      <c r="F160" s="0" t="n">
        <v>4.75096131460604</v>
      </c>
      <c r="G160" s="0" t="n">
        <v>0.331664580725907</v>
      </c>
      <c r="H160" s="0" t="n">
        <v>0.103879849812265</v>
      </c>
      <c r="I160" s="0" t="n">
        <v>0.572756857275686</v>
      </c>
      <c r="J160" s="0" t="n">
        <v>0.288769143670406</v>
      </c>
      <c r="K160" s="0" t="n">
        <v>0.667715717403612</v>
      </c>
      <c r="L160" s="1" t="b">
        <f aca="false">FALSE()</f>
        <v>0</v>
      </c>
      <c r="N160" s="0" t="n">
        <v>47.0114141659815</v>
      </c>
      <c r="O160" s="0" t="n">
        <v>0</v>
      </c>
      <c r="P160" s="0" t="n">
        <v>0</v>
      </c>
      <c r="Q160" s="0" t="n">
        <v>0</v>
      </c>
      <c r="R160" s="0" t="n">
        <v>9.07174380026271</v>
      </c>
      <c r="S160" s="0" t="n">
        <v>2.65460030165913</v>
      </c>
      <c r="T160" s="0" t="n">
        <v>0.361990950226241</v>
      </c>
      <c r="U160" s="0" t="n">
        <v>0.450488145048815</v>
      </c>
      <c r="V160" s="0" t="n">
        <v>0.417015341701534</v>
      </c>
      <c r="W160" s="0" t="n">
        <v>0.850767085076709</v>
      </c>
      <c r="X160" s="0" t="n">
        <v>0.259566705543536</v>
      </c>
      <c r="Y160" s="0" t="n">
        <v>4.75096131460604</v>
      </c>
      <c r="Z160" s="0" t="n">
        <v>0.288769143670406</v>
      </c>
      <c r="AA160" s="0" t="n">
        <v>5.55111512312578E-017</v>
      </c>
    </row>
    <row r="161" customFormat="false" ht="15" hidden="false" customHeight="false" outlineLevel="0" collapsed="false">
      <c r="A161" s="0" t="s">
        <v>195</v>
      </c>
      <c r="B161" s="0" t="s">
        <v>3013</v>
      </c>
      <c r="C161" s="0" t="s">
        <v>3038</v>
      </c>
      <c r="D161" s="0" t="n">
        <v>2.65053216144109</v>
      </c>
      <c r="E161" s="0" t="n">
        <v>0.147705951885828</v>
      </c>
      <c r="F161" s="0" t="n">
        <v>4.1143532017713</v>
      </c>
      <c r="G161" s="0" t="n">
        <v>0.0200250312891114</v>
      </c>
      <c r="H161" s="0" t="n">
        <v>0.0600750938673342</v>
      </c>
      <c r="I161" s="0" t="n">
        <v>0.938633193863319</v>
      </c>
      <c r="J161" s="0" t="n">
        <v>0.219766688835242</v>
      </c>
      <c r="K161" s="0" t="n">
        <v>0.667715717403612</v>
      </c>
      <c r="L161" s="1" t="b">
        <f aca="false">FALSE()</f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22.2601213090336</v>
      </c>
      <c r="S161" s="0" t="n">
        <v>31.284442560407</v>
      </c>
      <c r="T161" s="0" t="n">
        <v>0.932598558711314</v>
      </c>
      <c r="U161" s="0" t="n">
        <v>0.825662482566248</v>
      </c>
      <c r="V161" s="0" t="n">
        <v>0.99163179916318</v>
      </c>
      <c r="W161" s="0" t="n">
        <v>0.99860529986053</v>
      </c>
      <c r="X161" s="0" t="n">
        <v>0.147705951885828</v>
      </c>
      <c r="Y161" s="0" t="n">
        <v>4.11435320177129</v>
      </c>
      <c r="Z161" s="0" t="n">
        <v>0.219766688835242</v>
      </c>
      <c r="AA161" s="0" t="n">
        <v>2.77555756156289E-017</v>
      </c>
    </row>
    <row r="162" customFormat="false" ht="15" hidden="false" customHeight="false" outlineLevel="0" collapsed="false">
      <c r="A162" s="0" t="s">
        <v>196</v>
      </c>
      <c r="B162" s="0" t="s">
        <v>3013</v>
      </c>
      <c r="C162" s="0" t="s">
        <v>3033</v>
      </c>
      <c r="D162" s="0" t="n">
        <v>32.8187778410953</v>
      </c>
      <c r="E162" s="0" t="n">
        <v>0.186990531222481</v>
      </c>
      <c r="F162" s="0" t="n">
        <v>2.23384986931937</v>
      </c>
      <c r="G162" s="0" t="n">
        <v>0.0775969962453066</v>
      </c>
      <c r="H162" s="0" t="n">
        <v>0.0112640801001252</v>
      </c>
      <c r="I162" s="0" t="n">
        <v>0.748953974895398</v>
      </c>
      <c r="J162" s="0" t="n">
        <v>0.185335225517252</v>
      </c>
      <c r="K162" s="0" t="n">
        <v>0.667715717403612</v>
      </c>
      <c r="L162" s="1" t="b">
        <f aca="false">FALSE()</f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20.8039380325414</v>
      </c>
      <c r="S162" s="0" t="n">
        <v>5.55461759243626</v>
      </c>
      <c r="T162" s="0" t="n">
        <v>0.287016714502784</v>
      </c>
      <c r="U162" s="0" t="n">
        <v>0.804741980474198</v>
      </c>
      <c r="V162" s="0" t="n">
        <v>0.723849372384937</v>
      </c>
      <c r="W162" s="0" t="n">
        <v>0.718270571827057</v>
      </c>
      <c r="X162" s="0" t="n">
        <v>0.186990531222481</v>
      </c>
      <c r="Y162" s="0" t="n">
        <v>2.23384986931937</v>
      </c>
      <c r="Z162" s="0" t="n">
        <v>0.185335225517252</v>
      </c>
      <c r="AA162" s="0" t="n">
        <v>2.77555756156289E-017</v>
      </c>
    </row>
    <row r="163" customFormat="false" ht="15" hidden="false" customHeight="false" outlineLevel="0" collapsed="false">
      <c r="A163" s="0" t="s">
        <v>197</v>
      </c>
      <c r="B163" s="0" t="s">
        <v>3013</v>
      </c>
      <c r="C163" s="0" t="s">
        <v>3034</v>
      </c>
      <c r="D163" s="0" t="n">
        <v>20.3872247624413</v>
      </c>
      <c r="E163" s="0" t="n">
        <v>0.393911401032455</v>
      </c>
      <c r="F163" s="0" t="n">
        <v>13.9224375599019</v>
      </c>
      <c r="G163" s="0" t="n">
        <v>0.92991239048811</v>
      </c>
      <c r="H163" s="0" t="n">
        <v>0.971214017521902</v>
      </c>
      <c r="I163" s="0" t="n">
        <v>0.696885169688517</v>
      </c>
      <c r="J163" s="0" t="n">
        <v>0.899827597141709</v>
      </c>
      <c r="K163" s="0" t="n">
        <v>0.667715717403612</v>
      </c>
      <c r="L163" s="1" t="b">
        <f aca="false">TRUE()</f>
        <v>1</v>
      </c>
      <c r="M163" s="0" t="s">
        <v>3035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22.7014755959155</v>
      </c>
      <c r="S163" s="0" t="n">
        <v>3.19387620430249</v>
      </c>
      <c r="T163" s="0" t="n">
        <v>0.316748053319253</v>
      </c>
      <c r="U163" s="0" t="n">
        <v>0.831241283124128</v>
      </c>
      <c r="V163" s="0" t="n">
        <v>0.490934449093445</v>
      </c>
      <c r="W163" s="0" t="n">
        <v>0.768479776847978</v>
      </c>
      <c r="X163" s="0" t="n">
        <v>0.393911401032456</v>
      </c>
      <c r="Y163" s="0" t="n">
        <v>13.9224375599019</v>
      </c>
      <c r="Z163" s="0" t="n">
        <v>0.899827597141709</v>
      </c>
      <c r="AA163" s="0" t="n">
        <v>0</v>
      </c>
    </row>
    <row r="164" customFormat="false" ht="15" hidden="false" customHeight="false" outlineLevel="0" collapsed="false">
      <c r="A164" s="0" t="s">
        <v>198</v>
      </c>
      <c r="B164" s="0" t="s">
        <v>3013</v>
      </c>
      <c r="C164" s="0" t="s">
        <v>3034</v>
      </c>
      <c r="D164" s="0" t="n">
        <v>37.1293614178816</v>
      </c>
      <c r="E164" s="0" t="n">
        <v>0.309028729747409</v>
      </c>
      <c r="F164" s="0" t="n">
        <v>9.72701083346467</v>
      </c>
      <c r="G164" s="0" t="n">
        <v>0.610763454317897</v>
      </c>
      <c r="H164" s="0" t="n">
        <v>0.754693366708386</v>
      </c>
      <c r="I164" s="0" t="n">
        <v>0.689446768944677</v>
      </c>
      <c r="J164" s="0" t="n">
        <v>0.684072082199449</v>
      </c>
      <c r="K164" s="0" t="n">
        <v>0.667715717403612</v>
      </c>
      <c r="L164" s="1" t="b">
        <f aca="false">TRUE()</f>
        <v>1</v>
      </c>
      <c r="M164" s="0" t="s">
        <v>3035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22.4091283378439</v>
      </c>
      <c r="S164" s="0" t="n">
        <v>4.38405797101448</v>
      </c>
      <c r="T164" s="0" t="n">
        <v>0.253623188405793</v>
      </c>
      <c r="U164" s="0" t="n">
        <v>0.827057182705718</v>
      </c>
      <c r="V164" s="0" t="n">
        <v>0.634588563458856</v>
      </c>
      <c r="W164" s="0" t="n">
        <v>0.606694560669456</v>
      </c>
      <c r="X164" s="0" t="n">
        <v>0.309028729747409</v>
      </c>
      <c r="Y164" s="0" t="n">
        <v>9.72701083346467</v>
      </c>
      <c r="Z164" s="0" t="n">
        <v>0.684072082199449</v>
      </c>
      <c r="AA164" s="0" t="n">
        <v>0</v>
      </c>
    </row>
    <row r="165" customFormat="false" ht="15" hidden="false" customHeight="false" outlineLevel="0" collapsed="false">
      <c r="A165" s="0" t="s">
        <v>199</v>
      </c>
      <c r="B165" s="0" t="s">
        <v>3013</v>
      </c>
      <c r="C165" s="0" t="s">
        <v>3038</v>
      </c>
      <c r="D165" s="0" t="n">
        <v>63.2508092249549</v>
      </c>
      <c r="E165" s="0" t="n">
        <v>0.13822025207466</v>
      </c>
      <c r="F165" s="0" t="n">
        <v>5.51161117061546</v>
      </c>
      <c r="G165" s="0" t="n">
        <v>0.0150187734668335</v>
      </c>
      <c r="H165" s="0" t="n">
        <v>0.202753441802253</v>
      </c>
      <c r="I165" s="0" t="n">
        <v>0.96513249651325</v>
      </c>
      <c r="J165" s="0" t="n">
        <v>0.280135385410285</v>
      </c>
      <c r="K165" s="0" t="n">
        <v>0.667715717403612</v>
      </c>
      <c r="L165" s="1" t="b">
        <f aca="false">FALSE()</f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57.5004080110034</v>
      </c>
      <c r="S165" s="0" t="n">
        <v>13.9756097560976</v>
      </c>
      <c r="T165" s="0" t="n">
        <v>0.756097560975615</v>
      </c>
      <c r="U165" s="0" t="n">
        <v>0.9860529986053</v>
      </c>
      <c r="V165" s="0" t="n">
        <v>0.919107391910739</v>
      </c>
      <c r="W165" s="0" t="n">
        <v>0.99023709902371</v>
      </c>
      <c r="X165" s="0" t="n">
        <v>0.13822025207466</v>
      </c>
      <c r="Y165" s="0" t="n">
        <v>5.51161117061546</v>
      </c>
      <c r="Z165" s="0" t="n">
        <v>0.280135385410285</v>
      </c>
      <c r="AA165" s="0" t="n">
        <v>0</v>
      </c>
    </row>
    <row r="166" customFormat="false" ht="15" hidden="false" customHeight="false" outlineLevel="0" collapsed="false">
      <c r="A166" s="0" t="s">
        <v>200</v>
      </c>
      <c r="B166" s="0" t="s">
        <v>3013</v>
      </c>
      <c r="C166" s="0" t="s">
        <v>3038</v>
      </c>
      <c r="D166" s="0" t="n">
        <v>18.2240640483653</v>
      </c>
      <c r="E166" s="0" t="n">
        <v>0.188589799428772</v>
      </c>
      <c r="F166" s="0" t="n">
        <v>5.95074042580038</v>
      </c>
      <c r="G166" s="0" t="n">
        <v>0.083854818523154</v>
      </c>
      <c r="H166" s="0" t="n">
        <v>0.259073842302879</v>
      </c>
      <c r="I166" s="0" t="n">
        <v>0.94235239423524</v>
      </c>
      <c r="J166" s="0" t="n">
        <v>0.325641943177461</v>
      </c>
      <c r="K166" s="0" t="n">
        <v>0.667715717403612</v>
      </c>
      <c r="L166" s="1" t="b">
        <f aca="false">FALSE()</f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31.2167538656618</v>
      </c>
      <c r="S166" s="0" t="n">
        <v>14.4333702473237</v>
      </c>
      <c r="T166" s="0" t="n">
        <v>0.849021779254342</v>
      </c>
      <c r="U166" s="0" t="n">
        <v>0.909344490934449</v>
      </c>
      <c r="V166" s="0" t="n">
        <v>0.924686192468619</v>
      </c>
      <c r="W166" s="0" t="n">
        <v>0.99302649930265</v>
      </c>
      <c r="X166" s="0" t="n">
        <v>0.188589799428772</v>
      </c>
      <c r="Y166" s="0" t="n">
        <v>5.95074042580038</v>
      </c>
      <c r="Z166" s="0" t="n">
        <v>0.325641943177461</v>
      </c>
      <c r="AA166" s="0" t="n">
        <v>0</v>
      </c>
    </row>
    <row r="167" customFormat="false" ht="15" hidden="false" customHeight="false" outlineLevel="0" collapsed="false">
      <c r="A167" s="0" t="s">
        <v>201</v>
      </c>
      <c r="B167" s="0" t="s">
        <v>3013</v>
      </c>
      <c r="C167" s="0" t="s">
        <v>3038</v>
      </c>
      <c r="D167" s="0" t="n">
        <v>34.3132677749943</v>
      </c>
      <c r="E167" s="0" t="n">
        <v>0.18264643499021</v>
      </c>
      <c r="F167" s="0" t="n">
        <v>6.78284863083933</v>
      </c>
      <c r="G167" s="0" t="n">
        <v>0.0688360450563204</v>
      </c>
      <c r="H167" s="0" t="n">
        <v>0.391739674593242</v>
      </c>
      <c r="I167" s="0" t="n">
        <v>0.880520688052069</v>
      </c>
      <c r="J167" s="0" t="n">
        <v>0.360334425470239</v>
      </c>
      <c r="K167" s="0" t="n">
        <v>0.667715717403612</v>
      </c>
      <c r="L167" s="1" t="b">
        <f aca="false">FALSE()</f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31.5517927545394</v>
      </c>
      <c r="S167" s="0" t="n">
        <v>7.24429551619594</v>
      </c>
      <c r="T167" s="0" t="n">
        <v>0.462741343545561</v>
      </c>
      <c r="U167" s="0" t="n">
        <v>0.913528591352859</v>
      </c>
      <c r="V167" s="0" t="n">
        <v>0.794979079497908</v>
      </c>
      <c r="W167" s="0" t="n">
        <v>0.933054393305439</v>
      </c>
      <c r="X167" s="0" t="n">
        <v>0.18264643499021</v>
      </c>
      <c r="Y167" s="0" t="n">
        <v>6.78284863083933</v>
      </c>
      <c r="Z167" s="0" t="n">
        <v>0.360334425470239</v>
      </c>
      <c r="AA167" s="0" t="n">
        <v>0</v>
      </c>
    </row>
    <row r="168" customFormat="false" ht="15" hidden="false" customHeight="false" outlineLevel="0" collapsed="false">
      <c r="A168" s="0" t="s">
        <v>202</v>
      </c>
      <c r="B168" s="0" t="s">
        <v>3013</v>
      </c>
      <c r="C168" s="0" t="s">
        <v>3036</v>
      </c>
      <c r="D168" s="0" t="n">
        <v>33.1900357511728</v>
      </c>
      <c r="E168" s="0" t="n">
        <v>0.288008443348723</v>
      </c>
      <c r="F168" s="0" t="n">
        <v>7.52539680161534</v>
      </c>
      <c r="G168" s="0" t="n">
        <v>0.508135168961202</v>
      </c>
      <c r="H168" s="0" t="n">
        <v>0.484355444305382</v>
      </c>
      <c r="I168" s="0" t="n">
        <v>0.654114365411437</v>
      </c>
      <c r="J168" s="0" t="n">
        <v>0.527819118388921</v>
      </c>
      <c r="K168" s="0" t="n">
        <v>0.667715717403612</v>
      </c>
      <c r="L168" s="1" t="b">
        <f aca="false">FALSE()</f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28.269107903973</v>
      </c>
      <c r="S168" s="0" t="n">
        <v>1.97772976566397</v>
      </c>
      <c r="T168" s="0" t="n">
        <v>0.332391557254446</v>
      </c>
      <c r="U168" s="0" t="n">
        <v>0.898186889818689</v>
      </c>
      <c r="V168" s="0" t="n">
        <v>0.263598326359833</v>
      </c>
      <c r="W168" s="0" t="n">
        <v>0.800557880055788</v>
      </c>
      <c r="X168" s="0" t="n">
        <v>0.288008443348723</v>
      </c>
      <c r="Y168" s="0" t="n">
        <v>7.52539680161534</v>
      </c>
      <c r="Z168" s="0" t="n">
        <v>0.527819118388921</v>
      </c>
      <c r="AA168" s="0" t="n">
        <v>0</v>
      </c>
    </row>
    <row r="169" customFormat="false" ht="15" hidden="false" customHeight="false" outlineLevel="0" collapsed="false">
      <c r="A169" s="0" t="s">
        <v>203</v>
      </c>
      <c r="B169" s="0" t="s">
        <v>3013</v>
      </c>
      <c r="C169" s="0" t="s">
        <v>3033</v>
      </c>
      <c r="D169" s="0" t="n">
        <v>6.40537126831764</v>
      </c>
      <c r="E169" s="0" t="n">
        <v>0.238759979257628</v>
      </c>
      <c r="F169" s="0" t="n">
        <v>7.13625979431713</v>
      </c>
      <c r="G169" s="0" t="n">
        <v>0.217772215269086</v>
      </c>
      <c r="H169" s="0" t="n">
        <v>0.433041301627034</v>
      </c>
      <c r="I169" s="0" t="n">
        <v>0.558344955834496</v>
      </c>
      <c r="J169" s="0" t="n">
        <v>0.371994397925347</v>
      </c>
      <c r="K169" s="0" t="n">
        <v>0.667715717403612</v>
      </c>
      <c r="L169" s="1" t="b">
        <f aca="false">FALSE()</f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21.8236857389258</v>
      </c>
      <c r="S169" s="0" t="n">
        <v>2.86692340607617</v>
      </c>
      <c r="T169" s="0" t="n">
        <v>0.213949507916138</v>
      </c>
      <c r="U169" s="0" t="n">
        <v>0.818688981868898</v>
      </c>
      <c r="V169" s="0" t="n">
        <v>0.453277545327755</v>
      </c>
      <c r="W169" s="0" t="n">
        <v>0.403068340306834</v>
      </c>
      <c r="X169" s="0" t="n">
        <v>0.238759979257628</v>
      </c>
      <c r="Y169" s="0" t="n">
        <v>7.13625979431713</v>
      </c>
      <c r="Z169" s="0" t="n">
        <v>0.371994397925347</v>
      </c>
      <c r="AA169" s="0" t="n">
        <v>-5.55111512312578E-017</v>
      </c>
    </row>
    <row r="170" customFormat="false" ht="15" hidden="false" customHeight="false" outlineLevel="0" collapsed="false">
      <c r="A170" s="0" t="s">
        <v>204</v>
      </c>
      <c r="B170" s="0" t="s">
        <v>3013</v>
      </c>
      <c r="C170" s="0" t="s">
        <v>3036</v>
      </c>
      <c r="D170" s="0" t="n">
        <v>7.28387735155353</v>
      </c>
      <c r="E170" s="0" t="n">
        <v>0.311179903763032</v>
      </c>
      <c r="F170" s="0" t="n">
        <v>8.88170735857361</v>
      </c>
      <c r="G170" s="0" t="n">
        <v>0.620775969962453</v>
      </c>
      <c r="H170" s="0" t="n">
        <v>0.660826032540676</v>
      </c>
      <c r="I170" s="0" t="n">
        <v>0.549976754997676</v>
      </c>
      <c r="J170" s="0" t="n">
        <v>0.622636152000787</v>
      </c>
      <c r="K170" s="0" t="n">
        <v>0.667715717403612</v>
      </c>
      <c r="L170" s="1" t="b">
        <f aca="false">FALSE()</f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11.723599577143</v>
      </c>
      <c r="S170" s="0" t="n">
        <v>2.24254942460904</v>
      </c>
      <c r="T170" s="0" t="n">
        <v>0.295072292711714</v>
      </c>
      <c r="U170" s="0" t="n">
        <v>0.592747559274756</v>
      </c>
      <c r="V170" s="0" t="n">
        <v>0.323570432357043</v>
      </c>
      <c r="W170" s="0" t="n">
        <v>0.733612273361227</v>
      </c>
      <c r="X170" s="0" t="n">
        <v>0.311179903763032</v>
      </c>
      <c r="Y170" s="0" t="n">
        <v>8.88170735857361</v>
      </c>
      <c r="Z170" s="0" t="n">
        <v>0.622636152000787</v>
      </c>
      <c r="AA170" s="0" t="n">
        <v>0</v>
      </c>
    </row>
    <row r="171" customFormat="false" ht="15" hidden="false" customHeight="false" outlineLevel="0" collapsed="false">
      <c r="A171" s="0" t="s">
        <v>205</v>
      </c>
      <c r="B171" s="0" t="s">
        <v>3013</v>
      </c>
      <c r="C171" s="0" t="s">
        <v>3036</v>
      </c>
      <c r="D171" s="0" t="n">
        <v>-27.2643738500759</v>
      </c>
      <c r="E171" s="0" t="n">
        <v>0.324063821237364</v>
      </c>
      <c r="F171" s="0" t="n">
        <v>8.33869809950238</v>
      </c>
      <c r="G171" s="0" t="n">
        <v>0.69837296620776</v>
      </c>
      <c r="H171" s="0" t="n">
        <v>0.586983729662078</v>
      </c>
      <c r="I171" s="0" t="n">
        <v>0.470478847047885</v>
      </c>
      <c r="J171" s="0" t="n">
        <v>0.608238447757512</v>
      </c>
      <c r="K171" s="0" t="n">
        <v>0.667715717403612</v>
      </c>
      <c r="L171" s="1" t="b">
        <f aca="false">FALSE()</f>
        <v>0</v>
      </c>
      <c r="N171" s="0" t="n">
        <v>0</v>
      </c>
      <c r="O171" s="0" t="n">
        <v>0</v>
      </c>
      <c r="P171" s="0" t="n">
        <v>1</v>
      </c>
      <c r="Q171" s="0" t="n">
        <v>27.2643738500759</v>
      </c>
      <c r="R171" s="0" t="n">
        <v>5.04876191236957</v>
      </c>
      <c r="S171" s="0" t="n">
        <v>3.53000504286435</v>
      </c>
      <c r="T171" s="0" t="n">
        <v>0.302571860816948</v>
      </c>
      <c r="U171" s="0" t="n">
        <v>0.129707112970711</v>
      </c>
      <c r="V171" s="0" t="n">
        <v>0.529986052998605</v>
      </c>
      <c r="W171" s="0" t="n">
        <v>0.751743375174338</v>
      </c>
      <c r="X171" s="0" t="n">
        <v>0.324063821237364</v>
      </c>
      <c r="Y171" s="0" t="n">
        <v>8.33869809950238</v>
      </c>
      <c r="Z171" s="0" t="n">
        <v>0.608238447757512</v>
      </c>
      <c r="AA171" s="0" t="n">
        <v>0</v>
      </c>
    </row>
    <row r="172" customFormat="false" ht="15" hidden="false" customHeight="false" outlineLevel="0" collapsed="false">
      <c r="A172" s="0" t="s">
        <v>206</v>
      </c>
      <c r="B172" s="0" t="s">
        <v>3013</v>
      </c>
      <c r="C172" s="0" t="s">
        <v>3038</v>
      </c>
      <c r="D172" s="0" t="n">
        <v>32.2308528412196</v>
      </c>
      <c r="E172" s="0" t="n">
        <v>0.152101963085125</v>
      </c>
      <c r="F172" s="0" t="n">
        <v>3.60260258136317</v>
      </c>
      <c r="G172" s="0" t="n">
        <v>0.0262828535669587</v>
      </c>
      <c r="H172" s="0" t="n">
        <v>0.0362953692115144</v>
      </c>
      <c r="I172" s="0" t="n">
        <v>0.873547187354719</v>
      </c>
      <c r="J172" s="0" t="n">
        <v>0.199740726582333</v>
      </c>
      <c r="K172" s="0" t="n">
        <v>0.667715717403612</v>
      </c>
      <c r="L172" s="1" t="b">
        <f aca="false">FALSE()</f>
        <v>0</v>
      </c>
      <c r="N172" s="0" t="n">
        <v>27.264373850076</v>
      </c>
      <c r="O172" s="0" t="n">
        <v>1</v>
      </c>
      <c r="P172" s="0" t="n">
        <v>0</v>
      </c>
      <c r="Q172" s="0" t="n">
        <v>0</v>
      </c>
      <c r="R172" s="0" t="n">
        <v>28.2424381301554</v>
      </c>
      <c r="S172" s="0" t="n">
        <v>6.12947658402202</v>
      </c>
      <c r="T172" s="0" t="n">
        <v>0.585399449035819</v>
      </c>
      <c r="U172" s="0" t="n">
        <v>0.896792189679219</v>
      </c>
      <c r="V172" s="0" t="n">
        <v>0.751743375174338</v>
      </c>
      <c r="W172" s="0" t="n">
        <v>0.9721059972106</v>
      </c>
      <c r="X172" s="0" t="n">
        <v>0.152101963085125</v>
      </c>
      <c r="Y172" s="0" t="n">
        <v>3.60260258136316</v>
      </c>
      <c r="Z172" s="0" t="n">
        <v>0.199740726582333</v>
      </c>
      <c r="AA172" s="0" t="n">
        <v>0</v>
      </c>
    </row>
    <row r="173" customFormat="false" ht="15" hidden="false" customHeight="false" outlineLevel="0" collapsed="false">
      <c r="A173" s="0" t="s">
        <v>207</v>
      </c>
      <c r="B173" s="0" t="s">
        <v>3013</v>
      </c>
      <c r="C173" s="0" t="s">
        <v>3034</v>
      </c>
      <c r="D173" s="0" t="n">
        <v>-10.0989397495657</v>
      </c>
      <c r="E173" s="0" t="n">
        <v>0.334483539159903</v>
      </c>
      <c r="F173" s="0" t="n">
        <v>11.050891544741</v>
      </c>
      <c r="G173" s="0" t="n">
        <v>0.759699624530663</v>
      </c>
      <c r="H173" s="0" t="n">
        <v>0.88485607008761</v>
      </c>
      <c r="I173" s="0" t="n">
        <v>0.683403068340307</v>
      </c>
      <c r="J173" s="0" t="n">
        <v>0.794502891515371</v>
      </c>
      <c r="K173" s="0" t="n">
        <v>0.667715717403612</v>
      </c>
      <c r="L173" s="1" t="b">
        <f aca="false">TRUE()</f>
        <v>1</v>
      </c>
      <c r="M173" s="0" t="s">
        <v>3035</v>
      </c>
      <c r="N173" s="0" t="n">
        <v>0</v>
      </c>
      <c r="O173" s="0" t="n">
        <v>0</v>
      </c>
      <c r="P173" s="0" t="n">
        <v>1</v>
      </c>
      <c r="Q173" s="0" t="n">
        <v>10.0989397495657</v>
      </c>
      <c r="R173" s="0" t="n">
        <v>19.7947967962715</v>
      </c>
      <c r="S173" s="0" t="n">
        <v>3.84615384615385</v>
      </c>
      <c r="T173" s="0" t="n">
        <v>0.27777777777778</v>
      </c>
      <c r="U173" s="0" t="n">
        <v>0.785216178521618</v>
      </c>
      <c r="V173" s="0" t="n">
        <v>0.574616457461646</v>
      </c>
      <c r="W173" s="0" t="n">
        <v>0.690376569037657</v>
      </c>
      <c r="X173" s="0" t="n">
        <v>0.334483539159903</v>
      </c>
      <c r="Y173" s="0" t="n">
        <v>11.050891544741</v>
      </c>
      <c r="Z173" s="0" t="n">
        <v>0.794502891515371</v>
      </c>
      <c r="AA173" s="0" t="n">
        <v>0</v>
      </c>
    </row>
    <row r="174" customFormat="false" ht="15" hidden="false" customHeight="false" outlineLevel="0" collapsed="false">
      <c r="A174" s="0" t="s">
        <v>208</v>
      </c>
      <c r="B174" s="0" t="s">
        <v>3013</v>
      </c>
      <c r="C174" s="0" t="s">
        <v>3036</v>
      </c>
      <c r="D174" s="0" t="n">
        <v>-24.874694316613</v>
      </c>
      <c r="E174" s="0" t="n">
        <v>0.305089162078051</v>
      </c>
      <c r="F174" s="0" t="n">
        <v>7.20531190688385</v>
      </c>
      <c r="G174" s="0" t="n">
        <v>0.591989987484356</v>
      </c>
      <c r="H174" s="0" t="n">
        <v>0.446808510638298</v>
      </c>
      <c r="I174" s="0" t="n">
        <v>0.481636448163645</v>
      </c>
      <c r="J174" s="0" t="n">
        <v>0.51184668888179</v>
      </c>
      <c r="K174" s="0" t="n">
        <v>0.667715717403612</v>
      </c>
      <c r="L174" s="1" t="b">
        <f aca="false">FALSE()</f>
        <v>0</v>
      </c>
      <c r="N174" s="0" t="n">
        <v>10.0989397495655</v>
      </c>
      <c r="O174" s="0" t="n">
        <v>1</v>
      </c>
      <c r="P174" s="0" t="n">
        <v>1</v>
      </c>
      <c r="Q174" s="0" t="n">
        <v>24.874694316613</v>
      </c>
      <c r="R174" s="0" t="n">
        <v>10.7237987615734</v>
      </c>
      <c r="S174" s="0" t="n">
        <v>1.80655919955531</v>
      </c>
      <c r="T174" s="0" t="n">
        <v>0.277932184546971</v>
      </c>
      <c r="U174" s="0" t="n">
        <v>0.536959553695955</v>
      </c>
      <c r="V174" s="0" t="n">
        <v>0.216178521617852</v>
      </c>
      <c r="W174" s="0" t="n">
        <v>0.691771269177127</v>
      </c>
      <c r="X174" s="0" t="n">
        <v>0.305089162078051</v>
      </c>
      <c r="Y174" s="0" t="n">
        <v>7.20531190688385</v>
      </c>
      <c r="Z174" s="0" t="n">
        <v>0.51184668888179</v>
      </c>
      <c r="AA174" s="0" t="n">
        <v>0</v>
      </c>
    </row>
    <row r="175" customFormat="false" ht="15" hidden="false" customHeight="false" outlineLevel="0" collapsed="false">
      <c r="A175" s="0" t="s">
        <v>209</v>
      </c>
      <c r="B175" s="0" t="s">
        <v>3013</v>
      </c>
      <c r="C175" s="0" t="s">
        <v>3036</v>
      </c>
      <c r="D175" s="0" t="n">
        <v>18.5971429137042</v>
      </c>
      <c r="E175" s="0" t="n">
        <v>0.290316402203496</v>
      </c>
      <c r="F175" s="0" t="n">
        <v>9.1172239180453</v>
      </c>
      <c r="G175" s="0" t="n">
        <v>0.526908635794744</v>
      </c>
      <c r="H175" s="0" t="n">
        <v>0.692115143929912</v>
      </c>
      <c r="I175" s="0" t="n">
        <v>0.467689446768945</v>
      </c>
      <c r="J175" s="0" t="n">
        <v>0.581147401243651</v>
      </c>
      <c r="K175" s="0" t="n">
        <v>0.667715717403612</v>
      </c>
      <c r="L175" s="1" t="b">
        <f aca="false">FALSE()</f>
        <v>0</v>
      </c>
      <c r="N175" s="0" t="n">
        <v>34.9736340661784</v>
      </c>
      <c r="O175" s="0" t="n">
        <v>2</v>
      </c>
      <c r="P175" s="0" t="n">
        <v>0</v>
      </c>
      <c r="Q175" s="0" t="n">
        <v>0</v>
      </c>
      <c r="R175" s="0" t="n">
        <v>6.80452558617119</v>
      </c>
      <c r="S175" s="0" t="n">
        <v>2.46495891735138</v>
      </c>
      <c r="T175" s="0" t="n">
        <v>0.289995166747218</v>
      </c>
      <c r="U175" s="0" t="n">
        <v>0.295676429567643</v>
      </c>
      <c r="V175" s="0" t="n">
        <v>0.383542538354254</v>
      </c>
      <c r="W175" s="0" t="n">
        <v>0.723849372384937</v>
      </c>
      <c r="X175" s="0" t="n">
        <v>0.290316402203496</v>
      </c>
      <c r="Y175" s="0" t="n">
        <v>9.1172239180453</v>
      </c>
      <c r="Z175" s="0" t="n">
        <v>0.581147401243651</v>
      </c>
      <c r="AA175" s="0" t="n">
        <v>0</v>
      </c>
    </row>
    <row r="176" customFormat="false" ht="15" hidden="false" customHeight="false" outlineLevel="0" collapsed="false">
      <c r="A176" s="0" t="s">
        <v>210</v>
      </c>
      <c r="B176" s="0" t="s">
        <v>3013</v>
      </c>
      <c r="C176" s="0" t="s">
        <v>3036</v>
      </c>
      <c r="D176" s="0" t="n">
        <v>13.2288820558992</v>
      </c>
      <c r="E176" s="0" t="n">
        <v>0.351054082251614</v>
      </c>
      <c r="F176" s="0" t="n">
        <v>6.80939478628593</v>
      </c>
      <c r="G176" s="0" t="n">
        <v>0.818523153942428</v>
      </c>
      <c r="H176" s="0" t="n">
        <v>0.397997496871089</v>
      </c>
      <c r="I176" s="0" t="n">
        <v>0.410971641097164</v>
      </c>
      <c r="J176" s="0" t="n">
        <v>0.56880258854484</v>
      </c>
      <c r="K176" s="0" t="n">
        <v>0.667715717403612</v>
      </c>
      <c r="L176" s="1" t="b">
        <f aca="false">FALSE()</f>
        <v>0</v>
      </c>
      <c r="N176" s="0" t="n">
        <v>16.3764911524741</v>
      </c>
      <c r="O176" s="0" t="n">
        <v>0</v>
      </c>
      <c r="P176" s="0" t="n">
        <v>0</v>
      </c>
      <c r="Q176" s="0" t="n">
        <v>0</v>
      </c>
      <c r="R176" s="0" t="n">
        <v>10.3733512184225</v>
      </c>
      <c r="S176" s="0" t="n">
        <v>2.25137674117266</v>
      </c>
      <c r="T176" s="0" t="n">
        <v>0.210560414642049</v>
      </c>
      <c r="U176" s="0" t="n">
        <v>0.524407252440725</v>
      </c>
      <c r="V176" s="0" t="n">
        <v>0.324965132496513</v>
      </c>
      <c r="W176" s="0" t="n">
        <v>0.383542538354254</v>
      </c>
      <c r="X176" s="0" t="n">
        <v>0.351054082251614</v>
      </c>
      <c r="Y176" s="0" t="n">
        <v>6.80939478628593</v>
      </c>
      <c r="Z176" s="0" t="n">
        <v>0.56880258854484</v>
      </c>
      <c r="AA176" s="0" t="n">
        <v>0</v>
      </c>
    </row>
    <row r="177" customFormat="false" ht="15" hidden="false" customHeight="false" outlineLevel="0" collapsed="false">
      <c r="A177" s="0" t="s">
        <v>211</v>
      </c>
      <c r="B177" s="0" t="s">
        <v>3013</v>
      </c>
      <c r="C177" s="0" t="s">
        <v>3036</v>
      </c>
      <c r="D177" s="0" t="n">
        <v>60.4211469714187</v>
      </c>
      <c r="E177" s="0" t="n">
        <v>0.351761179975652</v>
      </c>
      <c r="F177" s="0" t="n">
        <v>8.59648096118775</v>
      </c>
      <c r="G177" s="0" t="n">
        <v>0.822277847309136</v>
      </c>
      <c r="H177" s="0" t="n">
        <v>0.620775969962453</v>
      </c>
      <c r="I177" s="0" t="n">
        <v>0.258949325894933</v>
      </c>
      <c r="J177" s="0" t="n">
        <v>0.629011392087622</v>
      </c>
      <c r="K177" s="0" t="n">
        <v>0.667715717403612</v>
      </c>
      <c r="L177" s="1" t="b">
        <f aca="false">FALSE()</f>
        <v>0</v>
      </c>
      <c r="N177" s="0" t="n">
        <v>3.1476090965748</v>
      </c>
      <c r="O177" s="0" t="n">
        <v>0</v>
      </c>
      <c r="P177" s="0" t="n">
        <v>0</v>
      </c>
      <c r="Q177" s="0" t="n">
        <v>0</v>
      </c>
      <c r="R177" s="0" t="n">
        <v>8.28892835997632</v>
      </c>
      <c r="S177" s="0" t="n">
        <v>1.50862068965518</v>
      </c>
      <c r="T177" s="0" t="n">
        <v>0.188577586206893</v>
      </c>
      <c r="U177" s="0" t="n">
        <v>0.398884239888424</v>
      </c>
      <c r="V177" s="0" t="n">
        <v>0.133891213389121</v>
      </c>
      <c r="W177" s="0" t="n">
        <v>0.244072524407252</v>
      </c>
      <c r="X177" s="0" t="n">
        <v>0.351761179975652</v>
      </c>
      <c r="Y177" s="0" t="n">
        <v>8.59648096118775</v>
      </c>
      <c r="Z177" s="0" t="n">
        <v>0.629011392087622</v>
      </c>
      <c r="AA177" s="0" t="n">
        <v>0</v>
      </c>
    </row>
    <row r="178" customFormat="false" ht="15" hidden="false" customHeight="false" outlineLevel="0" collapsed="false">
      <c r="A178" s="0" t="s">
        <v>212</v>
      </c>
      <c r="B178" s="0" t="s">
        <v>3013</v>
      </c>
      <c r="C178" s="0" t="s">
        <v>3036</v>
      </c>
      <c r="D178" s="0" t="n">
        <v>46.6622940375151</v>
      </c>
      <c r="E178" s="0" t="n">
        <v>0.313860157448187</v>
      </c>
      <c r="F178" s="0" t="n">
        <v>7.80115289088122</v>
      </c>
      <c r="G178" s="0" t="n">
        <v>0.638297872340426</v>
      </c>
      <c r="H178" s="0" t="n">
        <v>0.520650813516896</v>
      </c>
      <c r="I178" s="0" t="n">
        <v>0.591817759181776</v>
      </c>
      <c r="J178" s="0" t="n">
        <v>0.581943026179284</v>
      </c>
      <c r="K178" s="0" t="n">
        <v>0.667715717403612</v>
      </c>
      <c r="L178" s="1" t="b">
        <f aca="false">FALSE()</f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8.97668701577918</v>
      </c>
      <c r="S178" s="0" t="n">
        <v>3.16488004083716</v>
      </c>
      <c r="T178" s="0" t="n">
        <v>0.357325165900971</v>
      </c>
      <c r="U178" s="0" t="n">
        <v>0.440725244072524</v>
      </c>
      <c r="V178" s="0" t="n">
        <v>0.489539748953975</v>
      </c>
      <c r="W178" s="0" t="n">
        <v>0.845188284518828</v>
      </c>
      <c r="X178" s="0" t="n">
        <v>0.313860157448187</v>
      </c>
      <c r="Y178" s="0" t="n">
        <v>7.80115289088122</v>
      </c>
      <c r="Z178" s="0" t="n">
        <v>0.581943026179284</v>
      </c>
      <c r="AA178" s="0" t="n">
        <v>0</v>
      </c>
    </row>
    <row r="179" customFormat="false" ht="15" hidden="false" customHeight="false" outlineLevel="0" collapsed="false">
      <c r="A179" s="0" t="s">
        <v>213</v>
      </c>
      <c r="B179" s="0" t="s">
        <v>3013</v>
      </c>
      <c r="C179" s="0" t="s">
        <v>3038</v>
      </c>
      <c r="D179" s="0" t="n">
        <v>-2.34885638790922</v>
      </c>
      <c r="E179" s="0" t="n">
        <v>0.218329660733561</v>
      </c>
      <c r="F179" s="0" t="n">
        <v>6.31746235296894</v>
      </c>
      <c r="G179" s="0" t="n">
        <v>0.143929912390488</v>
      </c>
      <c r="H179" s="0" t="n">
        <v>0.314142678347935</v>
      </c>
      <c r="I179" s="0" t="n">
        <v>0.759646675964668</v>
      </c>
      <c r="J179" s="0" t="n">
        <v>0.335158371488303</v>
      </c>
      <c r="K179" s="0" t="n">
        <v>0.667715717403612</v>
      </c>
      <c r="L179" s="1" t="b">
        <f aca="false">FALSE()</f>
        <v>0</v>
      </c>
      <c r="N179" s="0" t="n">
        <v>0</v>
      </c>
      <c r="O179" s="0" t="n">
        <v>0</v>
      </c>
      <c r="P179" s="0" t="n">
        <v>1</v>
      </c>
      <c r="Q179" s="0" t="n">
        <v>2.34885638790922</v>
      </c>
      <c r="R179" s="0" t="n">
        <v>20.7840649655495</v>
      </c>
      <c r="S179" s="0" t="n">
        <v>4.26950099081247</v>
      </c>
      <c r="T179" s="0" t="n">
        <v>0.360295442262666</v>
      </c>
      <c r="U179" s="0" t="n">
        <v>0.803347280334728</v>
      </c>
      <c r="V179" s="0" t="n">
        <v>0.626220362622036</v>
      </c>
      <c r="W179" s="0" t="n">
        <v>0.849372384937239</v>
      </c>
      <c r="X179" s="0" t="n">
        <v>0.218329660733561</v>
      </c>
      <c r="Y179" s="0" t="n">
        <v>6.31746235296895</v>
      </c>
      <c r="Z179" s="0" t="n">
        <v>0.335158371488303</v>
      </c>
      <c r="AA179" s="0" t="n">
        <v>5.55111512312578E-017</v>
      </c>
    </row>
    <row r="180" customFormat="false" ht="15" hidden="false" customHeight="false" outlineLevel="0" collapsed="false">
      <c r="A180" s="0" t="s">
        <v>214</v>
      </c>
      <c r="B180" s="0" t="s">
        <v>3013</v>
      </c>
      <c r="C180" s="0" t="s">
        <v>3038</v>
      </c>
      <c r="D180" s="0" t="n">
        <v>-7.35783428291859</v>
      </c>
      <c r="E180" s="0" t="n">
        <v>0.15966137716363</v>
      </c>
      <c r="F180" s="0" t="n">
        <v>2.5654004296489</v>
      </c>
      <c r="G180" s="0" t="n">
        <v>0.0350438047559449</v>
      </c>
      <c r="H180" s="0" t="n">
        <v>0.0175219023779725</v>
      </c>
      <c r="I180" s="0" t="n">
        <v>0.890748489074849</v>
      </c>
      <c r="J180" s="0" t="n">
        <v>0.199175980668537</v>
      </c>
      <c r="K180" s="0" t="n">
        <v>0.667715717403612</v>
      </c>
      <c r="L180" s="1" t="b">
        <f aca="false">FALSE()</f>
        <v>0</v>
      </c>
      <c r="N180" s="0" t="n">
        <v>2.34885638790911</v>
      </c>
      <c r="O180" s="0" t="n">
        <v>1</v>
      </c>
      <c r="P180" s="0" t="n">
        <v>1</v>
      </c>
      <c r="Q180" s="0" t="n">
        <v>7.35783428291859</v>
      </c>
      <c r="R180" s="0" t="n">
        <v>42.2609457922682</v>
      </c>
      <c r="S180" s="0" t="n">
        <v>15.5836796373253</v>
      </c>
      <c r="T180" s="0" t="n">
        <v>0.321118247072166</v>
      </c>
      <c r="U180" s="0" t="n">
        <v>0.95955369595537</v>
      </c>
      <c r="V180" s="0" t="n">
        <v>0.935843793584379</v>
      </c>
      <c r="W180" s="0" t="n">
        <v>0.776847977684798</v>
      </c>
      <c r="X180" s="0" t="n">
        <v>0.15966137716363</v>
      </c>
      <c r="Y180" s="0" t="n">
        <v>2.5654004296489</v>
      </c>
      <c r="Z180" s="0" t="n">
        <v>0.199175980668537</v>
      </c>
      <c r="AA180" s="0" t="n">
        <v>-5.55111512312578E-017</v>
      </c>
    </row>
    <row r="181" customFormat="false" ht="15" hidden="false" customHeight="false" outlineLevel="0" collapsed="false">
      <c r="A181" s="0" t="s">
        <v>215</v>
      </c>
      <c r="B181" s="0" t="s">
        <v>3013</v>
      </c>
      <c r="C181" s="0" t="s">
        <v>3033</v>
      </c>
      <c r="D181" s="0" t="n">
        <v>29.835692910722</v>
      </c>
      <c r="E181" s="0" t="n">
        <v>0.251406335041403</v>
      </c>
      <c r="F181" s="0" t="n">
        <v>6.43957756734362</v>
      </c>
      <c r="G181" s="0" t="n">
        <v>0.276595744680851</v>
      </c>
      <c r="H181" s="0" t="n">
        <v>0.330413016270338</v>
      </c>
      <c r="I181" s="0" t="n">
        <v>0.579730357973036</v>
      </c>
      <c r="J181" s="0" t="n">
        <v>0.358749575975083</v>
      </c>
      <c r="K181" s="0" t="n">
        <v>0.667715717403612</v>
      </c>
      <c r="L181" s="1" t="b">
        <f aca="false">FALSE()</f>
        <v>0</v>
      </c>
      <c r="N181" s="0" t="n">
        <v>9.70669067082781</v>
      </c>
      <c r="O181" s="0" t="n">
        <v>2</v>
      </c>
      <c r="P181" s="0" t="n">
        <v>0</v>
      </c>
      <c r="Q181" s="0" t="n">
        <v>0</v>
      </c>
      <c r="R181" s="0" t="n">
        <v>12.1229740533461</v>
      </c>
      <c r="S181" s="0" t="n">
        <v>3.30417881438287</v>
      </c>
      <c r="T181" s="0" t="n">
        <v>0.259151279559447</v>
      </c>
      <c r="U181" s="0" t="n">
        <v>0.606694560669456</v>
      </c>
      <c r="V181" s="0" t="n">
        <v>0.507670850767085</v>
      </c>
      <c r="W181" s="0" t="n">
        <v>0.624825662482566</v>
      </c>
      <c r="X181" s="0" t="n">
        <v>0.251406335041403</v>
      </c>
      <c r="Y181" s="0" t="n">
        <v>6.43957756734362</v>
      </c>
      <c r="Z181" s="0" t="n">
        <v>0.358749575975083</v>
      </c>
      <c r="AA181" s="0" t="n">
        <v>0</v>
      </c>
    </row>
    <row r="182" customFormat="false" ht="15" hidden="false" customHeight="false" outlineLevel="0" collapsed="false">
      <c r="A182" s="0" t="s">
        <v>216</v>
      </c>
      <c r="B182" s="0" t="s">
        <v>3013</v>
      </c>
      <c r="C182" s="0" t="s">
        <v>3038</v>
      </c>
      <c r="D182" s="0" t="n">
        <v>27.9538519365852</v>
      </c>
      <c r="E182" s="0" t="n">
        <v>0.201652704093752</v>
      </c>
      <c r="F182" s="0" t="n">
        <v>6.54944279302069</v>
      </c>
      <c r="G182" s="0" t="n">
        <v>0.105131414267835</v>
      </c>
      <c r="H182" s="0" t="n">
        <v>0.350438047559449</v>
      </c>
      <c r="I182" s="0" t="n">
        <v>0.896792189679219</v>
      </c>
      <c r="J182" s="0" t="n">
        <v>0.361586222666757</v>
      </c>
      <c r="K182" s="0" t="n">
        <v>0.667715717403612</v>
      </c>
      <c r="L182" s="1" t="b">
        <f aca="false">FALSE()</f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27.3205740233195</v>
      </c>
      <c r="S182" s="0" t="n">
        <v>7.53623188405798</v>
      </c>
      <c r="T182" s="0" t="n">
        <v>0.772946859903386</v>
      </c>
      <c r="U182" s="0" t="n">
        <v>0.889818688981869</v>
      </c>
      <c r="V182" s="0" t="n">
        <v>0.808926080892608</v>
      </c>
      <c r="W182" s="0" t="n">
        <v>0.99163179916318</v>
      </c>
      <c r="X182" s="0" t="n">
        <v>0.201652704093752</v>
      </c>
      <c r="Y182" s="0" t="n">
        <v>6.54944279302069</v>
      </c>
      <c r="Z182" s="0" t="n">
        <v>0.361586222666757</v>
      </c>
      <c r="AA182" s="0" t="n">
        <v>5.55111512312578E-017</v>
      </c>
    </row>
    <row r="183" customFormat="false" ht="15" hidden="false" customHeight="false" outlineLevel="0" collapsed="false">
      <c r="A183" s="0" t="s">
        <v>217</v>
      </c>
      <c r="B183" s="0" t="s">
        <v>3013</v>
      </c>
      <c r="C183" s="0" t="s">
        <v>3033</v>
      </c>
      <c r="D183" s="0" t="n">
        <v>18.0644366683728</v>
      </c>
      <c r="E183" s="0" t="n">
        <v>0.216552426051159</v>
      </c>
      <c r="F183" s="0" t="n">
        <v>7.29330058921912</v>
      </c>
      <c r="G183" s="0" t="n">
        <v>0.133917396745932</v>
      </c>
      <c r="H183" s="0" t="n">
        <v>0.449311639549437</v>
      </c>
      <c r="I183" s="0" t="n">
        <v>0.491864249186425</v>
      </c>
      <c r="J183" s="0" t="n">
        <v>0.331664464355433</v>
      </c>
      <c r="K183" s="0" t="n">
        <v>0.667715717403612</v>
      </c>
      <c r="L183" s="1" t="b">
        <f aca="false">FALSE()</f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13.1549274599735</v>
      </c>
      <c r="S183" s="0" t="n">
        <v>2.04797047970478</v>
      </c>
      <c r="T183" s="0" t="n">
        <v>0.239852398523977</v>
      </c>
      <c r="U183" s="0" t="n">
        <v>0.648535564853557</v>
      </c>
      <c r="V183" s="0" t="n">
        <v>0.284518828451883</v>
      </c>
      <c r="W183" s="0" t="n">
        <v>0.542538354253836</v>
      </c>
      <c r="X183" s="0" t="n">
        <v>0.216552426051159</v>
      </c>
      <c r="Y183" s="0" t="n">
        <v>7.29330058921912</v>
      </c>
      <c r="Z183" s="0" t="n">
        <v>0.331664464355433</v>
      </c>
      <c r="AA183" s="0" t="n">
        <v>0</v>
      </c>
    </row>
    <row r="184" customFormat="false" ht="15" hidden="false" customHeight="false" outlineLevel="0" collapsed="false">
      <c r="A184" s="0" t="s">
        <v>218</v>
      </c>
      <c r="B184" s="0" t="s">
        <v>3013</v>
      </c>
      <c r="C184" s="0" t="s">
        <v>3038</v>
      </c>
      <c r="D184" s="0" t="n">
        <v>25.6997709960426</v>
      </c>
      <c r="E184" s="0" t="n">
        <v>0.204502955942264</v>
      </c>
      <c r="F184" s="0" t="n">
        <v>4.25054420054004</v>
      </c>
      <c r="G184" s="0" t="n">
        <v>0.108886107634543</v>
      </c>
      <c r="H184" s="0" t="n">
        <v>0.0700876095118899</v>
      </c>
      <c r="I184" s="0" t="n">
        <v>0.823802882380288</v>
      </c>
      <c r="J184" s="0" t="n">
        <v>0.236350063334631</v>
      </c>
      <c r="K184" s="0" t="n">
        <v>0.667715717403612</v>
      </c>
      <c r="L184" s="1" t="b">
        <f aca="false">FALSE()</f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18.1326996789312</v>
      </c>
      <c r="S184" s="0" t="n">
        <v>11.013431013431</v>
      </c>
      <c r="T184" s="0" t="n">
        <v>0.341880341880343</v>
      </c>
      <c r="U184" s="0" t="n">
        <v>0.760111576011158</v>
      </c>
      <c r="V184" s="0" t="n">
        <v>0.895397489539749</v>
      </c>
      <c r="W184" s="0" t="n">
        <v>0.815899581589958</v>
      </c>
      <c r="X184" s="0" t="n">
        <v>0.204502955942264</v>
      </c>
      <c r="Y184" s="0" t="n">
        <v>4.25054420054004</v>
      </c>
      <c r="Z184" s="0" t="n">
        <v>0.236350063334631</v>
      </c>
      <c r="AA184" s="0" t="n">
        <v>-2.77555756156289E-017</v>
      </c>
    </row>
    <row r="185" customFormat="false" ht="15" hidden="false" customHeight="false" outlineLevel="0" collapsed="false">
      <c r="A185" s="0" t="s">
        <v>219</v>
      </c>
      <c r="B185" s="0" t="s">
        <v>3013</v>
      </c>
      <c r="C185" s="0" t="s">
        <v>3033</v>
      </c>
      <c r="D185" s="0" t="n">
        <v>13.3471401176538</v>
      </c>
      <c r="E185" s="0" t="n">
        <v>0.286167798230148</v>
      </c>
      <c r="F185" s="0" t="n">
        <v>6.75392218070132</v>
      </c>
      <c r="G185" s="0" t="n">
        <v>0.499374217772215</v>
      </c>
      <c r="H185" s="0" t="n">
        <v>0.386733416770964</v>
      </c>
      <c r="I185" s="0" t="n">
        <v>0.444444444444444</v>
      </c>
      <c r="J185" s="0" t="n">
        <v>0.443331942706161</v>
      </c>
      <c r="K185" s="0" t="n">
        <v>0.667715717403612</v>
      </c>
      <c r="L185" s="1" t="b">
        <f aca="false">FALSE()</f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12.8373310711158</v>
      </c>
      <c r="S185" s="0" t="n">
        <v>2.43161094224922</v>
      </c>
      <c r="T185" s="0" t="n">
        <v>0.202634245187425</v>
      </c>
      <c r="U185" s="0" t="n">
        <v>0.631799163179916</v>
      </c>
      <c r="V185" s="0" t="n">
        <v>0.372384937238494</v>
      </c>
      <c r="W185" s="0" t="n">
        <v>0.329149232914923</v>
      </c>
      <c r="X185" s="0" t="n">
        <v>0.286167798230148</v>
      </c>
      <c r="Y185" s="0" t="n">
        <v>6.75392218070132</v>
      </c>
      <c r="Z185" s="0" t="n">
        <v>0.443331942706161</v>
      </c>
      <c r="AA185" s="0" t="n">
        <v>0</v>
      </c>
    </row>
    <row r="186" customFormat="false" ht="15" hidden="false" customHeight="false" outlineLevel="0" collapsed="false">
      <c r="A186" s="0" t="s">
        <v>220</v>
      </c>
      <c r="B186" s="0" t="s">
        <v>3013</v>
      </c>
      <c r="C186" s="0" t="s">
        <v>3033</v>
      </c>
      <c r="D186" s="0" t="n">
        <v>3.44838170072626</v>
      </c>
      <c r="E186" s="0" t="n">
        <v>0.231377408534579</v>
      </c>
      <c r="F186" s="0" t="n">
        <v>5.28408030055412</v>
      </c>
      <c r="G186" s="0" t="n">
        <v>0.180225281602003</v>
      </c>
      <c r="H186" s="0" t="n">
        <v>0.167709637046308</v>
      </c>
      <c r="I186" s="0" t="n">
        <v>0.776383077638308</v>
      </c>
      <c r="J186" s="0" t="n">
        <v>0.294450582986986</v>
      </c>
      <c r="K186" s="0" t="n">
        <v>0.667715717403612</v>
      </c>
      <c r="L186" s="1" t="b">
        <f aca="false">FALSE()</f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16.3081222884232</v>
      </c>
      <c r="S186" s="0" t="n">
        <v>5.71273122959739</v>
      </c>
      <c r="T186" s="0" t="n">
        <v>0.38084874863982</v>
      </c>
      <c r="U186" s="0" t="n">
        <v>0.732217573221757</v>
      </c>
      <c r="V186" s="0" t="n">
        <v>0.729428172942817</v>
      </c>
      <c r="W186" s="0" t="n">
        <v>0.867503486750349</v>
      </c>
      <c r="X186" s="0" t="n">
        <v>0.231377408534579</v>
      </c>
      <c r="Y186" s="0" t="n">
        <v>5.28408030055412</v>
      </c>
      <c r="Z186" s="0" t="n">
        <v>0.294450582986986</v>
      </c>
      <c r="AA186" s="0" t="n">
        <v>0</v>
      </c>
    </row>
    <row r="187" customFormat="false" ht="15" hidden="false" customHeight="false" outlineLevel="0" collapsed="false">
      <c r="A187" s="0" t="s">
        <v>221</v>
      </c>
      <c r="B187" s="0" t="s">
        <v>3013</v>
      </c>
      <c r="C187" s="0" t="s">
        <v>3033</v>
      </c>
      <c r="D187" s="0" t="n">
        <v>28.8035531811003</v>
      </c>
      <c r="E187" s="0" t="n">
        <v>0.25107775703124</v>
      </c>
      <c r="F187" s="0" t="n">
        <v>5.46264319758043</v>
      </c>
      <c r="G187" s="0" t="n">
        <v>0.270337922403004</v>
      </c>
      <c r="H187" s="0" t="n">
        <v>0.193992490613267</v>
      </c>
      <c r="I187" s="0" t="n">
        <v>0.496513249651325</v>
      </c>
      <c r="J187" s="0" t="n">
        <v>0.285034815136773</v>
      </c>
      <c r="K187" s="0" t="n">
        <v>0.667715717403612</v>
      </c>
      <c r="L187" s="1" t="b">
        <f aca="false">FALSE()</f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8.39504941442533</v>
      </c>
      <c r="S187" s="0" t="n">
        <v>3.70804975357897</v>
      </c>
      <c r="T187" s="0" t="n">
        <v>0.234686693264492</v>
      </c>
      <c r="U187" s="0" t="n">
        <v>0.408647140864714</v>
      </c>
      <c r="V187" s="0" t="n">
        <v>0.559274755927476</v>
      </c>
      <c r="W187" s="0" t="n">
        <v>0.521617852161785</v>
      </c>
      <c r="X187" s="0" t="n">
        <v>0.25107775703124</v>
      </c>
      <c r="Y187" s="0" t="n">
        <v>5.46264319758043</v>
      </c>
      <c r="Z187" s="0" t="n">
        <v>0.285034815136773</v>
      </c>
      <c r="AA187" s="0" t="n">
        <v>5.55111512312578E-017</v>
      </c>
    </row>
    <row r="188" customFormat="false" ht="15" hidden="false" customHeight="false" outlineLevel="0" collapsed="false">
      <c r="A188" s="0" t="s">
        <v>222</v>
      </c>
      <c r="B188" s="0" t="s">
        <v>3013</v>
      </c>
      <c r="C188" s="0" t="s">
        <v>3033</v>
      </c>
      <c r="D188" s="0" t="n">
        <v>34.3932041229934</v>
      </c>
      <c r="E188" s="0" t="n">
        <v>0.202360508035158</v>
      </c>
      <c r="F188" s="0" t="n">
        <v>6.74122622095225</v>
      </c>
      <c r="G188" s="0" t="n">
        <v>0.106382978723404</v>
      </c>
      <c r="H188" s="0" t="n">
        <v>0.384230287859825</v>
      </c>
      <c r="I188" s="0" t="n">
        <v>0.731752673175267</v>
      </c>
      <c r="J188" s="0" t="n">
        <v>0.342595841268345</v>
      </c>
      <c r="K188" s="0" t="n">
        <v>0.667715717403612</v>
      </c>
      <c r="L188" s="1" t="b">
        <f aca="false">FALSE()</f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10.4416918295832</v>
      </c>
      <c r="S188" s="0" t="n">
        <v>5.00478163850813</v>
      </c>
      <c r="T188" s="0" t="n">
        <v>0.605674211029648</v>
      </c>
      <c r="U188" s="0" t="n">
        <v>0.527196652719665</v>
      </c>
      <c r="V188" s="0" t="n">
        <v>0.690376569037657</v>
      </c>
      <c r="W188" s="0" t="n">
        <v>0.97768479776848</v>
      </c>
      <c r="X188" s="0" t="n">
        <v>0.202360508035158</v>
      </c>
      <c r="Y188" s="0" t="n">
        <v>6.74122622095225</v>
      </c>
      <c r="Z188" s="0" t="n">
        <v>0.342595841268345</v>
      </c>
      <c r="AA188" s="0" t="n">
        <v>0</v>
      </c>
    </row>
    <row r="189" customFormat="false" ht="15" hidden="false" customHeight="false" outlineLevel="0" collapsed="false">
      <c r="A189" s="0" t="s">
        <v>223</v>
      </c>
      <c r="B189" s="0" t="s">
        <v>3013</v>
      </c>
      <c r="C189" s="0" t="s">
        <v>3038</v>
      </c>
      <c r="D189" s="0" t="n">
        <v>39.5755218093785</v>
      </c>
      <c r="E189" s="0" t="n">
        <v>0.134622717323124</v>
      </c>
      <c r="F189" s="0" t="n">
        <v>2.43327723861872</v>
      </c>
      <c r="G189" s="0" t="n">
        <v>0.0100125156445557</v>
      </c>
      <c r="H189" s="0" t="n">
        <v>0.0137672090112641</v>
      </c>
      <c r="I189" s="0" t="n">
        <v>0.932124593212459</v>
      </c>
      <c r="J189" s="0" t="n">
        <v>0.19593680850482</v>
      </c>
      <c r="K189" s="0" t="n">
        <v>0.667715717403612</v>
      </c>
      <c r="L189" s="1" t="b">
        <f aca="false">FALSE()</f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24.4900872802542</v>
      </c>
      <c r="S189" s="0" t="n">
        <v>30.492135971588</v>
      </c>
      <c r="T189" s="0" t="n">
        <v>0.507356671740241</v>
      </c>
      <c r="U189" s="0" t="n">
        <v>0.849372384937239</v>
      </c>
      <c r="V189" s="0" t="n">
        <v>0.99023709902371</v>
      </c>
      <c r="W189" s="0" t="n">
        <v>0.95676429567643</v>
      </c>
      <c r="X189" s="0" t="n">
        <v>0.134622717323124</v>
      </c>
      <c r="Y189" s="0" t="n">
        <v>2.43327723861872</v>
      </c>
      <c r="Z189" s="0" t="n">
        <v>0.19593680850482</v>
      </c>
      <c r="AA189" s="0" t="n">
        <v>0</v>
      </c>
    </row>
    <row r="190" customFormat="false" ht="15" hidden="false" customHeight="false" outlineLevel="0" collapsed="false">
      <c r="A190" s="0" t="s">
        <v>224</v>
      </c>
      <c r="B190" s="0" t="s">
        <v>3013</v>
      </c>
      <c r="C190" s="0" t="s">
        <v>3036</v>
      </c>
      <c r="D190" s="0" t="n">
        <v>7.76683393358136</v>
      </c>
      <c r="E190" s="0" t="n">
        <v>0.274731699631425</v>
      </c>
      <c r="F190" s="0" t="n">
        <v>4.86879710680115</v>
      </c>
      <c r="G190" s="0" t="n">
        <v>0.423028785982478</v>
      </c>
      <c r="H190" s="0" t="n">
        <v>0.118898623279099</v>
      </c>
      <c r="I190" s="0" t="n">
        <v>0.192003719200372</v>
      </c>
      <c r="J190" s="0" t="n">
        <v>0.255171707544705</v>
      </c>
      <c r="K190" s="0" t="n">
        <v>0.667715717403612</v>
      </c>
      <c r="L190" s="1" t="b">
        <f aca="false">FALSE()</f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8.9344065651327</v>
      </c>
      <c r="S190" s="0" t="n">
        <v>1.11651359625427</v>
      </c>
      <c r="T190" s="0" t="n">
        <v>0.144066270484425</v>
      </c>
      <c r="U190" s="0" t="n">
        <v>0.437935843793584</v>
      </c>
      <c r="V190" s="0" t="n">
        <v>0.0460251046025105</v>
      </c>
      <c r="W190" s="0" t="n">
        <v>0.0920502092050209</v>
      </c>
      <c r="X190" s="0" t="n">
        <v>0.274731699631425</v>
      </c>
      <c r="Y190" s="0" t="n">
        <v>4.86879710680115</v>
      </c>
      <c r="Z190" s="0" t="n">
        <v>0.255171707544705</v>
      </c>
      <c r="AA190" s="0" t="n">
        <v>0</v>
      </c>
    </row>
    <row r="191" customFormat="false" ht="15" hidden="false" customHeight="false" outlineLevel="0" collapsed="false">
      <c r="A191" s="0" t="s">
        <v>225</v>
      </c>
      <c r="B191" s="0" t="s">
        <v>3013</v>
      </c>
      <c r="C191" s="0" t="s">
        <v>3033</v>
      </c>
      <c r="D191" s="0" t="n">
        <v>37.5140339510302</v>
      </c>
      <c r="E191" s="0" t="n">
        <v>0.274557759096361</v>
      </c>
      <c r="F191" s="0" t="n">
        <v>6.85752130072359</v>
      </c>
      <c r="G191" s="0" t="n">
        <v>0.41927409261577</v>
      </c>
      <c r="H191" s="0" t="n">
        <v>0.403003754693367</v>
      </c>
      <c r="I191" s="0" t="n">
        <v>0.445839144583914</v>
      </c>
      <c r="J191" s="0" t="n">
        <v>0.418078967840438</v>
      </c>
      <c r="K191" s="0" t="n">
        <v>0.667715717403612</v>
      </c>
      <c r="L191" s="1" t="b">
        <f aca="false">FALSE()</f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13.8888888888877</v>
      </c>
      <c r="S191" s="0" t="n">
        <v>3.126347563605</v>
      </c>
      <c r="T191" s="0" t="n">
        <v>0.172488141440278</v>
      </c>
      <c r="U191" s="0" t="n">
        <v>0.675034867503487</v>
      </c>
      <c r="V191" s="0" t="n">
        <v>0.481171548117155</v>
      </c>
      <c r="W191" s="0" t="n">
        <v>0.181311018131102</v>
      </c>
      <c r="X191" s="0" t="n">
        <v>0.274557759096361</v>
      </c>
      <c r="Y191" s="0" t="n">
        <v>6.85752130072359</v>
      </c>
      <c r="Z191" s="0" t="n">
        <v>0.418078967840438</v>
      </c>
      <c r="AA191" s="0" t="n">
        <v>-5.55111512312578E-017</v>
      </c>
    </row>
    <row r="192" customFormat="false" ht="15" hidden="false" customHeight="false" outlineLevel="0" collapsed="false">
      <c r="A192" s="0" t="s">
        <v>226</v>
      </c>
      <c r="B192" s="0" t="s">
        <v>3013</v>
      </c>
      <c r="C192" s="0" t="s">
        <v>3033</v>
      </c>
      <c r="D192" s="0" t="n">
        <v>-36.0688984851355</v>
      </c>
      <c r="E192" s="0" t="n">
        <v>0.256940267028542</v>
      </c>
      <c r="F192" s="0" t="n">
        <v>6.56937204956602</v>
      </c>
      <c r="G192" s="0" t="n">
        <v>0.311639549436796</v>
      </c>
      <c r="H192" s="0" t="n">
        <v>0.356695869837297</v>
      </c>
      <c r="I192" s="0" t="n">
        <v>0.321710832171083</v>
      </c>
      <c r="J192" s="0" t="n">
        <v>0.331676334143854</v>
      </c>
      <c r="K192" s="0" t="n">
        <v>0.667715717403612</v>
      </c>
      <c r="L192" s="1" t="b">
        <f aca="false">FALSE()</f>
        <v>0</v>
      </c>
      <c r="N192" s="0" t="n">
        <v>0</v>
      </c>
      <c r="O192" s="0" t="n">
        <v>0</v>
      </c>
      <c r="P192" s="0" t="n">
        <v>1</v>
      </c>
      <c r="Q192" s="0" t="n">
        <v>36.0688984851355</v>
      </c>
      <c r="R192" s="0" t="n">
        <v>11.6932923023232</v>
      </c>
      <c r="S192" s="0" t="n">
        <v>1.84632093402118</v>
      </c>
      <c r="T192" s="0" t="n">
        <v>0.162910670648934</v>
      </c>
      <c r="U192" s="0" t="n">
        <v>0.589958158995816</v>
      </c>
      <c r="V192" s="0" t="n">
        <v>0.230125523012552</v>
      </c>
      <c r="W192" s="0" t="n">
        <v>0.145048814504881</v>
      </c>
      <c r="X192" s="0" t="n">
        <v>0.256940267028542</v>
      </c>
      <c r="Y192" s="0" t="n">
        <v>6.56937204956602</v>
      </c>
      <c r="Z192" s="0" t="n">
        <v>0.331676334143854</v>
      </c>
      <c r="AA192" s="0" t="n">
        <v>-5.55111512312578E-017</v>
      </c>
    </row>
    <row r="193" customFormat="false" ht="15" hidden="false" customHeight="false" outlineLevel="0" collapsed="false">
      <c r="A193" s="0" t="s">
        <v>227</v>
      </c>
      <c r="B193" s="0" t="s">
        <v>3013</v>
      </c>
      <c r="C193" s="0" t="s">
        <v>3036</v>
      </c>
      <c r="D193" s="0" t="n">
        <v>32.333905963879</v>
      </c>
      <c r="E193" s="0" t="n">
        <v>0.295026683241024</v>
      </c>
      <c r="F193" s="0" t="n">
        <v>7.66676678191841</v>
      </c>
      <c r="G193" s="0" t="n">
        <v>0.548185231539424</v>
      </c>
      <c r="H193" s="0" t="n">
        <v>0.509386733416771</v>
      </c>
      <c r="I193" s="0" t="n">
        <v>0.616457461645746</v>
      </c>
      <c r="J193" s="0" t="n">
        <v>0.546320278311627</v>
      </c>
      <c r="K193" s="0" t="n">
        <v>0.667715717403612</v>
      </c>
      <c r="L193" s="1" t="b">
        <f aca="false">FALSE()</f>
        <v>0</v>
      </c>
      <c r="N193" s="0" t="n">
        <v>36.0688984851354</v>
      </c>
      <c r="O193" s="0" t="n">
        <v>1</v>
      </c>
      <c r="P193" s="0" t="n">
        <v>0</v>
      </c>
      <c r="Q193" s="0" t="n">
        <v>0</v>
      </c>
      <c r="R193" s="0" t="n">
        <v>13.185887775908</v>
      </c>
      <c r="S193" s="0" t="n">
        <v>4.73496128648006</v>
      </c>
      <c r="T193" s="0" t="n">
        <v>0.238237045860635</v>
      </c>
      <c r="U193" s="0" t="n">
        <v>0.651324965132497</v>
      </c>
      <c r="V193" s="0" t="n">
        <v>0.665271966527197</v>
      </c>
      <c r="W193" s="0" t="n">
        <v>0.532775453277545</v>
      </c>
      <c r="X193" s="0" t="n">
        <v>0.295026683241024</v>
      </c>
      <c r="Y193" s="0" t="n">
        <v>7.66676678191841</v>
      </c>
      <c r="Z193" s="0" t="n">
        <v>0.546320278311627</v>
      </c>
      <c r="AA193" s="0" t="n">
        <v>0</v>
      </c>
    </row>
    <row r="194" customFormat="false" ht="15" hidden="false" customHeight="false" outlineLevel="0" collapsed="false">
      <c r="A194" s="0" t="s">
        <v>228</v>
      </c>
      <c r="B194" s="0" t="s">
        <v>3013</v>
      </c>
      <c r="C194" s="0" t="s">
        <v>3036</v>
      </c>
      <c r="D194" s="0" t="n">
        <v>0.92693536907282</v>
      </c>
      <c r="E194" s="0" t="n">
        <v>0.292062337665355</v>
      </c>
      <c r="F194" s="0" t="n">
        <v>6.33212658058487</v>
      </c>
      <c r="G194" s="0" t="n">
        <v>0.53441802252816</v>
      </c>
      <c r="H194" s="0" t="n">
        <v>0.317897371714643</v>
      </c>
      <c r="I194" s="0" t="n">
        <v>0.559739655973966</v>
      </c>
      <c r="J194" s="0" t="n">
        <v>0.452874088891915</v>
      </c>
      <c r="K194" s="0" t="n">
        <v>0.667715717403612</v>
      </c>
      <c r="L194" s="1" t="b">
        <f aca="false">FALSE()</f>
        <v>0</v>
      </c>
      <c r="N194" s="0" t="n">
        <v>3.73499252125657</v>
      </c>
      <c r="O194" s="0" t="n">
        <v>0</v>
      </c>
      <c r="P194" s="0" t="n">
        <v>0</v>
      </c>
      <c r="Q194" s="0" t="n">
        <v>0</v>
      </c>
      <c r="R194" s="0" t="n">
        <v>8.96219961973633</v>
      </c>
      <c r="S194" s="0" t="n">
        <v>3.95778364116097</v>
      </c>
      <c r="T194" s="0" t="n">
        <v>0.263852242744063</v>
      </c>
      <c r="U194" s="0" t="n">
        <v>0.439330543933054</v>
      </c>
      <c r="V194" s="0" t="n">
        <v>0.591352859135286</v>
      </c>
      <c r="W194" s="0" t="n">
        <v>0.648535564853557</v>
      </c>
      <c r="X194" s="0" t="n">
        <v>0.292062337665355</v>
      </c>
      <c r="Y194" s="0" t="n">
        <v>6.33212658058487</v>
      </c>
      <c r="Z194" s="0" t="n">
        <v>0.452874088891915</v>
      </c>
      <c r="AA194" s="0" t="n">
        <v>-5.55111512312578E-017</v>
      </c>
    </row>
    <row r="195" customFormat="false" ht="15" hidden="false" customHeight="false" outlineLevel="0" collapsed="false">
      <c r="A195" s="0" t="s">
        <v>229</v>
      </c>
      <c r="B195" s="0" t="s">
        <v>3013</v>
      </c>
      <c r="C195" s="0" t="s">
        <v>3038</v>
      </c>
      <c r="D195" s="0" t="n">
        <v>10.1640908139733</v>
      </c>
      <c r="E195" s="0" t="n">
        <v>0.145275380065894</v>
      </c>
      <c r="F195" s="0" t="n">
        <v>3.21365022316753</v>
      </c>
      <c r="G195" s="0" t="n">
        <v>0.0175219023779725</v>
      </c>
      <c r="H195" s="0" t="n">
        <v>0.0287859824780976</v>
      </c>
      <c r="I195" s="0" t="n">
        <v>0.894932589493259</v>
      </c>
      <c r="J195" s="0" t="n">
        <v>0.19750967184108</v>
      </c>
      <c r="K195" s="0" t="n">
        <v>0.667715717403612</v>
      </c>
      <c r="L195" s="1" t="b">
        <f aca="false">FALSE()</f>
        <v>0</v>
      </c>
      <c r="N195" s="0" t="n">
        <v>2.80805715218367</v>
      </c>
      <c r="O195" s="0" t="n">
        <v>0</v>
      </c>
      <c r="P195" s="0" t="n">
        <v>0</v>
      </c>
      <c r="Q195" s="0" t="n">
        <v>0</v>
      </c>
      <c r="R195" s="0" t="n">
        <v>66.1104945087702</v>
      </c>
      <c r="S195" s="0" t="n">
        <v>7.62264150943395</v>
      </c>
      <c r="T195" s="0" t="n">
        <v>0.392452830188683</v>
      </c>
      <c r="U195" s="0" t="n">
        <v>0.99581589958159</v>
      </c>
      <c r="V195" s="0" t="n">
        <v>0.813110181311018</v>
      </c>
      <c r="W195" s="0" t="n">
        <v>0.875871687587169</v>
      </c>
      <c r="X195" s="0" t="n">
        <v>0.145275380065894</v>
      </c>
      <c r="Y195" s="0" t="n">
        <v>3.21365022316752</v>
      </c>
      <c r="Z195" s="0" t="n">
        <v>0.19750967184108</v>
      </c>
      <c r="AA195" s="0" t="n">
        <v>5.55111512312578E-017</v>
      </c>
    </row>
    <row r="196" customFormat="false" ht="15" hidden="false" customHeight="false" outlineLevel="0" collapsed="false">
      <c r="A196" s="0" t="s">
        <v>230</v>
      </c>
      <c r="B196" s="0" t="s">
        <v>3013</v>
      </c>
      <c r="C196" s="0" t="s">
        <v>3034</v>
      </c>
      <c r="D196" s="0" t="n">
        <v>-55.7715633229256</v>
      </c>
      <c r="E196" s="0" t="n">
        <v>0.421239622182551</v>
      </c>
      <c r="F196" s="0" t="n">
        <v>13.7898483038957</v>
      </c>
      <c r="G196" s="0" t="n">
        <v>0.964956195244055</v>
      </c>
      <c r="H196" s="0" t="n">
        <v>0.967459324155194</v>
      </c>
      <c r="I196" s="0" t="n">
        <v>0.523477452347745</v>
      </c>
      <c r="J196" s="0" t="n">
        <v>0.877661698229249</v>
      </c>
      <c r="K196" s="0" t="n">
        <v>0.667715717403612</v>
      </c>
      <c r="L196" s="1" t="b">
        <f aca="false">TRUE()</f>
        <v>1</v>
      </c>
      <c r="M196" s="0" t="s">
        <v>3035</v>
      </c>
      <c r="N196" s="0" t="n">
        <v>0</v>
      </c>
      <c r="O196" s="0" t="n">
        <v>0</v>
      </c>
      <c r="P196" s="0" t="n">
        <v>1</v>
      </c>
      <c r="Q196" s="0" t="n">
        <v>55.7715633229256</v>
      </c>
      <c r="R196" s="0" t="n">
        <v>13.4865873713357</v>
      </c>
      <c r="S196" s="0" t="n">
        <v>4.05099150141642</v>
      </c>
      <c r="T196" s="0" t="n">
        <v>0.198300283286116</v>
      </c>
      <c r="U196" s="0" t="n">
        <v>0.661087866108787</v>
      </c>
      <c r="V196" s="0" t="n">
        <v>0.603905160390516</v>
      </c>
      <c r="W196" s="0" t="n">
        <v>0.305439330543933</v>
      </c>
      <c r="X196" s="0" t="n">
        <v>0.421239622182551</v>
      </c>
      <c r="Y196" s="0" t="n">
        <v>13.7898483038957</v>
      </c>
      <c r="Z196" s="0" t="n">
        <v>0.877661698229249</v>
      </c>
      <c r="AA196" s="0" t="n">
        <v>0</v>
      </c>
    </row>
    <row r="197" customFormat="false" ht="15" hidden="false" customHeight="false" outlineLevel="0" collapsed="false">
      <c r="A197" s="0" t="s">
        <v>231</v>
      </c>
      <c r="B197" s="0" t="s">
        <v>3013</v>
      </c>
      <c r="C197" s="0" t="s">
        <v>3033</v>
      </c>
      <c r="D197" s="0" t="n">
        <v>47.3210273743482</v>
      </c>
      <c r="E197" s="0" t="n">
        <v>0.279237315945684</v>
      </c>
      <c r="F197" s="0" t="n">
        <v>7.76494496377592</v>
      </c>
      <c r="G197" s="0" t="n">
        <v>0.460575719649562</v>
      </c>
      <c r="H197" s="0" t="n">
        <v>0.519399249061327</v>
      </c>
      <c r="I197" s="0" t="n">
        <v>0.523012552301255</v>
      </c>
      <c r="J197" s="0" t="n">
        <v>0.496592497944607</v>
      </c>
      <c r="K197" s="0" t="n">
        <v>0.667715717403612</v>
      </c>
      <c r="L197" s="1" t="b">
        <f aca="false">FALSE()</f>
        <v>0</v>
      </c>
      <c r="N197" s="0" t="n">
        <v>55.7715633229254</v>
      </c>
      <c r="O197" s="0" t="n">
        <v>1</v>
      </c>
      <c r="P197" s="0" t="n">
        <v>0</v>
      </c>
      <c r="Q197" s="0" t="n">
        <v>0</v>
      </c>
      <c r="R197" s="0" t="n">
        <v>14.1561431455014</v>
      </c>
      <c r="S197" s="0" t="n">
        <v>1.51668351870576</v>
      </c>
      <c r="T197" s="0" t="n">
        <v>0.303336703741148</v>
      </c>
      <c r="U197" s="0" t="n">
        <v>0.679218967921897</v>
      </c>
      <c r="V197" s="0" t="n">
        <v>0.136680613668061</v>
      </c>
      <c r="W197" s="0" t="n">
        <v>0.753138075313808</v>
      </c>
      <c r="X197" s="0" t="n">
        <v>0.279237315945684</v>
      </c>
      <c r="Y197" s="0" t="n">
        <v>7.76494496377592</v>
      </c>
      <c r="Z197" s="0" t="n">
        <v>0.496592497944607</v>
      </c>
      <c r="AA197" s="0" t="n">
        <v>-5.55111512312578E-017</v>
      </c>
    </row>
    <row r="198" customFormat="false" ht="15" hidden="false" customHeight="false" outlineLevel="0" collapsed="false">
      <c r="A198" s="0" t="s">
        <v>232</v>
      </c>
      <c r="B198" s="0" t="s">
        <v>3013</v>
      </c>
      <c r="C198" s="0" t="s">
        <v>3033</v>
      </c>
      <c r="D198" s="0" t="n">
        <v>96.7596974591369</v>
      </c>
      <c r="E198" s="0" t="n">
        <v>0.372233989837838</v>
      </c>
      <c r="F198" s="0" t="n">
        <v>9.70140782354614</v>
      </c>
      <c r="G198" s="0" t="n">
        <v>0.882352941176471</v>
      </c>
      <c r="H198" s="0" t="n">
        <v>0.747183979974969</v>
      </c>
      <c r="I198" s="0" t="n">
        <v>0.563923756392376</v>
      </c>
      <c r="J198" s="0" t="n">
        <v>0.764599519739051</v>
      </c>
      <c r="K198" s="0" t="n">
        <v>0.667715717403612</v>
      </c>
      <c r="L198" s="1" t="b">
        <f aca="false">TRUE()</f>
        <v>1</v>
      </c>
      <c r="M198" s="0" t="s">
        <v>3035</v>
      </c>
      <c r="N198" s="0" t="n">
        <v>8.45053594857745</v>
      </c>
      <c r="O198" s="0" t="n">
        <v>0</v>
      </c>
      <c r="P198" s="0" t="n">
        <v>0</v>
      </c>
      <c r="Q198" s="0" t="n">
        <v>0</v>
      </c>
      <c r="R198" s="0" t="n">
        <v>11.7834901519481</v>
      </c>
      <c r="S198" s="0" t="n">
        <v>2.36083499005964</v>
      </c>
      <c r="T198" s="0" t="n">
        <v>0.298210735586485</v>
      </c>
      <c r="U198" s="0" t="n">
        <v>0.594142259414226</v>
      </c>
      <c r="V198" s="0" t="n">
        <v>0.355648535564854</v>
      </c>
      <c r="W198" s="0" t="n">
        <v>0.741980474198048</v>
      </c>
      <c r="X198" s="0" t="n">
        <v>0.372233989837838</v>
      </c>
      <c r="Y198" s="0" t="n">
        <v>9.70140782354614</v>
      </c>
      <c r="Z198" s="0" t="n">
        <v>0.764599519739051</v>
      </c>
      <c r="AA198" s="0" t="n">
        <v>0</v>
      </c>
    </row>
    <row r="199" customFormat="false" ht="15" hidden="false" customHeight="false" outlineLevel="0" collapsed="false">
      <c r="A199" s="0" t="s">
        <v>233</v>
      </c>
      <c r="B199" s="0" t="s">
        <v>3013</v>
      </c>
      <c r="C199" s="0" t="s">
        <v>3038</v>
      </c>
      <c r="D199" s="0" t="n">
        <v>-45.9133605746526</v>
      </c>
      <c r="E199" s="0" t="n">
        <v>0.322559898284086</v>
      </c>
      <c r="F199" s="0" t="n">
        <v>12.0911348710274</v>
      </c>
      <c r="G199" s="0" t="n">
        <v>0.683354192740926</v>
      </c>
      <c r="H199" s="0" t="n">
        <v>0.922403003754693</v>
      </c>
      <c r="I199" s="0" t="n">
        <v>0.820083682008368</v>
      </c>
      <c r="J199" s="0" t="n">
        <v>0.806319614999922</v>
      </c>
      <c r="K199" s="0" t="n">
        <v>0.667715717403612</v>
      </c>
      <c r="L199" s="1" t="b">
        <f aca="false">TRUE()</f>
        <v>1</v>
      </c>
      <c r="M199" s="0" t="s">
        <v>3035</v>
      </c>
      <c r="N199" s="0" t="n">
        <v>0</v>
      </c>
      <c r="O199" s="0" t="n">
        <v>0</v>
      </c>
      <c r="P199" s="0" t="n">
        <v>1</v>
      </c>
      <c r="Q199" s="0" t="n">
        <v>45.9133605746526</v>
      </c>
      <c r="R199" s="0" t="n">
        <v>27.2084846522167</v>
      </c>
      <c r="S199" s="0" t="n">
        <v>9.46655006558811</v>
      </c>
      <c r="T199" s="0" t="n">
        <v>0.284215128989946</v>
      </c>
      <c r="U199" s="0" t="n">
        <v>0.887029288702929</v>
      </c>
      <c r="V199" s="0" t="n">
        <v>0.864714086471409</v>
      </c>
      <c r="W199" s="0" t="n">
        <v>0.708507670850767</v>
      </c>
      <c r="X199" s="0" t="n">
        <v>0.322559898284086</v>
      </c>
      <c r="Y199" s="0" t="n">
        <v>12.0911348710274</v>
      </c>
      <c r="Z199" s="0" t="n">
        <v>0.806319614999922</v>
      </c>
      <c r="AA199" s="0" t="n">
        <v>0</v>
      </c>
    </row>
    <row r="200" customFormat="false" ht="15" hidden="false" customHeight="false" outlineLevel="0" collapsed="false">
      <c r="A200" s="0" t="s">
        <v>234</v>
      </c>
      <c r="B200" s="0" t="s">
        <v>3013</v>
      </c>
      <c r="C200" s="0" t="s">
        <v>3036</v>
      </c>
      <c r="D200" s="0" t="n">
        <v>-12.4011895110848</v>
      </c>
      <c r="E200" s="0" t="n">
        <v>0.437642850413265</v>
      </c>
      <c r="F200" s="0" t="n">
        <v>10.6705345869689</v>
      </c>
      <c r="G200" s="0" t="n">
        <v>0.97747183979975</v>
      </c>
      <c r="H200" s="0" t="n">
        <v>0.854818523153943</v>
      </c>
      <c r="I200" s="0" t="n">
        <v>0.316596931659693</v>
      </c>
      <c r="J200" s="0" t="n">
        <v>0.796235531513416</v>
      </c>
      <c r="K200" s="0" t="n">
        <v>0.667715717403612</v>
      </c>
      <c r="L200" s="1" t="b">
        <f aca="false">TRUE()</f>
        <v>1</v>
      </c>
      <c r="M200" s="0" t="s">
        <v>3035</v>
      </c>
      <c r="N200" s="0" t="n">
        <v>45.9133605746524</v>
      </c>
      <c r="O200" s="0" t="n">
        <v>1</v>
      </c>
      <c r="P200" s="0" t="n">
        <v>1</v>
      </c>
      <c r="Q200" s="0" t="n">
        <v>12.4011895110848</v>
      </c>
      <c r="R200" s="0" t="n">
        <v>8.98506019131716</v>
      </c>
      <c r="S200" s="0" t="n">
        <v>1.43860823017731</v>
      </c>
      <c r="T200" s="0" t="n">
        <v>0.211888033902089</v>
      </c>
      <c r="U200" s="0" t="n">
        <v>0.443514644351464</v>
      </c>
      <c r="V200" s="0" t="n">
        <v>0.114365411436541</v>
      </c>
      <c r="W200" s="0" t="n">
        <v>0.391910739191074</v>
      </c>
      <c r="X200" s="0" t="n">
        <v>0.437642850413266</v>
      </c>
      <c r="Y200" s="0" t="n">
        <v>10.6705345869689</v>
      </c>
      <c r="Z200" s="0" t="n">
        <v>0.796235531513416</v>
      </c>
      <c r="AA200" s="0" t="n">
        <v>0</v>
      </c>
    </row>
    <row r="201" customFormat="false" ht="15" hidden="false" customHeight="false" outlineLevel="0" collapsed="false">
      <c r="A201" s="0" t="s">
        <v>235</v>
      </c>
      <c r="B201" s="0" t="s">
        <v>3013</v>
      </c>
      <c r="C201" s="0" t="s">
        <v>3036</v>
      </c>
      <c r="D201" s="0" t="n">
        <v>7.97830837644725</v>
      </c>
      <c r="E201" s="0" t="n">
        <v>0.234877287129544</v>
      </c>
      <c r="F201" s="0" t="n">
        <v>4.38628595959316</v>
      </c>
      <c r="G201" s="0" t="n">
        <v>0.198998748435544</v>
      </c>
      <c r="H201" s="0" t="n">
        <v>0.0801001251564456</v>
      </c>
      <c r="I201" s="0" t="n">
        <v>0.690841469084147</v>
      </c>
      <c r="J201" s="0" t="n">
        <v>0.249807843253625</v>
      </c>
      <c r="K201" s="0" t="n">
        <v>0.667715717403612</v>
      </c>
      <c r="L201" s="1" t="b">
        <f aca="false">FALSE()</f>
        <v>0</v>
      </c>
      <c r="N201" s="0" t="n">
        <v>58.3145500857372</v>
      </c>
      <c r="O201" s="0" t="n">
        <v>2</v>
      </c>
      <c r="P201" s="0" t="n">
        <v>0</v>
      </c>
      <c r="Q201" s="0" t="n">
        <v>0</v>
      </c>
      <c r="R201" s="0" t="n">
        <v>13.4178999295274</v>
      </c>
      <c r="S201" s="0" t="n">
        <v>3.38266384778012</v>
      </c>
      <c r="T201" s="0" t="n">
        <v>0.422832980972507</v>
      </c>
      <c r="U201" s="0" t="n">
        <v>0.656903765690377</v>
      </c>
      <c r="V201" s="0" t="n">
        <v>0.514644351464435</v>
      </c>
      <c r="W201" s="0" t="n">
        <v>0.900976290097629</v>
      </c>
      <c r="X201" s="0" t="n">
        <v>0.234877287129544</v>
      </c>
      <c r="Y201" s="0" t="n">
        <v>4.38628595959316</v>
      </c>
      <c r="Z201" s="0" t="n">
        <v>0.249807843253625</v>
      </c>
      <c r="AA201" s="0" t="n">
        <v>0</v>
      </c>
    </row>
    <row r="202" customFormat="false" ht="15" hidden="false" customHeight="false" outlineLevel="0" collapsed="false">
      <c r="A202" s="0" t="s">
        <v>236</v>
      </c>
      <c r="B202" s="0" t="s">
        <v>3013</v>
      </c>
      <c r="C202" s="0" t="s">
        <v>3036</v>
      </c>
      <c r="D202" s="0" t="n">
        <v>34.8667161966572</v>
      </c>
      <c r="E202" s="0" t="n">
        <v>0.280470323990504</v>
      </c>
      <c r="F202" s="0" t="n">
        <v>8.07135391331694</v>
      </c>
      <c r="G202" s="0" t="n">
        <v>0.46433041301627</v>
      </c>
      <c r="H202" s="0" t="n">
        <v>0.551939924906133</v>
      </c>
      <c r="I202" s="0" t="n">
        <v>0.336122733612273</v>
      </c>
      <c r="J202" s="0" t="n">
        <v>0.473732681891416</v>
      </c>
      <c r="K202" s="0" t="n">
        <v>0.667715717403612</v>
      </c>
      <c r="L202" s="1" t="b">
        <f aca="false">FALSE()</f>
        <v>0</v>
      </c>
      <c r="N202" s="0" t="n">
        <v>50.3362417092899</v>
      </c>
      <c r="O202" s="0" t="n">
        <v>0</v>
      </c>
      <c r="P202" s="0" t="n">
        <v>0</v>
      </c>
      <c r="Q202" s="0" t="n">
        <v>0</v>
      </c>
      <c r="R202" s="0" t="n">
        <v>7.64558709835581</v>
      </c>
      <c r="S202" s="0" t="n">
        <v>1.42835887516739</v>
      </c>
      <c r="T202" s="0" t="n">
        <v>0.238059812527893</v>
      </c>
      <c r="U202" s="0" t="n">
        <v>0.365411436541144</v>
      </c>
      <c r="V202" s="0" t="n">
        <v>0.111576011157601</v>
      </c>
      <c r="W202" s="0" t="n">
        <v>0.531380753138075</v>
      </c>
      <c r="X202" s="0" t="n">
        <v>0.280470323990504</v>
      </c>
      <c r="Y202" s="0" t="n">
        <v>8.07135391331694</v>
      </c>
      <c r="Z202" s="0" t="n">
        <v>0.473732681891416</v>
      </c>
      <c r="AA202" s="0" t="n">
        <v>5.55111512312578E-017</v>
      </c>
    </row>
    <row r="203" customFormat="false" ht="15" hidden="false" customHeight="false" outlineLevel="0" collapsed="false">
      <c r="A203" s="0" t="s">
        <v>237</v>
      </c>
      <c r="B203" s="0" t="s">
        <v>33</v>
      </c>
      <c r="C203" s="0" t="s">
        <v>33</v>
      </c>
      <c r="D203" s="0" t="n">
        <v>47.2700233610214</v>
      </c>
      <c r="E203" s="0" t="n">
        <v>0.376043687994341</v>
      </c>
      <c r="F203" s="0" t="n">
        <v>11.4136634674926</v>
      </c>
      <c r="G203" s="0" t="n">
        <v>0.889862327909887</v>
      </c>
      <c r="H203" s="0" t="n">
        <v>0.902377972465582</v>
      </c>
      <c r="I203" s="0" t="n">
        <v>0.5</v>
      </c>
      <c r="J203" s="0" t="n">
        <v>0.816896120150188</v>
      </c>
      <c r="K203" s="0" t="n">
        <v>0.667715717403612</v>
      </c>
      <c r="L203" s="1" t="b">
        <f aca="false">TRUE()</f>
        <v>1</v>
      </c>
      <c r="M203" s="0" t="s">
        <v>3035</v>
      </c>
      <c r="N203" s="0" t="n">
        <v>15.4695255126326</v>
      </c>
      <c r="O203" s="0" t="n">
        <v>0</v>
      </c>
      <c r="P203" s="0" t="n">
        <v>0</v>
      </c>
      <c r="Q203" s="0" t="n">
        <v>0</v>
      </c>
      <c r="U203" s="0" t="n">
        <v>0.5</v>
      </c>
      <c r="V203" s="0" t="n">
        <v>0.5</v>
      </c>
      <c r="W203" s="0" t="n">
        <v>0.5</v>
      </c>
      <c r="X203" s="0" t="n">
        <v>0.376043687994341</v>
      </c>
      <c r="Y203" s="0" t="n">
        <v>11.4136634674926</v>
      </c>
      <c r="Z203" s="0" t="n">
        <v>0.816896120150188</v>
      </c>
      <c r="AA203" s="0" t="n">
        <v>0</v>
      </c>
    </row>
    <row r="204" customFormat="false" ht="15" hidden="false" customHeight="false" outlineLevel="0" collapsed="false">
      <c r="A204" s="0" t="s">
        <v>238</v>
      </c>
      <c r="B204" s="0" t="s">
        <v>3013</v>
      </c>
      <c r="C204" s="0" t="s">
        <v>3038</v>
      </c>
      <c r="D204" s="0" t="n">
        <v>5.85311289776548</v>
      </c>
      <c r="E204" s="0" t="n">
        <v>0.319259240810643</v>
      </c>
      <c r="F204" s="0" t="n">
        <v>9.55423671945592</v>
      </c>
      <c r="G204" s="0" t="n">
        <v>0.663329161451815</v>
      </c>
      <c r="H204" s="0" t="n">
        <v>0.730913642052566</v>
      </c>
      <c r="I204" s="0" t="n">
        <v>0.658298465829847</v>
      </c>
      <c r="J204" s="0" t="n">
        <v>0.689356814567722</v>
      </c>
      <c r="K204" s="0" t="n">
        <v>0.667715717403612</v>
      </c>
      <c r="L204" s="1" t="b">
        <f aca="false">TRUE()</f>
        <v>1</v>
      </c>
      <c r="M204" s="0" t="s">
        <v>3035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14.4440194337712</v>
      </c>
      <c r="S204" s="0" t="n">
        <v>5.78592092574734</v>
      </c>
      <c r="T204" s="0" t="n">
        <v>0.241080038572813</v>
      </c>
      <c r="U204" s="0" t="n">
        <v>0.691771269177127</v>
      </c>
      <c r="V204" s="0" t="n">
        <v>0.735006973500697</v>
      </c>
      <c r="W204" s="0" t="n">
        <v>0.548117154811716</v>
      </c>
      <c r="X204" s="0" t="n">
        <v>0.319259240810643</v>
      </c>
      <c r="Y204" s="0" t="n">
        <v>9.55423671945592</v>
      </c>
      <c r="Z204" s="0" t="n">
        <v>0.689356814567722</v>
      </c>
      <c r="AA204" s="0" t="n">
        <v>0</v>
      </c>
    </row>
    <row r="205" customFormat="false" ht="15" hidden="false" customHeight="false" outlineLevel="0" collapsed="false">
      <c r="A205" s="0" t="s">
        <v>239</v>
      </c>
      <c r="B205" s="0" t="s">
        <v>3013</v>
      </c>
      <c r="C205" s="0" t="s">
        <v>3033</v>
      </c>
      <c r="D205" s="0" t="n">
        <v>-4.33676418189009</v>
      </c>
      <c r="E205" s="0" t="n">
        <v>0.251014305565271</v>
      </c>
      <c r="F205" s="0" t="n">
        <v>4.90058193934564</v>
      </c>
      <c r="G205" s="0" t="n">
        <v>0.269086357947434</v>
      </c>
      <c r="H205" s="0" t="n">
        <v>0.122653316645807</v>
      </c>
      <c r="I205" s="0" t="n">
        <v>0.321710832171083</v>
      </c>
      <c r="J205" s="0" t="n">
        <v>0.221038036271513</v>
      </c>
      <c r="K205" s="0" t="n">
        <v>0.667715717403612</v>
      </c>
      <c r="L205" s="1" t="b">
        <f aca="false">FALSE()</f>
        <v>0</v>
      </c>
      <c r="N205" s="0" t="n">
        <v>0</v>
      </c>
      <c r="O205" s="0" t="n">
        <v>0</v>
      </c>
      <c r="P205" s="0" t="n">
        <v>1</v>
      </c>
      <c r="Q205" s="0" t="n">
        <v>4.33676418189009</v>
      </c>
      <c r="R205" s="0" t="n">
        <v>11.6322152045998</v>
      </c>
      <c r="S205" s="0" t="n">
        <v>1.33615773179078</v>
      </c>
      <c r="T205" s="0" t="n">
        <v>0.195535277823039</v>
      </c>
      <c r="U205" s="0" t="n">
        <v>0.578800557880056</v>
      </c>
      <c r="V205" s="0" t="n">
        <v>0.0934449093444909</v>
      </c>
      <c r="W205" s="0" t="n">
        <v>0.292887029288703</v>
      </c>
      <c r="X205" s="0" t="n">
        <v>0.251014305565271</v>
      </c>
      <c r="Y205" s="0" t="n">
        <v>4.90058193934564</v>
      </c>
      <c r="Z205" s="0" t="n">
        <v>0.221038036271513</v>
      </c>
      <c r="AA205" s="0" t="n">
        <v>-2.77555756156289E-017</v>
      </c>
    </row>
    <row r="206" customFormat="false" ht="15" hidden="false" customHeight="false" outlineLevel="0" collapsed="false">
      <c r="A206" s="0" t="s">
        <v>240</v>
      </c>
      <c r="B206" s="0" t="s">
        <v>3013</v>
      </c>
      <c r="C206" s="0" t="s">
        <v>3036</v>
      </c>
      <c r="D206" s="0" t="n">
        <v>-40.0380059239502</v>
      </c>
      <c r="E206" s="0" t="n">
        <v>0.344389521560555</v>
      </c>
      <c r="F206" s="0" t="n">
        <v>7.15389553092164</v>
      </c>
      <c r="G206" s="0" t="n">
        <v>0.801001251564456</v>
      </c>
      <c r="H206" s="0" t="n">
        <v>0.435544430538173</v>
      </c>
      <c r="I206" s="0" t="n">
        <v>0.602975360297536</v>
      </c>
      <c r="J206" s="0" t="n">
        <v>0.615213344900559</v>
      </c>
      <c r="K206" s="0" t="n">
        <v>0.667715717403612</v>
      </c>
      <c r="L206" s="1" t="b">
        <f aca="false">FALSE()</f>
        <v>0</v>
      </c>
      <c r="N206" s="0" t="n">
        <v>4.33676418188998</v>
      </c>
      <c r="O206" s="0" t="n">
        <v>1</v>
      </c>
      <c r="P206" s="0" t="n">
        <v>1</v>
      </c>
      <c r="Q206" s="0" t="n">
        <v>40.0380059239502</v>
      </c>
      <c r="R206" s="0" t="n">
        <v>22.1226571900098</v>
      </c>
      <c r="S206" s="0" t="n">
        <v>7.11851571374478</v>
      </c>
      <c r="T206" s="0" t="n">
        <v>0.176700744667421</v>
      </c>
      <c r="U206" s="0" t="n">
        <v>0.821478382147838</v>
      </c>
      <c r="V206" s="0" t="n">
        <v>0.792189679218968</v>
      </c>
      <c r="W206" s="0" t="n">
        <v>0.195258019525802</v>
      </c>
      <c r="X206" s="0" t="n">
        <v>0.344389521560555</v>
      </c>
      <c r="Y206" s="0" t="n">
        <v>7.15389553092164</v>
      </c>
      <c r="Z206" s="0" t="n">
        <v>0.615213344900559</v>
      </c>
      <c r="AA206" s="0" t="n">
        <v>0</v>
      </c>
    </row>
    <row r="207" customFormat="false" ht="15" hidden="false" customHeight="false" outlineLevel="0" collapsed="false">
      <c r="A207" s="0" t="s">
        <v>241</v>
      </c>
      <c r="B207" s="0" t="s">
        <v>33</v>
      </c>
      <c r="C207" s="0" t="s">
        <v>33</v>
      </c>
      <c r="D207" s="0" t="n">
        <v>-44.6178228968935</v>
      </c>
      <c r="E207" s="0" t="n">
        <v>0.421119925512714</v>
      </c>
      <c r="F207" s="0" t="n">
        <v>13.8729745089347</v>
      </c>
      <c r="G207" s="0" t="n">
        <v>0.963704630788486</v>
      </c>
      <c r="H207" s="0" t="n">
        <v>0.969962453066333</v>
      </c>
      <c r="I207" s="0" t="n">
        <v>0.5</v>
      </c>
      <c r="J207" s="0" t="n">
        <v>0.873466833541927</v>
      </c>
      <c r="K207" s="0" t="n">
        <v>0.667715717403612</v>
      </c>
      <c r="L207" s="1" t="b">
        <f aca="false">TRUE()</f>
        <v>1</v>
      </c>
      <c r="M207" s="0" t="s">
        <v>3035</v>
      </c>
      <c r="N207" s="0" t="n">
        <v>44.3747701058401</v>
      </c>
      <c r="O207" s="0" t="n">
        <v>2</v>
      </c>
      <c r="P207" s="0" t="n">
        <v>1</v>
      </c>
      <c r="Q207" s="0" t="n">
        <v>44.6178228968935</v>
      </c>
      <c r="U207" s="0" t="n">
        <v>0.5</v>
      </c>
      <c r="V207" s="0" t="n">
        <v>0.5</v>
      </c>
      <c r="W207" s="0" t="n">
        <v>0.5</v>
      </c>
      <c r="X207" s="0" t="n">
        <v>0.421119925512714</v>
      </c>
      <c r="Y207" s="0" t="n">
        <v>13.8729745089347</v>
      </c>
      <c r="Z207" s="0" t="n">
        <v>0.873466833541927</v>
      </c>
      <c r="AA207" s="0" t="n">
        <v>0</v>
      </c>
    </row>
    <row r="208" customFormat="false" ht="15" hidden="false" customHeight="false" outlineLevel="0" collapsed="false">
      <c r="A208" s="0" t="s">
        <v>242</v>
      </c>
      <c r="B208" s="0" t="s">
        <v>3013</v>
      </c>
      <c r="C208" s="0" t="s">
        <v>3033</v>
      </c>
      <c r="D208" s="0" t="n">
        <v>-35.1024101244863</v>
      </c>
      <c r="E208" s="0" t="n">
        <v>0.283354347302426</v>
      </c>
      <c r="F208" s="0" t="n">
        <v>8.79683556599926</v>
      </c>
      <c r="G208" s="0" t="n">
        <v>0.476846057571965</v>
      </c>
      <c r="H208" s="0" t="n">
        <v>0.648310387984981</v>
      </c>
      <c r="I208" s="0" t="n">
        <v>0.501162250116225</v>
      </c>
      <c r="J208" s="0" t="n">
        <v>0.550295028246024</v>
      </c>
      <c r="K208" s="0" t="n">
        <v>0.667715717403612</v>
      </c>
      <c r="L208" s="1" t="b">
        <f aca="false">FALSE()</f>
        <v>0</v>
      </c>
      <c r="N208" s="0" t="n">
        <v>88.9925930027334</v>
      </c>
      <c r="O208" s="0" t="n">
        <v>3</v>
      </c>
      <c r="P208" s="0" t="n">
        <v>1</v>
      </c>
      <c r="Q208" s="0" t="n">
        <v>35.1024101244863</v>
      </c>
      <c r="R208" s="0" t="n">
        <v>12.4100843426115</v>
      </c>
      <c r="S208" s="0" t="n">
        <v>2.43217960710944</v>
      </c>
      <c r="T208" s="0" t="n">
        <v>0.233863423760524</v>
      </c>
      <c r="U208" s="0" t="n">
        <v>0.613668061366806</v>
      </c>
      <c r="V208" s="0" t="n">
        <v>0.373779637377964</v>
      </c>
      <c r="W208" s="0" t="n">
        <v>0.516039051603905</v>
      </c>
      <c r="X208" s="0" t="n">
        <v>0.283354347302426</v>
      </c>
      <c r="Y208" s="0" t="n">
        <v>8.79683556599926</v>
      </c>
      <c r="Z208" s="0" t="n">
        <v>0.550295028246024</v>
      </c>
      <c r="AA208" s="0" t="n">
        <v>0</v>
      </c>
    </row>
    <row r="209" customFormat="false" ht="15" hidden="false" customHeight="false" outlineLevel="0" collapsed="false">
      <c r="A209" s="0" t="s">
        <v>243</v>
      </c>
      <c r="B209" s="0" t="s">
        <v>3013</v>
      </c>
      <c r="C209" s="0" t="s">
        <v>3038</v>
      </c>
      <c r="D209" s="0" t="n">
        <v>46.5121413205106</v>
      </c>
      <c r="E209" s="0" t="n">
        <v>0.137301611897186</v>
      </c>
      <c r="F209" s="0" t="n">
        <v>4.62049530103948</v>
      </c>
      <c r="G209" s="0" t="n">
        <v>0.0125156445556946</v>
      </c>
      <c r="H209" s="0" t="n">
        <v>0.0963704630788486</v>
      </c>
      <c r="I209" s="0" t="n">
        <v>0.874012087401209</v>
      </c>
      <c r="J209" s="0" t="n">
        <v>0.218356860534059</v>
      </c>
      <c r="K209" s="0" t="n">
        <v>0.667715717403612</v>
      </c>
      <c r="L209" s="1" t="b">
        <f aca="false">FALSE()</f>
        <v>0</v>
      </c>
      <c r="N209" s="0" t="n">
        <v>124.09500312722</v>
      </c>
      <c r="O209" s="0" t="n">
        <v>4</v>
      </c>
      <c r="P209" s="0" t="n">
        <v>0</v>
      </c>
      <c r="Q209" s="0" t="n">
        <v>0</v>
      </c>
      <c r="R209" s="0" t="n">
        <v>35.4104777953439</v>
      </c>
      <c r="S209" s="0" t="n">
        <v>21.3759213759214</v>
      </c>
      <c r="T209" s="0" t="n">
        <v>0.290373017645741</v>
      </c>
      <c r="U209" s="0" t="n">
        <v>0.930264993026499</v>
      </c>
      <c r="V209" s="0" t="n">
        <v>0.96513249651325</v>
      </c>
      <c r="W209" s="0" t="n">
        <v>0.726638772663877</v>
      </c>
      <c r="X209" s="0" t="n">
        <v>0.137301611897186</v>
      </c>
      <c r="Y209" s="0" t="n">
        <v>4.62049530103948</v>
      </c>
      <c r="Z209" s="0" t="n">
        <v>0.218356860534059</v>
      </c>
      <c r="AA209" s="0" t="n">
        <v>-2.77555756156289E-017</v>
      </c>
    </row>
    <row r="210" customFormat="false" ht="15" hidden="false" customHeight="false" outlineLevel="0" collapsed="false">
      <c r="A210" s="0" t="s">
        <v>244</v>
      </c>
      <c r="B210" s="0" t="s">
        <v>3013</v>
      </c>
      <c r="C210" s="0" t="s">
        <v>3038</v>
      </c>
      <c r="D210" s="0" t="n">
        <v>59.0799556162279</v>
      </c>
      <c r="E210" s="0" t="n">
        <v>0.270351780053538</v>
      </c>
      <c r="F210" s="0" t="n">
        <v>7.47372240247916</v>
      </c>
      <c r="G210" s="0" t="n">
        <v>0.391739674593242</v>
      </c>
      <c r="H210" s="0" t="n">
        <v>0.479349186483104</v>
      </c>
      <c r="I210" s="0" t="n">
        <v>0.763830776383078</v>
      </c>
      <c r="J210" s="0" t="n">
        <v>0.501201699707154</v>
      </c>
      <c r="K210" s="0" t="n">
        <v>0.667715717403612</v>
      </c>
      <c r="L210" s="1" t="b">
        <f aca="false">FALSE()</f>
        <v>0</v>
      </c>
      <c r="N210" s="0" t="n">
        <v>77.5828618067089</v>
      </c>
      <c r="O210" s="0" t="n">
        <v>0</v>
      </c>
      <c r="P210" s="0" t="n">
        <v>0</v>
      </c>
      <c r="Q210" s="0" t="n">
        <v>0</v>
      </c>
      <c r="R210" s="0" t="n">
        <v>38.3165135749108</v>
      </c>
      <c r="S210" s="0" t="n">
        <v>4.67238042576722</v>
      </c>
      <c r="T210" s="0" t="n">
        <v>0.276472214542439</v>
      </c>
      <c r="U210" s="0" t="n">
        <v>0.94560669456067</v>
      </c>
      <c r="V210" s="0" t="n">
        <v>0.661087866108787</v>
      </c>
      <c r="W210" s="0" t="n">
        <v>0.684797768479777</v>
      </c>
      <c r="X210" s="0" t="n">
        <v>0.270351780053538</v>
      </c>
      <c r="Y210" s="0" t="n">
        <v>7.47372240247916</v>
      </c>
      <c r="Z210" s="0" t="n">
        <v>0.501201699707154</v>
      </c>
      <c r="AA210" s="0" t="n">
        <v>0</v>
      </c>
    </row>
    <row r="211" customFormat="false" ht="15" hidden="false" customHeight="false" outlineLevel="0" collapsed="false">
      <c r="A211" s="0" t="s">
        <v>245</v>
      </c>
      <c r="B211" s="0" t="s">
        <v>3013</v>
      </c>
      <c r="C211" s="0" t="s">
        <v>3038</v>
      </c>
      <c r="D211" s="0" t="n">
        <v>82.6614885319566</v>
      </c>
      <c r="E211" s="0" t="n">
        <v>0.116849717058437</v>
      </c>
      <c r="F211" s="0" t="n">
        <v>0</v>
      </c>
      <c r="G211" s="0" t="n">
        <v>0.00375469336670839</v>
      </c>
      <c r="H211" s="0" t="n">
        <v>0.00187734668335419</v>
      </c>
      <c r="I211" s="0" t="n">
        <v>0.97396559739656</v>
      </c>
      <c r="J211" s="0" t="n">
        <v>0.197045935499337</v>
      </c>
      <c r="K211" s="0" t="n">
        <v>0.667715717403612</v>
      </c>
      <c r="L211" s="1" t="b">
        <f aca="false">FALSE()</f>
        <v>0</v>
      </c>
      <c r="N211" s="0" t="n">
        <v>18.5029061904811</v>
      </c>
      <c r="O211" s="0" t="n">
        <v>0</v>
      </c>
      <c r="P211" s="0" t="n">
        <v>0</v>
      </c>
      <c r="Q211" s="0" t="n">
        <v>0</v>
      </c>
      <c r="R211" s="0" t="n">
        <v>131.822181798851</v>
      </c>
      <c r="S211" s="0" t="n">
        <v>31.6926241551572</v>
      </c>
      <c r="T211" s="0" t="n">
        <v>0.455480458419037</v>
      </c>
      <c r="U211" s="0" t="n">
        <v>1</v>
      </c>
      <c r="V211" s="0" t="n">
        <v>0.99442119944212</v>
      </c>
      <c r="W211" s="0" t="n">
        <v>0.927475592747559</v>
      </c>
      <c r="X211" s="0" t="n">
        <v>0.116849717058437</v>
      </c>
      <c r="Y211" s="0" t="n">
        <v>0</v>
      </c>
      <c r="Z211" s="0" t="n">
        <v>0.197045935499337</v>
      </c>
      <c r="AA211" s="0" t="n">
        <v>2.77555756156289E-017</v>
      </c>
    </row>
    <row r="212" customFormat="false" ht="15" hidden="false" customHeight="false" outlineLevel="0" collapsed="false">
      <c r="A212" s="0" t="s">
        <v>246</v>
      </c>
      <c r="B212" s="0" t="s">
        <v>33</v>
      </c>
      <c r="C212" s="0" t="s">
        <v>33</v>
      </c>
      <c r="D212" s="0" t="n">
        <v>60.0603726285112</v>
      </c>
      <c r="E212" s="0" t="n">
        <v>0.396520203054006</v>
      </c>
      <c r="F212" s="0" t="n">
        <v>14.4696251574662</v>
      </c>
      <c r="G212" s="0" t="n">
        <v>0.933667083854819</v>
      </c>
      <c r="H212" s="0" t="n">
        <v>0.979974968710889</v>
      </c>
      <c r="I212" s="0" t="n">
        <v>0.5</v>
      </c>
      <c r="J212" s="0" t="n">
        <v>0.865456821026283</v>
      </c>
      <c r="K212" s="0" t="n">
        <v>0.667715717403612</v>
      </c>
      <c r="L212" s="1" t="b">
        <f aca="false">TRUE()</f>
        <v>1</v>
      </c>
      <c r="M212" s="0" t="s">
        <v>3035</v>
      </c>
      <c r="N212" s="0" t="n">
        <v>0</v>
      </c>
      <c r="O212" s="0" t="n">
        <v>0</v>
      </c>
      <c r="P212" s="0" t="n">
        <v>0</v>
      </c>
      <c r="Q212" s="0" t="n">
        <v>0</v>
      </c>
      <c r="U212" s="0" t="n">
        <v>0.5</v>
      </c>
      <c r="V212" s="0" t="n">
        <v>0.5</v>
      </c>
      <c r="W212" s="0" t="n">
        <v>0.5</v>
      </c>
      <c r="X212" s="0" t="n">
        <v>0.396520203054006</v>
      </c>
      <c r="Y212" s="0" t="n">
        <v>14.4696251574662</v>
      </c>
      <c r="Z212" s="0" t="n">
        <v>0.865456821026283</v>
      </c>
      <c r="AA212" s="0" t="n">
        <v>0</v>
      </c>
    </row>
    <row r="213" customFormat="false" ht="15" hidden="false" customHeight="false" outlineLevel="0" collapsed="false">
      <c r="A213" s="0" t="s">
        <v>247</v>
      </c>
      <c r="B213" s="0" t="s">
        <v>3013</v>
      </c>
      <c r="C213" s="0" t="s">
        <v>3036</v>
      </c>
      <c r="D213" s="0" t="n">
        <v>16.4784496636018</v>
      </c>
      <c r="E213" s="0" t="n">
        <v>0.400984219128381</v>
      </c>
      <c r="F213" s="0" t="n">
        <v>7.94952333691108</v>
      </c>
      <c r="G213" s="0" t="n">
        <v>0.948685857321652</v>
      </c>
      <c r="H213" s="0" t="n">
        <v>0.533166458072591</v>
      </c>
      <c r="I213" s="0" t="n">
        <v>0.767085076708508</v>
      </c>
      <c r="J213" s="0" t="n">
        <v>0.746157941499399</v>
      </c>
      <c r="K213" s="0" t="n">
        <v>0.667715717403612</v>
      </c>
      <c r="L213" s="1" t="b">
        <f aca="false">TRUE()</f>
        <v>1</v>
      </c>
      <c r="M213" s="0" t="s">
        <v>3035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16.5579272948286</v>
      </c>
      <c r="S213" s="0" t="n">
        <v>6.81769147788566</v>
      </c>
      <c r="T213" s="0" t="n">
        <v>0.323624595469256</v>
      </c>
      <c r="U213" s="0" t="n">
        <v>0.737796373779637</v>
      </c>
      <c r="V213" s="0" t="n">
        <v>0.778242677824268</v>
      </c>
      <c r="W213" s="0" t="n">
        <v>0.785216178521618</v>
      </c>
      <c r="X213" s="0" t="n">
        <v>0.400984219128381</v>
      </c>
      <c r="Y213" s="0" t="n">
        <v>7.94952333691108</v>
      </c>
      <c r="Z213" s="0" t="n">
        <v>0.746157941499399</v>
      </c>
      <c r="AA213" s="0" t="n">
        <v>0</v>
      </c>
    </row>
    <row r="214" customFormat="false" ht="15" hidden="false" customHeight="false" outlineLevel="0" collapsed="false">
      <c r="A214" s="0" t="s">
        <v>248</v>
      </c>
      <c r="B214" s="0" t="s">
        <v>3013</v>
      </c>
      <c r="C214" s="0" t="s">
        <v>3036</v>
      </c>
      <c r="D214" s="0" t="n">
        <v>38.4278988391193</v>
      </c>
      <c r="E214" s="0" t="n">
        <v>0.463509139170455</v>
      </c>
      <c r="F214" s="0" t="n">
        <v>12.3806972021063</v>
      </c>
      <c r="G214" s="0" t="n">
        <v>0.984981226533166</v>
      </c>
      <c r="H214" s="0" t="n">
        <v>0.937421777221527</v>
      </c>
      <c r="I214" s="0" t="n">
        <v>0.370525337052534</v>
      </c>
      <c r="J214" s="0" t="n">
        <v>0.843066268912384</v>
      </c>
      <c r="K214" s="0" t="n">
        <v>0.667715717403612</v>
      </c>
      <c r="L214" s="1" t="b">
        <f aca="false">TRUE()</f>
        <v>1</v>
      </c>
      <c r="M214" s="0" t="s">
        <v>3035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28.9593305036288</v>
      </c>
      <c r="S214" s="0" t="n">
        <v>1.59828844701734</v>
      </c>
      <c r="T214" s="0" t="n">
        <v>0.125849484017123</v>
      </c>
      <c r="U214" s="0" t="n">
        <v>0.902370990237099</v>
      </c>
      <c r="V214" s="0" t="n">
        <v>0.157601115760112</v>
      </c>
      <c r="W214" s="0" t="n">
        <v>0.0516039051603905</v>
      </c>
      <c r="X214" s="0" t="n">
        <v>0.463509139170455</v>
      </c>
      <c r="Y214" s="0" t="n">
        <v>12.3806972021063</v>
      </c>
      <c r="Z214" s="0" t="n">
        <v>0.843066268912384</v>
      </c>
      <c r="AA214" s="0" t="n">
        <v>0</v>
      </c>
    </row>
    <row r="215" customFormat="false" ht="15" hidden="false" customHeight="false" outlineLevel="0" collapsed="false">
      <c r="A215" s="0" t="s">
        <v>249</v>
      </c>
      <c r="B215" s="0" t="s">
        <v>33</v>
      </c>
      <c r="C215" s="0" t="s">
        <v>33</v>
      </c>
      <c r="D215" s="0" t="n">
        <v>88.3541395574045</v>
      </c>
      <c r="E215" s="0" t="n">
        <v>0.52012686401495</v>
      </c>
      <c r="F215" s="0" t="n">
        <v>18.7283406676864</v>
      </c>
      <c r="G215" s="0" t="n">
        <v>0.998748435544431</v>
      </c>
      <c r="H215" s="0" t="n">
        <v>1</v>
      </c>
      <c r="I215" s="0" t="n">
        <v>0.5</v>
      </c>
      <c r="J215" s="0" t="n">
        <v>0.899499374217772</v>
      </c>
      <c r="K215" s="0" t="n">
        <v>0.667715717403612</v>
      </c>
      <c r="L215" s="1" t="b">
        <f aca="false">TRUE()</f>
        <v>1</v>
      </c>
      <c r="M215" s="0" t="s">
        <v>3035</v>
      </c>
      <c r="N215" s="0" t="n">
        <v>0</v>
      </c>
      <c r="O215" s="0" t="n">
        <v>0</v>
      </c>
      <c r="P215" s="0" t="n">
        <v>0</v>
      </c>
      <c r="Q215" s="0" t="n">
        <v>0</v>
      </c>
      <c r="U215" s="0" t="n">
        <v>0.5</v>
      </c>
      <c r="V215" s="0" t="n">
        <v>0.5</v>
      </c>
      <c r="W215" s="0" t="n">
        <v>0.5</v>
      </c>
      <c r="X215" s="0" t="n">
        <v>0.52012686401495</v>
      </c>
      <c r="Y215" s="0" t="n">
        <v>18.7283406676864</v>
      </c>
      <c r="Z215" s="0" t="n">
        <v>0.899499374217772</v>
      </c>
      <c r="AA215" s="0" t="n">
        <v>0</v>
      </c>
    </row>
    <row r="216" customFormat="false" ht="15" hidden="false" customHeight="false" outlineLevel="0" collapsed="false">
      <c r="A216" s="0" t="s">
        <v>250</v>
      </c>
      <c r="B216" s="0" t="s">
        <v>3013</v>
      </c>
      <c r="C216" s="0" t="s">
        <v>3036</v>
      </c>
      <c r="D216" s="0" t="n">
        <v>-1.43239649144712</v>
      </c>
      <c r="E216" s="0" t="n">
        <v>0.379129462302103</v>
      </c>
      <c r="F216" s="0" t="n">
        <v>8.7348060088602</v>
      </c>
      <c r="G216" s="0" t="n">
        <v>0.896120150187735</v>
      </c>
      <c r="H216" s="0" t="n">
        <v>0.639549436795995</v>
      </c>
      <c r="I216" s="0" t="n">
        <v>0.632728963272896</v>
      </c>
      <c r="J216" s="0" t="n">
        <v>0.740813627448071</v>
      </c>
      <c r="K216" s="0" t="n">
        <v>0.667715717403612</v>
      </c>
      <c r="L216" s="1" t="b">
        <f aca="false">TRUE()</f>
        <v>1</v>
      </c>
      <c r="M216" s="0" t="s">
        <v>3035</v>
      </c>
      <c r="N216" s="0" t="n">
        <v>0</v>
      </c>
      <c r="O216" s="0" t="n">
        <v>0</v>
      </c>
      <c r="P216" s="0" t="n">
        <v>1</v>
      </c>
      <c r="Q216" s="0" t="n">
        <v>1.43239649144712</v>
      </c>
      <c r="R216" s="0" t="n">
        <v>18.2203257856542</v>
      </c>
      <c r="S216" s="0" t="n">
        <v>4.61837627613029</v>
      </c>
      <c r="T216" s="0" t="n">
        <v>0.226867606546756</v>
      </c>
      <c r="U216" s="0" t="n">
        <v>0.765690376569038</v>
      </c>
      <c r="V216" s="0" t="n">
        <v>0.654114365411437</v>
      </c>
      <c r="W216" s="0" t="n">
        <v>0.478382147838215</v>
      </c>
      <c r="X216" s="0" t="n">
        <v>0.379129462302103</v>
      </c>
      <c r="Y216" s="0" t="n">
        <v>8.7348060088602</v>
      </c>
      <c r="Z216" s="0" t="n">
        <v>0.740813627448071</v>
      </c>
      <c r="AA216" s="0" t="n">
        <v>0</v>
      </c>
    </row>
    <row r="217" customFormat="false" ht="15" hidden="false" customHeight="false" outlineLevel="0" collapsed="false">
      <c r="A217" s="0" t="s">
        <v>251</v>
      </c>
      <c r="B217" s="0" t="s">
        <v>3013</v>
      </c>
      <c r="C217" s="0" t="s">
        <v>3034</v>
      </c>
      <c r="D217" s="0" t="n">
        <v>6.69537980065136</v>
      </c>
      <c r="E217" s="0" t="n">
        <v>0.374363416368666</v>
      </c>
      <c r="F217" s="0" t="n">
        <v>9.81965363239397</v>
      </c>
      <c r="G217" s="0" t="n">
        <v>0.886107634543179</v>
      </c>
      <c r="H217" s="0" t="n">
        <v>0.76846057571965</v>
      </c>
      <c r="I217" s="0" t="n">
        <v>0.411901441190144</v>
      </c>
      <c r="J217" s="0" t="n">
        <v>0.74420757234316</v>
      </c>
      <c r="K217" s="0" t="n">
        <v>0.667715717403612</v>
      </c>
      <c r="L217" s="1" t="b">
        <f aca="false">TRUE()</f>
        <v>1</v>
      </c>
      <c r="M217" s="0" t="s">
        <v>3035</v>
      </c>
      <c r="N217" s="0" t="n">
        <v>1.43239649144698</v>
      </c>
      <c r="O217" s="0" t="n">
        <v>1</v>
      </c>
      <c r="P217" s="0" t="n">
        <v>0</v>
      </c>
      <c r="Q217" s="0" t="n">
        <v>0</v>
      </c>
      <c r="R217" s="0" t="n">
        <v>9.01998877780704</v>
      </c>
      <c r="S217" s="0" t="n">
        <v>1.8103270931907</v>
      </c>
      <c r="T217" s="0" t="n">
        <v>0.246862785435093</v>
      </c>
      <c r="U217" s="0" t="n">
        <v>0.446304044630405</v>
      </c>
      <c r="V217" s="0" t="n">
        <v>0.217573221757322</v>
      </c>
      <c r="W217" s="0" t="n">
        <v>0.571827057182706</v>
      </c>
      <c r="X217" s="0" t="n">
        <v>0.374363416368666</v>
      </c>
      <c r="Y217" s="0" t="n">
        <v>9.81965363239397</v>
      </c>
      <c r="Z217" s="0" t="n">
        <v>0.74420757234316</v>
      </c>
      <c r="AA217" s="0" t="n">
        <v>0</v>
      </c>
    </row>
    <row r="218" customFormat="false" ht="15" hidden="false" customHeight="false" outlineLevel="0" collapsed="false">
      <c r="A218" s="0" t="s">
        <v>252</v>
      </c>
      <c r="B218" s="0" t="s">
        <v>3013</v>
      </c>
      <c r="C218" s="0" t="s">
        <v>3036</v>
      </c>
      <c r="D218" s="0" t="n">
        <v>-13.688755730081</v>
      </c>
      <c r="E218" s="0" t="n">
        <v>0.445355517722978</v>
      </c>
      <c r="F218" s="0" t="n">
        <v>8.73544813177365</v>
      </c>
      <c r="G218" s="0" t="n">
        <v>0.978723404255319</v>
      </c>
      <c r="H218" s="0" t="n">
        <v>0.640801001251565</v>
      </c>
      <c r="I218" s="0" t="n">
        <v>0.313807531380753</v>
      </c>
      <c r="J218" s="0" t="n">
        <v>0.710571268478904</v>
      </c>
      <c r="K218" s="0" t="n">
        <v>0.667715717403612</v>
      </c>
      <c r="L218" s="1" t="b">
        <f aca="false">TRUE()</f>
        <v>1</v>
      </c>
      <c r="M218" s="0" t="s">
        <v>3035</v>
      </c>
      <c r="N218" s="0" t="n">
        <v>0</v>
      </c>
      <c r="O218" s="0" t="n">
        <v>0</v>
      </c>
      <c r="P218" s="0" t="n">
        <v>1</v>
      </c>
      <c r="Q218" s="0" t="n">
        <v>13.688755730081</v>
      </c>
      <c r="R218" s="0" t="n">
        <v>14.5392409616884</v>
      </c>
      <c r="S218" s="0" t="n">
        <v>1.1542991755006</v>
      </c>
      <c r="T218" s="0" t="n">
        <v>0.176678445229682</v>
      </c>
      <c r="U218" s="0" t="n">
        <v>0.693165969316597</v>
      </c>
      <c r="V218" s="0" t="n">
        <v>0.0543933054393306</v>
      </c>
      <c r="W218" s="0" t="n">
        <v>0.193863319386332</v>
      </c>
      <c r="X218" s="0" t="n">
        <v>0.445355517722978</v>
      </c>
      <c r="Y218" s="0" t="n">
        <v>8.73544813177365</v>
      </c>
      <c r="Z218" s="0" t="n">
        <v>0.710571268478904</v>
      </c>
      <c r="AA218" s="0" t="n">
        <v>0</v>
      </c>
    </row>
    <row r="219" customFormat="false" ht="15" hidden="false" customHeight="false" outlineLevel="0" collapsed="false">
      <c r="A219" s="0" t="s">
        <v>253</v>
      </c>
      <c r="B219" s="0" t="s">
        <v>3013</v>
      </c>
      <c r="C219" s="0" t="s">
        <v>3036</v>
      </c>
      <c r="D219" s="0" t="n">
        <v>2.72731713664936</v>
      </c>
      <c r="E219" s="0" t="n">
        <v>0.433675134100608</v>
      </c>
      <c r="F219" s="0" t="n">
        <v>8.56782433247661</v>
      </c>
      <c r="G219" s="0" t="n">
        <v>0.972465581977472</v>
      </c>
      <c r="H219" s="0" t="n">
        <v>0.614518147684606</v>
      </c>
      <c r="I219" s="0" t="n">
        <v>0.132961413296141</v>
      </c>
      <c r="J219" s="0" t="n">
        <v>0.661385774524059</v>
      </c>
      <c r="K219" s="0" t="n">
        <v>0.667715717403612</v>
      </c>
      <c r="L219" s="1" t="b">
        <f aca="false">FALSE()</f>
        <v>0</v>
      </c>
      <c r="N219" s="0" t="n">
        <v>13.6887557300811</v>
      </c>
      <c r="O219" s="0" t="n">
        <v>1</v>
      </c>
      <c r="P219" s="0" t="n">
        <v>0</v>
      </c>
      <c r="Q219" s="0" t="n">
        <v>0</v>
      </c>
      <c r="R219" s="0" t="n">
        <v>7.71750958035629</v>
      </c>
      <c r="S219" s="0" t="n">
        <v>0.806451612903214</v>
      </c>
      <c r="T219" s="0" t="n">
        <v>0.105764145954515</v>
      </c>
      <c r="U219" s="0" t="n">
        <v>0.368200836820084</v>
      </c>
      <c r="V219" s="0" t="n">
        <v>0.00836820083682008</v>
      </c>
      <c r="W219" s="0" t="n">
        <v>0.0223152022315202</v>
      </c>
      <c r="X219" s="0" t="n">
        <v>0.433675134100608</v>
      </c>
      <c r="Y219" s="0" t="n">
        <v>8.56782433247661</v>
      </c>
      <c r="Z219" s="0" t="n">
        <v>0.661385774524059</v>
      </c>
      <c r="AA219" s="0" t="n">
        <v>0</v>
      </c>
    </row>
    <row r="220" customFormat="false" ht="15" hidden="false" customHeight="false" outlineLevel="0" collapsed="false">
      <c r="A220" s="0" t="s">
        <v>254</v>
      </c>
      <c r="B220" s="0" t="s">
        <v>33</v>
      </c>
      <c r="C220" s="0" t="s">
        <v>33</v>
      </c>
      <c r="D220" s="0" t="n">
        <v>14.522624337035</v>
      </c>
      <c r="E220" s="0" t="n">
        <v>0.455358292483018</v>
      </c>
      <c r="F220" s="0" t="n">
        <v>15.4558739227922</v>
      </c>
      <c r="G220" s="0" t="n">
        <v>0.982478097622028</v>
      </c>
      <c r="H220" s="0" t="n">
        <v>0.988735919899875</v>
      </c>
      <c r="I220" s="0" t="n">
        <v>0.5</v>
      </c>
      <c r="J220" s="0" t="n">
        <v>0.888485607008761</v>
      </c>
      <c r="K220" s="0" t="n">
        <v>0.667715717403612</v>
      </c>
      <c r="L220" s="1" t="b">
        <f aca="false">TRUE()</f>
        <v>1</v>
      </c>
      <c r="M220" s="0" t="s">
        <v>3035</v>
      </c>
      <c r="N220" s="0" t="n">
        <v>10.9614385934319</v>
      </c>
      <c r="O220" s="0" t="n">
        <v>0</v>
      </c>
      <c r="P220" s="0" t="n">
        <v>0</v>
      </c>
      <c r="Q220" s="0" t="n">
        <v>0</v>
      </c>
      <c r="U220" s="0" t="n">
        <v>0.5</v>
      </c>
      <c r="V220" s="0" t="n">
        <v>0.5</v>
      </c>
      <c r="W220" s="0" t="n">
        <v>0.5</v>
      </c>
      <c r="X220" s="0" t="n">
        <v>0.455358292483018</v>
      </c>
      <c r="Y220" s="0" t="n">
        <v>15.4558739227922</v>
      </c>
      <c r="Z220" s="0" t="n">
        <v>0.888485607008761</v>
      </c>
      <c r="AA220" s="0" t="n">
        <v>0</v>
      </c>
    </row>
    <row r="221" customFormat="false" ht="15" hidden="false" customHeight="false" outlineLevel="0" collapsed="false">
      <c r="A221" s="0" t="s">
        <v>255</v>
      </c>
      <c r="B221" s="0" t="s">
        <v>33</v>
      </c>
      <c r="C221" s="0" t="s">
        <v>33</v>
      </c>
      <c r="D221" s="0" t="n">
        <v>28.8591595753765</v>
      </c>
      <c r="E221" s="0" t="n">
        <v>0.431705241909369</v>
      </c>
      <c r="F221" s="0" t="n">
        <v>14.2706168784731</v>
      </c>
      <c r="G221" s="0" t="n">
        <v>0.971214017521902</v>
      </c>
      <c r="H221" s="0" t="n">
        <v>0.97622027534418</v>
      </c>
      <c r="I221" s="0" t="n">
        <v>0.5</v>
      </c>
      <c r="J221" s="0" t="n">
        <v>0.878973717146433</v>
      </c>
      <c r="K221" s="0" t="n">
        <v>0.667715717403612</v>
      </c>
      <c r="L221" s="1" t="b">
        <f aca="false">TRUE()</f>
        <v>1</v>
      </c>
      <c r="M221" s="0" t="s">
        <v>3035</v>
      </c>
      <c r="N221" s="0" t="n">
        <v>0</v>
      </c>
      <c r="O221" s="0" t="n">
        <v>0</v>
      </c>
      <c r="P221" s="0" t="n">
        <v>0</v>
      </c>
      <c r="Q221" s="0" t="n">
        <v>0</v>
      </c>
      <c r="U221" s="0" t="n">
        <v>0.5</v>
      </c>
      <c r="V221" s="0" t="n">
        <v>0.5</v>
      </c>
      <c r="W221" s="0" t="n">
        <v>0.5</v>
      </c>
      <c r="X221" s="0" t="n">
        <v>0.431705241909369</v>
      </c>
      <c r="Y221" s="0" t="n">
        <v>14.2706168784731</v>
      </c>
      <c r="Z221" s="0" t="n">
        <v>0.878973717146433</v>
      </c>
      <c r="AA221" s="0" t="n">
        <v>0</v>
      </c>
    </row>
    <row r="222" customFormat="false" ht="15" hidden="false" customHeight="false" outlineLevel="0" collapsed="false">
      <c r="A222" s="0" t="s">
        <v>256</v>
      </c>
      <c r="B222" s="0" t="s">
        <v>3013</v>
      </c>
      <c r="C222" s="0" t="s">
        <v>3036</v>
      </c>
      <c r="D222" s="0" t="n">
        <v>-0.142031740325466</v>
      </c>
      <c r="E222" s="0" t="n">
        <v>0.400272989570611</v>
      </c>
      <c r="F222" s="0" t="n">
        <v>6.82384828084958</v>
      </c>
      <c r="G222" s="0" t="n">
        <v>0.942428035043805</v>
      </c>
      <c r="H222" s="0" t="n">
        <v>0.399249061326658</v>
      </c>
      <c r="I222" s="0" t="n">
        <v>0.364481636448164</v>
      </c>
      <c r="J222" s="0" t="n">
        <v>0.609567165837818</v>
      </c>
      <c r="K222" s="0" t="n">
        <v>0.667715717403612</v>
      </c>
      <c r="L222" s="1" t="b">
        <f aca="false">FALSE()</f>
        <v>0</v>
      </c>
      <c r="N222" s="0" t="n">
        <v>0</v>
      </c>
      <c r="O222" s="0" t="n">
        <v>0</v>
      </c>
      <c r="P222" s="0" t="n">
        <v>1</v>
      </c>
      <c r="Q222" s="0" t="n">
        <v>0.142031740325466</v>
      </c>
      <c r="R222" s="0" t="n">
        <v>15.9281700238217</v>
      </c>
      <c r="S222" s="0" t="n">
        <v>1.88507540301612</v>
      </c>
      <c r="T222" s="0" t="n">
        <v>0.156006240249609</v>
      </c>
      <c r="U222" s="0" t="n">
        <v>0.728033472803347</v>
      </c>
      <c r="V222" s="0" t="n">
        <v>0.242677824267782</v>
      </c>
      <c r="W222" s="0" t="n">
        <v>0.122733612273361</v>
      </c>
      <c r="X222" s="0" t="n">
        <v>0.400272989570611</v>
      </c>
      <c r="Y222" s="0" t="n">
        <v>6.82384828084958</v>
      </c>
      <c r="Z222" s="0" t="n">
        <v>0.609567165837818</v>
      </c>
      <c r="AA222" s="0" t="n">
        <v>0</v>
      </c>
    </row>
    <row r="223" customFormat="false" ht="15" hidden="false" customHeight="false" outlineLevel="0" collapsed="false">
      <c r="A223" s="0" t="s">
        <v>257</v>
      </c>
      <c r="B223" s="0" t="s">
        <v>3013</v>
      </c>
      <c r="C223" s="0" t="s">
        <v>3036</v>
      </c>
      <c r="D223" s="0" t="n">
        <v>10.5110589995524</v>
      </c>
      <c r="E223" s="0" t="n">
        <v>0.389135925536037</v>
      </c>
      <c r="F223" s="0" t="n">
        <v>7.43937806319661</v>
      </c>
      <c r="G223" s="0" t="n">
        <v>0.919899874843554</v>
      </c>
      <c r="H223" s="0" t="n">
        <v>0.470588235294118</v>
      </c>
      <c r="I223" s="0" t="n">
        <v>0.346350534635054</v>
      </c>
      <c r="J223" s="0" t="n">
        <v>0.62546535098208</v>
      </c>
      <c r="K223" s="0" t="n">
        <v>0.667715717403612</v>
      </c>
      <c r="L223" s="1" t="b">
        <f aca="false">FALSE()</f>
        <v>0</v>
      </c>
      <c r="N223" s="0" t="n">
        <v>0.142031740325365</v>
      </c>
      <c r="O223" s="0" t="n">
        <v>1</v>
      </c>
      <c r="P223" s="0" t="n">
        <v>0</v>
      </c>
      <c r="Q223" s="0" t="n">
        <v>0</v>
      </c>
      <c r="R223" s="0" t="n">
        <v>15.3060181277005</v>
      </c>
      <c r="S223" s="0" t="n">
        <v>1.28408599047756</v>
      </c>
      <c r="T223" s="0" t="n">
        <v>0.18756312220459</v>
      </c>
      <c r="U223" s="0" t="n">
        <v>0.712691771269177</v>
      </c>
      <c r="V223" s="0" t="n">
        <v>0.0850767085076709</v>
      </c>
      <c r="W223" s="0" t="n">
        <v>0.241283124128312</v>
      </c>
      <c r="X223" s="0" t="n">
        <v>0.389135925536037</v>
      </c>
      <c r="Y223" s="0" t="n">
        <v>7.43937806319662</v>
      </c>
      <c r="Z223" s="0" t="n">
        <v>0.62546535098208</v>
      </c>
      <c r="AA223" s="0" t="n">
        <v>0</v>
      </c>
    </row>
    <row r="224" customFormat="false" ht="15" hidden="false" customHeight="false" outlineLevel="0" collapsed="false">
      <c r="A224" s="0" t="s">
        <v>258</v>
      </c>
      <c r="B224" s="0" t="s">
        <v>3013</v>
      </c>
      <c r="C224" s="0" t="s">
        <v>3036</v>
      </c>
      <c r="D224" s="0" t="n">
        <v>5.89984320508864</v>
      </c>
      <c r="E224" s="0" t="n">
        <v>0.396575361917778</v>
      </c>
      <c r="F224" s="0" t="n">
        <v>6.80115057141593</v>
      </c>
      <c r="G224" s="0" t="n">
        <v>0.934918648310388</v>
      </c>
      <c r="H224" s="0" t="n">
        <v>0.39549436795995</v>
      </c>
      <c r="I224" s="0" t="n">
        <v>0.294746629474663</v>
      </c>
      <c r="J224" s="0" t="n">
        <v>0.591114532403068</v>
      </c>
      <c r="K224" s="0" t="n">
        <v>0.667715717403612</v>
      </c>
      <c r="L224" s="1" t="b">
        <f aca="false">FALSE()</f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9.09871096810775</v>
      </c>
      <c r="S224" s="0" t="n">
        <v>1.2606005042402</v>
      </c>
      <c r="T224" s="0" t="n">
        <v>0.206280082512034</v>
      </c>
      <c r="U224" s="0" t="n">
        <v>0.451882845188285</v>
      </c>
      <c r="V224" s="0" t="n">
        <v>0.0808926080892608</v>
      </c>
      <c r="W224" s="0" t="n">
        <v>0.351464435146444</v>
      </c>
      <c r="X224" s="0" t="n">
        <v>0.396575361917778</v>
      </c>
      <c r="Y224" s="0" t="n">
        <v>6.80115057141592</v>
      </c>
      <c r="Z224" s="0" t="n">
        <v>0.591114532403068</v>
      </c>
      <c r="AA224" s="0" t="n">
        <v>0</v>
      </c>
    </row>
    <row r="225" customFormat="false" ht="15" hidden="false" customHeight="false" outlineLevel="0" collapsed="false">
      <c r="A225" s="0" t="s">
        <v>259</v>
      </c>
      <c r="B225" s="0" t="s">
        <v>3013</v>
      </c>
      <c r="C225" s="0" t="s">
        <v>3036</v>
      </c>
      <c r="D225" s="0" t="n">
        <v>8.62620518724703</v>
      </c>
      <c r="E225" s="0" t="n">
        <v>0.388713140925908</v>
      </c>
      <c r="F225" s="0" t="n">
        <v>5.92924900593585</v>
      </c>
      <c r="G225" s="0" t="n">
        <v>0.918648310387985</v>
      </c>
      <c r="H225" s="0" t="n">
        <v>0.25657071339174</v>
      </c>
      <c r="I225" s="0" t="n">
        <v>0.356578335657834</v>
      </c>
      <c r="J225" s="0" t="n">
        <v>0.541403276643457</v>
      </c>
      <c r="K225" s="0" t="n">
        <v>0.667715717403612</v>
      </c>
      <c r="L225" s="1" t="b">
        <f aca="false">FALSE()</f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5.71405248765314</v>
      </c>
      <c r="S225" s="0" t="n">
        <v>2.56991685563115</v>
      </c>
      <c r="T225" s="0" t="n">
        <v>0.226757369614521</v>
      </c>
      <c r="U225" s="0" t="n">
        <v>0.192468619246862</v>
      </c>
      <c r="V225" s="0" t="n">
        <v>0.400278940027894</v>
      </c>
      <c r="W225" s="0" t="n">
        <v>0.476987447698745</v>
      </c>
      <c r="X225" s="0" t="n">
        <v>0.388713140925908</v>
      </c>
      <c r="Y225" s="0" t="n">
        <v>5.92924900593585</v>
      </c>
      <c r="Z225" s="0" t="n">
        <v>0.541403276643457</v>
      </c>
      <c r="AA225" s="0" t="n">
        <v>0</v>
      </c>
    </row>
    <row r="226" customFormat="false" ht="15" hidden="false" customHeight="false" outlineLevel="0" collapsed="false">
      <c r="A226" s="0" t="s">
        <v>260</v>
      </c>
      <c r="B226" s="0" t="s">
        <v>3013</v>
      </c>
      <c r="C226" s="0" t="s">
        <v>3033</v>
      </c>
      <c r="D226" s="0" t="n">
        <v>37.3815588778881</v>
      </c>
      <c r="E226" s="0" t="n">
        <v>0.260826504669273</v>
      </c>
      <c r="F226" s="0" t="n">
        <v>7.5237667355891</v>
      </c>
      <c r="G226" s="0" t="n">
        <v>0.336670838548185</v>
      </c>
      <c r="H226" s="0" t="n">
        <v>0.483103879849812</v>
      </c>
      <c r="I226" s="0" t="n">
        <v>0.422594142259414</v>
      </c>
      <c r="J226" s="0" t="n">
        <v>0.412428715811082</v>
      </c>
      <c r="K226" s="0" t="n">
        <v>0.667715717403612</v>
      </c>
      <c r="L226" s="1" t="b">
        <f aca="false">FALSE()</f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15.0667864283024</v>
      </c>
      <c r="S226" s="0" t="n">
        <v>1.69025157232706</v>
      </c>
      <c r="T226" s="0" t="n">
        <v>0.209643605870024</v>
      </c>
      <c r="U226" s="0" t="n">
        <v>0.707112970711297</v>
      </c>
      <c r="V226" s="0" t="n">
        <v>0.185495118549512</v>
      </c>
      <c r="W226" s="0" t="n">
        <v>0.375174337517434</v>
      </c>
      <c r="X226" s="0" t="n">
        <v>0.260826504669273</v>
      </c>
      <c r="Y226" s="0" t="n">
        <v>7.52376673558911</v>
      </c>
      <c r="Z226" s="0" t="n">
        <v>0.412428715811082</v>
      </c>
      <c r="AA226" s="0" t="n">
        <v>-5.55111512312578E-017</v>
      </c>
    </row>
    <row r="227" customFormat="false" ht="15" hidden="false" customHeight="false" outlineLevel="0" collapsed="false">
      <c r="A227" s="0" t="s">
        <v>261</v>
      </c>
      <c r="B227" s="0" t="s">
        <v>3013</v>
      </c>
      <c r="C227" s="0" t="s">
        <v>3033</v>
      </c>
      <c r="D227" s="0" t="n">
        <v>55.3849190385832</v>
      </c>
      <c r="E227" s="0" t="n">
        <v>0.337078214984827</v>
      </c>
      <c r="F227" s="0" t="n">
        <v>8.46866739751903</v>
      </c>
      <c r="G227" s="0" t="n">
        <v>0.76720901126408</v>
      </c>
      <c r="H227" s="0" t="n">
        <v>0.596996245306633</v>
      </c>
      <c r="I227" s="0" t="n">
        <v>0.535099953509995</v>
      </c>
      <c r="J227" s="0" t="n">
        <v>0.652702093330285</v>
      </c>
      <c r="K227" s="0" t="n">
        <v>0.667715717403612</v>
      </c>
      <c r="L227" s="1" t="b">
        <f aca="false">FALSE()</f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12.2597910885023</v>
      </c>
      <c r="S227" s="0" t="n">
        <v>3.23417238749047</v>
      </c>
      <c r="T227" s="0" t="n">
        <v>0.22883295194508</v>
      </c>
      <c r="U227" s="0" t="n">
        <v>0.609483960948396</v>
      </c>
      <c r="V227" s="0" t="n">
        <v>0.503486750348675</v>
      </c>
      <c r="W227" s="0" t="n">
        <v>0.492329149232915</v>
      </c>
      <c r="X227" s="0" t="n">
        <v>0.337078214984827</v>
      </c>
      <c r="Y227" s="0" t="n">
        <v>8.46866739751903</v>
      </c>
      <c r="Z227" s="0" t="n">
        <v>0.652702093330285</v>
      </c>
      <c r="AA227" s="0" t="n">
        <v>0</v>
      </c>
    </row>
    <row r="228" customFormat="false" ht="15" hidden="false" customHeight="false" outlineLevel="0" collapsed="false">
      <c r="A228" s="0" t="s">
        <v>262</v>
      </c>
      <c r="B228" s="0" t="s">
        <v>3013</v>
      </c>
      <c r="C228" s="0" t="s">
        <v>3033</v>
      </c>
      <c r="D228" s="0" t="n">
        <v>41.4701499545527</v>
      </c>
      <c r="E228" s="0" t="n">
        <v>0.268348311590605</v>
      </c>
      <c r="F228" s="0" t="n">
        <v>5.48623181112438</v>
      </c>
      <c r="G228" s="0" t="n">
        <v>0.384230287859825</v>
      </c>
      <c r="H228" s="0" t="n">
        <v>0.197747183979975</v>
      </c>
      <c r="I228" s="0" t="n">
        <v>0.259414225941423</v>
      </c>
      <c r="J228" s="0" t="n">
        <v>0.284673833924204</v>
      </c>
      <c r="K228" s="0" t="n">
        <v>0.667715717403612</v>
      </c>
      <c r="L228" s="1" t="b">
        <f aca="false">FALSE()</f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5.08385471729682</v>
      </c>
      <c r="S228" s="0" t="n">
        <v>4.08117752007137</v>
      </c>
      <c r="T228" s="0" t="n">
        <v>0.111507582515611</v>
      </c>
      <c r="U228" s="0" t="n">
        <v>0.136680613668061</v>
      </c>
      <c r="V228" s="0" t="n">
        <v>0.606694560669456</v>
      </c>
      <c r="W228" s="0" t="n">
        <v>0.0348675034867504</v>
      </c>
      <c r="X228" s="0" t="n">
        <v>0.268348311590605</v>
      </c>
      <c r="Y228" s="0" t="n">
        <v>5.48623181112438</v>
      </c>
      <c r="Z228" s="0" t="n">
        <v>0.284673833924204</v>
      </c>
      <c r="AA228" s="0" t="n">
        <v>0</v>
      </c>
    </row>
    <row r="229" customFormat="false" ht="15" hidden="false" customHeight="false" outlineLevel="0" collapsed="false">
      <c r="A229" s="0" t="s">
        <v>263</v>
      </c>
      <c r="B229" s="0" t="s">
        <v>33</v>
      </c>
      <c r="C229" s="0" t="s">
        <v>33</v>
      </c>
      <c r="D229" s="0" t="n">
        <v>-13.3972304363723</v>
      </c>
      <c r="E229" s="0" t="n">
        <v>0.362137845724529</v>
      </c>
      <c r="F229" s="0" t="n">
        <v>11.0856036736471</v>
      </c>
      <c r="G229" s="0" t="n">
        <v>0.849812265331665</v>
      </c>
      <c r="H229" s="0" t="n">
        <v>0.887359198998749</v>
      </c>
      <c r="I229" s="0" t="n">
        <v>0.5</v>
      </c>
      <c r="J229" s="0" t="n">
        <v>0.794868585732165</v>
      </c>
      <c r="K229" s="0" t="n">
        <v>0.667715717403612</v>
      </c>
      <c r="L229" s="1" t="b">
        <f aca="false">TRUE()</f>
        <v>1</v>
      </c>
      <c r="M229" s="0" t="s">
        <v>3035</v>
      </c>
      <c r="N229" s="0" t="n">
        <v>0</v>
      </c>
      <c r="O229" s="0" t="n">
        <v>0</v>
      </c>
      <c r="P229" s="0" t="n">
        <v>1</v>
      </c>
      <c r="Q229" s="0" t="n">
        <v>13.3972304363723</v>
      </c>
      <c r="U229" s="0" t="n">
        <v>0.5</v>
      </c>
      <c r="V229" s="0" t="n">
        <v>0.5</v>
      </c>
      <c r="W229" s="0" t="n">
        <v>0.5</v>
      </c>
      <c r="X229" s="0" t="n">
        <v>0.362137845724529</v>
      </c>
      <c r="Y229" s="0" t="n">
        <v>11.0856036736471</v>
      </c>
      <c r="Z229" s="0" t="n">
        <v>0.794868585732165</v>
      </c>
      <c r="AA229" s="0" t="n">
        <v>0</v>
      </c>
    </row>
    <row r="230" customFormat="false" ht="15" hidden="false" customHeight="false" outlineLevel="0" collapsed="false">
      <c r="A230" s="0" t="s">
        <v>264</v>
      </c>
      <c r="B230" s="0" t="s">
        <v>3013</v>
      </c>
      <c r="C230" s="0" t="s">
        <v>3038</v>
      </c>
      <c r="D230" s="0" t="n">
        <v>32.7626365527599</v>
      </c>
      <c r="E230" s="0" t="n">
        <v>0.177771334902284</v>
      </c>
      <c r="F230" s="0" t="n">
        <v>5.39334118331904</v>
      </c>
      <c r="G230" s="0" t="n">
        <v>0.0625782227784731</v>
      </c>
      <c r="H230" s="0" t="n">
        <v>0.18523153942428</v>
      </c>
      <c r="I230" s="0" t="n">
        <v>0.901441190144119</v>
      </c>
      <c r="J230" s="0" t="n">
        <v>0.279412142909925</v>
      </c>
      <c r="K230" s="0" t="n">
        <v>0.667715717403612</v>
      </c>
      <c r="L230" s="1" t="b">
        <f aca="false">FALSE()</f>
        <v>0</v>
      </c>
      <c r="N230" s="0" t="n">
        <v>13.3972304363724</v>
      </c>
      <c r="O230" s="0" t="n">
        <v>1</v>
      </c>
      <c r="P230" s="0" t="n">
        <v>0</v>
      </c>
      <c r="Q230" s="0" t="n">
        <v>0</v>
      </c>
      <c r="R230" s="0" t="n">
        <v>24.3268062582357</v>
      </c>
      <c r="S230" s="0" t="n">
        <v>15.3071500503525</v>
      </c>
      <c r="T230" s="0" t="n">
        <v>0.453172205438069</v>
      </c>
      <c r="U230" s="0" t="n">
        <v>0.846582984658299</v>
      </c>
      <c r="V230" s="0" t="n">
        <v>0.933054393305439</v>
      </c>
      <c r="W230" s="0" t="n">
        <v>0.924686192468619</v>
      </c>
      <c r="X230" s="0" t="n">
        <v>0.177771334902284</v>
      </c>
      <c r="Y230" s="0" t="n">
        <v>5.39334118331904</v>
      </c>
      <c r="Z230" s="0" t="n">
        <v>0.279412142909925</v>
      </c>
      <c r="AA230" s="0" t="n">
        <v>-5.55111512312578E-017</v>
      </c>
    </row>
    <row r="231" customFormat="false" ht="15" hidden="false" customHeight="false" outlineLevel="0" collapsed="false">
      <c r="A231" s="0" t="s">
        <v>265</v>
      </c>
      <c r="B231" s="0" t="s">
        <v>3013</v>
      </c>
      <c r="C231" s="0" t="s">
        <v>3038</v>
      </c>
      <c r="D231" s="0" t="n">
        <v>39.193779228636</v>
      </c>
      <c r="E231" s="0" t="n">
        <v>0.225848932079675</v>
      </c>
      <c r="F231" s="0" t="n">
        <v>6.6692425279831</v>
      </c>
      <c r="G231" s="0" t="n">
        <v>0.158948685857322</v>
      </c>
      <c r="H231" s="0" t="n">
        <v>0.37171464330413</v>
      </c>
      <c r="I231" s="0" t="n">
        <v>0.793119479311948</v>
      </c>
      <c r="J231" s="0" t="n">
        <v>0.37088922752697</v>
      </c>
      <c r="K231" s="0" t="n">
        <v>0.667715717403612</v>
      </c>
      <c r="L231" s="1" t="b">
        <f aca="false">FALSE()</f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19.9557937653167</v>
      </c>
      <c r="S231" s="0" t="n">
        <v>8.21663332380679</v>
      </c>
      <c r="T231" s="0" t="n">
        <v>0.314375535867397</v>
      </c>
      <c r="U231" s="0" t="n">
        <v>0.788005578800558</v>
      </c>
      <c r="V231" s="0" t="n">
        <v>0.829846582984658</v>
      </c>
      <c r="W231" s="0" t="n">
        <v>0.761506276150628</v>
      </c>
      <c r="X231" s="0" t="n">
        <v>0.225848932079675</v>
      </c>
      <c r="Y231" s="0" t="n">
        <v>6.6692425279831</v>
      </c>
      <c r="Z231" s="0" t="n">
        <v>0.37088922752697</v>
      </c>
      <c r="AA231" s="0" t="n">
        <v>0</v>
      </c>
    </row>
    <row r="232" customFormat="false" ht="15" hidden="false" customHeight="false" outlineLevel="0" collapsed="false">
      <c r="A232" s="0" t="s">
        <v>266</v>
      </c>
      <c r="B232" s="0" t="s">
        <v>3013</v>
      </c>
      <c r="C232" s="0" t="s">
        <v>3033</v>
      </c>
      <c r="D232" s="0" t="n">
        <v>14.7166038138193</v>
      </c>
      <c r="E232" s="0" t="n">
        <v>0.226800809737684</v>
      </c>
      <c r="F232" s="0" t="n">
        <v>3.91828976511932</v>
      </c>
      <c r="G232" s="0" t="n">
        <v>0.16270337922403</v>
      </c>
      <c r="H232" s="0" t="n">
        <v>0.0475594493116396</v>
      </c>
      <c r="I232" s="0" t="n">
        <v>0.626685262668526</v>
      </c>
      <c r="J232" s="0" t="n">
        <v>0.209442183947973</v>
      </c>
      <c r="K232" s="0" t="n">
        <v>0.667715717403612</v>
      </c>
      <c r="L232" s="1" t="b">
        <f aca="false">FALSE()</f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11.6880994651717</v>
      </c>
      <c r="S232" s="0" t="n">
        <v>3.63218390804598</v>
      </c>
      <c r="T232" s="0" t="n">
        <v>0.298850574712646</v>
      </c>
      <c r="U232" s="0" t="n">
        <v>0.588563458856346</v>
      </c>
      <c r="V232" s="0" t="n">
        <v>0.548117154811716</v>
      </c>
      <c r="W232" s="0" t="n">
        <v>0.743375174337517</v>
      </c>
      <c r="X232" s="0" t="n">
        <v>0.226800809737684</v>
      </c>
      <c r="Y232" s="0" t="n">
        <v>3.91828976511932</v>
      </c>
      <c r="Z232" s="0" t="n">
        <v>0.209442183947973</v>
      </c>
      <c r="AA232" s="0" t="n">
        <v>2.77555756156289E-017</v>
      </c>
    </row>
    <row r="233" customFormat="false" ht="15" hidden="false" customHeight="false" outlineLevel="0" collapsed="false">
      <c r="A233" s="0" t="s">
        <v>267</v>
      </c>
      <c r="B233" s="0" t="s">
        <v>3013</v>
      </c>
      <c r="C233" s="0" t="s">
        <v>3033</v>
      </c>
      <c r="D233" s="0" t="n">
        <v>16.2678285077025</v>
      </c>
      <c r="E233" s="0" t="n">
        <v>0.263330154678355</v>
      </c>
      <c r="F233" s="0" t="n">
        <v>5.75005535445138</v>
      </c>
      <c r="G233" s="0" t="n">
        <v>0.357947434292866</v>
      </c>
      <c r="H233" s="0" t="n">
        <v>0.23279098873592</v>
      </c>
      <c r="I233" s="0" t="n">
        <v>0.555090655509065</v>
      </c>
      <c r="J233" s="0" t="n">
        <v>0.347313500313328</v>
      </c>
      <c r="K233" s="0" t="n">
        <v>0.667715717403612</v>
      </c>
      <c r="L233" s="1" t="b">
        <f aca="false">FALSE()</f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15.0161928348123</v>
      </c>
      <c r="S233" s="0" t="n">
        <v>3.60665844636253</v>
      </c>
      <c r="T233" s="0" t="n">
        <v>0.215782983970403</v>
      </c>
      <c r="U233" s="0" t="n">
        <v>0.705718270571827</v>
      </c>
      <c r="V233" s="0" t="n">
        <v>0.542538354253836</v>
      </c>
      <c r="W233" s="0" t="n">
        <v>0.417015341701534</v>
      </c>
      <c r="X233" s="0" t="n">
        <v>0.263330154678355</v>
      </c>
      <c r="Y233" s="0" t="n">
        <v>5.75005535445138</v>
      </c>
      <c r="Z233" s="0" t="n">
        <v>0.347313500313328</v>
      </c>
      <c r="AA233" s="0" t="n">
        <v>0</v>
      </c>
    </row>
    <row r="234" customFormat="false" ht="15" hidden="false" customHeight="false" outlineLevel="0" collapsed="false">
      <c r="A234" s="0" t="s">
        <v>268</v>
      </c>
      <c r="B234" s="0" t="s">
        <v>3013</v>
      </c>
      <c r="C234" s="0" t="s">
        <v>3033</v>
      </c>
      <c r="D234" s="0" t="n">
        <v>10.4776126835892</v>
      </c>
      <c r="E234" s="0" t="n">
        <v>0.259472969030807</v>
      </c>
      <c r="F234" s="0" t="n">
        <v>6.44908918081119</v>
      </c>
      <c r="G234" s="0" t="n">
        <v>0.329161451814769</v>
      </c>
      <c r="H234" s="0" t="n">
        <v>0.334167709637046</v>
      </c>
      <c r="I234" s="0" t="n">
        <v>0.680148768014877</v>
      </c>
      <c r="J234" s="0" t="n">
        <v>0.401361418183701</v>
      </c>
      <c r="K234" s="0" t="n">
        <v>0.667715717403612</v>
      </c>
      <c r="L234" s="1" t="b">
        <f aca="false">FALSE()</f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13.648797270241</v>
      </c>
      <c r="S234" s="0" t="n">
        <v>4.14698162729659</v>
      </c>
      <c r="T234" s="0" t="n">
        <v>0.314960629921264</v>
      </c>
      <c r="U234" s="0" t="n">
        <v>0.665271966527197</v>
      </c>
      <c r="V234" s="0" t="n">
        <v>0.610878661087866</v>
      </c>
      <c r="W234" s="0" t="n">
        <v>0.764295676429568</v>
      </c>
      <c r="X234" s="0" t="n">
        <v>0.259472969030807</v>
      </c>
      <c r="Y234" s="0" t="n">
        <v>6.44908918081119</v>
      </c>
      <c r="Z234" s="0" t="n">
        <v>0.401361418183701</v>
      </c>
      <c r="AA234" s="0" t="n">
        <v>0</v>
      </c>
    </row>
    <row r="235" customFormat="false" ht="15" hidden="false" customHeight="false" outlineLevel="0" collapsed="false">
      <c r="A235" s="0" t="s">
        <v>269</v>
      </c>
      <c r="B235" s="0" t="s">
        <v>3013</v>
      </c>
      <c r="C235" s="0" t="s">
        <v>3033</v>
      </c>
      <c r="D235" s="0" t="n">
        <v>35.8180649059779</v>
      </c>
      <c r="E235" s="0" t="n">
        <v>0.278442748836248</v>
      </c>
      <c r="F235" s="0" t="n">
        <v>9.10928023952476</v>
      </c>
      <c r="G235" s="0" t="n">
        <v>0.456821026282854</v>
      </c>
      <c r="H235" s="0" t="n">
        <v>0.690863579474343</v>
      </c>
      <c r="I235" s="0" t="n">
        <v>0.319851231985123</v>
      </c>
      <c r="J235" s="0" t="n">
        <v>0.523044088699903</v>
      </c>
      <c r="K235" s="0" t="n">
        <v>0.667715717403612</v>
      </c>
      <c r="L235" s="1" t="b">
        <f aca="false">FALSE()</f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10.051670101928</v>
      </c>
      <c r="S235" s="0" t="n">
        <v>2.31603153745073</v>
      </c>
      <c r="T235" s="0" t="n">
        <v>0.147831800262808</v>
      </c>
      <c r="U235" s="0" t="n">
        <v>0.510460251046025</v>
      </c>
      <c r="V235" s="0" t="n">
        <v>0.344490934449094</v>
      </c>
      <c r="W235" s="0" t="n">
        <v>0.104602510460251</v>
      </c>
      <c r="X235" s="0" t="n">
        <v>0.278442748836248</v>
      </c>
      <c r="Y235" s="0" t="n">
        <v>9.10928023952476</v>
      </c>
      <c r="Z235" s="0" t="n">
        <v>0.523044088699903</v>
      </c>
      <c r="AA235" s="0" t="n">
        <v>0</v>
      </c>
    </row>
    <row r="236" customFormat="false" ht="15" hidden="false" customHeight="false" outlineLevel="0" collapsed="false">
      <c r="A236" s="0" t="s">
        <v>270</v>
      </c>
      <c r="B236" s="0" t="s">
        <v>3013</v>
      </c>
      <c r="C236" s="0" t="s">
        <v>3033</v>
      </c>
      <c r="D236" s="0" t="n">
        <v>41.1697282050548</v>
      </c>
      <c r="E236" s="0" t="n">
        <v>0.264646672626082</v>
      </c>
      <c r="F236" s="0" t="n">
        <v>5.44856100647209</v>
      </c>
      <c r="G236" s="0" t="n">
        <v>0.365456821026283</v>
      </c>
      <c r="H236" s="0" t="n">
        <v>0.191489361702128</v>
      </c>
      <c r="I236" s="0" t="n">
        <v>0.579730357973036</v>
      </c>
      <c r="J236" s="0" t="n">
        <v>0.338724544685971</v>
      </c>
      <c r="K236" s="0" t="n">
        <v>0.667715717403612</v>
      </c>
      <c r="L236" s="1" t="b">
        <f aca="false">FALSE()</f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9.91364985664555</v>
      </c>
      <c r="S236" s="0" t="n">
        <v>4.26489498499785</v>
      </c>
      <c r="T236" s="0" t="n">
        <v>0.257179597085295</v>
      </c>
      <c r="U236" s="0" t="n">
        <v>0.500697350069735</v>
      </c>
      <c r="V236" s="0" t="n">
        <v>0.623430962343096</v>
      </c>
      <c r="W236" s="0" t="n">
        <v>0.615062761506276</v>
      </c>
      <c r="X236" s="0" t="n">
        <v>0.264646672626082</v>
      </c>
      <c r="Y236" s="0" t="n">
        <v>5.44856100647209</v>
      </c>
      <c r="Z236" s="0" t="n">
        <v>0.338724544685971</v>
      </c>
      <c r="AA236" s="0" t="n">
        <v>-5.55111512312578E-017</v>
      </c>
    </row>
    <row r="237" customFormat="false" ht="15" hidden="false" customHeight="false" outlineLevel="0" collapsed="false">
      <c r="A237" s="0" t="s">
        <v>271</v>
      </c>
      <c r="B237" s="0" t="s">
        <v>33</v>
      </c>
      <c r="C237" s="0" t="s">
        <v>33</v>
      </c>
      <c r="D237" s="0" t="n">
        <v>-44.5736235519872</v>
      </c>
      <c r="E237" s="0" t="n">
        <v>0.332321149519401</v>
      </c>
      <c r="F237" s="0" t="n">
        <v>9.13140160514763</v>
      </c>
      <c r="G237" s="0" t="n">
        <v>0.745932415519399</v>
      </c>
      <c r="H237" s="0" t="n">
        <v>0.69712140175219</v>
      </c>
      <c r="I237" s="0" t="n">
        <v>0.5</v>
      </c>
      <c r="J237" s="0" t="n">
        <v>0.677221526908636</v>
      </c>
      <c r="K237" s="0" t="n">
        <v>0.667715717403612</v>
      </c>
      <c r="L237" s="1" t="b">
        <f aca="false">TRUE()</f>
        <v>1</v>
      </c>
      <c r="M237" s="0" t="s">
        <v>3035</v>
      </c>
      <c r="N237" s="0" t="n">
        <v>0</v>
      </c>
      <c r="O237" s="0" t="n">
        <v>0</v>
      </c>
      <c r="P237" s="0" t="n">
        <v>1</v>
      </c>
      <c r="Q237" s="0" t="n">
        <v>44.5736235519872</v>
      </c>
      <c r="U237" s="0" t="n">
        <v>0.5</v>
      </c>
      <c r="V237" s="0" t="n">
        <v>0.5</v>
      </c>
      <c r="W237" s="0" t="n">
        <v>0.5</v>
      </c>
      <c r="X237" s="0" t="n">
        <v>0.332321149519401</v>
      </c>
      <c r="Y237" s="0" t="n">
        <v>9.13140160514764</v>
      </c>
      <c r="Z237" s="0" t="n">
        <v>0.677221526908636</v>
      </c>
      <c r="AA237" s="0" t="n">
        <v>0</v>
      </c>
    </row>
    <row r="238" customFormat="false" ht="15" hidden="false" customHeight="false" outlineLevel="0" collapsed="false">
      <c r="A238" s="0" t="s">
        <v>272</v>
      </c>
      <c r="B238" s="0" t="s">
        <v>3013</v>
      </c>
      <c r="C238" s="0" t="s">
        <v>3038</v>
      </c>
      <c r="D238" s="0" t="n">
        <v>49.8110023751307</v>
      </c>
      <c r="E238" s="0" t="n">
        <v>0.161529217076815</v>
      </c>
      <c r="F238" s="0" t="n">
        <v>0.220532076032042</v>
      </c>
      <c r="G238" s="0" t="n">
        <v>0.0375469336670839</v>
      </c>
      <c r="H238" s="0" t="n">
        <v>0.00375469336670839</v>
      </c>
      <c r="I238" s="0" t="n">
        <v>0.860529986052999</v>
      </c>
      <c r="J238" s="0" t="n">
        <v>0.188626648024117</v>
      </c>
      <c r="K238" s="0" t="n">
        <v>0.667715717403612</v>
      </c>
      <c r="L238" s="1" t="b">
        <f aca="false">FALSE()</f>
        <v>0</v>
      </c>
      <c r="N238" s="0" t="n">
        <v>44.5736235519871</v>
      </c>
      <c r="O238" s="0" t="n">
        <v>1</v>
      </c>
      <c r="P238" s="0" t="n">
        <v>0</v>
      </c>
      <c r="Q238" s="0" t="n">
        <v>0</v>
      </c>
      <c r="R238" s="0" t="n">
        <v>20.2129757444283</v>
      </c>
      <c r="S238" s="0" t="n">
        <v>22.9822161422709</v>
      </c>
      <c r="T238" s="0" t="n">
        <v>0.341997264021888</v>
      </c>
      <c r="U238" s="0" t="n">
        <v>0.792189679218968</v>
      </c>
      <c r="V238" s="0" t="n">
        <v>0.9721059972106</v>
      </c>
      <c r="W238" s="0" t="n">
        <v>0.817294281729428</v>
      </c>
      <c r="X238" s="0" t="n">
        <v>0.161529217076815</v>
      </c>
      <c r="Y238" s="0" t="n">
        <v>0.220532076032042</v>
      </c>
      <c r="Z238" s="0" t="n">
        <v>0.188626648024117</v>
      </c>
      <c r="AA238" s="0" t="n">
        <v>0</v>
      </c>
    </row>
    <row r="239" customFormat="false" ht="15" hidden="false" customHeight="false" outlineLevel="0" collapsed="false">
      <c r="A239" s="0" t="s">
        <v>273</v>
      </c>
      <c r="B239" s="0" t="s">
        <v>3013</v>
      </c>
      <c r="C239" s="0" t="s">
        <v>3036</v>
      </c>
      <c r="D239" s="0" t="n">
        <v>11.9762117271706</v>
      </c>
      <c r="E239" s="0" t="n">
        <v>0.28038900133518</v>
      </c>
      <c r="F239" s="0" t="n">
        <v>7.15347710259808</v>
      </c>
      <c r="G239" s="0" t="n">
        <v>0.463078848560701</v>
      </c>
      <c r="H239" s="0" t="n">
        <v>0.434292866082603</v>
      </c>
      <c r="I239" s="0" t="n">
        <v>0.598326359832636</v>
      </c>
      <c r="J239" s="0" t="n">
        <v>0.478613957823849</v>
      </c>
      <c r="K239" s="0" t="n">
        <v>0.667715717403612</v>
      </c>
      <c r="L239" s="1" t="b">
        <f aca="false">FALSE()</f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12.6904674273113</v>
      </c>
      <c r="S239" s="0" t="n">
        <v>5.93869731800768</v>
      </c>
      <c r="T239" s="0" t="n">
        <v>0.218938149972636</v>
      </c>
      <c r="U239" s="0" t="n">
        <v>0.622036262203626</v>
      </c>
      <c r="V239" s="0" t="n">
        <v>0.741980474198048</v>
      </c>
      <c r="W239" s="0" t="n">
        <v>0.430962343096234</v>
      </c>
      <c r="X239" s="0" t="n">
        <v>0.28038900133518</v>
      </c>
      <c r="Y239" s="0" t="n">
        <v>7.15347710259808</v>
      </c>
      <c r="Z239" s="0" t="n">
        <v>0.478613957823849</v>
      </c>
      <c r="AA239" s="0" t="n">
        <v>-5.55111512312578E-017</v>
      </c>
    </row>
    <row r="240" customFormat="false" ht="15" hidden="false" customHeight="false" outlineLevel="0" collapsed="false">
      <c r="A240" s="0" t="s">
        <v>274</v>
      </c>
      <c r="B240" s="0" t="s">
        <v>33</v>
      </c>
      <c r="C240" s="0" t="s">
        <v>33</v>
      </c>
      <c r="D240" s="0" t="n">
        <v>-39.2451647936619</v>
      </c>
      <c r="E240" s="0" t="n">
        <v>0.377943411788898</v>
      </c>
      <c r="F240" s="0" t="n">
        <v>11.1927243666049</v>
      </c>
      <c r="G240" s="0" t="n">
        <v>0.894868585732165</v>
      </c>
      <c r="H240" s="0" t="n">
        <v>0.891113892365457</v>
      </c>
      <c r="I240" s="0" t="n">
        <v>0.5</v>
      </c>
      <c r="J240" s="0" t="n">
        <v>0.814392991239049</v>
      </c>
      <c r="K240" s="0" t="n">
        <v>0.667715717403612</v>
      </c>
      <c r="L240" s="1" t="b">
        <f aca="false">TRUE()</f>
        <v>1</v>
      </c>
      <c r="M240" s="0" t="s">
        <v>3035</v>
      </c>
      <c r="N240" s="0" t="n">
        <v>0</v>
      </c>
      <c r="O240" s="0" t="n">
        <v>0</v>
      </c>
      <c r="P240" s="0" t="n">
        <v>1</v>
      </c>
      <c r="Q240" s="0" t="n">
        <v>39.2451647936619</v>
      </c>
      <c r="U240" s="0" t="n">
        <v>0.5</v>
      </c>
      <c r="V240" s="0" t="n">
        <v>0.5</v>
      </c>
      <c r="W240" s="0" t="n">
        <v>0.5</v>
      </c>
      <c r="X240" s="0" t="n">
        <v>0.377943411788898</v>
      </c>
      <c r="Y240" s="0" t="n">
        <v>11.1927243666049</v>
      </c>
      <c r="Z240" s="0" t="n">
        <v>0.814392991239049</v>
      </c>
      <c r="AA240" s="0" t="n">
        <v>0</v>
      </c>
    </row>
    <row r="241" customFormat="false" ht="15" hidden="false" customHeight="false" outlineLevel="0" collapsed="false">
      <c r="A241" s="0" t="s">
        <v>275</v>
      </c>
      <c r="B241" s="0" t="s">
        <v>3013</v>
      </c>
      <c r="C241" s="0" t="s">
        <v>3033</v>
      </c>
      <c r="D241" s="0" t="n">
        <v>18.6822609880089</v>
      </c>
      <c r="E241" s="0" t="n">
        <v>0.272231289292677</v>
      </c>
      <c r="F241" s="0" t="n">
        <v>5.56381507385548</v>
      </c>
      <c r="G241" s="0" t="n">
        <v>0.405506883604506</v>
      </c>
      <c r="H241" s="0" t="n">
        <v>0.21026282853567</v>
      </c>
      <c r="I241" s="0" t="n">
        <v>0.194793119479312</v>
      </c>
      <c r="J241" s="0" t="n">
        <v>0.285266508751933</v>
      </c>
      <c r="K241" s="0" t="n">
        <v>0.667715717403612</v>
      </c>
      <c r="L241" s="1" t="b">
        <f aca="false">FALSE()</f>
        <v>0</v>
      </c>
      <c r="N241" s="0" t="n">
        <v>39.2451647936618</v>
      </c>
      <c r="O241" s="0" t="n">
        <v>1</v>
      </c>
      <c r="P241" s="0" t="n">
        <v>0</v>
      </c>
      <c r="Q241" s="0" t="n">
        <v>0</v>
      </c>
      <c r="R241" s="0" t="n">
        <v>4.50069833416088</v>
      </c>
      <c r="S241" s="0" t="n">
        <v>2.69619643716899</v>
      </c>
      <c r="T241" s="0" t="n">
        <v>0.12839030653185</v>
      </c>
      <c r="U241" s="0" t="n">
        <v>0.099023709902371</v>
      </c>
      <c r="V241" s="0" t="n">
        <v>0.425383542538354</v>
      </c>
      <c r="W241" s="0" t="n">
        <v>0.0599721059972106</v>
      </c>
      <c r="X241" s="0" t="n">
        <v>0.272231289292677</v>
      </c>
      <c r="Y241" s="0" t="n">
        <v>5.56381507385548</v>
      </c>
      <c r="Z241" s="0" t="n">
        <v>0.285266508751933</v>
      </c>
      <c r="AA241" s="0" t="n">
        <v>0</v>
      </c>
    </row>
    <row r="242" customFormat="false" ht="15" hidden="false" customHeight="false" outlineLevel="0" collapsed="false">
      <c r="A242" s="0" t="s">
        <v>276</v>
      </c>
      <c r="B242" s="0" t="s">
        <v>3013</v>
      </c>
      <c r="C242" s="0" t="s">
        <v>3034</v>
      </c>
      <c r="D242" s="0" t="n">
        <v>-7.42370198955118</v>
      </c>
      <c r="E242" s="0" t="n">
        <v>0.407852396330846</v>
      </c>
      <c r="F242" s="0" t="n">
        <v>9.3776439058089</v>
      </c>
      <c r="G242" s="0" t="n">
        <v>0.95369211514393</v>
      </c>
      <c r="H242" s="0" t="n">
        <v>0.719649561952441</v>
      </c>
      <c r="I242" s="0" t="n">
        <v>0.297071129707113</v>
      </c>
      <c r="J242" s="0" t="n">
        <v>0.728750896779971</v>
      </c>
      <c r="K242" s="0" t="n">
        <v>0.667715717403612</v>
      </c>
      <c r="L242" s="1" t="b">
        <f aca="false">TRUE()</f>
        <v>1</v>
      </c>
      <c r="M242" s="0" t="s">
        <v>3035</v>
      </c>
      <c r="N242" s="0" t="n">
        <v>20.5629038056532</v>
      </c>
      <c r="O242" s="0" t="n">
        <v>0</v>
      </c>
      <c r="P242" s="0" t="n">
        <v>1</v>
      </c>
      <c r="Q242" s="0" t="n">
        <v>7.42370198955118</v>
      </c>
      <c r="R242" s="0" t="n">
        <v>9.61396679347623</v>
      </c>
      <c r="S242" s="0" t="n">
        <v>1.21868652674339</v>
      </c>
      <c r="T242" s="0" t="n">
        <v>0.203114421123888</v>
      </c>
      <c r="U242" s="0" t="n">
        <v>0.485355648535565</v>
      </c>
      <c r="V242" s="0" t="n">
        <v>0.0739191073919107</v>
      </c>
      <c r="W242" s="0" t="n">
        <v>0.331938633193863</v>
      </c>
      <c r="X242" s="0" t="n">
        <v>0.407852396330846</v>
      </c>
      <c r="Y242" s="0" t="n">
        <v>9.37764390580889</v>
      </c>
      <c r="Z242" s="0" t="n">
        <v>0.728750896779971</v>
      </c>
      <c r="AA242" s="0" t="n">
        <v>0</v>
      </c>
    </row>
    <row r="243" customFormat="false" ht="15" hidden="false" customHeight="false" outlineLevel="0" collapsed="false">
      <c r="A243" s="0" t="s">
        <v>277</v>
      </c>
      <c r="B243" s="0" t="s">
        <v>3013</v>
      </c>
      <c r="C243" s="0" t="s">
        <v>3033</v>
      </c>
      <c r="D243" s="0" t="n">
        <v>-0.418183966816062</v>
      </c>
      <c r="E243" s="0" t="n">
        <v>0.273261464985416</v>
      </c>
      <c r="F243" s="0" t="n">
        <v>5.48239784070282</v>
      </c>
      <c r="G243" s="0" t="n">
        <v>0.410513141426784</v>
      </c>
      <c r="H243" s="0" t="n">
        <v>0.195244055068836</v>
      </c>
      <c r="I243" s="0" t="n">
        <v>0.536029753602975</v>
      </c>
      <c r="J243" s="0" t="n">
        <v>0.349508829318843</v>
      </c>
      <c r="K243" s="0" t="n">
        <v>0.667715717403612</v>
      </c>
      <c r="L243" s="1" t="b">
        <f aca="false">FALSE()</f>
        <v>0</v>
      </c>
      <c r="N243" s="0" t="n">
        <v>27.9866057952045</v>
      </c>
      <c r="O243" s="0" t="n">
        <v>1</v>
      </c>
      <c r="P243" s="0" t="n">
        <v>1</v>
      </c>
      <c r="Q243" s="0" t="n">
        <v>0.418183966816062</v>
      </c>
      <c r="R243" s="0" t="n">
        <v>11.3686640940678</v>
      </c>
      <c r="S243" s="0" t="n">
        <v>3.07270233196159</v>
      </c>
      <c r="T243" s="0" t="n">
        <v>0.246913580246915</v>
      </c>
      <c r="U243" s="0" t="n">
        <v>0.562064156206416</v>
      </c>
      <c r="V243" s="0" t="n">
        <v>0.472803347280335</v>
      </c>
      <c r="W243" s="0" t="n">
        <v>0.573221757322176</v>
      </c>
      <c r="X243" s="0" t="n">
        <v>0.273261464985416</v>
      </c>
      <c r="Y243" s="0" t="n">
        <v>5.48239784070282</v>
      </c>
      <c r="Z243" s="0" t="n">
        <v>0.349508829318843</v>
      </c>
      <c r="AA243" s="0" t="n">
        <v>-5.55111512312578E-017</v>
      </c>
    </row>
    <row r="244" customFormat="false" ht="15" hidden="false" customHeight="false" outlineLevel="0" collapsed="false">
      <c r="A244" s="0" t="s">
        <v>278</v>
      </c>
      <c r="B244" s="0" t="s">
        <v>33</v>
      </c>
      <c r="C244" s="0" t="s">
        <v>33</v>
      </c>
      <c r="D244" s="0" t="n">
        <v>14.7236678116191</v>
      </c>
      <c r="E244" s="0" t="n">
        <v>0.385960005017716</v>
      </c>
      <c r="F244" s="0" t="n">
        <v>12.3951601503968</v>
      </c>
      <c r="G244" s="0" t="n">
        <v>0.916145181476846</v>
      </c>
      <c r="H244" s="0" t="n">
        <v>0.939924906132666</v>
      </c>
      <c r="I244" s="0" t="n">
        <v>0.5</v>
      </c>
      <c r="J244" s="0" t="n">
        <v>0.842428035043805</v>
      </c>
      <c r="K244" s="0" t="n">
        <v>0.667715717403612</v>
      </c>
      <c r="L244" s="1" t="b">
        <f aca="false">TRUE()</f>
        <v>1</v>
      </c>
      <c r="M244" s="0" t="s">
        <v>3035</v>
      </c>
      <c r="N244" s="0" t="n">
        <v>28.4047897620208</v>
      </c>
      <c r="O244" s="0" t="n">
        <v>2</v>
      </c>
      <c r="P244" s="0" t="n">
        <v>0</v>
      </c>
      <c r="Q244" s="0" t="n">
        <v>0</v>
      </c>
      <c r="U244" s="0" t="n">
        <v>0.5</v>
      </c>
      <c r="V244" s="0" t="n">
        <v>0.5</v>
      </c>
      <c r="W244" s="0" t="n">
        <v>0.5</v>
      </c>
      <c r="X244" s="0" t="n">
        <v>0.385960005017716</v>
      </c>
      <c r="Y244" s="0" t="n">
        <v>12.3951601503968</v>
      </c>
      <c r="Z244" s="0" t="n">
        <v>0.842428035043805</v>
      </c>
      <c r="AA244" s="0" t="n">
        <v>0</v>
      </c>
    </row>
    <row r="245" customFormat="false" ht="15" hidden="false" customHeight="false" outlineLevel="0" collapsed="false">
      <c r="A245" s="0" t="s">
        <v>279</v>
      </c>
      <c r="B245" s="0" t="s">
        <v>3013</v>
      </c>
      <c r="C245" s="0" t="s">
        <v>3034</v>
      </c>
      <c r="D245" s="0" t="n">
        <v>30.9982158249793</v>
      </c>
      <c r="E245" s="0" t="n">
        <v>0.370755715708756</v>
      </c>
      <c r="F245" s="0" t="n">
        <v>9.12596592389798</v>
      </c>
      <c r="G245" s="0" t="n">
        <v>0.877346683354193</v>
      </c>
      <c r="H245" s="0" t="n">
        <v>0.693366708385482</v>
      </c>
      <c r="I245" s="0" t="n">
        <v>0.385867038586704</v>
      </c>
      <c r="J245" s="0" t="n">
        <v>0.705458764413211</v>
      </c>
      <c r="K245" s="0" t="n">
        <v>0.667715717403612</v>
      </c>
      <c r="L245" s="1" t="b">
        <f aca="false">TRUE()</f>
        <v>1</v>
      </c>
      <c r="M245" s="0" t="s">
        <v>3035</v>
      </c>
      <c r="N245" s="0" t="n">
        <v>13.6811219504016</v>
      </c>
      <c r="O245" s="0" t="n">
        <v>0</v>
      </c>
      <c r="P245" s="0" t="n">
        <v>0</v>
      </c>
      <c r="Q245" s="0" t="n">
        <v>0</v>
      </c>
      <c r="R245" s="0" t="n">
        <v>15.5487625653993</v>
      </c>
      <c r="S245" s="0" t="n">
        <v>1.66666666666667</v>
      </c>
      <c r="T245" s="0" t="n">
        <v>0.190972222222226</v>
      </c>
      <c r="U245" s="0" t="n">
        <v>0.718270571827057</v>
      </c>
      <c r="V245" s="0" t="n">
        <v>0.178521617852162</v>
      </c>
      <c r="W245" s="0" t="n">
        <v>0.260808926080893</v>
      </c>
      <c r="X245" s="0" t="n">
        <v>0.370755715708756</v>
      </c>
      <c r="Y245" s="0" t="n">
        <v>9.12596592389798</v>
      </c>
      <c r="Z245" s="0" t="n">
        <v>0.705458764413211</v>
      </c>
      <c r="AA245" s="0" t="n">
        <v>0</v>
      </c>
    </row>
    <row r="246" customFormat="false" ht="15" hidden="false" customHeight="false" outlineLevel="0" collapsed="false">
      <c r="A246" s="0" t="s">
        <v>280</v>
      </c>
      <c r="B246" s="0" t="s">
        <v>33</v>
      </c>
      <c r="C246" s="0" t="s">
        <v>33</v>
      </c>
      <c r="D246" s="0" t="n">
        <v>-40.8379259502177</v>
      </c>
      <c r="E246" s="0" t="n">
        <v>0.400846087498022</v>
      </c>
      <c r="F246" s="0" t="n">
        <v>13.2287165308137</v>
      </c>
      <c r="G246" s="0" t="n">
        <v>0.947434292866083</v>
      </c>
      <c r="H246" s="0" t="n">
        <v>0.958698372966208</v>
      </c>
      <c r="I246" s="0" t="n">
        <v>0.5</v>
      </c>
      <c r="J246" s="0" t="n">
        <v>0.862453066332916</v>
      </c>
      <c r="K246" s="0" t="n">
        <v>0.667715717403612</v>
      </c>
      <c r="L246" s="1" t="b">
        <f aca="false">TRUE()</f>
        <v>1</v>
      </c>
      <c r="M246" s="0" t="s">
        <v>3035</v>
      </c>
      <c r="N246" s="0" t="n">
        <v>0</v>
      </c>
      <c r="O246" s="0" t="n">
        <v>0</v>
      </c>
      <c r="P246" s="0" t="n">
        <v>1</v>
      </c>
      <c r="Q246" s="0" t="n">
        <v>40.8379259502177</v>
      </c>
      <c r="U246" s="0" t="n">
        <v>0.5</v>
      </c>
      <c r="V246" s="0" t="n">
        <v>0.5</v>
      </c>
      <c r="W246" s="0" t="n">
        <v>0.5</v>
      </c>
      <c r="X246" s="0" t="n">
        <v>0.400846087498022</v>
      </c>
      <c r="Y246" s="0" t="n">
        <v>13.2287165308137</v>
      </c>
      <c r="Z246" s="0" t="n">
        <v>0.862453066332916</v>
      </c>
      <c r="AA246" s="0" t="n">
        <v>0</v>
      </c>
    </row>
    <row r="247" customFormat="false" ht="15" hidden="false" customHeight="false" outlineLevel="0" collapsed="false">
      <c r="A247" s="0" t="s">
        <v>281</v>
      </c>
      <c r="B247" s="0" t="s">
        <v>3013</v>
      </c>
      <c r="C247" s="0" t="s">
        <v>3036</v>
      </c>
      <c r="D247" s="0" t="n">
        <v>-14.6939741147814</v>
      </c>
      <c r="E247" s="0" t="n">
        <v>0.322683506861071</v>
      </c>
      <c r="F247" s="0" t="n">
        <v>9.22108314834875</v>
      </c>
      <c r="G247" s="0" t="n">
        <v>0.685857321652065</v>
      </c>
      <c r="H247" s="0" t="n">
        <v>0.707133917396746</v>
      </c>
      <c r="I247" s="0" t="n">
        <v>0.391910739191074</v>
      </c>
      <c r="J247" s="0" t="n">
        <v>0.635578643457739</v>
      </c>
      <c r="K247" s="0" t="n">
        <v>0.667715717403612</v>
      </c>
      <c r="L247" s="1" t="b">
        <f aca="false">FALSE()</f>
        <v>0</v>
      </c>
      <c r="N247" s="0" t="n">
        <v>40.8379259502176</v>
      </c>
      <c r="O247" s="0" t="n">
        <v>1</v>
      </c>
      <c r="P247" s="0" t="n">
        <v>1</v>
      </c>
      <c r="Q247" s="0" t="n">
        <v>14.6939741147814</v>
      </c>
      <c r="R247" s="0" t="n">
        <v>5.85363534525962</v>
      </c>
      <c r="S247" s="0" t="n">
        <v>4.33725172274018</v>
      </c>
      <c r="T247" s="0" t="n">
        <v>0.202675314146737</v>
      </c>
      <c r="U247" s="0" t="n">
        <v>0.211994421199442</v>
      </c>
      <c r="V247" s="0" t="n">
        <v>0.633193863319386</v>
      </c>
      <c r="W247" s="0" t="n">
        <v>0.330543933054393</v>
      </c>
      <c r="X247" s="0" t="n">
        <v>0.322683506861071</v>
      </c>
      <c r="Y247" s="0" t="n">
        <v>9.22108314834875</v>
      </c>
      <c r="Z247" s="0" t="n">
        <v>0.635578643457739</v>
      </c>
      <c r="AA247" s="0" t="n">
        <v>0</v>
      </c>
    </row>
    <row r="248" customFormat="false" ht="15" hidden="false" customHeight="false" outlineLevel="0" collapsed="false">
      <c r="A248" s="0" t="s">
        <v>282</v>
      </c>
      <c r="B248" s="0" t="s">
        <v>3013</v>
      </c>
      <c r="C248" s="0" t="s">
        <v>3036</v>
      </c>
      <c r="D248" s="0" t="n">
        <v>33.0290418024343</v>
      </c>
      <c r="E248" s="0" t="n">
        <v>0.247304909900779</v>
      </c>
      <c r="F248" s="0" t="n">
        <v>4.07443984585002</v>
      </c>
      <c r="G248" s="0" t="n">
        <v>0.251564455569462</v>
      </c>
      <c r="H248" s="0" t="n">
        <v>0.0575719649561952</v>
      </c>
      <c r="I248" s="0" t="n">
        <v>0.531380753138075</v>
      </c>
      <c r="J248" s="0" t="n">
        <v>0.229930718837878</v>
      </c>
      <c r="K248" s="0" t="n">
        <v>0.667715717403612</v>
      </c>
      <c r="L248" s="1" t="b">
        <f aca="false">FALSE()</f>
        <v>0</v>
      </c>
      <c r="N248" s="0" t="n">
        <v>55.5319000649988</v>
      </c>
      <c r="O248" s="0" t="n">
        <v>2</v>
      </c>
      <c r="P248" s="0" t="n">
        <v>0</v>
      </c>
      <c r="Q248" s="0" t="n">
        <v>0</v>
      </c>
      <c r="R248" s="0" t="n">
        <v>18.8079365224535</v>
      </c>
      <c r="S248" s="0" t="n">
        <v>4.24474187380498</v>
      </c>
      <c r="T248" s="0" t="n">
        <v>0.178457616316122</v>
      </c>
      <c r="U248" s="0" t="n">
        <v>0.774058577405858</v>
      </c>
      <c r="V248" s="0" t="n">
        <v>0.617852161785216</v>
      </c>
      <c r="W248" s="0" t="n">
        <v>0.202231520223152</v>
      </c>
      <c r="X248" s="0" t="n">
        <v>0.247304909900779</v>
      </c>
      <c r="Y248" s="0" t="n">
        <v>4.07443984585002</v>
      </c>
      <c r="Z248" s="0" t="n">
        <v>0.229930718837878</v>
      </c>
      <c r="AA248" s="0" t="n">
        <v>0</v>
      </c>
    </row>
    <row r="249" customFormat="false" ht="15" hidden="false" customHeight="false" outlineLevel="0" collapsed="false">
      <c r="A249" s="0" t="s">
        <v>283</v>
      </c>
      <c r="B249" s="0" t="s">
        <v>3013</v>
      </c>
      <c r="C249" s="0" t="s">
        <v>3038</v>
      </c>
      <c r="D249" s="0" t="n">
        <v>34.4007835016361</v>
      </c>
      <c r="E249" s="0" t="n">
        <v>0.175596451062865</v>
      </c>
      <c r="F249" s="0" t="n">
        <v>4.36183695202856</v>
      </c>
      <c r="G249" s="0" t="n">
        <v>0.0538172715894869</v>
      </c>
      <c r="H249" s="0" t="n">
        <v>0.0775969962453066</v>
      </c>
      <c r="I249" s="0" t="n">
        <v>0.774523477452348</v>
      </c>
      <c r="J249" s="0" t="n">
        <v>0.207470402624387</v>
      </c>
      <c r="K249" s="0" t="n">
        <v>0.667715717403612</v>
      </c>
      <c r="L249" s="1" t="b">
        <f aca="false">FALSE()</f>
        <v>0</v>
      </c>
      <c r="N249" s="0" t="n">
        <v>22.5028582625646</v>
      </c>
      <c r="O249" s="0" t="n">
        <v>0</v>
      </c>
      <c r="P249" s="0" t="n">
        <v>0</v>
      </c>
      <c r="Q249" s="0" t="n">
        <v>0</v>
      </c>
      <c r="R249" s="0" t="n">
        <v>52.99969057984</v>
      </c>
      <c r="S249" s="0" t="n">
        <v>8.51291184327693</v>
      </c>
      <c r="T249" s="0" t="n">
        <v>0.23152270703472</v>
      </c>
      <c r="U249" s="0" t="n">
        <v>0.97907949790795</v>
      </c>
      <c r="V249" s="0" t="n">
        <v>0.839609483960948</v>
      </c>
      <c r="W249" s="0" t="n">
        <v>0.504881450488145</v>
      </c>
      <c r="X249" s="0" t="n">
        <v>0.175596451062865</v>
      </c>
      <c r="Y249" s="0" t="n">
        <v>4.36183695202856</v>
      </c>
      <c r="Z249" s="0" t="n">
        <v>0.207470402624387</v>
      </c>
      <c r="AA249" s="0" t="n">
        <v>-2.77555756156289E-017</v>
      </c>
    </row>
    <row r="250" customFormat="false" ht="15" hidden="false" customHeight="false" outlineLevel="0" collapsed="false">
      <c r="A250" s="0" t="s">
        <v>284</v>
      </c>
      <c r="B250" s="0" t="s">
        <v>3013</v>
      </c>
      <c r="C250" s="0" t="s">
        <v>3038</v>
      </c>
      <c r="D250" s="0" t="n">
        <v>-42.67596761511</v>
      </c>
      <c r="E250" s="0" t="n">
        <v>0.195945523111541</v>
      </c>
      <c r="F250" s="0" t="n">
        <v>6.6695275676427</v>
      </c>
      <c r="G250" s="0" t="n">
        <v>0.0951188986232791</v>
      </c>
      <c r="H250" s="0" t="n">
        <v>0.3729662077597</v>
      </c>
      <c r="I250" s="0" t="n">
        <v>0.898186889818689</v>
      </c>
      <c r="J250" s="0" t="n">
        <v>0.366871420516929</v>
      </c>
      <c r="K250" s="0" t="n">
        <v>0.667715717403612</v>
      </c>
      <c r="L250" s="1" t="b">
        <f aca="false">FALSE()</f>
        <v>0</v>
      </c>
      <c r="N250" s="0" t="n">
        <v>0</v>
      </c>
      <c r="O250" s="0" t="n">
        <v>0</v>
      </c>
      <c r="P250" s="0" t="n">
        <v>1</v>
      </c>
      <c r="Q250" s="0" t="n">
        <v>42.67596761511</v>
      </c>
      <c r="R250" s="0" t="n">
        <v>31.4705819140857</v>
      </c>
      <c r="S250" s="0" t="n">
        <v>11.4996479699601</v>
      </c>
      <c r="T250" s="0" t="n">
        <v>0.39896737854964</v>
      </c>
      <c r="U250" s="0" t="n">
        <v>0.912133891213389</v>
      </c>
      <c r="V250" s="0" t="n">
        <v>0.898186889818689</v>
      </c>
      <c r="W250" s="0" t="n">
        <v>0.884239888423989</v>
      </c>
      <c r="X250" s="0" t="n">
        <v>0.195945523111541</v>
      </c>
      <c r="Y250" s="0" t="n">
        <v>6.6695275676427</v>
      </c>
      <c r="Z250" s="0" t="n">
        <v>0.366871420516929</v>
      </c>
      <c r="AA250" s="0" t="n">
        <v>5.55111512312578E-017</v>
      </c>
    </row>
    <row r="251" customFormat="false" ht="15" hidden="false" customHeight="false" outlineLevel="0" collapsed="false">
      <c r="A251" s="0" t="s">
        <v>285</v>
      </c>
      <c r="B251" s="0" t="s">
        <v>3013</v>
      </c>
      <c r="C251" s="0" t="s">
        <v>3036</v>
      </c>
      <c r="D251" s="0" t="n">
        <v>38.6214576642652</v>
      </c>
      <c r="E251" s="0" t="n">
        <v>0.29782571191363</v>
      </c>
      <c r="F251" s="0" t="n">
        <v>7.16648355464268</v>
      </c>
      <c r="G251" s="0" t="n">
        <v>0.556946182728411</v>
      </c>
      <c r="H251" s="0" t="n">
        <v>0.436795994993742</v>
      </c>
      <c r="I251" s="0" t="n">
        <v>0.679218967921897</v>
      </c>
      <c r="J251" s="0" t="n">
        <v>0.533340664673241</v>
      </c>
      <c r="K251" s="0" t="n">
        <v>0.667715717403612</v>
      </c>
      <c r="L251" s="1" t="b">
        <f aca="false">FALSE()</f>
        <v>0</v>
      </c>
      <c r="N251" s="0" t="n">
        <v>42.67596761511</v>
      </c>
      <c r="O251" s="0" t="n">
        <v>1</v>
      </c>
      <c r="P251" s="0" t="n">
        <v>0</v>
      </c>
      <c r="Q251" s="0" t="n">
        <v>0</v>
      </c>
      <c r="R251" s="0" t="n">
        <v>21.491564717492</v>
      </c>
      <c r="S251" s="0" t="n">
        <v>4.81927710843374</v>
      </c>
      <c r="T251" s="0" t="n">
        <v>0.240963855421683</v>
      </c>
      <c r="U251" s="0" t="n">
        <v>0.815899581589958</v>
      </c>
      <c r="V251" s="0" t="n">
        <v>0.675034867503487</v>
      </c>
      <c r="W251" s="0" t="n">
        <v>0.546722454672246</v>
      </c>
      <c r="X251" s="0" t="n">
        <v>0.29782571191363</v>
      </c>
      <c r="Y251" s="0" t="n">
        <v>7.16648355464268</v>
      </c>
      <c r="Z251" s="0" t="n">
        <v>0.533340664673241</v>
      </c>
      <c r="AA251" s="0" t="n">
        <v>0</v>
      </c>
    </row>
    <row r="252" customFormat="false" ht="15" hidden="false" customHeight="false" outlineLevel="0" collapsed="false">
      <c r="A252" s="0" t="s">
        <v>286</v>
      </c>
      <c r="B252" s="0" t="s">
        <v>3013</v>
      </c>
      <c r="C252" s="0" t="s">
        <v>3038</v>
      </c>
      <c r="D252" s="0" t="n">
        <v>30.4165486857378</v>
      </c>
      <c r="E252" s="0" t="n">
        <v>0.265066185730577</v>
      </c>
      <c r="F252" s="0" t="n">
        <v>7.64817835302961</v>
      </c>
      <c r="G252" s="0" t="n">
        <v>0.369211514392991</v>
      </c>
      <c r="H252" s="0" t="n">
        <v>0.504380475594493</v>
      </c>
      <c r="I252" s="0" t="n">
        <v>0.847977684797769</v>
      </c>
      <c r="J252" s="0" t="n">
        <v>0.519032332954547</v>
      </c>
      <c r="K252" s="0" t="n">
        <v>0.667715717403612</v>
      </c>
      <c r="L252" s="1" t="b">
        <f aca="false">FALSE()</f>
        <v>0</v>
      </c>
      <c r="N252" s="0" t="n">
        <v>4.05450995084493</v>
      </c>
      <c r="O252" s="0" t="n">
        <v>0</v>
      </c>
      <c r="P252" s="0" t="n">
        <v>0</v>
      </c>
      <c r="Q252" s="0" t="n">
        <v>0</v>
      </c>
      <c r="R252" s="0" t="n">
        <v>34.2656281610363</v>
      </c>
      <c r="S252" s="0" t="n">
        <v>7.0909619296716</v>
      </c>
      <c r="T252" s="0" t="n">
        <v>0.348735832606797</v>
      </c>
      <c r="U252" s="0" t="n">
        <v>0.920502092050209</v>
      </c>
      <c r="V252" s="0" t="n">
        <v>0.790794979079498</v>
      </c>
      <c r="W252" s="0" t="n">
        <v>0.832635983263598</v>
      </c>
      <c r="X252" s="0" t="n">
        <v>0.265066185730577</v>
      </c>
      <c r="Y252" s="0" t="n">
        <v>7.64817835302961</v>
      </c>
      <c r="Z252" s="0" t="n">
        <v>0.519032332954547</v>
      </c>
      <c r="AA252" s="0" t="n">
        <v>0</v>
      </c>
    </row>
    <row r="253" customFormat="false" ht="15" hidden="false" customHeight="false" outlineLevel="0" collapsed="false">
      <c r="A253" s="0" t="s">
        <v>287</v>
      </c>
      <c r="B253" s="0" t="s">
        <v>3013</v>
      </c>
      <c r="C253" s="0" t="s">
        <v>3038</v>
      </c>
      <c r="D253" s="0" t="n">
        <v>-42.2133779815274</v>
      </c>
      <c r="E253" s="0" t="n">
        <v>0.248104675025132</v>
      </c>
      <c r="F253" s="0" t="n">
        <v>7.03916604770141</v>
      </c>
      <c r="G253" s="0" t="n">
        <v>0.252816020025031</v>
      </c>
      <c r="H253" s="0" t="n">
        <v>0.41927409261577</v>
      </c>
      <c r="I253" s="0" t="n">
        <v>0.717340771734077</v>
      </c>
      <c r="J253" s="0" t="n">
        <v>0.412304199403136</v>
      </c>
      <c r="K253" s="0" t="n">
        <v>0.667715717403612</v>
      </c>
      <c r="L253" s="1" t="b">
        <f aca="false">FALSE()</f>
        <v>0</v>
      </c>
      <c r="N253" s="0" t="n">
        <v>0</v>
      </c>
      <c r="O253" s="0" t="n">
        <v>0</v>
      </c>
      <c r="P253" s="0" t="n">
        <v>1</v>
      </c>
      <c r="Q253" s="0" t="n">
        <v>42.2133779815274</v>
      </c>
      <c r="R253" s="0" t="n">
        <v>26.6573726945605</v>
      </c>
      <c r="S253" s="0" t="n">
        <v>6.56529516994634</v>
      </c>
      <c r="T253" s="0" t="n">
        <v>0.232558139534881</v>
      </c>
      <c r="U253" s="0" t="n">
        <v>0.875871687587169</v>
      </c>
      <c r="V253" s="0" t="n">
        <v>0.765690376569038</v>
      </c>
      <c r="W253" s="0" t="n">
        <v>0.510460251046025</v>
      </c>
      <c r="X253" s="0" t="n">
        <v>0.248104675025132</v>
      </c>
      <c r="Y253" s="0" t="n">
        <v>7.03916604770141</v>
      </c>
      <c r="Z253" s="0" t="n">
        <v>0.412304199403136</v>
      </c>
      <c r="AA253" s="0" t="n">
        <v>0</v>
      </c>
    </row>
    <row r="254" customFormat="false" ht="15" hidden="false" customHeight="false" outlineLevel="0" collapsed="false">
      <c r="A254" s="0" t="s">
        <v>288</v>
      </c>
      <c r="B254" s="0" t="s">
        <v>3013</v>
      </c>
      <c r="C254" s="0" t="s">
        <v>3038</v>
      </c>
      <c r="D254" s="0" t="n">
        <v>42.2723217260655</v>
      </c>
      <c r="E254" s="0" t="n">
        <v>0.238859117348244</v>
      </c>
      <c r="F254" s="0" t="n">
        <v>7.71083756720158</v>
      </c>
      <c r="G254" s="0" t="n">
        <v>0.219023779724656</v>
      </c>
      <c r="H254" s="0" t="n">
        <v>0.515644555694618</v>
      </c>
      <c r="I254" s="0" t="n">
        <v>0.884704788470479</v>
      </c>
      <c r="J254" s="0" t="n">
        <v>0.470808291861806</v>
      </c>
      <c r="K254" s="0" t="n">
        <v>0.667715717403612</v>
      </c>
      <c r="L254" s="1" t="b">
        <f aca="false">FALSE()</f>
        <v>0</v>
      </c>
      <c r="N254" s="0" t="n">
        <v>42.2133779815272</v>
      </c>
      <c r="O254" s="0" t="n">
        <v>1</v>
      </c>
      <c r="P254" s="0" t="n">
        <v>0</v>
      </c>
      <c r="Q254" s="0" t="n">
        <v>0</v>
      </c>
      <c r="R254" s="0" t="n">
        <v>28.8867559437109</v>
      </c>
      <c r="S254" s="0" t="n">
        <v>9.48004836759371</v>
      </c>
      <c r="T254" s="0" t="n">
        <v>0.411124546553806</v>
      </c>
      <c r="U254" s="0" t="n">
        <v>0.900976290097629</v>
      </c>
      <c r="V254" s="0" t="n">
        <v>0.866108786610879</v>
      </c>
      <c r="W254" s="0" t="n">
        <v>0.887029288702929</v>
      </c>
      <c r="X254" s="0" t="n">
        <v>0.238859117348244</v>
      </c>
      <c r="Y254" s="0" t="n">
        <v>7.71083756720158</v>
      </c>
      <c r="Z254" s="0" t="n">
        <v>0.470808291861806</v>
      </c>
      <c r="AA254" s="0" t="n">
        <v>-5.55111512312578E-017</v>
      </c>
    </row>
    <row r="255" customFormat="false" ht="15" hidden="false" customHeight="false" outlineLevel="0" collapsed="false">
      <c r="A255" s="0" t="s">
        <v>289</v>
      </c>
      <c r="B255" s="0" t="s">
        <v>3013</v>
      </c>
      <c r="C255" s="0" t="s">
        <v>3038</v>
      </c>
      <c r="D255" s="0" t="n">
        <v>79.986954880968</v>
      </c>
      <c r="E255" s="0" t="n">
        <v>0.249614414316362</v>
      </c>
      <c r="F255" s="0" t="n">
        <v>6.60383673256554</v>
      </c>
      <c r="G255" s="0" t="n">
        <v>0.262828535669587</v>
      </c>
      <c r="H255" s="0" t="n">
        <v>0.360450563204005</v>
      </c>
      <c r="I255" s="0" t="n">
        <v>0.927940492794049</v>
      </c>
      <c r="J255" s="0" t="n">
        <v>0.434899738108247</v>
      </c>
      <c r="K255" s="0" t="n">
        <v>0.667715717403612</v>
      </c>
      <c r="L255" s="1" t="b">
        <f aca="false">FALSE()</f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26.1702254208049</v>
      </c>
      <c r="S255" s="0" t="n">
        <v>15.1533932444995</v>
      </c>
      <c r="T255" s="0" t="n">
        <v>0.650759219088944</v>
      </c>
      <c r="U255" s="0" t="n">
        <v>0.871687587168759</v>
      </c>
      <c r="V255" s="0" t="n">
        <v>0.928870292887029</v>
      </c>
      <c r="W255" s="0" t="n">
        <v>0.98326359832636</v>
      </c>
      <c r="X255" s="0" t="n">
        <v>0.249614414316362</v>
      </c>
      <c r="Y255" s="0" t="n">
        <v>6.60383673256554</v>
      </c>
      <c r="Z255" s="0" t="n">
        <v>0.434899738108247</v>
      </c>
      <c r="AA255" s="0" t="n">
        <v>-5.55111512312578E-017</v>
      </c>
    </row>
    <row r="256" customFormat="false" ht="15" hidden="false" customHeight="false" outlineLevel="0" collapsed="false">
      <c r="A256" s="0" t="s">
        <v>290</v>
      </c>
      <c r="B256" s="0" t="s">
        <v>3013</v>
      </c>
      <c r="C256" s="0" t="s">
        <v>3036</v>
      </c>
      <c r="D256" s="0" t="n">
        <v>22.6969772124972</v>
      </c>
      <c r="E256" s="0" t="n">
        <v>0.411707378243086</v>
      </c>
      <c r="F256" s="0" t="n">
        <v>9.9746965691739</v>
      </c>
      <c r="G256" s="0" t="n">
        <v>0.959949937421777</v>
      </c>
      <c r="H256" s="0" t="n">
        <v>0.785982478097622</v>
      </c>
      <c r="I256" s="0" t="n">
        <v>0.332868433286843</v>
      </c>
      <c r="J256" s="0" t="n">
        <v>0.764946652865128</v>
      </c>
      <c r="K256" s="0" t="n">
        <v>0.667715717403612</v>
      </c>
      <c r="L256" s="1" t="b">
        <f aca="false">TRUE()</f>
        <v>1</v>
      </c>
      <c r="M256" s="0" t="s">
        <v>3035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12.8459831009399</v>
      </c>
      <c r="S256" s="0" t="n">
        <v>2.03683035714285</v>
      </c>
      <c r="T256" s="0" t="n">
        <v>0.139508928571437</v>
      </c>
      <c r="U256" s="0" t="n">
        <v>0.633193863319386</v>
      </c>
      <c r="V256" s="0" t="n">
        <v>0.280334728033473</v>
      </c>
      <c r="W256" s="0" t="n">
        <v>0.0850767085076709</v>
      </c>
      <c r="X256" s="0" t="n">
        <v>0.411707378243086</v>
      </c>
      <c r="Y256" s="0" t="n">
        <v>9.9746965691739</v>
      </c>
      <c r="Z256" s="0" t="n">
        <v>0.764946652865128</v>
      </c>
      <c r="AA256" s="0" t="n">
        <v>0</v>
      </c>
    </row>
    <row r="257" customFormat="false" ht="15" hidden="false" customHeight="false" outlineLevel="0" collapsed="false">
      <c r="A257" s="0" t="s">
        <v>291</v>
      </c>
      <c r="B257" s="0" t="s">
        <v>3013</v>
      </c>
      <c r="C257" s="0" t="s">
        <v>3038</v>
      </c>
      <c r="D257" s="0" t="n">
        <v>39.218077024738</v>
      </c>
      <c r="E257" s="0" t="n">
        <v>0.267016288587236</v>
      </c>
      <c r="F257" s="0" t="n">
        <v>8.02733533296185</v>
      </c>
      <c r="G257" s="0" t="n">
        <v>0.379224030037547</v>
      </c>
      <c r="H257" s="0" t="n">
        <v>0.546933667083855</v>
      </c>
      <c r="I257" s="0" t="n">
        <v>0.820548582054858</v>
      </c>
      <c r="J257" s="0" t="n">
        <v>0.534572795259532</v>
      </c>
      <c r="K257" s="0" t="n">
        <v>0.667715717403612</v>
      </c>
      <c r="L257" s="1" t="b">
        <f aca="false">FALSE()</f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23.6343160395546</v>
      </c>
      <c r="S257" s="0" t="n">
        <v>5.88527851458884</v>
      </c>
      <c r="T257" s="0" t="n">
        <v>0.397877984084877</v>
      </c>
      <c r="U257" s="0" t="n">
        <v>0.841004184100418</v>
      </c>
      <c r="V257" s="0" t="n">
        <v>0.740585774058577</v>
      </c>
      <c r="W257" s="0" t="n">
        <v>0.880055788005579</v>
      </c>
      <c r="X257" s="0" t="n">
        <v>0.267016288587236</v>
      </c>
      <c r="Y257" s="0" t="n">
        <v>8.02733533296185</v>
      </c>
      <c r="Z257" s="0" t="n">
        <v>0.534572795259532</v>
      </c>
      <c r="AA257" s="0" t="n">
        <v>0</v>
      </c>
    </row>
    <row r="258" customFormat="false" ht="15" hidden="false" customHeight="false" outlineLevel="0" collapsed="false">
      <c r="A258" s="0" t="s">
        <v>292</v>
      </c>
      <c r="B258" s="0" t="s">
        <v>3013</v>
      </c>
      <c r="C258" s="0" t="s">
        <v>3038</v>
      </c>
      <c r="D258" s="0" t="n">
        <v>23.3058574930671</v>
      </c>
      <c r="E258" s="0" t="n">
        <v>0.17006767400421</v>
      </c>
      <c r="F258" s="0" t="n">
        <v>6.51722377169349</v>
      </c>
      <c r="G258" s="0" t="n">
        <v>0.0413016270337922</v>
      </c>
      <c r="H258" s="0" t="n">
        <v>0.345431789737172</v>
      </c>
      <c r="I258" s="0" t="n">
        <v>0.871687587168759</v>
      </c>
      <c r="J258" s="0" t="n">
        <v>0.329030884142137</v>
      </c>
      <c r="K258" s="0" t="n">
        <v>0.667715717403612</v>
      </c>
      <c r="L258" s="1" t="b">
        <f aca="false">FALSE()</f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39.7519821980251</v>
      </c>
      <c r="S258" s="0" t="n">
        <v>29.1142137788968</v>
      </c>
      <c r="T258" s="0" t="n">
        <v>0.27466239414054</v>
      </c>
      <c r="U258" s="0" t="n">
        <v>0.95397489539749</v>
      </c>
      <c r="V258" s="0" t="n">
        <v>0.9860529986053</v>
      </c>
      <c r="W258" s="0" t="n">
        <v>0.675034867503487</v>
      </c>
      <c r="X258" s="0" t="n">
        <v>0.17006767400421</v>
      </c>
      <c r="Y258" s="0" t="n">
        <v>6.51722377169349</v>
      </c>
      <c r="Z258" s="0" t="n">
        <v>0.329030884142137</v>
      </c>
      <c r="AA258" s="0" t="n">
        <v>0</v>
      </c>
    </row>
    <row r="259" customFormat="false" ht="15" hidden="false" customHeight="false" outlineLevel="0" collapsed="false">
      <c r="A259" s="0" t="s">
        <v>293</v>
      </c>
      <c r="B259" s="0" t="s">
        <v>3013</v>
      </c>
      <c r="C259" s="0" t="s">
        <v>3033</v>
      </c>
      <c r="D259" s="0" t="n">
        <v>-11.1363375150848</v>
      </c>
      <c r="E259" s="0" t="n">
        <v>0.319690540364255</v>
      </c>
      <c r="F259" s="0" t="n">
        <v>11.9214054158628</v>
      </c>
      <c r="G259" s="0" t="n">
        <v>0.665832290362954</v>
      </c>
      <c r="H259" s="0" t="n">
        <v>0.917396745932416</v>
      </c>
      <c r="I259" s="0" t="n">
        <v>0.709902370990237</v>
      </c>
      <c r="J259" s="0" t="n">
        <v>0.775272088716195</v>
      </c>
      <c r="K259" s="0" t="n">
        <v>0.667715717403612</v>
      </c>
      <c r="L259" s="1" t="b">
        <f aca="false">TRUE()</f>
        <v>1</v>
      </c>
      <c r="M259" s="0" t="s">
        <v>3035</v>
      </c>
      <c r="N259" s="0" t="n">
        <v>0</v>
      </c>
      <c r="O259" s="0" t="n">
        <v>0</v>
      </c>
      <c r="P259" s="0" t="n">
        <v>1</v>
      </c>
      <c r="Q259" s="0" t="n">
        <v>11.1363375150848</v>
      </c>
      <c r="R259" s="0" t="n">
        <v>15.5653386936928</v>
      </c>
      <c r="S259" s="0" t="n">
        <v>4.43915973047959</v>
      </c>
      <c r="T259" s="0" t="n">
        <v>0.317082837891392</v>
      </c>
      <c r="U259" s="0" t="n">
        <v>0.719665271966527</v>
      </c>
      <c r="V259" s="0" t="n">
        <v>0.640167364016736</v>
      </c>
      <c r="W259" s="0" t="n">
        <v>0.769874476987448</v>
      </c>
      <c r="X259" s="0" t="n">
        <v>0.319690540364255</v>
      </c>
      <c r="Y259" s="0" t="n">
        <v>11.9214054158628</v>
      </c>
      <c r="Z259" s="0" t="n">
        <v>0.775272088716195</v>
      </c>
      <c r="AA259" s="0" t="n">
        <v>0</v>
      </c>
    </row>
    <row r="260" customFormat="false" ht="15" hidden="false" customHeight="false" outlineLevel="0" collapsed="false">
      <c r="A260" s="0" t="s">
        <v>294</v>
      </c>
      <c r="B260" s="0" t="s">
        <v>3013</v>
      </c>
      <c r="C260" s="0" t="s">
        <v>3033</v>
      </c>
      <c r="D260" s="0" t="n">
        <v>41.3222431509498</v>
      </c>
      <c r="E260" s="0" t="n">
        <v>0.248881365350706</v>
      </c>
      <c r="F260" s="0" t="n">
        <v>9.62607207436633</v>
      </c>
      <c r="G260" s="0" t="n">
        <v>0.259073842302879</v>
      </c>
      <c r="H260" s="0" t="n">
        <v>0.739674593241552</v>
      </c>
      <c r="I260" s="0" t="n">
        <v>0.528591352859135</v>
      </c>
      <c r="J260" s="0" t="n">
        <v>0.505217644789599</v>
      </c>
      <c r="K260" s="0" t="n">
        <v>0.667715717403612</v>
      </c>
      <c r="L260" s="1" t="b">
        <f aca="false">FALSE()</f>
        <v>0</v>
      </c>
      <c r="N260" s="0" t="n">
        <v>11.136337515085</v>
      </c>
      <c r="O260" s="0" t="n">
        <v>1</v>
      </c>
      <c r="P260" s="0" t="n">
        <v>0</v>
      </c>
      <c r="Q260" s="0" t="n">
        <v>0</v>
      </c>
      <c r="R260" s="0" t="n">
        <v>14.3014098857724</v>
      </c>
      <c r="S260" s="0" t="n">
        <v>2.5300875273523</v>
      </c>
      <c r="T260" s="0" t="n">
        <v>0.232494529540488</v>
      </c>
      <c r="U260" s="0" t="n">
        <v>0.684797768479777</v>
      </c>
      <c r="V260" s="0" t="n">
        <v>0.391910739191074</v>
      </c>
      <c r="W260" s="0" t="n">
        <v>0.509065550906555</v>
      </c>
      <c r="X260" s="0" t="n">
        <v>0.248881365350706</v>
      </c>
      <c r="Y260" s="0" t="n">
        <v>9.62607207436633</v>
      </c>
      <c r="Z260" s="0" t="n">
        <v>0.505217644789599</v>
      </c>
      <c r="AA260" s="0" t="n">
        <v>0</v>
      </c>
    </row>
    <row r="261" customFormat="false" ht="15" hidden="false" customHeight="false" outlineLevel="0" collapsed="false">
      <c r="A261" s="0" t="s">
        <v>295</v>
      </c>
      <c r="B261" s="0" t="s">
        <v>3013</v>
      </c>
      <c r="C261" s="0" t="s">
        <v>3038</v>
      </c>
      <c r="D261" s="0" t="n">
        <v>-0.516624587278755</v>
      </c>
      <c r="E261" s="0" t="n">
        <v>0.199748991279587</v>
      </c>
      <c r="F261" s="0" t="n">
        <v>3.24637888067349</v>
      </c>
      <c r="G261" s="0" t="n">
        <v>0.101376720901126</v>
      </c>
      <c r="H261" s="0" t="n">
        <v>0.0312891113892366</v>
      </c>
      <c r="I261" s="0" t="n">
        <v>0.818224081822408</v>
      </c>
      <c r="J261" s="0" t="n">
        <v>0.216711149280627</v>
      </c>
      <c r="K261" s="0" t="n">
        <v>0.667715717403612</v>
      </c>
      <c r="L261" s="1" t="b">
        <f aca="false">FALSE()</f>
        <v>0</v>
      </c>
      <c r="N261" s="0" t="n">
        <v>0</v>
      </c>
      <c r="O261" s="0" t="n">
        <v>0</v>
      </c>
      <c r="P261" s="0" t="n">
        <v>1</v>
      </c>
      <c r="Q261" s="0" t="n">
        <v>0.516624587278755</v>
      </c>
      <c r="R261" s="0" t="n">
        <v>15.2651950535959</v>
      </c>
      <c r="S261" s="0" t="n">
        <v>11.040127770014</v>
      </c>
      <c r="T261" s="0" t="n">
        <v>0.359353164304249</v>
      </c>
      <c r="U261" s="0" t="n">
        <v>0.711297071129707</v>
      </c>
      <c r="V261" s="0" t="n">
        <v>0.896792189679219</v>
      </c>
      <c r="W261" s="0" t="n">
        <v>0.846582984658299</v>
      </c>
      <c r="X261" s="0" t="n">
        <v>0.199748991279587</v>
      </c>
      <c r="Y261" s="0" t="n">
        <v>3.24637888067349</v>
      </c>
      <c r="Z261" s="0" t="n">
        <v>0.216711149280627</v>
      </c>
      <c r="AA261" s="0" t="n">
        <v>5.55111512312578E-017</v>
      </c>
    </row>
    <row r="262" customFormat="false" ht="15" hidden="false" customHeight="false" outlineLevel="0" collapsed="false">
      <c r="A262" s="0" t="s">
        <v>296</v>
      </c>
      <c r="B262" s="0" t="s">
        <v>3013</v>
      </c>
      <c r="C262" s="0" t="s">
        <v>3033</v>
      </c>
      <c r="D262" s="0" t="n">
        <v>17.7310863948613</v>
      </c>
      <c r="E262" s="0" t="n">
        <v>0.27812550776871</v>
      </c>
      <c r="F262" s="0" t="n">
        <v>9.80372188043385</v>
      </c>
      <c r="G262" s="0" t="n">
        <v>0.453066332916145</v>
      </c>
      <c r="H262" s="0" t="n">
        <v>0.765957446808511</v>
      </c>
      <c r="I262" s="0" t="n">
        <v>0.677359367735937</v>
      </c>
      <c r="J262" s="0" t="n">
        <v>0.62308138543705</v>
      </c>
      <c r="K262" s="0" t="n">
        <v>0.667715717403612</v>
      </c>
      <c r="L262" s="1" t="b">
        <f aca="false">FALSE()</f>
        <v>0</v>
      </c>
      <c r="N262" s="0" t="n">
        <v>0.516624587278784</v>
      </c>
      <c r="O262" s="0" t="n">
        <v>1</v>
      </c>
      <c r="P262" s="0" t="n">
        <v>0</v>
      </c>
      <c r="Q262" s="0" t="n">
        <v>0</v>
      </c>
      <c r="R262" s="0" t="n">
        <v>16.4013361822504</v>
      </c>
      <c r="S262" s="0" t="n">
        <v>6.61137440758295</v>
      </c>
      <c r="T262" s="0" t="n">
        <v>0.23696682464455</v>
      </c>
      <c r="U262" s="0" t="n">
        <v>0.733612273361227</v>
      </c>
      <c r="V262" s="0" t="n">
        <v>0.769874476987448</v>
      </c>
      <c r="W262" s="0" t="n">
        <v>0.528591352859135</v>
      </c>
      <c r="X262" s="0" t="n">
        <v>0.27812550776871</v>
      </c>
      <c r="Y262" s="0" t="n">
        <v>9.80372188043385</v>
      </c>
      <c r="Z262" s="0" t="n">
        <v>0.62308138543705</v>
      </c>
      <c r="AA262" s="0" t="n">
        <v>0</v>
      </c>
    </row>
    <row r="263" customFormat="false" ht="15" hidden="false" customHeight="false" outlineLevel="0" collapsed="false">
      <c r="A263" s="0" t="s">
        <v>297</v>
      </c>
      <c r="B263" s="0" t="s">
        <v>3013</v>
      </c>
      <c r="C263" s="0" t="s">
        <v>3038</v>
      </c>
      <c r="D263" s="0" t="n">
        <v>-46.6716022735648</v>
      </c>
      <c r="E263" s="0" t="n">
        <v>0.224241336874155</v>
      </c>
      <c r="F263" s="0" t="n">
        <v>6.73251087926675</v>
      </c>
      <c r="G263" s="0" t="n">
        <v>0.156445556946183</v>
      </c>
      <c r="H263" s="0" t="n">
        <v>0.382978723404255</v>
      </c>
      <c r="I263" s="0" t="n">
        <v>0.814969781496978</v>
      </c>
      <c r="J263" s="0" t="n">
        <v>0.378763668439571</v>
      </c>
      <c r="K263" s="0" t="n">
        <v>0.667715717403612</v>
      </c>
      <c r="L263" s="1" t="b">
        <f aca="false">FALSE()</f>
        <v>0</v>
      </c>
      <c r="N263" s="0" t="n">
        <v>0</v>
      </c>
      <c r="O263" s="0" t="n">
        <v>0</v>
      </c>
      <c r="P263" s="0" t="n">
        <v>1</v>
      </c>
      <c r="Q263" s="0" t="n">
        <v>46.6716022735648</v>
      </c>
      <c r="R263" s="0" t="n">
        <v>11.3121827951422</v>
      </c>
      <c r="S263" s="0" t="n">
        <v>15.4776804338757</v>
      </c>
      <c r="T263" s="0" t="n">
        <v>0.50062578222778</v>
      </c>
      <c r="U263" s="0" t="n">
        <v>0.560669456066946</v>
      </c>
      <c r="V263" s="0" t="n">
        <v>0.934449093444909</v>
      </c>
      <c r="W263" s="0" t="n">
        <v>0.94979079497908</v>
      </c>
      <c r="X263" s="0" t="n">
        <v>0.224241336874155</v>
      </c>
      <c r="Y263" s="0" t="n">
        <v>6.73251087926675</v>
      </c>
      <c r="Z263" s="0" t="n">
        <v>0.378763668439571</v>
      </c>
      <c r="AA263" s="0" t="n">
        <v>0</v>
      </c>
    </row>
    <row r="264" customFormat="false" ht="15" hidden="false" customHeight="false" outlineLevel="0" collapsed="false">
      <c r="A264" s="0" t="s">
        <v>298</v>
      </c>
      <c r="B264" s="0" t="s">
        <v>3013</v>
      </c>
      <c r="C264" s="0" t="s">
        <v>3033</v>
      </c>
      <c r="D264" s="0" t="n">
        <v>18.7920443243772</v>
      </c>
      <c r="E264" s="0" t="n">
        <v>0.248401598066033</v>
      </c>
      <c r="F264" s="0" t="n">
        <v>9.00192838585456</v>
      </c>
      <c r="G264" s="0" t="n">
        <v>0.25531914893617</v>
      </c>
      <c r="H264" s="0" t="n">
        <v>0.684605757196496</v>
      </c>
      <c r="I264" s="0" t="n">
        <v>0.280334728033473</v>
      </c>
      <c r="J264" s="0" t="n">
        <v>0.432036908059761</v>
      </c>
      <c r="K264" s="0" t="n">
        <v>0.667715717403612</v>
      </c>
      <c r="L264" s="1" t="b">
        <f aca="false">FALSE()</f>
        <v>0</v>
      </c>
      <c r="N264" s="0" t="n">
        <v>46.6716022735645</v>
      </c>
      <c r="O264" s="0" t="n">
        <v>1</v>
      </c>
      <c r="P264" s="0" t="n">
        <v>0</v>
      </c>
      <c r="Q264" s="0" t="n">
        <v>0</v>
      </c>
      <c r="R264" s="0" t="n">
        <v>9.44526217306494</v>
      </c>
      <c r="S264" s="0" t="n">
        <v>1.15065971156797</v>
      </c>
      <c r="T264" s="0" t="n">
        <v>0.19944768333844</v>
      </c>
      <c r="U264" s="0" t="n">
        <v>0.475592747559275</v>
      </c>
      <c r="V264" s="0" t="n">
        <v>0.0529986052998605</v>
      </c>
      <c r="W264" s="0" t="n">
        <v>0.312412831241283</v>
      </c>
      <c r="X264" s="0" t="n">
        <v>0.248401598066034</v>
      </c>
      <c r="Y264" s="0" t="n">
        <v>9.00192838585456</v>
      </c>
      <c r="Z264" s="0" t="n">
        <v>0.432036908059761</v>
      </c>
      <c r="AA264" s="0" t="n">
        <v>0</v>
      </c>
    </row>
    <row r="265" customFormat="false" ht="15" hidden="false" customHeight="false" outlineLevel="0" collapsed="false">
      <c r="A265" s="0" t="s">
        <v>299</v>
      </c>
      <c r="B265" s="0" t="s">
        <v>3013</v>
      </c>
      <c r="C265" s="0" t="s">
        <v>3038</v>
      </c>
      <c r="D265" s="0" t="n">
        <v>9.68041005441451</v>
      </c>
      <c r="E265" s="0" t="n">
        <v>0.216633446847226</v>
      </c>
      <c r="F265" s="0" t="n">
        <v>4.07197863985978</v>
      </c>
      <c r="G265" s="0" t="n">
        <v>0.135168961201502</v>
      </c>
      <c r="H265" s="0" t="n">
        <v>0.0563204005006258</v>
      </c>
      <c r="I265" s="0" t="n">
        <v>0.869363086936309</v>
      </c>
      <c r="J265" s="0" t="n">
        <v>0.250468362068113</v>
      </c>
      <c r="K265" s="0" t="n">
        <v>0.667715717403612</v>
      </c>
      <c r="L265" s="1" t="b">
        <f aca="false">FALSE()</f>
        <v>0</v>
      </c>
      <c r="N265" s="0" t="n">
        <v>27.8795579491871</v>
      </c>
      <c r="O265" s="0" t="n">
        <v>0</v>
      </c>
      <c r="P265" s="0" t="n">
        <v>0</v>
      </c>
      <c r="Q265" s="0" t="n">
        <v>0</v>
      </c>
      <c r="R265" s="0" t="n">
        <v>23.6239002667104</v>
      </c>
      <c r="S265" s="0" t="n">
        <v>9.51459725641926</v>
      </c>
      <c r="T265" s="0" t="n">
        <v>0.422089342244114</v>
      </c>
      <c r="U265" s="0" t="n">
        <v>0.839609483960948</v>
      </c>
      <c r="V265" s="0" t="n">
        <v>0.868898186889819</v>
      </c>
      <c r="W265" s="0" t="n">
        <v>0.899581589958159</v>
      </c>
      <c r="X265" s="0" t="n">
        <v>0.216633446847226</v>
      </c>
      <c r="Y265" s="0" t="n">
        <v>4.07197863985979</v>
      </c>
      <c r="Z265" s="0" t="n">
        <v>0.250468362068113</v>
      </c>
      <c r="AA265" s="0" t="n">
        <v>5.55111512312578E-017</v>
      </c>
    </row>
    <row r="266" customFormat="false" ht="15" hidden="false" customHeight="false" outlineLevel="0" collapsed="false">
      <c r="A266" s="0" t="s">
        <v>300</v>
      </c>
      <c r="B266" s="0" t="s">
        <v>3013</v>
      </c>
      <c r="C266" s="0" t="s">
        <v>3033</v>
      </c>
      <c r="D266" s="0" t="n">
        <v>29.7214213126573</v>
      </c>
      <c r="E266" s="0" t="n">
        <v>0.27008648477578</v>
      </c>
      <c r="F266" s="0" t="n">
        <v>4.45291331090751</v>
      </c>
      <c r="G266" s="0" t="n">
        <v>0.389236545682103</v>
      </c>
      <c r="H266" s="0" t="n">
        <v>0.0851063829787234</v>
      </c>
      <c r="I266" s="0" t="n">
        <v>0.378428637842864</v>
      </c>
      <c r="J266" s="0" t="n">
        <v>0.265422899032903</v>
      </c>
      <c r="K266" s="0" t="n">
        <v>0.667715717403612</v>
      </c>
      <c r="L266" s="1" t="b">
        <f aca="false">FALSE()</f>
        <v>0</v>
      </c>
      <c r="N266" s="0" t="n">
        <v>18.199147894773</v>
      </c>
      <c r="O266" s="0" t="n">
        <v>0</v>
      </c>
      <c r="P266" s="0" t="n">
        <v>0</v>
      </c>
      <c r="Q266" s="0" t="n">
        <v>0</v>
      </c>
      <c r="R266" s="0" t="n">
        <v>8.27469555509042</v>
      </c>
      <c r="S266" s="0" t="n">
        <v>3.91709844559585</v>
      </c>
      <c r="T266" s="0" t="n">
        <v>0.165803108808293</v>
      </c>
      <c r="U266" s="0" t="n">
        <v>0.396094839609484</v>
      </c>
      <c r="V266" s="0" t="n">
        <v>0.584379358437936</v>
      </c>
      <c r="W266" s="0" t="n">
        <v>0.154811715481172</v>
      </c>
      <c r="X266" s="0" t="n">
        <v>0.27008648477578</v>
      </c>
      <c r="Y266" s="0" t="n">
        <v>4.45291331090751</v>
      </c>
      <c r="Z266" s="0" t="n">
        <v>0.265422899032903</v>
      </c>
      <c r="AA266" s="0" t="n">
        <v>-5.55111512312578E-017</v>
      </c>
    </row>
    <row r="267" customFormat="false" ht="15" hidden="false" customHeight="false" outlineLevel="0" collapsed="false">
      <c r="A267" s="0" t="s">
        <v>301</v>
      </c>
      <c r="B267" s="0" t="s">
        <v>3013</v>
      </c>
      <c r="C267" s="0" t="s">
        <v>3038</v>
      </c>
      <c r="D267" s="0" t="n">
        <v>43.1087189358787</v>
      </c>
      <c r="E267" s="0" t="n">
        <v>0.238139264184161</v>
      </c>
      <c r="F267" s="0" t="n">
        <v>7.41564268494421</v>
      </c>
      <c r="G267" s="0" t="n">
        <v>0.215269086357947</v>
      </c>
      <c r="H267" s="0" t="n">
        <v>0.463078848560701</v>
      </c>
      <c r="I267" s="0" t="n">
        <v>0.895862389586239</v>
      </c>
      <c r="J267" s="0" t="n">
        <v>0.450511651884707</v>
      </c>
      <c r="K267" s="0" t="n">
        <v>0.667715717403612</v>
      </c>
      <c r="L267" s="1" t="b">
        <f aca="false">FALSE()</f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27.3873501446897</v>
      </c>
      <c r="S267" s="0" t="n">
        <v>9.86858418051081</v>
      </c>
      <c r="T267" s="0" t="n">
        <v>0.446317877510534</v>
      </c>
      <c r="U267" s="0" t="n">
        <v>0.891213389121339</v>
      </c>
      <c r="V267" s="0" t="n">
        <v>0.877266387726639</v>
      </c>
      <c r="W267" s="0" t="n">
        <v>0.919107391910739</v>
      </c>
      <c r="X267" s="0" t="n">
        <v>0.238139264184161</v>
      </c>
      <c r="Y267" s="0" t="n">
        <v>7.41564268494421</v>
      </c>
      <c r="Z267" s="0" t="n">
        <v>0.450511651884707</v>
      </c>
      <c r="AA267" s="0" t="n">
        <v>0</v>
      </c>
    </row>
    <row r="268" customFormat="false" ht="15" hidden="false" customHeight="false" outlineLevel="0" collapsed="false">
      <c r="A268" s="0" t="s">
        <v>302</v>
      </c>
      <c r="B268" s="0" t="s">
        <v>3013</v>
      </c>
      <c r="C268" s="0" t="s">
        <v>3036</v>
      </c>
      <c r="D268" s="0" t="n">
        <v>8.41364383558547</v>
      </c>
      <c r="E268" s="0" t="n">
        <v>0.325686081384457</v>
      </c>
      <c r="F268" s="0" t="n">
        <v>6.27257555639965</v>
      </c>
      <c r="G268" s="0" t="n">
        <v>0.707133917396746</v>
      </c>
      <c r="H268" s="0" t="n">
        <v>0.307884856070088</v>
      </c>
      <c r="I268" s="0" t="n">
        <v>0.464900046490005</v>
      </c>
      <c r="J268" s="0" t="n">
        <v>0.498987518684734</v>
      </c>
      <c r="K268" s="0" t="n">
        <v>0.667715717403612</v>
      </c>
      <c r="L268" s="1" t="b">
        <f aca="false">FALSE()</f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12.6637138492456</v>
      </c>
      <c r="S268" s="0" t="n">
        <v>3.42368045649072</v>
      </c>
      <c r="T268" s="0" t="n">
        <v>0.190204469805036</v>
      </c>
      <c r="U268" s="0" t="n">
        <v>0.620641562064156</v>
      </c>
      <c r="V268" s="0" t="n">
        <v>0.518828451882845</v>
      </c>
      <c r="W268" s="0" t="n">
        <v>0.255230125523013</v>
      </c>
      <c r="X268" s="0" t="n">
        <v>0.325686081384457</v>
      </c>
      <c r="Y268" s="0" t="n">
        <v>6.27257555639965</v>
      </c>
      <c r="Z268" s="0" t="n">
        <v>0.498987518684734</v>
      </c>
      <c r="AA268" s="0" t="n">
        <v>0</v>
      </c>
    </row>
    <row r="269" customFormat="false" ht="15" hidden="false" customHeight="false" outlineLevel="0" collapsed="false">
      <c r="A269" s="0" t="s">
        <v>303</v>
      </c>
      <c r="B269" s="0" t="s">
        <v>3013</v>
      </c>
      <c r="C269" s="0" t="s">
        <v>3036</v>
      </c>
      <c r="D269" s="0" t="n">
        <v>19.0552176201205</v>
      </c>
      <c r="E269" s="0" t="n">
        <v>0.385465250110056</v>
      </c>
      <c r="F269" s="0" t="n">
        <v>6.1113837829614</v>
      </c>
      <c r="G269" s="0" t="n">
        <v>0.914893617021277</v>
      </c>
      <c r="H269" s="0" t="n">
        <v>0.280350438047559</v>
      </c>
      <c r="I269" s="0" t="n">
        <v>0.344955834495584</v>
      </c>
      <c r="J269" s="0" t="n">
        <v>0.547088788926651</v>
      </c>
      <c r="K269" s="0" t="n">
        <v>0.667715717403612</v>
      </c>
      <c r="L269" s="1" t="b">
        <f aca="false">FALSE()</f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9.87475155377572</v>
      </c>
      <c r="S269" s="0" t="n">
        <v>1.80124223602485</v>
      </c>
      <c r="T269" s="0" t="n">
        <v>0.20186335403726</v>
      </c>
      <c r="U269" s="0" t="n">
        <v>0.499302649930265</v>
      </c>
      <c r="V269" s="0" t="n">
        <v>0.214783821478382</v>
      </c>
      <c r="W269" s="0" t="n">
        <v>0.320781032078103</v>
      </c>
      <c r="X269" s="0" t="n">
        <v>0.385465250110056</v>
      </c>
      <c r="Y269" s="0" t="n">
        <v>6.1113837829614</v>
      </c>
      <c r="Z269" s="0" t="n">
        <v>0.547088788926651</v>
      </c>
      <c r="AA269" s="0" t="n">
        <v>0</v>
      </c>
    </row>
    <row r="270" customFormat="false" ht="15" hidden="false" customHeight="false" outlineLevel="0" collapsed="false">
      <c r="A270" s="0" t="s">
        <v>304</v>
      </c>
      <c r="B270" s="0" t="s">
        <v>3013</v>
      </c>
      <c r="C270" s="0" t="s">
        <v>3038</v>
      </c>
      <c r="D270" s="0" t="n">
        <v>-35.5179281559396</v>
      </c>
      <c r="E270" s="0" t="n">
        <v>0.259123786641761</v>
      </c>
      <c r="F270" s="0" t="n">
        <v>8.94229488676927</v>
      </c>
      <c r="G270" s="0" t="n">
        <v>0.32665832290363</v>
      </c>
      <c r="H270" s="0" t="n">
        <v>0.672090112640801</v>
      </c>
      <c r="I270" s="0" t="n">
        <v>0.893537889353789</v>
      </c>
      <c r="J270" s="0" t="n">
        <v>0.57820695208853</v>
      </c>
      <c r="K270" s="0" t="n">
        <v>0.667715717403612</v>
      </c>
      <c r="L270" s="1" t="b">
        <f aca="false">FALSE()</f>
        <v>0</v>
      </c>
      <c r="N270" s="0" t="n">
        <v>0</v>
      </c>
      <c r="O270" s="0" t="n">
        <v>0</v>
      </c>
      <c r="P270" s="0" t="n">
        <v>1</v>
      </c>
      <c r="Q270" s="0" t="n">
        <v>35.5179281559396</v>
      </c>
      <c r="R270" s="0" t="n">
        <v>26.4426125554856</v>
      </c>
      <c r="S270" s="0" t="n">
        <v>9.18826301135147</v>
      </c>
      <c r="T270" s="0" t="n">
        <v>0.492610837438426</v>
      </c>
      <c r="U270" s="0" t="n">
        <v>0.874476987447699</v>
      </c>
      <c r="V270" s="0" t="n">
        <v>0.857740585774059</v>
      </c>
      <c r="W270" s="0" t="n">
        <v>0.94839609483961</v>
      </c>
      <c r="X270" s="0" t="n">
        <v>0.259123786641761</v>
      </c>
      <c r="Y270" s="0" t="n">
        <v>8.94229488676927</v>
      </c>
      <c r="Z270" s="0" t="n">
        <v>0.57820695208853</v>
      </c>
      <c r="AA270" s="0" t="n">
        <v>0</v>
      </c>
    </row>
    <row r="271" customFormat="false" ht="15" hidden="false" customHeight="false" outlineLevel="0" collapsed="false">
      <c r="A271" s="0" t="s">
        <v>305</v>
      </c>
      <c r="B271" s="0" t="s">
        <v>33</v>
      </c>
      <c r="C271" s="0" t="s">
        <v>33</v>
      </c>
      <c r="D271" s="0" t="n">
        <v>-43.5877798245781</v>
      </c>
      <c r="E271" s="0" t="n">
        <v>0.412199249385207</v>
      </c>
      <c r="F271" s="0" t="n">
        <v>13.0750575871071</v>
      </c>
      <c r="G271" s="0" t="n">
        <v>0.961201501877347</v>
      </c>
      <c r="H271" s="0" t="n">
        <v>0.95369211514393</v>
      </c>
      <c r="I271" s="0" t="n">
        <v>0.5</v>
      </c>
      <c r="J271" s="0" t="n">
        <v>0.865957446808511</v>
      </c>
      <c r="K271" s="0" t="n">
        <v>0.667715717403612</v>
      </c>
      <c r="L271" s="1" t="b">
        <f aca="false">TRUE()</f>
        <v>1</v>
      </c>
      <c r="M271" s="0" t="s">
        <v>3035</v>
      </c>
      <c r="N271" s="0" t="n">
        <v>35.5179281559394</v>
      </c>
      <c r="O271" s="0" t="n">
        <v>1</v>
      </c>
      <c r="P271" s="0" t="n">
        <v>1</v>
      </c>
      <c r="Q271" s="0" t="n">
        <v>43.5877798245781</v>
      </c>
      <c r="U271" s="0" t="n">
        <v>0.5</v>
      </c>
      <c r="V271" s="0" t="n">
        <v>0.5</v>
      </c>
      <c r="W271" s="0" t="n">
        <v>0.5</v>
      </c>
      <c r="X271" s="0" t="n">
        <v>0.412199249385207</v>
      </c>
      <c r="Y271" s="0" t="n">
        <v>13.0750575871071</v>
      </c>
      <c r="Z271" s="0" t="n">
        <v>0.865957446808511</v>
      </c>
      <c r="AA271" s="0" t="n">
        <v>0</v>
      </c>
    </row>
    <row r="272" customFormat="false" ht="15" hidden="false" customHeight="false" outlineLevel="0" collapsed="false">
      <c r="A272" s="0" t="s">
        <v>306</v>
      </c>
      <c r="B272" s="0" t="s">
        <v>3013</v>
      </c>
      <c r="C272" s="0" t="s">
        <v>3038</v>
      </c>
      <c r="D272" s="0" t="n">
        <v>23.7628537950785</v>
      </c>
      <c r="E272" s="0" t="n">
        <v>0.160641812454554</v>
      </c>
      <c r="F272" s="0" t="n">
        <v>5.66386772559184</v>
      </c>
      <c r="G272" s="0" t="n">
        <v>0.0362953692115144</v>
      </c>
      <c r="H272" s="0" t="n">
        <v>0.222778473091364</v>
      </c>
      <c r="I272" s="0" t="n">
        <v>0.845653184565319</v>
      </c>
      <c r="J272" s="0" t="n">
        <v>0.272760173834215</v>
      </c>
      <c r="K272" s="0" t="n">
        <v>0.667715717403612</v>
      </c>
      <c r="L272" s="1" t="b">
        <f aca="false">FALSE()</f>
        <v>0</v>
      </c>
      <c r="N272" s="0" t="n">
        <v>79.1057079805178</v>
      </c>
      <c r="O272" s="0" t="n">
        <v>2</v>
      </c>
      <c r="P272" s="0" t="n">
        <v>0</v>
      </c>
      <c r="Q272" s="0" t="n">
        <v>0</v>
      </c>
      <c r="R272" s="0" t="n">
        <v>59.276298327878</v>
      </c>
      <c r="S272" s="0" t="n">
        <v>4.39995343964614</v>
      </c>
      <c r="T272" s="0" t="n">
        <v>0.44232336165755</v>
      </c>
      <c r="U272" s="0" t="n">
        <v>0.98744769874477</v>
      </c>
      <c r="V272" s="0" t="n">
        <v>0.635983263598326</v>
      </c>
      <c r="W272" s="0" t="n">
        <v>0.913528591352859</v>
      </c>
      <c r="X272" s="0" t="n">
        <v>0.160641812454554</v>
      </c>
      <c r="Y272" s="0" t="n">
        <v>5.66386772559184</v>
      </c>
      <c r="Z272" s="0" t="n">
        <v>0.272760173834215</v>
      </c>
      <c r="AA272" s="0" t="n">
        <v>5.55111512312578E-017</v>
      </c>
    </row>
    <row r="273" customFormat="false" ht="15" hidden="false" customHeight="false" outlineLevel="0" collapsed="false">
      <c r="A273" s="0" t="s">
        <v>307</v>
      </c>
      <c r="B273" s="0" t="s">
        <v>3013</v>
      </c>
      <c r="C273" s="0" t="s">
        <v>3033</v>
      </c>
      <c r="D273" s="0" t="n">
        <v>65.4532862780434</v>
      </c>
      <c r="E273" s="0" t="n">
        <v>0.326382616017005</v>
      </c>
      <c r="F273" s="0" t="n">
        <v>9.19371131559989</v>
      </c>
      <c r="G273" s="0" t="n">
        <v>0.714643304130163</v>
      </c>
      <c r="H273" s="0" t="n">
        <v>0.700876095118899</v>
      </c>
      <c r="I273" s="0" t="n">
        <v>0.383077638307764</v>
      </c>
      <c r="J273" s="0" t="n">
        <v>0.642823287361177</v>
      </c>
      <c r="K273" s="0" t="n">
        <v>0.667715717403612</v>
      </c>
      <c r="L273" s="1" t="b">
        <f aca="false">FALSE()</f>
        <v>0</v>
      </c>
      <c r="N273" s="0" t="n">
        <v>55.3428541854391</v>
      </c>
      <c r="O273" s="0" t="n">
        <v>0</v>
      </c>
      <c r="P273" s="0" t="n">
        <v>0</v>
      </c>
      <c r="Q273" s="0" t="n">
        <v>0</v>
      </c>
      <c r="R273" s="0" t="n">
        <v>21.0849272145697</v>
      </c>
      <c r="S273" s="0" t="n">
        <v>1.89573459715637</v>
      </c>
      <c r="T273" s="0" t="n">
        <v>0.143616257360333</v>
      </c>
      <c r="U273" s="0" t="n">
        <v>0.813110181311018</v>
      </c>
      <c r="V273" s="0" t="n">
        <v>0.246861924686193</v>
      </c>
      <c r="W273" s="0" t="n">
        <v>0.0892608089260809</v>
      </c>
      <c r="X273" s="0" t="n">
        <v>0.326382616017005</v>
      </c>
      <c r="Y273" s="0" t="n">
        <v>9.1937113155999</v>
      </c>
      <c r="Z273" s="0" t="n">
        <v>0.642823287361177</v>
      </c>
      <c r="AA273" s="0" t="n">
        <v>0</v>
      </c>
    </row>
    <row r="274" customFormat="false" ht="15" hidden="false" customHeight="false" outlineLevel="0" collapsed="false">
      <c r="A274" s="0" t="s">
        <v>308</v>
      </c>
      <c r="B274" s="0" t="s">
        <v>3013</v>
      </c>
      <c r="C274" s="0" t="s">
        <v>3033</v>
      </c>
      <c r="D274" s="0" t="n">
        <v>-33.8657799902494</v>
      </c>
      <c r="E274" s="0" t="n">
        <v>0.258768010100424</v>
      </c>
      <c r="F274" s="0" t="n">
        <v>7.20481048877497</v>
      </c>
      <c r="G274" s="0" t="n">
        <v>0.322903629536921</v>
      </c>
      <c r="H274" s="0" t="n">
        <v>0.444305381727159</v>
      </c>
      <c r="I274" s="0" t="n">
        <v>0.484890748489075</v>
      </c>
      <c r="J274" s="0" t="n">
        <v>0.403861754203447</v>
      </c>
      <c r="K274" s="0" t="n">
        <v>0.667715717403612</v>
      </c>
      <c r="L274" s="1" t="b">
        <f aca="false">FALSE()</f>
        <v>0</v>
      </c>
      <c r="N274" s="0" t="n">
        <v>0</v>
      </c>
      <c r="O274" s="0" t="n">
        <v>0</v>
      </c>
      <c r="P274" s="0" t="n">
        <v>1</v>
      </c>
      <c r="Q274" s="0" t="n">
        <v>33.8657799902494</v>
      </c>
      <c r="R274" s="0" t="n">
        <v>14.4273070752027</v>
      </c>
      <c r="S274" s="0" t="n">
        <v>3.56706074194863</v>
      </c>
      <c r="T274" s="0" t="n">
        <v>0.183448838157354</v>
      </c>
      <c r="U274" s="0" t="n">
        <v>0.690376569037657</v>
      </c>
      <c r="V274" s="0" t="n">
        <v>0.536959553695955</v>
      </c>
      <c r="W274" s="0" t="n">
        <v>0.227336122733612</v>
      </c>
      <c r="X274" s="0" t="n">
        <v>0.258768010100424</v>
      </c>
      <c r="Y274" s="0" t="n">
        <v>7.20481048877497</v>
      </c>
      <c r="Z274" s="0" t="n">
        <v>0.403861754203447</v>
      </c>
      <c r="AA274" s="0" t="n">
        <v>0</v>
      </c>
    </row>
    <row r="275" customFormat="false" ht="15" hidden="false" customHeight="false" outlineLevel="0" collapsed="false">
      <c r="A275" s="0" t="s">
        <v>309</v>
      </c>
      <c r="B275" s="0" t="s">
        <v>3013</v>
      </c>
      <c r="C275" s="0" t="s">
        <v>3038</v>
      </c>
      <c r="D275" s="0" t="n">
        <v>-13.2057267416698</v>
      </c>
      <c r="E275" s="0" t="n">
        <v>0.198313104098556</v>
      </c>
      <c r="F275" s="0" t="n">
        <v>4.60969020911811</v>
      </c>
      <c r="G275" s="0" t="n">
        <v>0.100125156445557</v>
      </c>
      <c r="H275" s="0" t="n">
        <v>0.0951188986232791</v>
      </c>
      <c r="I275" s="0" t="n">
        <v>0.895862389586239</v>
      </c>
      <c r="J275" s="0" t="n">
        <v>0.257270099944782</v>
      </c>
      <c r="K275" s="0" t="n">
        <v>0.667715717403612</v>
      </c>
      <c r="L275" s="1" t="b">
        <f aca="false">FALSE()</f>
        <v>0</v>
      </c>
      <c r="N275" s="0" t="n">
        <v>33.8657799902494</v>
      </c>
      <c r="O275" s="0" t="n">
        <v>1</v>
      </c>
      <c r="P275" s="0" t="n">
        <v>1</v>
      </c>
      <c r="Q275" s="0" t="n">
        <v>13.2057267416698</v>
      </c>
      <c r="R275" s="0" t="n">
        <v>36.591925940003</v>
      </c>
      <c r="S275" s="0" t="n">
        <v>8.3746412731542</v>
      </c>
      <c r="T275" s="0" t="n">
        <v>0.443516827550226</v>
      </c>
      <c r="U275" s="0" t="n">
        <v>0.935843793584379</v>
      </c>
      <c r="V275" s="0" t="n">
        <v>0.835425383542538</v>
      </c>
      <c r="W275" s="0" t="n">
        <v>0.916317991631799</v>
      </c>
      <c r="X275" s="0" t="n">
        <v>0.198313104098556</v>
      </c>
      <c r="Y275" s="0" t="n">
        <v>4.60969020911811</v>
      </c>
      <c r="Z275" s="0" t="n">
        <v>0.257270099944782</v>
      </c>
      <c r="AA275" s="0" t="n">
        <v>0</v>
      </c>
    </row>
    <row r="276" customFormat="false" ht="15" hidden="false" customHeight="false" outlineLevel="0" collapsed="false">
      <c r="A276" s="0" t="s">
        <v>310</v>
      </c>
      <c r="B276" s="0" t="s">
        <v>3013</v>
      </c>
      <c r="C276" s="0" t="s">
        <v>3036</v>
      </c>
      <c r="D276" s="0" t="n">
        <v>-46.6907748934518</v>
      </c>
      <c r="E276" s="0" t="n">
        <v>0.358060346615304</v>
      </c>
      <c r="F276" s="0" t="n">
        <v>10.5954895047078</v>
      </c>
      <c r="G276" s="0" t="n">
        <v>0.841051314142678</v>
      </c>
      <c r="H276" s="0" t="n">
        <v>0.849812265331665</v>
      </c>
      <c r="I276" s="0" t="n">
        <v>0.513249651324965</v>
      </c>
      <c r="J276" s="0" t="n">
        <v>0.77899536205473</v>
      </c>
      <c r="K276" s="0" t="n">
        <v>0.667715717403612</v>
      </c>
      <c r="L276" s="1" t="b">
        <f aca="false">TRUE()</f>
        <v>1</v>
      </c>
      <c r="M276" s="0" t="s">
        <v>3035</v>
      </c>
      <c r="N276" s="0" t="n">
        <v>47.0715067319188</v>
      </c>
      <c r="O276" s="0" t="n">
        <v>2</v>
      </c>
      <c r="P276" s="0" t="n">
        <v>1</v>
      </c>
      <c r="Q276" s="0" t="n">
        <v>46.6907748934518</v>
      </c>
      <c r="R276" s="0" t="n">
        <v>9.95182925643209</v>
      </c>
      <c r="S276" s="0" t="n">
        <v>2.9532403609516</v>
      </c>
      <c r="T276" s="0" t="n">
        <v>0.246103363412619</v>
      </c>
      <c r="U276" s="0" t="n">
        <v>0.506276150627615</v>
      </c>
      <c r="V276" s="0" t="n">
        <v>0.465829846582985</v>
      </c>
      <c r="W276" s="0" t="n">
        <v>0.567642956764296</v>
      </c>
      <c r="X276" s="0" t="n">
        <v>0.358060346615304</v>
      </c>
      <c r="Y276" s="0" t="n">
        <v>10.5954895047078</v>
      </c>
      <c r="Z276" s="0" t="n">
        <v>0.77899536205473</v>
      </c>
      <c r="AA276" s="0" t="n">
        <v>0</v>
      </c>
    </row>
    <row r="277" customFormat="false" ht="15" hidden="false" customHeight="false" outlineLevel="0" collapsed="false">
      <c r="A277" s="0" t="s">
        <v>311</v>
      </c>
      <c r="B277" s="0" t="s">
        <v>3013</v>
      </c>
      <c r="C277" s="0" t="s">
        <v>3038</v>
      </c>
      <c r="D277" s="0" t="n">
        <v>42.516799503135</v>
      </c>
      <c r="E277" s="0" t="n">
        <v>0.0873094849297971</v>
      </c>
      <c r="F277" s="0" t="n">
        <v>3.03107228784679</v>
      </c>
      <c r="G277" s="0" t="n">
        <v>0.00125156445556946</v>
      </c>
      <c r="H277" s="0" t="n">
        <v>0.0262828535669587</v>
      </c>
      <c r="I277" s="0" t="n">
        <v>0.95258019525802</v>
      </c>
      <c r="J277" s="0" t="n">
        <v>0.201529806260615</v>
      </c>
      <c r="K277" s="0" t="n">
        <v>0.667715717403612</v>
      </c>
      <c r="L277" s="1" t="b">
        <f aca="false">FALSE()</f>
        <v>0</v>
      </c>
      <c r="N277" s="0" t="n">
        <v>93.7622816253706</v>
      </c>
      <c r="O277" s="0" t="n">
        <v>3</v>
      </c>
      <c r="P277" s="0" t="n">
        <v>0</v>
      </c>
      <c r="Q277" s="0" t="n">
        <v>0</v>
      </c>
      <c r="R277" s="0" t="n">
        <v>41.5709092761067</v>
      </c>
      <c r="S277" s="0" t="n">
        <v>17.2117039586919</v>
      </c>
      <c r="T277" s="0" t="n">
        <v>0.502008032128514</v>
      </c>
      <c r="U277" s="0" t="n">
        <v>0.95676429567643</v>
      </c>
      <c r="V277" s="0" t="n">
        <v>0.94979079497908</v>
      </c>
      <c r="W277" s="0" t="n">
        <v>0.95118549511855</v>
      </c>
      <c r="X277" s="0" t="n">
        <v>0.0873094849297971</v>
      </c>
      <c r="Y277" s="0" t="n">
        <v>3.03107228784679</v>
      </c>
      <c r="Z277" s="0" t="n">
        <v>0.201529806260615</v>
      </c>
      <c r="AA277" s="0" t="n">
        <v>0</v>
      </c>
    </row>
    <row r="278" customFormat="false" ht="15" hidden="false" customHeight="false" outlineLevel="0" collapsed="false">
      <c r="A278" s="0" t="s">
        <v>312</v>
      </c>
      <c r="B278" s="0" t="s">
        <v>3013</v>
      </c>
      <c r="C278" s="0" t="s">
        <v>3038</v>
      </c>
      <c r="D278" s="0" t="n">
        <v>43.0182478616677</v>
      </c>
      <c r="E278" s="0" t="n">
        <v>0.259256820099222</v>
      </c>
      <c r="F278" s="0" t="n">
        <v>8.20138988615302</v>
      </c>
      <c r="G278" s="0" t="n">
        <v>0.327909887359199</v>
      </c>
      <c r="H278" s="0" t="n">
        <v>0.564455569461827</v>
      </c>
      <c r="I278" s="0" t="n">
        <v>0.669920966992097</v>
      </c>
      <c r="J278" s="0" t="n">
        <v>0.49093037612683</v>
      </c>
      <c r="K278" s="0" t="n">
        <v>0.667715717403612</v>
      </c>
      <c r="L278" s="1" t="b">
        <f aca="false">FALSE()</f>
        <v>0</v>
      </c>
      <c r="N278" s="0" t="n">
        <v>51.2454821222354</v>
      </c>
      <c r="O278" s="0" t="n">
        <v>0</v>
      </c>
      <c r="P278" s="0" t="n">
        <v>0</v>
      </c>
      <c r="Q278" s="0" t="n">
        <v>0</v>
      </c>
      <c r="R278" s="0" t="n">
        <v>27.2292577587645</v>
      </c>
      <c r="S278" s="0" t="n">
        <v>5.29043789097409</v>
      </c>
      <c r="T278" s="0" t="n">
        <v>0.214477211796245</v>
      </c>
      <c r="U278" s="0" t="n">
        <v>0.888423988842399</v>
      </c>
      <c r="V278" s="0" t="n">
        <v>0.709902370990237</v>
      </c>
      <c r="W278" s="0" t="n">
        <v>0.411436541143654</v>
      </c>
      <c r="X278" s="0" t="n">
        <v>0.259256820099222</v>
      </c>
      <c r="Y278" s="0" t="n">
        <v>8.20138988615303</v>
      </c>
      <c r="Z278" s="0" t="n">
        <v>0.49093037612683</v>
      </c>
      <c r="AA278" s="0" t="n">
        <v>0</v>
      </c>
    </row>
    <row r="279" customFormat="false" ht="15" hidden="false" customHeight="false" outlineLevel="0" collapsed="false">
      <c r="A279" s="0" t="s">
        <v>313</v>
      </c>
      <c r="B279" s="0" t="s">
        <v>3013</v>
      </c>
      <c r="C279" s="0" t="s">
        <v>3038</v>
      </c>
      <c r="D279" s="0" t="n">
        <v>30.4002325011938</v>
      </c>
      <c r="E279" s="0" t="n">
        <v>0.265141067200441</v>
      </c>
      <c r="F279" s="0" t="n">
        <v>5.14501464238002</v>
      </c>
      <c r="G279" s="0" t="n">
        <v>0.37171464330413</v>
      </c>
      <c r="H279" s="0" t="n">
        <v>0.150187734668335</v>
      </c>
      <c r="I279" s="0" t="n">
        <v>0.599256159925616</v>
      </c>
      <c r="J279" s="0" t="n">
        <v>0.32861218317411</v>
      </c>
      <c r="K279" s="0" t="n">
        <v>0.667715717403612</v>
      </c>
      <c r="L279" s="1" t="b">
        <f aca="false">FALSE()</f>
        <v>0</v>
      </c>
      <c r="N279" s="0" t="n">
        <v>8.22723426056746</v>
      </c>
      <c r="O279" s="0" t="n">
        <v>0</v>
      </c>
      <c r="P279" s="0" t="n">
        <v>0</v>
      </c>
      <c r="Q279" s="0" t="n">
        <v>0</v>
      </c>
      <c r="R279" s="0" t="n">
        <v>17.3238739481941</v>
      </c>
      <c r="S279" s="0" t="n">
        <v>4.79882648784577</v>
      </c>
      <c r="T279" s="0" t="n">
        <v>0.209555741827326</v>
      </c>
      <c r="U279" s="0" t="n">
        <v>0.751743375174338</v>
      </c>
      <c r="V279" s="0" t="n">
        <v>0.673640167364017</v>
      </c>
      <c r="W279" s="0" t="n">
        <v>0.372384937238494</v>
      </c>
      <c r="X279" s="0" t="n">
        <v>0.265141067200441</v>
      </c>
      <c r="Y279" s="0" t="n">
        <v>5.14501464238003</v>
      </c>
      <c r="Z279" s="0" t="n">
        <v>0.32861218317411</v>
      </c>
      <c r="AA279" s="0" t="n">
        <v>-5.55111512312578E-017</v>
      </c>
    </row>
    <row r="280" customFormat="false" ht="15" hidden="false" customHeight="false" outlineLevel="0" collapsed="false">
      <c r="A280" s="0" t="s">
        <v>314</v>
      </c>
      <c r="B280" s="0" t="s">
        <v>3013</v>
      </c>
      <c r="C280" s="0" t="s">
        <v>3038</v>
      </c>
      <c r="D280" s="0" t="n">
        <v>64.1946249914781</v>
      </c>
      <c r="E280" s="0" t="n">
        <v>0.146507009771636</v>
      </c>
      <c r="F280" s="0" t="n">
        <v>7.02249683191898</v>
      </c>
      <c r="G280" s="0" t="n">
        <v>0.0187734668335419</v>
      </c>
      <c r="H280" s="0" t="n">
        <v>0.4180225281602</v>
      </c>
      <c r="I280" s="0" t="n">
        <v>0.9628079962808</v>
      </c>
      <c r="J280" s="0" t="n">
        <v>0.367279997253657</v>
      </c>
      <c r="K280" s="0" t="n">
        <v>0.667715717403612</v>
      </c>
      <c r="L280" s="1" t="b">
        <f aca="false">FALSE()</f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49.1856101290137</v>
      </c>
      <c r="S280" s="0" t="n">
        <v>20.7824838478105</v>
      </c>
      <c r="T280" s="0" t="n">
        <v>0.502512562814072</v>
      </c>
      <c r="U280" s="0" t="n">
        <v>0.97350069735007</v>
      </c>
      <c r="V280" s="0" t="n">
        <v>0.96234309623431</v>
      </c>
      <c r="W280" s="0" t="n">
        <v>0.95258019525802</v>
      </c>
      <c r="X280" s="0" t="n">
        <v>0.146507009771636</v>
      </c>
      <c r="Y280" s="0" t="n">
        <v>7.02249683191898</v>
      </c>
      <c r="Z280" s="0" t="n">
        <v>0.367279997253657</v>
      </c>
      <c r="AA280" s="0" t="n">
        <v>0</v>
      </c>
    </row>
    <row r="281" customFormat="false" ht="15" hidden="false" customHeight="false" outlineLevel="0" collapsed="false">
      <c r="A281" s="0" t="s">
        <v>315</v>
      </c>
      <c r="B281" s="0" t="s">
        <v>3013</v>
      </c>
      <c r="C281" s="0" t="s">
        <v>3038</v>
      </c>
      <c r="D281" s="0" t="n">
        <v>42.7388893923691</v>
      </c>
      <c r="E281" s="0" t="n">
        <v>0.254055200219537</v>
      </c>
      <c r="F281" s="0" t="n">
        <v>7.64227477194199</v>
      </c>
      <c r="G281" s="0" t="n">
        <v>0.294117647058824</v>
      </c>
      <c r="H281" s="0" t="n">
        <v>0.503128911138924</v>
      </c>
      <c r="I281" s="0" t="n">
        <v>0.598326359832636</v>
      </c>
      <c r="J281" s="0" t="n">
        <v>0.438563895245626</v>
      </c>
      <c r="K281" s="0" t="n">
        <v>0.667715717403612</v>
      </c>
      <c r="L281" s="1" t="b">
        <f aca="false">FALSE()</f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20.2843644285719</v>
      </c>
      <c r="S281" s="0" t="n">
        <v>3.1288766368022</v>
      </c>
      <c r="T281" s="0" t="n">
        <v>0.234321157822198</v>
      </c>
      <c r="U281" s="0" t="n">
        <v>0.793584379358438</v>
      </c>
      <c r="V281" s="0" t="n">
        <v>0.482566248256625</v>
      </c>
      <c r="W281" s="0" t="n">
        <v>0.518828451882845</v>
      </c>
      <c r="X281" s="0" t="n">
        <v>0.254055200219537</v>
      </c>
      <c r="Y281" s="0" t="n">
        <v>7.64227477194199</v>
      </c>
      <c r="Z281" s="0" t="n">
        <v>0.438563895245626</v>
      </c>
      <c r="AA281" s="0" t="n">
        <v>0</v>
      </c>
    </row>
    <row r="282" customFormat="false" ht="15" hidden="false" customHeight="false" outlineLevel="0" collapsed="false">
      <c r="A282" s="0" t="s">
        <v>316</v>
      </c>
      <c r="B282" s="0" t="s">
        <v>3013</v>
      </c>
      <c r="C282" s="0" t="s">
        <v>3038</v>
      </c>
      <c r="D282" s="0" t="n">
        <v>38.9543392495839</v>
      </c>
      <c r="E282" s="0" t="n">
        <v>0.174842387748662</v>
      </c>
      <c r="F282" s="0" t="n">
        <v>4.68163261360089</v>
      </c>
      <c r="G282" s="0" t="n">
        <v>0.0513141426783479</v>
      </c>
      <c r="H282" s="0" t="n">
        <v>0.101376720901126</v>
      </c>
      <c r="I282" s="0" t="n">
        <v>0.752208275220828</v>
      </c>
      <c r="J282" s="0" t="n">
        <v>0.211518000475955</v>
      </c>
      <c r="K282" s="0" t="n">
        <v>0.667715717403612</v>
      </c>
      <c r="L282" s="1" t="b">
        <f aca="false">FALSE()</f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51.3688320166302</v>
      </c>
      <c r="S282" s="0" t="n">
        <v>13.7823294566915</v>
      </c>
      <c r="T282" s="0" t="n">
        <v>0.208297170630097</v>
      </c>
      <c r="U282" s="0" t="n">
        <v>0.97489539748954</v>
      </c>
      <c r="V282" s="0" t="n">
        <v>0.916317991631799</v>
      </c>
      <c r="W282" s="0" t="n">
        <v>0.365411436541144</v>
      </c>
      <c r="X282" s="0" t="n">
        <v>0.174842387748662</v>
      </c>
      <c r="Y282" s="0" t="n">
        <v>4.68163261360089</v>
      </c>
      <c r="Z282" s="0" t="n">
        <v>0.211518000475955</v>
      </c>
      <c r="AA282" s="0" t="n">
        <v>-2.77555756156289E-017</v>
      </c>
    </row>
    <row r="283" customFormat="false" ht="15" hidden="false" customHeight="false" outlineLevel="0" collapsed="false">
      <c r="A283" s="0" t="s">
        <v>317</v>
      </c>
      <c r="B283" s="0" t="s">
        <v>3013</v>
      </c>
      <c r="C283" s="0" t="s">
        <v>3033</v>
      </c>
      <c r="D283" s="0" t="n">
        <v>-0.905656392420815</v>
      </c>
      <c r="E283" s="0" t="n">
        <v>0.277519055192104</v>
      </c>
      <c r="F283" s="0" t="n">
        <v>6.84816930253595</v>
      </c>
      <c r="G283" s="0" t="n">
        <v>0.446808510638298</v>
      </c>
      <c r="H283" s="0" t="n">
        <v>0.401752190237797</v>
      </c>
      <c r="I283" s="0" t="n">
        <v>0.186889818688982</v>
      </c>
      <c r="J283" s="0" t="n">
        <v>0.376802244088234</v>
      </c>
      <c r="K283" s="0" t="n">
        <v>0.667715717403612</v>
      </c>
      <c r="L283" s="1" t="b">
        <f aca="false">FALSE()</f>
        <v>0</v>
      </c>
      <c r="N283" s="0" t="n">
        <v>0</v>
      </c>
      <c r="O283" s="0" t="n">
        <v>0</v>
      </c>
      <c r="P283" s="0" t="n">
        <v>1</v>
      </c>
      <c r="Q283" s="0" t="n">
        <v>0.905656392420815</v>
      </c>
      <c r="R283" s="0" t="n">
        <v>5.34592876078112</v>
      </c>
      <c r="S283" s="0" t="n">
        <v>1.14757860913473</v>
      </c>
      <c r="T283" s="0" t="n">
        <v>0.206564149644245</v>
      </c>
      <c r="U283" s="0" t="n">
        <v>0.156206415620642</v>
      </c>
      <c r="V283" s="0" t="n">
        <v>0.0502092050209205</v>
      </c>
      <c r="W283" s="0" t="n">
        <v>0.354253835425384</v>
      </c>
      <c r="X283" s="0" t="n">
        <v>0.277519055192104</v>
      </c>
      <c r="Y283" s="0" t="n">
        <v>6.84816930253595</v>
      </c>
      <c r="Z283" s="0" t="n">
        <v>0.376802244088234</v>
      </c>
      <c r="AA283" s="0" t="n">
        <v>5.55111512312578E-017</v>
      </c>
    </row>
    <row r="284" customFormat="false" ht="15" hidden="false" customHeight="false" outlineLevel="0" collapsed="false">
      <c r="A284" s="0" t="s">
        <v>318</v>
      </c>
      <c r="B284" s="0" t="s">
        <v>3013</v>
      </c>
      <c r="C284" s="0" t="s">
        <v>3033</v>
      </c>
      <c r="D284" s="0" t="n">
        <v>-42.3967276223243</v>
      </c>
      <c r="E284" s="0" t="n">
        <v>0.326016659508498</v>
      </c>
      <c r="F284" s="0" t="n">
        <v>10.317180584395</v>
      </c>
      <c r="G284" s="0" t="n">
        <v>0.712140175219024</v>
      </c>
      <c r="H284" s="0" t="n">
        <v>0.823529411764706</v>
      </c>
      <c r="I284" s="0" t="n">
        <v>0.319386331938633</v>
      </c>
      <c r="J284" s="0" t="n">
        <v>0.678145101181218</v>
      </c>
      <c r="K284" s="0" t="n">
        <v>0.667715717403612</v>
      </c>
      <c r="L284" s="1" t="b">
        <f aca="false">TRUE()</f>
        <v>1</v>
      </c>
      <c r="M284" s="0" t="s">
        <v>3035</v>
      </c>
      <c r="N284" s="0" t="n">
        <v>0.905656392420497</v>
      </c>
      <c r="O284" s="0" t="n">
        <v>1</v>
      </c>
      <c r="P284" s="0" t="n">
        <v>1</v>
      </c>
      <c r="Q284" s="0" t="n">
        <v>42.3967276223243</v>
      </c>
      <c r="R284" s="0" t="n">
        <v>7.85709552524256</v>
      </c>
      <c r="S284" s="0" t="n">
        <v>2.0488352511928</v>
      </c>
      <c r="T284" s="0" t="n">
        <v>0.196463654223965</v>
      </c>
      <c r="U284" s="0" t="n">
        <v>0.373779637377964</v>
      </c>
      <c r="V284" s="0" t="n">
        <v>0.285913528591353</v>
      </c>
      <c r="W284" s="0" t="n">
        <v>0.298465829846583</v>
      </c>
      <c r="X284" s="0" t="n">
        <v>0.326016659508498</v>
      </c>
      <c r="Y284" s="0" t="n">
        <v>10.317180584395</v>
      </c>
      <c r="Z284" s="0" t="n">
        <v>0.678145101181218</v>
      </c>
      <c r="AA284" s="0" t="n">
        <v>0</v>
      </c>
    </row>
    <row r="285" customFormat="false" ht="15" hidden="false" customHeight="false" outlineLevel="0" collapsed="false">
      <c r="A285" s="0" t="s">
        <v>319</v>
      </c>
      <c r="B285" s="0" t="s">
        <v>3013</v>
      </c>
      <c r="C285" s="0" t="s">
        <v>3038</v>
      </c>
      <c r="D285" s="0" t="n">
        <v>42.500379848937</v>
      </c>
      <c r="E285" s="0" t="n">
        <v>0.175886327870238</v>
      </c>
      <c r="F285" s="0" t="n">
        <v>7.05578475595134</v>
      </c>
      <c r="G285" s="0" t="n">
        <v>0.0550688360450563</v>
      </c>
      <c r="H285" s="0" t="n">
        <v>0.423028785982478</v>
      </c>
      <c r="I285" s="0" t="n">
        <v>0.936773593677359</v>
      </c>
      <c r="J285" s="0" t="n">
        <v>0.378593767546486</v>
      </c>
      <c r="K285" s="0" t="n">
        <v>0.667715717403612</v>
      </c>
      <c r="L285" s="1" t="b">
        <f aca="false">FALSE()</f>
        <v>0</v>
      </c>
      <c r="N285" s="0" t="n">
        <v>43.3023840147453</v>
      </c>
      <c r="O285" s="0" t="n">
        <v>2</v>
      </c>
      <c r="P285" s="0" t="n">
        <v>0</v>
      </c>
      <c r="Q285" s="0" t="n">
        <v>0</v>
      </c>
      <c r="R285" s="0" t="n">
        <v>31.6954261825312</v>
      </c>
      <c r="S285" s="0" t="n">
        <v>15.7264957264957</v>
      </c>
      <c r="T285" s="0" t="n">
        <v>0.512820512820514</v>
      </c>
      <c r="U285" s="0" t="n">
        <v>0.914923291492329</v>
      </c>
      <c r="V285" s="0" t="n">
        <v>0.937238493723849</v>
      </c>
      <c r="W285" s="0" t="n">
        <v>0.9581589958159</v>
      </c>
      <c r="X285" s="0" t="n">
        <v>0.175886327870238</v>
      </c>
      <c r="Y285" s="0" t="n">
        <v>7.05578475595134</v>
      </c>
      <c r="Z285" s="0" t="n">
        <v>0.378593767546486</v>
      </c>
      <c r="AA285" s="0" t="n">
        <v>-5.55111512312578E-017</v>
      </c>
    </row>
    <row r="286" customFormat="false" ht="15" hidden="false" customHeight="false" outlineLevel="0" collapsed="false">
      <c r="A286" s="0" t="s">
        <v>320</v>
      </c>
      <c r="B286" s="0" t="s">
        <v>3013</v>
      </c>
      <c r="C286" s="0" t="s">
        <v>3033</v>
      </c>
      <c r="D286" s="0" t="n">
        <v>17.6055576506352</v>
      </c>
      <c r="E286" s="0" t="n">
        <v>0.31979278948337</v>
      </c>
      <c r="F286" s="0" t="n">
        <v>6.44327581444731</v>
      </c>
      <c r="G286" s="0" t="n">
        <v>0.667083854818523</v>
      </c>
      <c r="H286" s="0" t="n">
        <v>0.331664580725907</v>
      </c>
      <c r="I286" s="0" t="n">
        <v>0.108321710832171</v>
      </c>
      <c r="J286" s="0" t="n">
        <v>0.421163716384207</v>
      </c>
      <c r="K286" s="0" t="n">
        <v>0.667715717403612</v>
      </c>
      <c r="L286" s="1" t="b">
        <f aca="false">FALSE()</f>
        <v>0</v>
      </c>
      <c r="N286" s="0" t="n">
        <v>0.802004165808285</v>
      </c>
      <c r="O286" s="0" t="n">
        <v>0</v>
      </c>
      <c r="P286" s="0" t="n">
        <v>0</v>
      </c>
      <c r="Q286" s="0" t="n">
        <v>0</v>
      </c>
      <c r="R286" s="0" t="n">
        <v>5.77846125168995</v>
      </c>
      <c r="S286" s="0" t="n">
        <v>1.23158657329148</v>
      </c>
      <c r="T286" s="0" t="n">
        <v>0.120743781695243</v>
      </c>
      <c r="U286" s="0" t="n">
        <v>0.203626220362622</v>
      </c>
      <c r="V286" s="0" t="n">
        <v>0.0794979079497908</v>
      </c>
      <c r="W286" s="0" t="n">
        <v>0.0418410041841004</v>
      </c>
      <c r="X286" s="0" t="n">
        <v>0.31979278948337</v>
      </c>
      <c r="Y286" s="0" t="n">
        <v>6.44327581444731</v>
      </c>
      <c r="Z286" s="0" t="n">
        <v>0.421163716384207</v>
      </c>
      <c r="AA286" s="0" t="n">
        <v>-5.55111512312578E-017</v>
      </c>
    </row>
    <row r="287" customFormat="false" ht="15" hidden="false" customHeight="false" outlineLevel="0" collapsed="false">
      <c r="A287" s="0" t="s">
        <v>321</v>
      </c>
      <c r="B287" s="0" t="s">
        <v>3013</v>
      </c>
      <c r="C287" s="0" t="s">
        <v>3036</v>
      </c>
      <c r="D287" s="0" t="n">
        <v>-10.7452164418522</v>
      </c>
      <c r="E287" s="0" t="n">
        <v>0.398145872410346</v>
      </c>
      <c r="F287" s="0" t="n">
        <v>10.6720104268834</v>
      </c>
      <c r="G287" s="0" t="n">
        <v>0.937421777221527</v>
      </c>
      <c r="H287" s="0" t="n">
        <v>0.856070087609512</v>
      </c>
      <c r="I287" s="0" t="n">
        <v>0.096699209669921</v>
      </c>
      <c r="J287" s="0" t="n">
        <v>0.7367365878664</v>
      </c>
      <c r="K287" s="0" t="n">
        <v>0.667715717403612</v>
      </c>
      <c r="L287" s="1" t="b">
        <f aca="false">TRUE()</f>
        <v>1</v>
      </c>
      <c r="M287" s="0" t="s">
        <v>3035</v>
      </c>
      <c r="N287" s="0" t="n">
        <v>0</v>
      </c>
      <c r="O287" s="0" t="n">
        <v>0</v>
      </c>
      <c r="P287" s="0" t="n">
        <v>1</v>
      </c>
      <c r="Q287" s="0" t="n">
        <v>10.7452164418522</v>
      </c>
      <c r="R287" s="0" t="n">
        <v>4.83952026704292</v>
      </c>
      <c r="S287" s="0" t="n">
        <v>1.20234604105571</v>
      </c>
      <c r="T287" s="0" t="n">
        <v>0.146627565982405</v>
      </c>
      <c r="U287" s="0" t="n">
        <v>0.121338912133891</v>
      </c>
      <c r="V287" s="0" t="n">
        <v>0.0711297071129707</v>
      </c>
      <c r="W287" s="0" t="n">
        <v>0.097629009762901</v>
      </c>
      <c r="X287" s="0" t="n">
        <v>0.398145872410346</v>
      </c>
      <c r="Y287" s="0" t="n">
        <v>10.6720104268834</v>
      </c>
      <c r="Z287" s="0" t="n">
        <v>0.7367365878664</v>
      </c>
      <c r="AA287" s="0" t="n">
        <v>0</v>
      </c>
    </row>
    <row r="288" customFormat="false" ht="15" hidden="false" customHeight="false" outlineLevel="0" collapsed="false">
      <c r="A288" s="0" t="s">
        <v>322</v>
      </c>
      <c r="B288" s="0" t="s">
        <v>3013</v>
      </c>
      <c r="C288" s="0" t="s">
        <v>3033</v>
      </c>
      <c r="D288" s="0" t="n">
        <v>13.4889410617207</v>
      </c>
      <c r="E288" s="0" t="n">
        <v>0.313009633896298</v>
      </c>
      <c r="F288" s="0" t="n">
        <v>11.2192491781674</v>
      </c>
      <c r="G288" s="0" t="n">
        <v>0.630788485607009</v>
      </c>
      <c r="H288" s="0" t="n">
        <v>0.892365456821026</v>
      </c>
      <c r="I288" s="0" t="n">
        <v>0.479776847977685</v>
      </c>
      <c r="J288" s="0" t="n">
        <v>0.705216946566751</v>
      </c>
      <c r="K288" s="0" t="n">
        <v>0.667715717403612</v>
      </c>
      <c r="L288" s="1" t="b">
        <f aca="false">TRUE()</f>
        <v>1</v>
      </c>
      <c r="M288" s="0" t="s">
        <v>3035</v>
      </c>
      <c r="N288" s="0" t="n">
        <v>10.7452164418519</v>
      </c>
      <c r="O288" s="0" t="n">
        <v>1</v>
      </c>
      <c r="P288" s="0" t="n">
        <v>0</v>
      </c>
      <c r="Q288" s="0" t="n">
        <v>0</v>
      </c>
      <c r="R288" s="0" t="n">
        <v>9.93939469711391</v>
      </c>
      <c r="S288" s="0" t="n">
        <v>6.11713665943602</v>
      </c>
      <c r="T288" s="0" t="n">
        <v>0.173535791757052</v>
      </c>
      <c r="U288" s="0" t="n">
        <v>0.503486750348675</v>
      </c>
      <c r="V288" s="0" t="n">
        <v>0.750348675034868</v>
      </c>
      <c r="W288" s="0" t="n">
        <v>0.185495118549512</v>
      </c>
      <c r="X288" s="0" t="n">
        <v>0.313009633896298</v>
      </c>
      <c r="Y288" s="0" t="n">
        <v>11.2192491781674</v>
      </c>
      <c r="Z288" s="0" t="n">
        <v>0.705216946566751</v>
      </c>
      <c r="AA288" s="0" t="n">
        <v>0</v>
      </c>
    </row>
    <row r="289" customFormat="false" ht="15" hidden="false" customHeight="false" outlineLevel="0" collapsed="false">
      <c r="A289" s="0" t="s">
        <v>323</v>
      </c>
      <c r="B289" s="0" t="s">
        <v>3013</v>
      </c>
      <c r="C289" s="0" t="s">
        <v>3033</v>
      </c>
      <c r="D289" s="0" t="n">
        <v>16.9927334940459</v>
      </c>
      <c r="E289" s="0" t="n">
        <v>0.2976709060543</v>
      </c>
      <c r="F289" s="0" t="n">
        <v>10.7956137390929</v>
      </c>
      <c r="G289" s="0" t="n">
        <v>0.555694618272841</v>
      </c>
      <c r="H289" s="0" t="n">
        <v>0.86107634543179</v>
      </c>
      <c r="I289" s="0" t="n">
        <v>0.431892143189214</v>
      </c>
      <c r="J289" s="0" t="n">
        <v>0.653086814119695</v>
      </c>
      <c r="K289" s="0" t="n">
        <v>0.667715717403612</v>
      </c>
      <c r="L289" s="1" t="b">
        <f aca="false">FALSE()</f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8.3302788977375</v>
      </c>
      <c r="S289" s="0" t="n">
        <v>3.21896002829854</v>
      </c>
      <c r="T289" s="0" t="n">
        <v>0.212239122744957</v>
      </c>
      <c r="U289" s="0" t="n">
        <v>0.404463040446304</v>
      </c>
      <c r="V289" s="0" t="n">
        <v>0.496513249651325</v>
      </c>
      <c r="W289" s="0" t="n">
        <v>0.394700139470014</v>
      </c>
      <c r="X289" s="0" t="n">
        <v>0.2976709060543</v>
      </c>
      <c r="Y289" s="0" t="n">
        <v>10.7956137390929</v>
      </c>
      <c r="Z289" s="0" t="n">
        <v>0.653086814119695</v>
      </c>
      <c r="AA289" s="0" t="n">
        <v>0</v>
      </c>
    </row>
    <row r="290" customFormat="false" ht="15" hidden="false" customHeight="false" outlineLevel="0" collapsed="false">
      <c r="A290" s="0" t="s">
        <v>324</v>
      </c>
      <c r="B290" s="0" t="s">
        <v>3013</v>
      </c>
      <c r="C290" s="0" t="s">
        <v>3033</v>
      </c>
      <c r="D290" s="0" t="n">
        <v>15.5253467030068</v>
      </c>
      <c r="E290" s="0" t="n">
        <v>0.269813035655717</v>
      </c>
      <c r="F290" s="0" t="n">
        <v>7.95423038490269</v>
      </c>
      <c r="G290" s="0" t="n">
        <v>0.387984981226533</v>
      </c>
      <c r="H290" s="0" t="n">
        <v>0.53441802252816</v>
      </c>
      <c r="I290" s="0" t="n">
        <v>0.535564853556485</v>
      </c>
      <c r="J290" s="0" t="n">
        <v>0.476074172213174</v>
      </c>
      <c r="K290" s="0" t="n">
        <v>0.667715717403612</v>
      </c>
      <c r="L290" s="1" t="b">
        <f aca="false">FALSE()</f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5.36557122113644</v>
      </c>
      <c r="S290" s="0" t="n">
        <v>5.76484018264838</v>
      </c>
      <c r="T290" s="0" t="n">
        <v>0.285388127853889</v>
      </c>
      <c r="U290" s="0" t="n">
        <v>0.158995815899582</v>
      </c>
      <c r="V290" s="0" t="n">
        <v>0.733612273361227</v>
      </c>
      <c r="W290" s="0" t="n">
        <v>0.714086471408647</v>
      </c>
      <c r="X290" s="0" t="n">
        <v>0.269813035655717</v>
      </c>
      <c r="Y290" s="0" t="n">
        <v>7.95423038490269</v>
      </c>
      <c r="Z290" s="0" t="n">
        <v>0.476074172213174</v>
      </c>
      <c r="AA290" s="0" t="n">
        <v>5.55111512312578E-017</v>
      </c>
    </row>
    <row r="291" customFormat="false" ht="15" hidden="false" customHeight="false" outlineLevel="0" collapsed="false">
      <c r="A291" s="0" t="s">
        <v>325</v>
      </c>
      <c r="B291" s="0" t="s">
        <v>3013</v>
      </c>
      <c r="C291" s="0" t="s">
        <v>3036</v>
      </c>
      <c r="D291" s="0" t="n">
        <v>-13.1736999799872</v>
      </c>
      <c r="E291" s="0" t="n">
        <v>0.27222963354225</v>
      </c>
      <c r="F291" s="0" t="n">
        <v>8.6210446609788</v>
      </c>
      <c r="G291" s="0" t="n">
        <v>0.404255319148936</v>
      </c>
      <c r="H291" s="0" t="n">
        <v>0.625782227784731</v>
      </c>
      <c r="I291" s="0" t="n">
        <v>0.236169223616922</v>
      </c>
      <c r="J291" s="0" t="n">
        <v>0.459248863496851</v>
      </c>
      <c r="K291" s="0" t="n">
        <v>0.667715717403612</v>
      </c>
      <c r="L291" s="1" t="b">
        <f aca="false">FALSE()</f>
        <v>0</v>
      </c>
      <c r="N291" s="0" t="n">
        <v>0</v>
      </c>
      <c r="O291" s="0" t="n">
        <v>0</v>
      </c>
      <c r="P291" s="0" t="n">
        <v>1</v>
      </c>
      <c r="Q291" s="0" t="n">
        <v>13.1736999799872</v>
      </c>
      <c r="R291" s="0" t="n">
        <v>6.81429982318756</v>
      </c>
      <c r="S291" s="0" t="n">
        <v>1.47888694298502</v>
      </c>
      <c r="T291" s="0" t="n">
        <v>0.194590387234871</v>
      </c>
      <c r="U291" s="0" t="n">
        <v>0.297071129707113</v>
      </c>
      <c r="V291" s="0" t="n">
        <v>0.129707112970711</v>
      </c>
      <c r="W291" s="0" t="n">
        <v>0.281729428172943</v>
      </c>
      <c r="X291" s="0" t="n">
        <v>0.27222963354225</v>
      </c>
      <c r="Y291" s="0" t="n">
        <v>8.6210446609788</v>
      </c>
      <c r="Z291" s="0" t="n">
        <v>0.459248863496851</v>
      </c>
      <c r="AA291" s="0" t="n">
        <v>5.55111512312578E-017</v>
      </c>
    </row>
    <row r="292" customFormat="false" ht="15" hidden="false" customHeight="false" outlineLevel="0" collapsed="false">
      <c r="A292" s="0" t="s">
        <v>326</v>
      </c>
      <c r="B292" s="0" t="s">
        <v>3013</v>
      </c>
      <c r="C292" s="0" t="s">
        <v>3033</v>
      </c>
      <c r="D292" s="0" t="n">
        <v>16.5082854297526</v>
      </c>
      <c r="E292" s="0" t="n">
        <v>0.323114428675019</v>
      </c>
      <c r="F292" s="0" t="n">
        <v>9.20311528445741</v>
      </c>
      <c r="G292" s="0" t="n">
        <v>0.693366708385482</v>
      </c>
      <c r="H292" s="0" t="n">
        <v>0.704630788485607</v>
      </c>
      <c r="I292" s="0" t="n">
        <v>0.235704323570432</v>
      </c>
      <c r="J292" s="0" t="n">
        <v>0.606339863462522</v>
      </c>
      <c r="K292" s="0" t="n">
        <v>0.667715717403612</v>
      </c>
      <c r="L292" s="1" t="b">
        <f aca="false">FALSE()</f>
        <v>0</v>
      </c>
      <c r="N292" s="0" t="n">
        <v>13.1736999799869</v>
      </c>
      <c r="O292" s="0" t="n">
        <v>1</v>
      </c>
      <c r="P292" s="0" t="n">
        <v>0</v>
      </c>
      <c r="Q292" s="0" t="n">
        <v>0</v>
      </c>
      <c r="R292" s="0" t="n">
        <v>9.56232145586919</v>
      </c>
      <c r="S292" s="0" t="n">
        <v>1.4553891584054</v>
      </c>
      <c r="T292" s="0" t="n">
        <v>0.147648175490412</v>
      </c>
      <c r="U292" s="0" t="n">
        <v>0.481171548117155</v>
      </c>
      <c r="V292" s="0" t="n">
        <v>0.122733612273361</v>
      </c>
      <c r="W292" s="0" t="n">
        <v>0.103207810320781</v>
      </c>
      <c r="X292" s="0" t="n">
        <v>0.323114428675019</v>
      </c>
      <c r="Y292" s="0" t="n">
        <v>9.20311528445741</v>
      </c>
      <c r="Z292" s="0" t="n">
        <v>0.606339863462522</v>
      </c>
      <c r="AA292" s="0" t="n">
        <v>0</v>
      </c>
    </row>
    <row r="293" customFormat="false" ht="15" hidden="false" customHeight="false" outlineLevel="0" collapsed="false">
      <c r="A293" s="0" t="s">
        <v>327</v>
      </c>
      <c r="B293" s="0" t="s">
        <v>3013</v>
      </c>
      <c r="C293" s="0" t="s">
        <v>3033</v>
      </c>
      <c r="D293" s="0" t="n">
        <v>24.24657713497</v>
      </c>
      <c r="E293" s="0" t="n">
        <v>0.283243496846875</v>
      </c>
      <c r="F293" s="0" t="n">
        <v>6.8033945084302</v>
      </c>
      <c r="G293" s="0" t="n">
        <v>0.474342928660826</v>
      </c>
      <c r="H293" s="0" t="n">
        <v>0.396745932415519</v>
      </c>
      <c r="I293" s="0" t="n">
        <v>0.290562529056253</v>
      </c>
      <c r="J293" s="0" t="n">
        <v>0.406548050241789</v>
      </c>
      <c r="K293" s="0" t="n">
        <v>0.667715717403612</v>
      </c>
      <c r="L293" s="1" t="b">
        <f aca="false">FALSE()</f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6.33212922367876</v>
      </c>
      <c r="S293" s="0" t="n">
        <v>3.22990844354018</v>
      </c>
      <c r="T293" s="0" t="n">
        <v>0.152594099694803</v>
      </c>
      <c r="U293" s="0" t="n">
        <v>0.253835425383543</v>
      </c>
      <c r="V293" s="0" t="n">
        <v>0.502092050209205</v>
      </c>
      <c r="W293" s="0" t="n">
        <v>0.115760111576011</v>
      </c>
      <c r="X293" s="0" t="n">
        <v>0.283243496846875</v>
      </c>
      <c r="Y293" s="0" t="n">
        <v>6.8033945084302</v>
      </c>
      <c r="Z293" s="0" t="n">
        <v>0.406548050241789</v>
      </c>
      <c r="AA293" s="0" t="n">
        <v>-5.55111512312578E-017</v>
      </c>
    </row>
    <row r="294" customFormat="false" ht="15" hidden="false" customHeight="false" outlineLevel="0" collapsed="false">
      <c r="A294" s="0" t="s">
        <v>328</v>
      </c>
      <c r="B294" s="0" t="s">
        <v>3013</v>
      </c>
      <c r="C294" s="0" t="s">
        <v>3033</v>
      </c>
      <c r="D294" s="0" t="n">
        <v>-37.9246472805519</v>
      </c>
      <c r="E294" s="0" t="n">
        <v>0.311822888542596</v>
      </c>
      <c r="F294" s="0" t="n">
        <v>9.78479380588757</v>
      </c>
      <c r="G294" s="0" t="n">
        <v>0.624530663329161</v>
      </c>
      <c r="H294" s="0" t="n">
        <v>0.763454317897372</v>
      </c>
      <c r="I294" s="0" t="n">
        <v>0.539284053928405</v>
      </c>
      <c r="J294" s="0" t="n">
        <v>0.663050803276294</v>
      </c>
      <c r="K294" s="0" t="n">
        <v>0.667715717403612</v>
      </c>
      <c r="L294" s="1" t="b">
        <f aca="false">FALSE()</f>
        <v>0</v>
      </c>
      <c r="N294" s="0" t="n">
        <v>0</v>
      </c>
      <c r="O294" s="0" t="n">
        <v>0</v>
      </c>
      <c r="P294" s="0" t="n">
        <v>1</v>
      </c>
      <c r="Q294" s="0" t="n">
        <v>37.9246472805519</v>
      </c>
      <c r="R294" s="0" t="n">
        <v>12.7326358678352</v>
      </c>
      <c r="S294" s="0" t="n">
        <v>2.63729444616817</v>
      </c>
      <c r="T294" s="0" t="n">
        <v>0.248215947874655</v>
      </c>
      <c r="U294" s="0" t="n">
        <v>0.624825662482566</v>
      </c>
      <c r="V294" s="0" t="n">
        <v>0.414225941422594</v>
      </c>
      <c r="W294" s="0" t="n">
        <v>0.578800557880056</v>
      </c>
      <c r="X294" s="0" t="n">
        <v>0.311822888542596</v>
      </c>
      <c r="Y294" s="0" t="n">
        <v>9.78479380588757</v>
      </c>
      <c r="Z294" s="0" t="n">
        <v>0.663050803276294</v>
      </c>
      <c r="AA294" s="0" t="n">
        <v>0</v>
      </c>
    </row>
    <row r="295" customFormat="false" ht="15" hidden="false" customHeight="false" outlineLevel="0" collapsed="false">
      <c r="A295" s="0" t="s">
        <v>329</v>
      </c>
      <c r="B295" s="0" t="s">
        <v>3013</v>
      </c>
      <c r="C295" s="0" t="s">
        <v>3033</v>
      </c>
      <c r="D295" s="0" t="n">
        <v>21.0902744335796</v>
      </c>
      <c r="E295" s="0" t="n">
        <v>0.315746050709386</v>
      </c>
      <c r="F295" s="0" t="n">
        <v>12.1616264857528</v>
      </c>
      <c r="G295" s="0" t="n">
        <v>0.640801001251565</v>
      </c>
      <c r="H295" s="0" t="n">
        <v>0.927409261576971</v>
      </c>
      <c r="I295" s="0" t="n">
        <v>0.288238028823803</v>
      </c>
      <c r="J295" s="0" t="n">
        <v>0.684931710896175</v>
      </c>
      <c r="K295" s="0" t="n">
        <v>0.667715717403612</v>
      </c>
      <c r="L295" s="1" t="b">
        <f aca="false">TRUE()</f>
        <v>1</v>
      </c>
      <c r="M295" s="0" t="s">
        <v>3035</v>
      </c>
      <c r="N295" s="0" t="n">
        <v>37.9246472805517</v>
      </c>
      <c r="O295" s="0" t="n">
        <v>1</v>
      </c>
      <c r="P295" s="0" t="n">
        <v>0</v>
      </c>
      <c r="Q295" s="0" t="n">
        <v>0</v>
      </c>
      <c r="R295" s="0" t="n">
        <v>4.17084992984035</v>
      </c>
      <c r="S295" s="0" t="n">
        <v>4.76915271435818</v>
      </c>
      <c r="T295" s="0" t="n">
        <v>0.152207001522061</v>
      </c>
      <c r="U295" s="0" t="n">
        <v>0.0822873082287308</v>
      </c>
      <c r="V295" s="0" t="n">
        <v>0.669456066945607</v>
      </c>
      <c r="W295" s="0" t="n">
        <v>0.112970711297071</v>
      </c>
      <c r="X295" s="0" t="n">
        <v>0.315746050709386</v>
      </c>
      <c r="Y295" s="0" t="n">
        <v>12.1616264857528</v>
      </c>
      <c r="Z295" s="0" t="n">
        <v>0.684931710896175</v>
      </c>
      <c r="AA295" s="0" t="n">
        <v>0</v>
      </c>
    </row>
    <row r="296" customFormat="false" ht="15" hidden="false" customHeight="false" outlineLevel="0" collapsed="false">
      <c r="A296" s="0" t="s">
        <v>330</v>
      </c>
      <c r="B296" s="0" t="s">
        <v>3013</v>
      </c>
      <c r="C296" s="0" t="s">
        <v>3033</v>
      </c>
      <c r="D296" s="0" t="n">
        <v>-8.55094144383007</v>
      </c>
      <c r="E296" s="0" t="n">
        <v>0.282383385727731</v>
      </c>
      <c r="F296" s="0" t="n">
        <v>6.08191774044665</v>
      </c>
      <c r="G296" s="0" t="n">
        <v>0.471839799749687</v>
      </c>
      <c r="H296" s="0" t="n">
        <v>0.276595744680851</v>
      </c>
      <c r="I296" s="0" t="n">
        <v>0.373779637377964</v>
      </c>
      <c r="J296" s="0" t="n">
        <v>0.374130145247808</v>
      </c>
      <c r="K296" s="0" t="n">
        <v>0.667715717403612</v>
      </c>
      <c r="L296" s="1" t="b">
        <f aca="false">FALSE()</f>
        <v>0</v>
      </c>
      <c r="N296" s="0" t="n">
        <v>16.8343728469718</v>
      </c>
      <c r="O296" s="0" t="n">
        <v>0</v>
      </c>
      <c r="P296" s="0" t="n">
        <v>1</v>
      </c>
      <c r="Q296" s="0" t="n">
        <v>8.55094144383007</v>
      </c>
      <c r="R296" s="0" t="n">
        <v>9.43699359384411</v>
      </c>
      <c r="S296" s="0" t="n">
        <v>2.45133381398702</v>
      </c>
      <c r="T296" s="0" t="n">
        <v>0.192261475606828</v>
      </c>
      <c r="U296" s="0" t="n">
        <v>0.472803347280335</v>
      </c>
      <c r="V296" s="0" t="n">
        <v>0.377963737796374</v>
      </c>
      <c r="W296" s="0" t="n">
        <v>0.270571827057183</v>
      </c>
      <c r="X296" s="0" t="n">
        <v>0.282383385727731</v>
      </c>
      <c r="Y296" s="0" t="n">
        <v>6.08191774044665</v>
      </c>
      <c r="Z296" s="0" t="n">
        <v>0.374130145247808</v>
      </c>
      <c r="AA296" s="0" t="n">
        <v>0</v>
      </c>
    </row>
    <row r="297" customFormat="false" ht="15" hidden="false" customHeight="false" outlineLevel="0" collapsed="false">
      <c r="A297" s="0" t="s">
        <v>331</v>
      </c>
      <c r="B297" s="0" t="s">
        <v>3013</v>
      </c>
      <c r="C297" s="0" t="s">
        <v>3033</v>
      </c>
      <c r="D297" s="0" t="n">
        <v>10.4447566919777</v>
      </c>
      <c r="E297" s="0" t="n">
        <v>0.274320184400033</v>
      </c>
      <c r="F297" s="0" t="n">
        <v>9.27032413861088</v>
      </c>
      <c r="G297" s="0" t="n">
        <v>0.416770963704631</v>
      </c>
      <c r="H297" s="0" t="n">
        <v>0.712140175219024</v>
      </c>
      <c r="I297" s="0" t="n">
        <v>0.622966062296606</v>
      </c>
      <c r="J297" s="0" t="n">
        <v>0.576157668028783</v>
      </c>
      <c r="K297" s="0" t="n">
        <v>0.667715717403612</v>
      </c>
      <c r="L297" s="1" t="b">
        <f aca="false">FALSE()</f>
        <v>0</v>
      </c>
      <c r="N297" s="0" t="n">
        <v>25.3853142908019</v>
      </c>
      <c r="O297" s="0" t="n">
        <v>1</v>
      </c>
      <c r="P297" s="0" t="n">
        <v>0</v>
      </c>
      <c r="Q297" s="0" t="n">
        <v>0</v>
      </c>
      <c r="R297" s="0" t="n">
        <v>19.2023123384205</v>
      </c>
      <c r="S297" s="0" t="n">
        <v>4.25112612612612</v>
      </c>
      <c r="T297" s="0" t="n">
        <v>0.225225225225228</v>
      </c>
      <c r="U297" s="0" t="n">
        <v>0.778242677824268</v>
      </c>
      <c r="V297" s="0" t="n">
        <v>0.620641562064156</v>
      </c>
      <c r="W297" s="0" t="n">
        <v>0.470013947001395</v>
      </c>
      <c r="X297" s="0" t="n">
        <v>0.274320184400033</v>
      </c>
      <c r="Y297" s="0" t="n">
        <v>9.27032413861088</v>
      </c>
      <c r="Z297" s="0" t="n">
        <v>0.576157668028783</v>
      </c>
      <c r="AA297" s="0" t="n">
        <v>0</v>
      </c>
    </row>
    <row r="298" customFormat="false" ht="15" hidden="false" customHeight="false" outlineLevel="0" collapsed="false">
      <c r="A298" s="0" t="s">
        <v>332</v>
      </c>
      <c r="B298" s="0" t="s">
        <v>3013</v>
      </c>
      <c r="C298" s="0" t="s">
        <v>3033</v>
      </c>
      <c r="D298" s="0" t="n">
        <v>-44.693575182715</v>
      </c>
      <c r="E298" s="0" t="n">
        <v>0.315779500080928</v>
      </c>
      <c r="F298" s="0" t="n">
        <v>10.8448202553007</v>
      </c>
      <c r="G298" s="0" t="n">
        <v>0.642052565707134</v>
      </c>
      <c r="H298" s="0" t="n">
        <v>0.866082603254068</v>
      </c>
      <c r="I298" s="0" t="n">
        <v>0.337052533705253</v>
      </c>
      <c r="J298" s="0" t="n">
        <v>0.670664574325531</v>
      </c>
      <c r="K298" s="0" t="n">
        <v>0.667715717403612</v>
      </c>
      <c r="L298" s="1" t="b">
        <f aca="false">TRUE()</f>
        <v>1</v>
      </c>
      <c r="M298" s="0" t="s">
        <v>3035</v>
      </c>
      <c r="N298" s="0" t="n">
        <v>14.9405575988239</v>
      </c>
      <c r="O298" s="0" t="n">
        <v>0</v>
      </c>
      <c r="P298" s="0" t="n">
        <v>1</v>
      </c>
      <c r="Q298" s="0" t="n">
        <v>44.693575182715</v>
      </c>
      <c r="R298" s="0" t="n">
        <v>2.94739613290056</v>
      </c>
      <c r="S298" s="0" t="n">
        <v>2.86669851887243</v>
      </c>
      <c r="T298" s="0" t="n">
        <v>0.238891543239369</v>
      </c>
      <c r="U298" s="0" t="n">
        <v>0.0237099023709902</v>
      </c>
      <c r="V298" s="0" t="n">
        <v>0.451882845188285</v>
      </c>
      <c r="W298" s="0" t="n">
        <v>0.535564853556485</v>
      </c>
      <c r="X298" s="0" t="n">
        <v>0.315779500080928</v>
      </c>
      <c r="Y298" s="0" t="n">
        <v>10.8448202553007</v>
      </c>
      <c r="Z298" s="0" t="n">
        <v>0.670664574325531</v>
      </c>
      <c r="AA298" s="0" t="n">
        <v>0</v>
      </c>
    </row>
    <row r="299" customFormat="false" ht="15" hidden="false" customHeight="false" outlineLevel="0" collapsed="false">
      <c r="A299" s="0" t="s">
        <v>333</v>
      </c>
      <c r="B299" s="0" t="s">
        <v>3013</v>
      </c>
      <c r="C299" s="0" t="s">
        <v>3033</v>
      </c>
      <c r="D299" s="0" t="n">
        <v>31.6384269286022</v>
      </c>
      <c r="E299" s="0" t="n">
        <v>0.283284450584341</v>
      </c>
      <c r="F299" s="0" t="n">
        <v>9.73104362463391</v>
      </c>
      <c r="G299" s="0" t="n">
        <v>0.475594493116396</v>
      </c>
      <c r="H299" s="0" t="n">
        <v>0.755944931163955</v>
      </c>
      <c r="I299" s="0" t="n">
        <v>0.48791259879126</v>
      </c>
      <c r="J299" s="0" t="n">
        <v>0.590198289470392</v>
      </c>
      <c r="K299" s="0" t="n">
        <v>0.667715717403612</v>
      </c>
      <c r="L299" s="1" t="b">
        <f aca="false">FALSE()</f>
        <v>0</v>
      </c>
      <c r="N299" s="0" t="n">
        <v>59.6341327815389</v>
      </c>
      <c r="O299" s="0" t="n">
        <v>1</v>
      </c>
      <c r="P299" s="0" t="n">
        <v>0</v>
      </c>
      <c r="Q299" s="0" t="n">
        <v>0</v>
      </c>
      <c r="R299" s="0" t="n">
        <v>18.331229905604</v>
      </c>
      <c r="S299" s="0" t="n">
        <v>2.39959585753977</v>
      </c>
      <c r="T299" s="0" t="n">
        <v>0.202071230108616</v>
      </c>
      <c r="U299" s="0" t="n">
        <v>0.768479776847978</v>
      </c>
      <c r="V299" s="0" t="n">
        <v>0.369595536959554</v>
      </c>
      <c r="W299" s="0" t="n">
        <v>0.325662482566248</v>
      </c>
      <c r="X299" s="0" t="n">
        <v>0.283284450584341</v>
      </c>
      <c r="Y299" s="0" t="n">
        <v>9.73104362463391</v>
      </c>
      <c r="Z299" s="0" t="n">
        <v>0.590198289470392</v>
      </c>
      <c r="AA299" s="0" t="n">
        <v>0</v>
      </c>
    </row>
    <row r="300" customFormat="false" ht="15" hidden="false" customHeight="false" outlineLevel="0" collapsed="false">
      <c r="A300" s="0" t="s">
        <v>334</v>
      </c>
      <c r="B300" s="0" t="s">
        <v>33</v>
      </c>
      <c r="C300" s="0" t="s">
        <v>33</v>
      </c>
      <c r="D300" s="0" t="n">
        <v>34.0608558978268</v>
      </c>
      <c r="E300" s="0" t="n">
        <v>0.349750376061569</v>
      </c>
      <c r="F300" s="0" t="n">
        <v>10.8398848072261</v>
      </c>
      <c r="G300" s="0" t="n">
        <v>0.81476846057572</v>
      </c>
      <c r="H300" s="0" t="n">
        <v>0.863579474342929</v>
      </c>
      <c r="I300" s="0" t="n">
        <v>0.5</v>
      </c>
      <c r="J300" s="0" t="n">
        <v>0.771339173967459</v>
      </c>
      <c r="K300" s="0" t="n">
        <v>0.667715717403612</v>
      </c>
      <c r="L300" s="1" t="b">
        <f aca="false">TRUE()</f>
        <v>1</v>
      </c>
      <c r="M300" s="0" t="s">
        <v>3035</v>
      </c>
      <c r="N300" s="0" t="n">
        <v>27.9957058529371</v>
      </c>
      <c r="O300" s="0" t="n">
        <v>0</v>
      </c>
      <c r="P300" s="0" t="n">
        <v>0</v>
      </c>
      <c r="Q300" s="0" t="n">
        <v>0</v>
      </c>
      <c r="U300" s="0" t="n">
        <v>0.5</v>
      </c>
      <c r="V300" s="0" t="n">
        <v>0.5</v>
      </c>
      <c r="W300" s="0" t="n">
        <v>0.5</v>
      </c>
      <c r="X300" s="0" t="n">
        <v>0.349750376061569</v>
      </c>
      <c r="Y300" s="0" t="n">
        <v>10.8398848072261</v>
      </c>
      <c r="Z300" s="0" t="n">
        <v>0.771339173967459</v>
      </c>
      <c r="AA300" s="0" t="n">
        <v>0</v>
      </c>
    </row>
    <row r="301" customFormat="false" ht="15" hidden="false" customHeight="false" outlineLevel="0" collapsed="false">
      <c r="A301" s="0" t="s">
        <v>335</v>
      </c>
      <c r="B301" s="0" t="s">
        <v>3013</v>
      </c>
      <c r="C301" s="0" t="s">
        <v>3033</v>
      </c>
      <c r="D301" s="0" t="n">
        <v>34.6586398022528</v>
      </c>
      <c r="E301" s="0" t="n">
        <v>0.275679683024153</v>
      </c>
      <c r="F301" s="0" t="n">
        <v>7.46271790477988</v>
      </c>
      <c r="G301" s="0" t="n">
        <v>0.430538172715895</v>
      </c>
      <c r="H301" s="0" t="n">
        <v>0.476846057571965</v>
      </c>
      <c r="I301" s="0" t="n">
        <v>0.263133426313343</v>
      </c>
      <c r="J301" s="0" t="n">
        <v>0.415580377377813</v>
      </c>
      <c r="K301" s="0" t="n">
        <v>0.667715717403612</v>
      </c>
      <c r="L301" s="1" t="b">
        <f aca="false">FALSE()</f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7.00414060038542</v>
      </c>
      <c r="S301" s="0" t="n">
        <v>2.26714012564872</v>
      </c>
      <c r="T301" s="0" t="n">
        <v>0.163889647637256</v>
      </c>
      <c r="U301" s="0" t="n">
        <v>0.312412831241283</v>
      </c>
      <c r="V301" s="0" t="n">
        <v>0.326359832635983</v>
      </c>
      <c r="W301" s="0" t="n">
        <v>0.150627615062762</v>
      </c>
      <c r="X301" s="0" t="n">
        <v>0.275679683024153</v>
      </c>
      <c r="Y301" s="0" t="n">
        <v>7.46271790477988</v>
      </c>
      <c r="Z301" s="0" t="n">
        <v>0.415580377377813</v>
      </c>
      <c r="AA301" s="0" t="n">
        <v>0</v>
      </c>
    </row>
    <row r="302" customFormat="false" ht="15" hidden="false" customHeight="false" outlineLevel="0" collapsed="false">
      <c r="A302" s="0" t="s">
        <v>336</v>
      </c>
      <c r="B302" s="0" t="s">
        <v>3013</v>
      </c>
      <c r="C302" s="0" t="s">
        <v>3038</v>
      </c>
      <c r="D302" s="0" t="n">
        <v>23.8280747782849</v>
      </c>
      <c r="E302" s="0" t="n">
        <v>0.204750253044375</v>
      </c>
      <c r="F302" s="0" t="n">
        <v>6.25239801482083</v>
      </c>
      <c r="G302" s="0" t="n">
        <v>0.110137672090113</v>
      </c>
      <c r="H302" s="0" t="n">
        <v>0.30287859824781</v>
      </c>
      <c r="I302" s="0" t="n">
        <v>0.792189679218968</v>
      </c>
      <c r="J302" s="0" t="n">
        <v>0.323644443978963</v>
      </c>
      <c r="K302" s="0" t="n">
        <v>0.667715717403612</v>
      </c>
      <c r="L302" s="1" t="b">
        <f aca="false">FALSE()</f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14.5526661266441</v>
      </c>
      <c r="S302" s="0" t="n">
        <v>31.6371681415929</v>
      </c>
      <c r="T302" s="0" t="n">
        <v>0.276548672566372</v>
      </c>
      <c r="U302" s="0" t="n">
        <v>0.697350069735007</v>
      </c>
      <c r="V302" s="0" t="n">
        <v>0.99302649930265</v>
      </c>
      <c r="W302" s="0" t="n">
        <v>0.686192468619247</v>
      </c>
      <c r="X302" s="0" t="n">
        <v>0.204750253044375</v>
      </c>
      <c r="Y302" s="0" t="n">
        <v>6.25239801482083</v>
      </c>
      <c r="Z302" s="0" t="n">
        <v>0.323644443978963</v>
      </c>
      <c r="AA302" s="0" t="n">
        <v>5.55111512312578E-017</v>
      </c>
    </row>
    <row r="303" customFormat="false" ht="15" hidden="false" customHeight="false" outlineLevel="0" collapsed="false">
      <c r="A303" s="0" t="s">
        <v>337</v>
      </c>
      <c r="B303" s="0" t="s">
        <v>3013</v>
      </c>
      <c r="C303" s="0" t="s">
        <v>3036</v>
      </c>
      <c r="D303" s="0" t="n">
        <v>-37.9882064273962</v>
      </c>
      <c r="E303" s="0" t="n">
        <v>0.292574668665523</v>
      </c>
      <c r="F303" s="0" t="n">
        <v>7.67646768487447</v>
      </c>
      <c r="G303" s="0" t="n">
        <v>0.539424280350438</v>
      </c>
      <c r="H303" s="0" t="n">
        <v>0.51063829787234</v>
      </c>
      <c r="I303" s="0" t="n">
        <v>0.257554625755463</v>
      </c>
      <c r="J303" s="0" t="n">
        <v>0.471535956440204</v>
      </c>
      <c r="K303" s="0" t="n">
        <v>0.667715717403612</v>
      </c>
      <c r="L303" s="1" t="b">
        <f aca="false">FALSE()</f>
        <v>0</v>
      </c>
      <c r="N303" s="0" t="n">
        <v>0</v>
      </c>
      <c r="O303" s="0" t="n">
        <v>0</v>
      </c>
      <c r="P303" s="0" t="n">
        <v>1</v>
      </c>
      <c r="Q303" s="0" t="n">
        <v>37.9882064273962</v>
      </c>
      <c r="R303" s="0" t="n">
        <v>9.60219096948527</v>
      </c>
      <c r="S303" s="0" t="n">
        <v>1.54628687690743</v>
      </c>
      <c r="T303" s="0" t="n">
        <v>0.162767039674468</v>
      </c>
      <c r="U303" s="0" t="n">
        <v>0.483960948396095</v>
      </c>
      <c r="V303" s="0" t="n">
        <v>0.145048814504881</v>
      </c>
      <c r="W303" s="0" t="n">
        <v>0.143654114365411</v>
      </c>
      <c r="X303" s="0" t="n">
        <v>0.292574668665523</v>
      </c>
      <c r="Y303" s="0" t="n">
        <v>7.67646768487448</v>
      </c>
      <c r="Z303" s="0" t="n">
        <v>0.471535956440204</v>
      </c>
      <c r="AA303" s="0" t="n">
        <v>0</v>
      </c>
    </row>
    <row r="304" customFormat="false" ht="15" hidden="false" customHeight="false" outlineLevel="0" collapsed="false">
      <c r="A304" s="0" t="s">
        <v>338</v>
      </c>
      <c r="B304" s="0" t="s">
        <v>3013</v>
      </c>
      <c r="C304" s="0" t="s">
        <v>3034</v>
      </c>
      <c r="D304" s="0" t="n">
        <v>-37.253093183149</v>
      </c>
      <c r="E304" s="0" t="n">
        <v>0.260672462783013</v>
      </c>
      <c r="F304" s="0" t="n">
        <v>5.90857168754014</v>
      </c>
      <c r="G304" s="0" t="n">
        <v>0.335419274092616</v>
      </c>
      <c r="H304" s="0" t="n">
        <v>0.251564455569462</v>
      </c>
      <c r="I304" s="0" t="n">
        <v>0.593212459321246</v>
      </c>
      <c r="J304" s="0" t="n">
        <v>0.35343598372908</v>
      </c>
      <c r="K304" s="0" t="n">
        <v>0.667715717403612</v>
      </c>
      <c r="L304" s="1" t="b">
        <f aca="false">FALSE()</f>
        <v>0</v>
      </c>
      <c r="N304" s="0" t="n">
        <v>37.9882064273961</v>
      </c>
      <c r="O304" s="0" t="n">
        <v>1</v>
      </c>
      <c r="P304" s="0" t="n">
        <v>1</v>
      </c>
      <c r="Q304" s="0" t="n">
        <v>37.253093183149</v>
      </c>
      <c r="R304" s="0" t="n">
        <v>14.5522046017059</v>
      </c>
      <c r="S304" s="0" t="n">
        <v>8.24619771863119</v>
      </c>
      <c r="T304" s="0" t="n">
        <v>0.190114068441054</v>
      </c>
      <c r="U304" s="0" t="n">
        <v>0.695955369595537</v>
      </c>
      <c r="V304" s="0" t="n">
        <v>0.831241283124128</v>
      </c>
      <c r="W304" s="0" t="n">
        <v>0.252440725244073</v>
      </c>
      <c r="X304" s="0" t="n">
        <v>0.260672462783013</v>
      </c>
      <c r="Y304" s="0" t="n">
        <v>5.90857168754014</v>
      </c>
      <c r="Z304" s="0" t="n">
        <v>0.35343598372908</v>
      </c>
      <c r="AA304" s="0" t="n">
        <v>5.55111512312578E-017</v>
      </c>
    </row>
    <row r="305" customFormat="false" ht="15" hidden="false" customHeight="false" outlineLevel="0" collapsed="false">
      <c r="A305" s="0" t="s">
        <v>339</v>
      </c>
      <c r="B305" s="0" t="s">
        <v>3013</v>
      </c>
      <c r="C305" s="0" t="s">
        <v>3033</v>
      </c>
      <c r="D305" s="0" t="n">
        <v>27.0897141909001</v>
      </c>
      <c r="E305" s="0" t="n">
        <v>0.236546183836575</v>
      </c>
      <c r="F305" s="0" t="n">
        <v>5.91897095609974</v>
      </c>
      <c r="G305" s="0" t="n">
        <v>0.207759699624531</v>
      </c>
      <c r="H305" s="0" t="n">
        <v>0.25531914893617</v>
      </c>
      <c r="I305" s="0" t="n">
        <v>0.635983263598326</v>
      </c>
      <c r="J305" s="0" t="n">
        <v>0.312428192143946</v>
      </c>
      <c r="K305" s="0" t="n">
        <v>0.667715717403612</v>
      </c>
      <c r="L305" s="1" t="b">
        <f aca="false">FALSE()</f>
        <v>0</v>
      </c>
      <c r="N305" s="0" t="n">
        <v>75.241299610545</v>
      </c>
      <c r="O305" s="0" t="n">
        <v>2</v>
      </c>
      <c r="P305" s="0" t="n">
        <v>0</v>
      </c>
      <c r="Q305" s="0" t="n">
        <v>0</v>
      </c>
      <c r="R305" s="0" t="n">
        <v>12.3619581341685</v>
      </c>
      <c r="S305" s="0" t="n">
        <v>6.4776119402985</v>
      </c>
      <c r="T305" s="0" t="n">
        <v>0.238805970149257</v>
      </c>
      <c r="U305" s="0" t="n">
        <v>0.612273361227336</v>
      </c>
      <c r="V305" s="0" t="n">
        <v>0.761506276150628</v>
      </c>
      <c r="W305" s="0" t="n">
        <v>0.534170153417015</v>
      </c>
      <c r="X305" s="0" t="n">
        <v>0.236546183836575</v>
      </c>
      <c r="Y305" s="0" t="n">
        <v>5.91897095609974</v>
      </c>
      <c r="Z305" s="0" t="n">
        <v>0.312428192143946</v>
      </c>
      <c r="AA305" s="0" t="n">
        <v>-5.55111512312578E-017</v>
      </c>
    </row>
    <row r="306" customFormat="false" ht="15" hidden="false" customHeight="false" outlineLevel="0" collapsed="false">
      <c r="A306" s="0" t="s">
        <v>340</v>
      </c>
      <c r="B306" s="0" t="s">
        <v>3013</v>
      </c>
      <c r="C306" s="0" t="s">
        <v>3033</v>
      </c>
      <c r="D306" s="0" t="n">
        <v>-1.14716625969841</v>
      </c>
      <c r="E306" s="0" t="n">
        <v>0.259520185427815</v>
      </c>
      <c r="F306" s="0" t="n">
        <v>8.39009659355423</v>
      </c>
      <c r="G306" s="0" t="n">
        <v>0.330413016270338</v>
      </c>
      <c r="H306" s="0" t="n">
        <v>0.593241551939925</v>
      </c>
      <c r="I306" s="0" t="n">
        <v>0.592282659228266</v>
      </c>
      <c r="J306" s="0" t="n">
        <v>0.487918359129758</v>
      </c>
      <c r="K306" s="0" t="n">
        <v>0.667715717403612</v>
      </c>
      <c r="L306" s="1" t="b">
        <f aca="false">FALSE()</f>
        <v>0</v>
      </c>
      <c r="N306" s="0" t="n">
        <v>48.151585419645</v>
      </c>
      <c r="O306" s="0" t="n">
        <v>0</v>
      </c>
      <c r="P306" s="0" t="n">
        <v>1</v>
      </c>
      <c r="Q306" s="0" t="n">
        <v>1.14716625969841</v>
      </c>
      <c r="R306" s="0" t="n">
        <v>6.42415254956703</v>
      </c>
      <c r="S306" s="0" t="n">
        <v>4.53091684434968</v>
      </c>
      <c r="T306" s="0" t="n">
        <v>0.373134328358211</v>
      </c>
      <c r="U306" s="0" t="n">
        <v>0.270571827057183</v>
      </c>
      <c r="V306" s="0" t="n">
        <v>0.647140864714087</v>
      </c>
      <c r="W306" s="0" t="n">
        <v>0.859135285913529</v>
      </c>
      <c r="X306" s="0" t="n">
        <v>0.259520185427815</v>
      </c>
      <c r="Y306" s="0" t="n">
        <v>8.39009659355423</v>
      </c>
      <c r="Z306" s="0" t="n">
        <v>0.487918359129758</v>
      </c>
      <c r="AA306" s="0" t="n">
        <v>5.55111512312578E-017</v>
      </c>
    </row>
    <row r="307" customFormat="false" ht="15" hidden="false" customHeight="false" outlineLevel="0" collapsed="false">
      <c r="A307" s="0" t="s">
        <v>341</v>
      </c>
      <c r="B307" s="0" t="s">
        <v>3013</v>
      </c>
      <c r="C307" s="0" t="s">
        <v>3033</v>
      </c>
      <c r="D307" s="0" t="n">
        <v>42.6066388788578</v>
      </c>
      <c r="E307" s="0" t="n">
        <v>0.266884105268971</v>
      </c>
      <c r="F307" s="0" t="n">
        <v>4.2111725590526</v>
      </c>
      <c r="G307" s="0" t="n">
        <v>0.377972465581977</v>
      </c>
      <c r="H307" s="0" t="n">
        <v>0.0663329161451815</v>
      </c>
      <c r="I307" s="0" t="n">
        <v>0.564853556485356</v>
      </c>
      <c r="J307" s="0" t="n">
        <v>0.290692863987935</v>
      </c>
      <c r="K307" s="0" t="n">
        <v>0.667715717403612</v>
      </c>
      <c r="L307" s="1" t="b">
        <f aca="false">FALSE()</f>
        <v>0</v>
      </c>
      <c r="N307" s="0" t="n">
        <v>49.2987516793437</v>
      </c>
      <c r="O307" s="0" t="n">
        <v>1</v>
      </c>
      <c r="P307" s="0" t="n">
        <v>0</v>
      </c>
      <c r="Q307" s="0" t="n">
        <v>0</v>
      </c>
      <c r="R307" s="0" t="n">
        <v>20.9805044038731</v>
      </c>
      <c r="S307" s="0" t="n">
        <v>5.29027825489522</v>
      </c>
      <c r="T307" s="0" t="n">
        <v>0.171762281003092</v>
      </c>
      <c r="U307" s="0" t="n">
        <v>0.808926080892608</v>
      </c>
      <c r="V307" s="0" t="n">
        <v>0.708507670850767</v>
      </c>
      <c r="W307" s="0" t="n">
        <v>0.177126917712692</v>
      </c>
      <c r="X307" s="0" t="n">
        <v>0.266884105268971</v>
      </c>
      <c r="Y307" s="0" t="n">
        <v>4.2111725590526</v>
      </c>
      <c r="Z307" s="0" t="n">
        <v>0.290692863987935</v>
      </c>
      <c r="AA307" s="0" t="n">
        <v>0</v>
      </c>
    </row>
    <row r="308" customFormat="false" ht="15" hidden="false" customHeight="false" outlineLevel="0" collapsed="false">
      <c r="A308" s="0" t="s">
        <v>342</v>
      </c>
      <c r="B308" s="0" t="s">
        <v>3013</v>
      </c>
      <c r="C308" s="0" t="s">
        <v>3038</v>
      </c>
      <c r="D308" s="0" t="n">
        <v>68.8545454456579</v>
      </c>
      <c r="E308" s="0" t="n">
        <v>0.154618812345131</v>
      </c>
      <c r="F308" s="0" t="n">
        <v>3.75430954554422</v>
      </c>
      <c r="G308" s="0" t="n">
        <v>0.0287859824780976</v>
      </c>
      <c r="H308" s="0" t="n">
        <v>0.0413016270337922</v>
      </c>
      <c r="I308" s="0" t="n">
        <v>0.96559739655974</v>
      </c>
      <c r="J308" s="0" t="n">
        <v>0.221154523116704</v>
      </c>
      <c r="K308" s="0" t="n">
        <v>0.667715717403612</v>
      </c>
      <c r="L308" s="1" t="b">
        <f aca="false">FALSE()</f>
        <v>0</v>
      </c>
      <c r="N308" s="0" t="n">
        <v>6.69211280048603</v>
      </c>
      <c r="O308" s="0" t="n">
        <v>0</v>
      </c>
      <c r="P308" s="0" t="n">
        <v>0</v>
      </c>
      <c r="Q308" s="0" t="n">
        <v>0</v>
      </c>
      <c r="R308" s="0" t="n">
        <v>43.9289506874049</v>
      </c>
      <c r="S308" s="0" t="n">
        <v>39.5256916996047</v>
      </c>
      <c r="T308" s="0" t="n">
        <v>0.461133069828724</v>
      </c>
      <c r="U308" s="0" t="n">
        <v>0.96652719665272</v>
      </c>
      <c r="V308" s="0" t="n">
        <v>0.99860529986053</v>
      </c>
      <c r="W308" s="0" t="n">
        <v>0.931659693165969</v>
      </c>
      <c r="X308" s="0" t="n">
        <v>0.154618812345131</v>
      </c>
      <c r="Y308" s="0" t="n">
        <v>3.75430954554422</v>
      </c>
      <c r="Z308" s="0" t="n">
        <v>0.221154523116704</v>
      </c>
      <c r="AA308" s="0" t="n">
        <v>0</v>
      </c>
    </row>
    <row r="309" customFormat="false" ht="15" hidden="false" customHeight="false" outlineLevel="0" collapsed="false">
      <c r="A309" s="0" t="s">
        <v>343</v>
      </c>
      <c r="B309" s="0" t="s">
        <v>3013</v>
      </c>
      <c r="C309" s="0" t="s">
        <v>3033</v>
      </c>
      <c r="D309" s="0" t="n">
        <v>-39.5214550321314</v>
      </c>
      <c r="E309" s="0" t="n">
        <v>0.313237426820721</v>
      </c>
      <c r="F309" s="0" t="n">
        <v>8.47159475777706</v>
      </c>
      <c r="G309" s="0" t="n">
        <v>0.632040050062578</v>
      </c>
      <c r="H309" s="0" t="n">
        <v>0.598247809762203</v>
      </c>
      <c r="I309" s="0" t="n">
        <v>0.344490934449094</v>
      </c>
      <c r="J309" s="0" t="n">
        <v>0.561013330819731</v>
      </c>
      <c r="K309" s="0" t="n">
        <v>0.667715717403612</v>
      </c>
      <c r="L309" s="1" t="b">
        <f aca="false">FALSE()</f>
        <v>0</v>
      </c>
      <c r="N309" s="0" t="n">
        <v>0</v>
      </c>
      <c r="O309" s="0" t="n">
        <v>0</v>
      </c>
      <c r="P309" s="0" t="n">
        <v>1</v>
      </c>
      <c r="Q309" s="0" t="n">
        <v>39.5214550321314</v>
      </c>
      <c r="R309" s="0" t="n">
        <v>9.15877368247518</v>
      </c>
      <c r="S309" s="0" t="n">
        <v>3.74581939799331</v>
      </c>
      <c r="T309" s="0" t="n">
        <v>0.0891861761426928</v>
      </c>
      <c r="U309" s="0" t="n">
        <v>0.456066945606695</v>
      </c>
      <c r="V309" s="0" t="n">
        <v>0.564853556485356</v>
      </c>
      <c r="W309" s="0" t="n">
        <v>0.0125523012552301</v>
      </c>
      <c r="X309" s="0" t="n">
        <v>0.313237426820721</v>
      </c>
      <c r="Y309" s="0" t="n">
        <v>8.47159475777706</v>
      </c>
      <c r="Z309" s="0" t="n">
        <v>0.561013330819731</v>
      </c>
      <c r="AA309" s="0" t="n">
        <v>0</v>
      </c>
    </row>
    <row r="310" customFormat="false" ht="15" hidden="false" customHeight="false" outlineLevel="0" collapsed="false">
      <c r="A310" s="0" t="s">
        <v>344</v>
      </c>
      <c r="B310" s="0" t="s">
        <v>3013</v>
      </c>
      <c r="C310" s="0" t="s">
        <v>3033</v>
      </c>
      <c r="D310" s="0" t="n">
        <v>7.71017841533444</v>
      </c>
      <c r="E310" s="0" t="n">
        <v>0.316858957893518</v>
      </c>
      <c r="F310" s="0" t="n">
        <v>8.49828603037163</v>
      </c>
      <c r="G310" s="0" t="n">
        <v>0.65081351689612</v>
      </c>
      <c r="H310" s="0" t="n">
        <v>0.603254067584481</v>
      </c>
      <c r="I310" s="0" t="n">
        <v>0.444444444444444</v>
      </c>
      <c r="J310" s="0" t="n">
        <v>0.590515922681129</v>
      </c>
      <c r="K310" s="0" t="n">
        <v>0.667715717403612</v>
      </c>
      <c r="L310" s="1" t="b">
        <f aca="false">FALSE()</f>
        <v>0</v>
      </c>
      <c r="N310" s="0" t="n">
        <v>39.5214550321316</v>
      </c>
      <c r="O310" s="0" t="n">
        <v>1</v>
      </c>
      <c r="P310" s="0" t="n">
        <v>0</v>
      </c>
      <c r="Q310" s="0" t="n">
        <v>0</v>
      </c>
      <c r="R310" s="0" t="n">
        <v>13.0684639133474</v>
      </c>
      <c r="S310" s="0" t="n">
        <v>4.4073705179283</v>
      </c>
      <c r="T310" s="0" t="n">
        <v>0.124501992031873</v>
      </c>
      <c r="U310" s="0" t="n">
        <v>0.644351464435147</v>
      </c>
      <c r="V310" s="0" t="n">
        <v>0.638772663877266</v>
      </c>
      <c r="W310" s="0" t="n">
        <v>0.0502092050209205</v>
      </c>
      <c r="X310" s="0" t="n">
        <v>0.316858957893518</v>
      </c>
      <c r="Y310" s="0" t="n">
        <v>8.49828603037163</v>
      </c>
      <c r="Z310" s="0" t="n">
        <v>0.590515922681129</v>
      </c>
      <c r="AA310" s="0" t="n">
        <v>0</v>
      </c>
    </row>
    <row r="311" customFormat="false" ht="15" hidden="false" customHeight="false" outlineLevel="0" collapsed="false">
      <c r="A311" s="0" t="s">
        <v>345</v>
      </c>
      <c r="B311" s="0" t="s">
        <v>3013</v>
      </c>
      <c r="C311" s="0" t="s">
        <v>3036</v>
      </c>
      <c r="D311" s="0" t="n">
        <v>29.2747806640842</v>
      </c>
      <c r="E311" s="0" t="n">
        <v>0.298651069576963</v>
      </c>
      <c r="F311" s="0" t="n">
        <v>8.75683474133515</v>
      </c>
      <c r="G311" s="0" t="n">
        <v>0.560700876095119</v>
      </c>
      <c r="H311" s="0" t="n">
        <v>0.644555694618273</v>
      </c>
      <c r="I311" s="0" t="n">
        <v>0.424453742445374</v>
      </c>
      <c r="J311" s="0" t="n">
        <v>0.566993376774432</v>
      </c>
      <c r="K311" s="0" t="n">
        <v>0.667715717403612</v>
      </c>
      <c r="L311" s="1" t="b">
        <f aca="false">FALSE()</f>
        <v>0</v>
      </c>
      <c r="N311" s="0" t="n">
        <v>31.8112766167969</v>
      </c>
      <c r="O311" s="0" t="n">
        <v>0</v>
      </c>
      <c r="P311" s="0" t="n">
        <v>0</v>
      </c>
      <c r="Q311" s="0" t="n">
        <v>0</v>
      </c>
      <c r="R311" s="0" t="n">
        <v>6.70815576450304</v>
      </c>
      <c r="S311" s="0" t="n">
        <v>1.96548418024928</v>
      </c>
      <c r="T311" s="0" t="n">
        <v>0.287631831255996</v>
      </c>
      <c r="U311" s="0" t="n">
        <v>0.291492329149233</v>
      </c>
      <c r="V311" s="0" t="n">
        <v>0.260808926080893</v>
      </c>
      <c r="W311" s="0" t="n">
        <v>0.721059972105997</v>
      </c>
      <c r="X311" s="0" t="n">
        <v>0.298651069576963</v>
      </c>
      <c r="Y311" s="0" t="n">
        <v>8.75683474133516</v>
      </c>
      <c r="Z311" s="0" t="n">
        <v>0.566993376774432</v>
      </c>
      <c r="AA311" s="0" t="n">
        <v>0</v>
      </c>
    </row>
    <row r="312" customFormat="false" ht="15" hidden="false" customHeight="false" outlineLevel="0" collapsed="false">
      <c r="A312" s="0" t="s">
        <v>346</v>
      </c>
      <c r="B312" s="0" t="s">
        <v>3013</v>
      </c>
      <c r="C312" s="0" t="s">
        <v>3033</v>
      </c>
      <c r="D312" s="0" t="n">
        <v>1.78548273430256</v>
      </c>
      <c r="E312" s="0" t="n">
        <v>0.293441647632988</v>
      </c>
      <c r="F312" s="0" t="n">
        <v>8.08971567366635</v>
      </c>
      <c r="G312" s="0" t="n">
        <v>0.543178973717146</v>
      </c>
      <c r="H312" s="0" t="n">
        <v>0.553191489361702</v>
      </c>
      <c r="I312" s="0" t="n">
        <v>0.260344026034403</v>
      </c>
      <c r="J312" s="0" t="n">
        <v>0.49061699043842</v>
      </c>
      <c r="K312" s="0" t="n">
        <v>0.667715717403612</v>
      </c>
      <c r="L312" s="1" t="b">
        <f aca="false">FALSE()</f>
        <v>0</v>
      </c>
      <c r="N312" s="0" t="n">
        <v>2.53649595271236</v>
      </c>
      <c r="O312" s="0" t="n">
        <v>0</v>
      </c>
      <c r="P312" s="0" t="n">
        <v>0</v>
      </c>
      <c r="Q312" s="0" t="n">
        <v>0</v>
      </c>
      <c r="R312" s="0" t="n">
        <v>7.03804454076881</v>
      </c>
      <c r="S312" s="0" t="n">
        <v>2.39085239085239</v>
      </c>
      <c r="T312" s="0" t="n">
        <v>0.145530145530143</v>
      </c>
      <c r="U312" s="0" t="n">
        <v>0.317991631799163</v>
      </c>
      <c r="V312" s="0" t="n">
        <v>0.366806136680614</v>
      </c>
      <c r="W312" s="0" t="n">
        <v>0.096234309623431</v>
      </c>
      <c r="X312" s="0" t="n">
        <v>0.293441647632988</v>
      </c>
      <c r="Y312" s="0" t="n">
        <v>8.08971567366635</v>
      </c>
      <c r="Z312" s="0" t="n">
        <v>0.49061699043842</v>
      </c>
      <c r="AA312" s="0" t="n">
        <v>5.55111512312578E-017</v>
      </c>
    </row>
    <row r="313" customFormat="false" ht="15" hidden="false" customHeight="false" outlineLevel="0" collapsed="false">
      <c r="A313" s="0" t="s">
        <v>347</v>
      </c>
      <c r="B313" s="0" t="s">
        <v>3013</v>
      </c>
      <c r="C313" s="0" t="s">
        <v>3033</v>
      </c>
      <c r="D313" s="0" t="n">
        <v>2.62120774299866</v>
      </c>
      <c r="E313" s="0" t="n">
        <v>0.231278191617179</v>
      </c>
      <c r="F313" s="0" t="n">
        <v>6.17461229464461</v>
      </c>
      <c r="G313" s="0" t="n">
        <v>0.177722152690864</v>
      </c>
      <c r="H313" s="0" t="n">
        <v>0.290362953692115</v>
      </c>
      <c r="I313" s="0" t="n">
        <v>0.498837749883775</v>
      </c>
      <c r="J313" s="0" t="n">
        <v>0.287001592529947</v>
      </c>
      <c r="K313" s="0" t="n">
        <v>0.667715717403612</v>
      </c>
      <c r="L313" s="1" t="b">
        <f aca="false">FALSE()</f>
        <v>0</v>
      </c>
      <c r="N313" s="0" t="n">
        <v>0.751013218409753</v>
      </c>
      <c r="O313" s="0" t="n">
        <v>0</v>
      </c>
      <c r="P313" s="0" t="n">
        <v>0</v>
      </c>
      <c r="Q313" s="0" t="n">
        <v>0</v>
      </c>
      <c r="R313" s="0" t="n">
        <v>6.26764508489014</v>
      </c>
      <c r="S313" s="0" t="n">
        <v>3.825</v>
      </c>
      <c r="T313" s="0" t="n">
        <v>0.274999999999999</v>
      </c>
      <c r="U313" s="0" t="n">
        <v>0.246861924686193</v>
      </c>
      <c r="V313" s="0" t="n">
        <v>0.571827057182706</v>
      </c>
      <c r="W313" s="0" t="n">
        <v>0.677824267782427</v>
      </c>
      <c r="X313" s="0" t="n">
        <v>0.231278191617179</v>
      </c>
      <c r="Y313" s="0" t="n">
        <v>6.17461229464461</v>
      </c>
      <c r="Z313" s="0" t="n">
        <v>0.287001592529947</v>
      </c>
      <c r="AA313" s="0" t="n">
        <v>0</v>
      </c>
    </row>
    <row r="314" customFormat="false" ht="15" hidden="false" customHeight="false" outlineLevel="0" collapsed="false">
      <c r="A314" s="0" t="s">
        <v>348</v>
      </c>
      <c r="B314" s="0" t="s">
        <v>3013</v>
      </c>
      <c r="C314" s="0" t="s">
        <v>3036</v>
      </c>
      <c r="D314" s="0" t="n">
        <v>-37.1851462700736</v>
      </c>
      <c r="E314" s="0" t="n">
        <v>0.356472254563474</v>
      </c>
      <c r="F314" s="0" t="n">
        <v>6.5723626205748</v>
      </c>
      <c r="G314" s="0" t="n">
        <v>0.832290362953692</v>
      </c>
      <c r="H314" s="0" t="n">
        <v>0.357947434292866</v>
      </c>
      <c r="I314" s="0" t="n">
        <v>0.182240818224082</v>
      </c>
      <c r="J314" s="0" t="n">
        <v>0.51254328254344</v>
      </c>
      <c r="K314" s="0" t="n">
        <v>0.667715717403612</v>
      </c>
      <c r="L314" s="1" t="b">
        <f aca="false">FALSE()</f>
        <v>0</v>
      </c>
      <c r="N314" s="0" t="n">
        <v>0</v>
      </c>
      <c r="O314" s="0" t="n">
        <v>0</v>
      </c>
      <c r="P314" s="0" t="n">
        <v>1</v>
      </c>
      <c r="Q314" s="0" t="n">
        <v>37.1851462700736</v>
      </c>
      <c r="R314" s="0" t="n">
        <v>6.28930817610063</v>
      </c>
      <c r="S314" s="0" t="n">
        <v>1.5778019586507</v>
      </c>
      <c r="T314" s="0" t="n">
        <v>0.163220892274202</v>
      </c>
      <c r="U314" s="0" t="n">
        <v>0.248256624825663</v>
      </c>
      <c r="V314" s="0" t="n">
        <v>0.150627615062762</v>
      </c>
      <c r="W314" s="0" t="n">
        <v>0.147838214783822</v>
      </c>
      <c r="X314" s="0" t="n">
        <v>0.356472254563474</v>
      </c>
      <c r="Y314" s="0" t="n">
        <v>6.57236262057479</v>
      </c>
      <c r="Z314" s="0" t="n">
        <v>0.51254328254344</v>
      </c>
      <c r="AA314" s="0" t="n">
        <v>0</v>
      </c>
    </row>
    <row r="315" customFormat="false" ht="15" hidden="false" customHeight="false" outlineLevel="0" collapsed="false">
      <c r="A315" s="0" t="s">
        <v>349</v>
      </c>
      <c r="B315" s="0" t="s">
        <v>33</v>
      </c>
      <c r="C315" s="0" t="s">
        <v>33</v>
      </c>
      <c r="D315" s="0" t="n">
        <v>-43.8809243216995</v>
      </c>
      <c r="E315" s="0" t="n">
        <v>0.362817613875356</v>
      </c>
      <c r="F315" s="0" t="n">
        <v>11.0593876965001</v>
      </c>
      <c r="G315" s="0" t="n">
        <v>0.851063829787234</v>
      </c>
      <c r="H315" s="0" t="n">
        <v>0.886107634543179</v>
      </c>
      <c r="I315" s="0" t="n">
        <v>0.5</v>
      </c>
      <c r="J315" s="0" t="n">
        <v>0.794868585732165</v>
      </c>
      <c r="K315" s="0" t="n">
        <v>0.667715717403612</v>
      </c>
      <c r="L315" s="1" t="b">
        <f aca="false">TRUE()</f>
        <v>1</v>
      </c>
      <c r="M315" s="0" t="s">
        <v>3035</v>
      </c>
      <c r="N315" s="0" t="n">
        <v>37.1851462700734</v>
      </c>
      <c r="O315" s="0" t="n">
        <v>1</v>
      </c>
      <c r="P315" s="0" t="n">
        <v>1</v>
      </c>
      <c r="Q315" s="0" t="n">
        <v>43.8809243216995</v>
      </c>
      <c r="U315" s="0" t="n">
        <v>0.5</v>
      </c>
      <c r="V315" s="0" t="n">
        <v>0.5</v>
      </c>
      <c r="W315" s="0" t="n">
        <v>0.5</v>
      </c>
      <c r="X315" s="0" t="n">
        <v>0.362817613875356</v>
      </c>
      <c r="Y315" s="0" t="n">
        <v>11.0593876965001</v>
      </c>
      <c r="Z315" s="0" t="n">
        <v>0.794868585732165</v>
      </c>
      <c r="AA315" s="0" t="n">
        <v>0</v>
      </c>
    </row>
    <row r="316" customFormat="false" ht="15" hidden="false" customHeight="false" outlineLevel="0" collapsed="false">
      <c r="A316" s="0" t="s">
        <v>350</v>
      </c>
      <c r="B316" s="0" t="s">
        <v>3013</v>
      </c>
      <c r="C316" s="0" t="s">
        <v>3034</v>
      </c>
      <c r="D316" s="0" t="n">
        <v>-34.9465998173876</v>
      </c>
      <c r="E316" s="0" t="n">
        <v>0.364860885624808</v>
      </c>
      <c r="F316" s="0" t="n">
        <v>11.1267793941504</v>
      </c>
      <c r="G316" s="0" t="n">
        <v>0.85982478097622</v>
      </c>
      <c r="H316" s="0" t="n">
        <v>0.888610763454318</v>
      </c>
      <c r="I316" s="0" t="n">
        <v>0.403998140399814</v>
      </c>
      <c r="J316" s="0" t="n">
        <v>0.780173845852178</v>
      </c>
      <c r="K316" s="0" t="n">
        <v>0.667715717403612</v>
      </c>
      <c r="L316" s="1" t="b">
        <f aca="false">TRUE()</f>
        <v>1</v>
      </c>
      <c r="M316" s="0" t="s">
        <v>3035</v>
      </c>
      <c r="N316" s="0" t="n">
        <v>81.0660705917726</v>
      </c>
      <c r="O316" s="0" t="n">
        <v>2</v>
      </c>
      <c r="P316" s="0" t="n">
        <v>1</v>
      </c>
      <c r="Q316" s="0" t="n">
        <v>34.9465998173876</v>
      </c>
      <c r="R316" s="0" t="n">
        <v>23.6356741869361</v>
      </c>
      <c r="S316" s="0" t="n">
        <v>2.18665821581365</v>
      </c>
      <c r="T316" s="0" t="n">
        <v>0.126762795119634</v>
      </c>
      <c r="U316" s="0" t="n">
        <v>0.842398884239888</v>
      </c>
      <c r="V316" s="0" t="n">
        <v>0.312412831241283</v>
      </c>
      <c r="W316" s="0" t="n">
        <v>0.0571827057182706</v>
      </c>
      <c r="X316" s="0" t="n">
        <v>0.364860885624808</v>
      </c>
      <c r="Y316" s="0" t="n">
        <v>11.1267793941504</v>
      </c>
      <c r="Z316" s="0" t="n">
        <v>0.780173845852178</v>
      </c>
      <c r="AA316" s="0" t="n">
        <v>0</v>
      </c>
    </row>
    <row r="317" customFormat="false" ht="15" hidden="false" customHeight="false" outlineLevel="0" collapsed="false">
      <c r="A317" s="0" t="s">
        <v>351</v>
      </c>
      <c r="B317" s="0" t="s">
        <v>3013</v>
      </c>
      <c r="C317" s="0" t="s">
        <v>3033</v>
      </c>
      <c r="D317" s="0" t="n">
        <v>9.81210547727392</v>
      </c>
      <c r="E317" s="0" t="n">
        <v>0.221114768207856</v>
      </c>
      <c r="F317" s="0" t="n">
        <v>5.70943730643555</v>
      </c>
      <c r="G317" s="0" t="n">
        <v>0.146433041301627</v>
      </c>
      <c r="H317" s="0" t="n">
        <v>0.226533166458073</v>
      </c>
      <c r="I317" s="0" t="n">
        <v>0.550906555090655</v>
      </c>
      <c r="J317" s="0" t="n">
        <v>0.259367794122011</v>
      </c>
      <c r="K317" s="0" t="n">
        <v>0.667715717403612</v>
      </c>
      <c r="L317" s="1" t="b">
        <f aca="false">FALSE()</f>
        <v>0</v>
      </c>
      <c r="N317" s="0" t="n">
        <v>116.01267040916</v>
      </c>
      <c r="O317" s="0" t="n">
        <v>3</v>
      </c>
      <c r="P317" s="0" t="n">
        <v>0</v>
      </c>
      <c r="Q317" s="0" t="n">
        <v>0</v>
      </c>
      <c r="R317" s="0" t="n">
        <v>11.105456856003</v>
      </c>
      <c r="S317" s="0" t="n">
        <v>4.27807486631016</v>
      </c>
      <c r="T317" s="0" t="n">
        <v>0.226244343891407</v>
      </c>
      <c r="U317" s="0" t="n">
        <v>0.546722454672246</v>
      </c>
      <c r="V317" s="0" t="n">
        <v>0.630404463040446</v>
      </c>
      <c r="W317" s="0" t="n">
        <v>0.475592747559275</v>
      </c>
      <c r="X317" s="0" t="n">
        <v>0.221114768207856</v>
      </c>
      <c r="Y317" s="0" t="n">
        <v>5.70943730643555</v>
      </c>
      <c r="Z317" s="0" t="n">
        <v>0.259367794122011</v>
      </c>
      <c r="AA317" s="0" t="n">
        <v>5.55111512312578E-017</v>
      </c>
    </row>
    <row r="318" customFormat="false" ht="15" hidden="false" customHeight="false" outlineLevel="0" collapsed="false">
      <c r="A318" s="0" t="s">
        <v>352</v>
      </c>
      <c r="B318" s="0" t="s">
        <v>3013</v>
      </c>
      <c r="C318" s="0" t="s">
        <v>3038</v>
      </c>
      <c r="D318" s="0" t="n">
        <v>-38.1653230944469</v>
      </c>
      <c r="E318" s="0" t="n">
        <v>0.1714256448121</v>
      </c>
      <c r="F318" s="0" t="n">
        <v>4.42342182194585</v>
      </c>
      <c r="G318" s="0" t="n">
        <v>0.0438047559449312</v>
      </c>
      <c r="H318" s="0" t="n">
        <v>0.081351689612015</v>
      </c>
      <c r="I318" s="0" t="n">
        <v>0.858670385867039</v>
      </c>
      <c r="J318" s="0" t="n">
        <v>0.221796655396186</v>
      </c>
      <c r="K318" s="0" t="n">
        <v>0.667715717403612</v>
      </c>
      <c r="L318" s="1" t="b">
        <f aca="false">FALSE()</f>
        <v>0</v>
      </c>
      <c r="N318" s="0" t="n">
        <v>106.200564931886</v>
      </c>
      <c r="O318" s="0" t="n">
        <v>0</v>
      </c>
      <c r="P318" s="0" t="n">
        <v>1</v>
      </c>
      <c r="Q318" s="0" t="n">
        <v>38.1653230944469</v>
      </c>
      <c r="R318" s="0" t="n">
        <v>43.8206439558664</v>
      </c>
      <c r="S318" s="0" t="n">
        <v>11.6681260945709</v>
      </c>
      <c r="T318" s="0" t="n">
        <v>0.284588441331001</v>
      </c>
      <c r="U318" s="0" t="n">
        <v>0.96513249651325</v>
      </c>
      <c r="V318" s="0" t="n">
        <v>0.900976290097629</v>
      </c>
      <c r="W318" s="0" t="n">
        <v>0.709902370990237</v>
      </c>
      <c r="X318" s="0" t="n">
        <v>0.1714256448121</v>
      </c>
      <c r="Y318" s="0" t="n">
        <v>4.42342182194585</v>
      </c>
      <c r="Z318" s="0" t="n">
        <v>0.221796655396186</v>
      </c>
      <c r="AA318" s="0" t="n">
        <v>0</v>
      </c>
    </row>
    <row r="319" customFormat="false" ht="15" hidden="false" customHeight="false" outlineLevel="0" collapsed="false">
      <c r="A319" s="0" t="s">
        <v>353</v>
      </c>
      <c r="B319" s="0" t="s">
        <v>3013</v>
      </c>
      <c r="C319" s="0" t="s">
        <v>3038</v>
      </c>
      <c r="D319" s="0" t="n">
        <v>80.6250202764066</v>
      </c>
      <c r="E319" s="0" t="n">
        <v>0.187292595960382</v>
      </c>
      <c r="F319" s="0" t="n">
        <v>6.13567337476516</v>
      </c>
      <c r="G319" s="0" t="n">
        <v>0.0801001251564456</v>
      </c>
      <c r="H319" s="0" t="n">
        <v>0.284105131414268</v>
      </c>
      <c r="I319" s="0" t="n">
        <v>0.843328684332869</v>
      </c>
      <c r="J319" s="0" t="n">
        <v>0.314347839494859</v>
      </c>
      <c r="K319" s="0" t="n">
        <v>0.667715717403612</v>
      </c>
      <c r="L319" s="1" t="b">
        <f aca="false">FALSE()</f>
        <v>0</v>
      </c>
      <c r="N319" s="0" t="n">
        <v>144.365888026333</v>
      </c>
      <c r="O319" s="0" t="n">
        <v>1</v>
      </c>
      <c r="P319" s="0" t="n">
        <v>0</v>
      </c>
      <c r="Q319" s="0" t="n">
        <v>0</v>
      </c>
      <c r="R319" s="0" t="n">
        <v>15.5681966413513</v>
      </c>
      <c r="S319" s="0" t="n">
        <v>23.0023501762632</v>
      </c>
      <c r="T319" s="0" t="n">
        <v>0.352526439482966</v>
      </c>
      <c r="U319" s="0" t="n">
        <v>0.721059972105997</v>
      </c>
      <c r="V319" s="0" t="n">
        <v>0.97350069735007</v>
      </c>
      <c r="W319" s="0" t="n">
        <v>0.835425383542538</v>
      </c>
      <c r="X319" s="0" t="n">
        <v>0.187292595960382</v>
      </c>
      <c r="Y319" s="0" t="n">
        <v>6.13567337476516</v>
      </c>
      <c r="Z319" s="0" t="n">
        <v>0.314347839494859</v>
      </c>
      <c r="AA319" s="0" t="n">
        <v>0</v>
      </c>
    </row>
    <row r="320" customFormat="false" ht="15" hidden="false" customHeight="false" outlineLevel="0" collapsed="false">
      <c r="A320" s="0" t="s">
        <v>354</v>
      </c>
      <c r="B320" s="0" t="s">
        <v>3013</v>
      </c>
      <c r="C320" s="0" t="s">
        <v>3036</v>
      </c>
      <c r="D320" s="0" t="n">
        <v>35.4107513376115</v>
      </c>
      <c r="E320" s="0" t="n">
        <v>0.381806800275263</v>
      </c>
      <c r="F320" s="0" t="n">
        <v>7.99051498904375</v>
      </c>
      <c r="G320" s="0" t="n">
        <v>0.90613266583229</v>
      </c>
      <c r="H320" s="0" t="n">
        <v>0.541927409261577</v>
      </c>
      <c r="I320" s="0" t="n">
        <v>0.245002324500232</v>
      </c>
      <c r="J320" s="0" t="n">
        <v>0.628224494937594</v>
      </c>
      <c r="K320" s="0" t="n">
        <v>0.667715717403612</v>
      </c>
      <c r="L320" s="1" t="b">
        <f aca="false">FALSE()</f>
        <v>0</v>
      </c>
      <c r="N320" s="0" t="n">
        <v>63.7408677499261</v>
      </c>
      <c r="O320" s="0" t="n">
        <v>0</v>
      </c>
      <c r="P320" s="0" t="n">
        <v>0</v>
      </c>
      <c r="Q320" s="0" t="n">
        <v>0</v>
      </c>
      <c r="R320" s="0" t="n">
        <v>9.66189215460365</v>
      </c>
      <c r="S320" s="0" t="n">
        <v>1.56983568075116</v>
      </c>
      <c r="T320" s="0" t="n">
        <v>0.146713615023474</v>
      </c>
      <c r="U320" s="0" t="n">
        <v>0.486750348675035</v>
      </c>
      <c r="V320" s="0" t="n">
        <v>0.149232914923292</v>
      </c>
      <c r="W320" s="0" t="n">
        <v>0.099023709902371</v>
      </c>
      <c r="X320" s="0" t="n">
        <v>0.381806800275263</v>
      </c>
      <c r="Y320" s="0" t="n">
        <v>7.99051498904375</v>
      </c>
      <c r="Z320" s="0" t="n">
        <v>0.628224494937594</v>
      </c>
      <c r="AA320" s="0" t="n">
        <v>0</v>
      </c>
    </row>
    <row r="321" customFormat="false" ht="15" hidden="false" customHeight="false" outlineLevel="0" collapsed="false">
      <c r="A321" s="0" t="s">
        <v>355</v>
      </c>
      <c r="B321" s="0" t="s">
        <v>3013</v>
      </c>
      <c r="C321" s="0" t="s">
        <v>3034</v>
      </c>
      <c r="D321" s="0" t="n">
        <v>15.9394984567512</v>
      </c>
      <c r="E321" s="0" t="n">
        <v>0.363589346035542</v>
      </c>
      <c r="F321" s="0" t="n">
        <v>9.83959006680433</v>
      </c>
      <c r="G321" s="0" t="n">
        <v>0.853566958698373</v>
      </c>
      <c r="H321" s="0" t="n">
        <v>0.772215269086358</v>
      </c>
      <c r="I321" s="0" t="n">
        <v>0.145048814504882</v>
      </c>
      <c r="J321" s="0" t="n">
        <v>0.679322654014869</v>
      </c>
      <c r="K321" s="0" t="n">
        <v>0.667715717403612</v>
      </c>
      <c r="L321" s="1" t="b">
        <f aca="false">TRUE()</f>
        <v>1</v>
      </c>
      <c r="M321" s="0" t="s">
        <v>3035</v>
      </c>
      <c r="N321" s="0" t="n">
        <v>28.330116412315</v>
      </c>
      <c r="O321" s="0" t="n">
        <v>0</v>
      </c>
      <c r="P321" s="0" t="n">
        <v>0</v>
      </c>
      <c r="Q321" s="0" t="n">
        <v>0</v>
      </c>
      <c r="R321" s="0" t="n">
        <v>3.29517404109093</v>
      </c>
      <c r="S321" s="0" t="n">
        <v>1.06040522628291</v>
      </c>
      <c r="T321" s="0" t="n">
        <v>0.208293883734146</v>
      </c>
      <c r="U321" s="0" t="n">
        <v>0.0348675034867504</v>
      </c>
      <c r="V321" s="0" t="n">
        <v>0.0362622036262204</v>
      </c>
      <c r="W321" s="0" t="n">
        <v>0.364016736401674</v>
      </c>
      <c r="X321" s="0" t="n">
        <v>0.363589346035542</v>
      </c>
      <c r="Y321" s="0" t="n">
        <v>9.83959006680434</v>
      </c>
      <c r="Z321" s="0" t="n">
        <v>0.679322654014869</v>
      </c>
      <c r="AA321" s="0" t="n">
        <v>0</v>
      </c>
    </row>
    <row r="322" customFormat="false" ht="15" hidden="false" customHeight="false" outlineLevel="0" collapsed="false">
      <c r="A322" s="0" t="s">
        <v>356</v>
      </c>
      <c r="B322" s="0" t="s">
        <v>3013</v>
      </c>
      <c r="C322" s="0" t="s">
        <v>3038</v>
      </c>
      <c r="D322" s="0" t="n">
        <v>54.2947603287716</v>
      </c>
      <c r="E322" s="0" t="n">
        <v>0.237716117059518</v>
      </c>
      <c r="F322" s="0" t="n">
        <v>6.00639856036554</v>
      </c>
      <c r="G322" s="0" t="n">
        <v>0.21026282853567</v>
      </c>
      <c r="H322" s="0" t="n">
        <v>0.269086357947434</v>
      </c>
      <c r="I322" s="0" t="n">
        <v>0.803812180381218</v>
      </c>
      <c r="J322" s="0" t="n">
        <v>0.352502110669485</v>
      </c>
      <c r="K322" s="0" t="n">
        <v>0.667715717403612</v>
      </c>
      <c r="L322" s="1" t="b">
        <f aca="false">FALSE()</f>
        <v>0</v>
      </c>
      <c r="N322" s="0" t="n">
        <v>12.3906179555634</v>
      </c>
      <c r="O322" s="0" t="n">
        <v>0</v>
      </c>
      <c r="P322" s="0" t="n">
        <v>0</v>
      </c>
      <c r="Q322" s="0" t="n">
        <v>0</v>
      </c>
      <c r="R322" s="0" t="n">
        <v>35.0973841342053</v>
      </c>
      <c r="S322" s="0" t="n">
        <v>7.02450408401401</v>
      </c>
      <c r="T322" s="0" t="n">
        <v>0.280046674445738</v>
      </c>
      <c r="U322" s="0" t="n">
        <v>0.926080892608089</v>
      </c>
      <c r="V322" s="0" t="n">
        <v>0.786610878661088</v>
      </c>
      <c r="W322" s="0" t="n">
        <v>0.698744769874477</v>
      </c>
      <c r="X322" s="0" t="n">
        <v>0.237716117059518</v>
      </c>
      <c r="Y322" s="0" t="n">
        <v>6.00639856036554</v>
      </c>
      <c r="Z322" s="0" t="n">
        <v>0.352502110669485</v>
      </c>
      <c r="AA322" s="0" t="n">
        <v>0</v>
      </c>
    </row>
    <row r="323" customFormat="false" ht="15" hidden="false" customHeight="false" outlineLevel="0" collapsed="false">
      <c r="A323" s="0" t="s">
        <v>357</v>
      </c>
      <c r="B323" s="0" t="s">
        <v>3013</v>
      </c>
      <c r="C323" s="0" t="s">
        <v>3033</v>
      </c>
      <c r="D323" s="0" t="n">
        <v>-19.0980333620448</v>
      </c>
      <c r="E323" s="0" t="n">
        <v>0.257634961939614</v>
      </c>
      <c r="F323" s="0" t="n">
        <v>8.88663975538783</v>
      </c>
      <c r="G323" s="0" t="n">
        <v>0.316645807259074</v>
      </c>
      <c r="H323" s="0" t="n">
        <v>0.662077596996245</v>
      </c>
      <c r="I323" s="0" t="n">
        <v>0.596466759646676</v>
      </c>
      <c r="J323" s="0" t="n">
        <v>0.510782713631463</v>
      </c>
      <c r="K323" s="0" t="n">
        <v>0.667715717403612</v>
      </c>
      <c r="L323" s="1" t="b">
        <f aca="false">FALSE()</f>
        <v>0</v>
      </c>
      <c r="N323" s="0" t="n">
        <v>0</v>
      </c>
      <c r="O323" s="0" t="n">
        <v>0</v>
      </c>
      <c r="P323" s="0" t="n">
        <v>1</v>
      </c>
      <c r="Q323" s="0" t="n">
        <v>19.0980333620448</v>
      </c>
      <c r="R323" s="0" t="n">
        <v>7.0580346902405</v>
      </c>
      <c r="S323" s="0" t="n">
        <v>6.59494855004678</v>
      </c>
      <c r="T323" s="0" t="n">
        <v>0.280636108512633</v>
      </c>
      <c r="U323" s="0" t="n">
        <v>0.320781032078103</v>
      </c>
      <c r="V323" s="0" t="n">
        <v>0.767085076708508</v>
      </c>
      <c r="W323" s="0" t="n">
        <v>0.701534170153417</v>
      </c>
      <c r="X323" s="0" t="n">
        <v>0.257634961939614</v>
      </c>
      <c r="Y323" s="0" t="n">
        <v>8.88663975538783</v>
      </c>
      <c r="Z323" s="0" t="n">
        <v>0.510782713631463</v>
      </c>
      <c r="AA323" s="0" t="n">
        <v>0</v>
      </c>
    </row>
    <row r="324" customFormat="false" ht="15" hidden="false" customHeight="false" outlineLevel="0" collapsed="false">
      <c r="A324" s="0" t="s">
        <v>358</v>
      </c>
      <c r="B324" s="0" t="s">
        <v>3013</v>
      </c>
      <c r="C324" s="0" t="s">
        <v>3038</v>
      </c>
      <c r="D324" s="0" t="n">
        <v>42.9279104917578</v>
      </c>
      <c r="E324" s="0" t="n">
        <v>0.233773486223015</v>
      </c>
      <c r="F324" s="0" t="n">
        <v>8.21602147437984</v>
      </c>
      <c r="G324" s="0" t="n">
        <v>0.191489361702128</v>
      </c>
      <c r="H324" s="0" t="n">
        <v>0.568210262828536</v>
      </c>
      <c r="I324" s="0" t="n">
        <v>0.629474662947466</v>
      </c>
      <c r="J324" s="0" t="n">
        <v>0.429774782401759</v>
      </c>
      <c r="K324" s="0" t="n">
        <v>0.667715717403612</v>
      </c>
      <c r="L324" s="1" t="b">
        <f aca="false">FALSE()</f>
        <v>0</v>
      </c>
      <c r="N324" s="0" t="n">
        <v>19.0980333620446</v>
      </c>
      <c r="O324" s="0" t="n">
        <v>1</v>
      </c>
      <c r="P324" s="0" t="n">
        <v>0</v>
      </c>
      <c r="Q324" s="0" t="n">
        <v>0</v>
      </c>
      <c r="R324" s="0" t="n">
        <v>25.0649694725334</v>
      </c>
      <c r="S324" s="0" t="n">
        <v>7.58226037195994</v>
      </c>
      <c r="T324" s="0" t="n">
        <v>0.182078293666274</v>
      </c>
      <c r="U324" s="0" t="n">
        <v>0.859135285913529</v>
      </c>
      <c r="V324" s="0" t="n">
        <v>0.811715481171548</v>
      </c>
      <c r="W324" s="0" t="n">
        <v>0.217573221757322</v>
      </c>
      <c r="X324" s="0" t="n">
        <v>0.233773486223015</v>
      </c>
      <c r="Y324" s="0" t="n">
        <v>8.21602147437984</v>
      </c>
      <c r="Z324" s="0" t="n">
        <v>0.429774782401759</v>
      </c>
      <c r="AA324" s="0" t="n">
        <v>0</v>
      </c>
    </row>
    <row r="325" customFormat="false" ht="15" hidden="false" customHeight="false" outlineLevel="0" collapsed="false">
      <c r="A325" s="0" t="s">
        <v>359</v>
      </c>
      <c r="B325" s="0" t="s">
        <v>3013</v>
      </c>
      <c r="C325" s="0" t="s">
        <v>3038</v>
      </c>
      <c r="D325" s="0" t="n">
        <v>31.6272765417996</v>
      </c>
      <c r="E325" s="0" t="n">
        <v>0.153610980159886</v>
      </c>
      <c r="F325" s="0" t="n">
        <v>3.01322035006767</v>
      </c>
      <c r="G325" s="0" t="n">
        <v>0.0275344180225282</v>
      </c>
      <c r="H325" s="0" t="n">
        <v>0.0250312891113892</v>
      </c>
      <c r="I325" s="0" t="n">
        <v>0.863784286378429</v>
      </c>
      <c r="J325" s="0" t="n">
        <v>0.193783140129253</v>
      </c>
      <c r="K325" s="0" t="n">
        <v>0.667715717403612</v>
      </c>
      <c r="L325" s="1" t="b">
        <f aca="false">FALSE()</f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42.4108843856422</v>
      </c>
      <c r="S325" s="0" t="n">
        <v>30.134074558535</v>
      </c>
      <c r="T325" s="0" t="n">
        <v>0.261608894702424</v>
      </c>
      <c r="U325" s="0" t="n">
        <v>0.96094839609484</v>
      </c>
      <c r="V325" s="0" t="n">
        <v>0.98884239888424</v>
      </c>
      <c r="W325" s="0" t="n">
        <v>0.641562064156206</v>
      </c>
      <c r="X325" s="0" t="n">
        <v>0.153610980159886</v>
      </c>
      <c r="Y325" s="0" t="n">
        <v>3.01322035006767</v>
      </c>
      <c r="Z325" s="0" t="n">
        <v>0.193783140129253</v>
      </c>
      <c r="AA325" s="0" t="n">
        <v>2.77555756156289E-017</v>
      </c>
    </row>
    <row r="326" customFormat="false" ht="15" hidden="false" customHeight="false" outlineLevel="0" collapsed="false">
      <c r="A326" s="0" t="s">
        <v>360</v>
      </c>
      <c r="B326" s="0" t="s">
        <v>3013</v>
      </c>
      <c r="C326" s="0" t="s">
        <v>3036</v>
      </c>
      <c r="D326" s="0" t="n">
        <v>44.9416553062625</v>
      </c>
      <c r="E326" s="0" t="n">
        <v>0.307788567532676</v>
      </c>
      <c r="F326" s="0" t="n">
        <v>7.64128396820659</v>
      </c>
      <c r="G326" s="0" t="n">
        <v>0.60450563204005</v>
      </c>
      <c r="H326" s="0" t="n">
        <v>0.501877346683354</v>
      </c>
      <c r="I326" s="0" t="n">
        <v>0.566713156671316</v>
      </c>
      <c r="J326" s="0" t="n">
        <v>0.555895822823625</v>
      </c>
      <c r="K326" s="0" t="n">
        <v>0.667715717403612</v>
      </c>
      <c r="L326" s="1" t="b">
        <f aca="false">FALSE()</f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10.8100648603867</v>
      </c>
      <c r="S326" s="0" t="n">
        <v>5.6140350877193</v>
      </c>
      <c r="T326" s="0" t="n">
        <v>0.219298245614035</v>
      </c>
      <c r="U326" s="0" t="n">
        <v>0.538354253835425</v>
      </c>
      <c r="V326" s="0" t="n">
        <v>0.726638772663877</v>
      </c>
      <c r="W326" s="0" t="n">
        <v>0.435146443514644</v>
      </c>
      <c r="X326" s="0" t="n">
        <v>0.307788567532676</v>
      </c>
      <c r="Y326" s="0" t="n">
        <v>7.64128396820659</v>
      </c>
      <c r="Z326" s="0" t="n">
        <v>0.555895822823625</v>
      </c>
      <c r="AA326" s="0" t="n">
        <v>0</v>
      </c>
    </row>
    <row r="327" customFormat="false" ht="15" hidden="false" customHeight="false" outlineLevel="0" collapsed="false">
      <c r="A327" s="0" t="s">
        <v>361</v>
      </c>
      <c r="B327" s="0" t="s">
        <v>3013</v>
      </c>
      <c r="C327" s="0" t="s">
        <v>3036</v>
      </c>
      <c r="D327" s="0" t="n">
        <v>-21.6098926948566</v>
      </c>
      <c r="E327" s="0" t="n">
        <v>0.373997129880835</v>
      </c>
      <c r="F327" s="0" t="n">
        <v>6.55500923224817</v>
      </c>
      <c r="G327" s="0" t="n">
        <v>0.88485607008761</v>
      </c>
      <c r="H327" s="0" t="n">
        <v>0.352941176470588</v>
      </c>
      <c r="I327" s="0" t="n">
        <v>0.300325430032543</v>
      </c>
      <c r="J327" s="0" t="n">
        <v>0.555183984629788</v>
      </c>
      <c r="K327" s="0" t="n">
        <v>0.667715717403612</v>
      </c>
      <c r="L327" s="1" t="b">
        <f aca="false">FALSE()</f>
        <v>0</v>
      </c>
      <c r="N327" s="0" t="n">
        <v>0</v>
      </c>
      <c r="O327" s="0" t="n">
        <v>0</v>
      </c>
      <c r="P327" s="0" t="n">
        <v>1</v>
      </c>
      <c r="Q327" s="0" t="n">
        <v>21.6098926948566</v>
      </c>
      <c r="R327" s="0" t="n">
        <v>12.051223550196</v>
      </c>
      <c r="S327" s="0" t="n">
        <v>1.85081323611892</v>
      </c>
      <c r="T327" s="0" t="n">
        <v>0.13086558235185</v>
      </c>
      <c r="U327" s="0" t="n">
        <v>0.603905160390516</v>
      </c>
      <c r="V327" s="0" t="n">
        <v>0.231520223152022</v>
      </c>
      <c r="W327" s="0" t="n">
        <v>0.0655509065550907</v>
      </c>
      <c r="X327" s="0" t="n">
        <v>0.373997129880835</v>
      </c>
      <c r="Y327" s="0" t="n">
        <v>6.55500923224817</v>
      </c>
      <c r="Z327" s="0" t="n">
        <v>0.555183984629788</v>
      </c>
      <c r="AA327" s="0" t="n">
        <v>0</v>
      </c>
    </row>
    <row r="328" customFormat="false" ht="15" hidden="false" customHeight="false" outlineLevel="0" collapsed="false">
      <c r="A328" s="0" t="s">
        <v>362</v>
      </c>
      <c r="B328" s="0" t="s">
        <v>3013</v>
      </c>
      <c r="C328" s="0" t="s">
        <v>3034</v>
      </c>
      <c r="D328" s="0" t="n">
        <v>-26.9984677019416</v>
      </c>
      <c r="E328" s="0" t="n">
        <v>0.359154027466887</v>
      </c>
      <c r="F328" s="0" t="n">
        <v>9.43256559165553</v>
      </c>
      <c r="G328" s="0" t="n">
        <v>0.844806007509387</v>
      </c>
      <c r="H328" s="0" t="n">
        <v>0.72090112640801</v>
      </c>
      <c r="I328" s="0" t="n">
        <v>0.098093909809391</v>
      </c>
      <c r="J328" s="0" t="n">
        <v>0.645901635528837</v>
      </c>
      <c r="K328" s="0" t="n">
        <v>0.667715717403612</v>
      </c>
      <c r="L328" s="1" t="b">
        <f aca="false">FALSE()</f>
        <v>0</v>
      </c>
      <c r="N328" s="0" t="n">
        <v>21.6098926948562</v>
      </c>
      <c r="O328" s="0" t="n">
        <v>1</v>
      </c>
      <c r="P328" s="0" t="n">
        <v>1</v>
      </c>
      <c r="Q328" s="0" t="n">
        <v>26.9984677019416</v>
      </c>
      <c r="R328" s="0" t="n">
        <v>3.88481097327744</v>
      </c>
      <c r="S328" s="0" t="n">
        <v>1.39103554868625</v>
      </c>
      <c r="T328" s="0" t="n">
        <v>0.15455950540958</v>
      </c>
      <c r="U328" s="0" t="n">
        <v>0.0697350069735007</v>
      </c>
      <c r="V328" s="0" t="n">
        <v>0.105997210599721</v>
      </c>
      <c r="W328" s="0" t="n">
        <v>0.118549511854951</v>
      </c>
      <c r="X328" s="0" t="n">
        <v>0.359154027466887</v>
      </c>
      <c r="Y328" s="0" t="n">
        <v>9.43256559165553</v>
      </c>
      <c r="Z328" s="0" t="n">
        <v>0.645901635528837</v>
      </c>
      <c r="AA328" s="0" t="n">
        <v>0</v>
      </c>
    </row>
    <row r="329" customFormat="false" ht="15" hidden="false" customHeight="false" outlineLevel="0" collapsed="false">
      <c r="A329" s="0" t="s">
        <v>363</v>
      </c>
      <c r="B329" s="0" t="s">
        <v>3013</v>
      </c>
      <c r="C329" s="0" t="s">
        <v>3033</v>
      </c>
      <c r="D329" s="0" t="n">
        <v>26.2313653103243</v>
      </c>
      <c r="E329" s="0" t="n">
        <v>0.328747609761384</v>
      </c>
      <c r="F329" s="0" t="n">
        <v>10.8505385542437</v>
      </c>
      <c r="G329" s="0" t="n">
        <v>0.728410513141427</v>
      </c>
      <c r="H329" s="0" t="n">
        <v>0.868585732165207</v>
      </c>
      <c r="I329" s="0" t="n">
        <v>0.455602045560205</v>
      </c>
      <c r="J329" s="0" t="n">
        <v>0.729918907234694</v>
      </c>
      <c r="K329" s="0" t="n">
        <v>0.667715717403612</v>
      </c>
      <c r="L329" s="1" t="b">
        <f aca="false">TRUE()</f>
        <v>1</v>
      </c>
      <c r="M329" s="0" t="s">
        <v>3035</v>
      </c>
      <c r="N329" s="0" t="n">
        <v>48.6083603967982</v>
      </c>
      <c r="O329" s="0" t="n">
        <v>2</v>
      </c>
      <c r="P329" s="0" t="n">
        <v>0</v>
      </c>
      <c r="Q329" s="0" t="n">
        <v>0</v>
      </c>
      <c r="R329" s="0" t="n">
        <v>11.2009407614284</v>
      </c>
      <c r="S329" s="0" t="n">
        <v>2.502406159769</v>
      </c>
      <c r="T329" s="0" t="n">
        <v>0.216554379210781</v>
      </c>
      <c r="U329" s="0" t="n">
        <v>0.553695955369596</v>
      </c>
      <c r="V329" s="0" t="n">
        <v>0.389121338912134</v>
      </c>
      <c r="W329" s="0" t="n">
        <v>0.423988842398884</v>
      </c>
      <c r="X329" s="0" t="n">
        <v>0.328747609761384</v>
      </c>
      <c r="Y329" s="0" t="n">
        <v>10.8505385542437</v>
      </c>
      <c r="Z329" s="0" t="n">
        <v>0.729918907234694</v>
      </c>
      <c r="AA329" s="0" t="n">
        <v>0</v>
      </c>
    </row>
    <row r="330" customFormat="false" ht="15" hidden="false" customHeight="false" outlineLevel="0" collapsed="false">
      <c r="A330" s="0" t="s">
        <v>364</v>
      </c>
      <c r="B330" s="0" t="s">
        <v>3013</v>
      </c>
      <c r="C330" s="0" t="s">
        <v>3033</v>
      </c>
      <c r="D330" s="0" t="n">
        <v>69.4051217750325</v>
      </c>
      <c r="E330" s="0" t="n">
        <v>0.276766626594516</v>
      </c>
      <c r="F330" s="0" t="n">
        <v>8.73171761403276</v>
      </c>
      <c r="G330" s="0" t="n">
        <v>0.44180225281602</v>
      </c>
      <c r="H330" s="0" t="n">
        <v>0.637046307884856</v>
      </c>
      <c r="I330" s="0" t="n">
        <v>0.580660158066016</v>
      </c>
      <c r="J330" s="0" t="n">
        <v>0.547671455893554</v>
      </c>
      <c r="K330" s="0" t="n">
        <v>0.667715717403612</v>
      </c>
      <c r="L330" s="1" t="b">
        <f aca="false">FALSE()</f>
        <v>0</v>
      </c>
      <c r="N330" s="0" t="n">
        <v>22.3769950864735</v>
      </c>
      <c r="O330" s="0" t="n">
        <v>0</v>
      </c>
      <c r="P330" s="0" t="n">
        <v>0</v>
      </c>
      <c r="Q330" s="0" t="n">
        <v>0</v>
      </c>
      <c r="R330" s="0" t="n">
        <v>8.71678917948188</v>
      </c>
      <c r="S330" s="0" t="n">
        <v>3.80067567567568</v>
      </c>
      <c r="T330" s="0" t="n">
        <v>0.295608108108109</v>
      </c>
      <c r="U330" s="0" t="n">
        <v>0.433751743375174</v>
      </c>
      <c r="V330" s="0" t="n">
        <v>0.569037656903766</v>
      </c>
      <c r="W330" s="0" t="n">
        <v>0.739191073919107</v>
      </c>
      <c r="X330" s="0" t="n">
        <v>0.276766626594516</v>
      </c>
      <c r="Y330" s="0" t="n">
        <v>8.73171761403276</v>
      </c>
      <c r="Z330" s="0" t="n">
        <v>0.547671455893554</v>
      </c>
      <c r="AA330" s="0" t="n">
        <v>0</v>
      </c>
    </row>
    <row r="331" customFormat="false" ht="15" hidden="false" customHeight="false" outlineLevel="0" collapsed="false">
      <c r="A331" s="0" t="s">
        <v>365</v>
      </c>
      <c r="B331" s="0" t="s">
        <v>3013</v>
      </c>
      <c r="C331" s="0" t="s">
        <v>3033</v>
      </c>
      <c r="D331" s="0" t="n">
        <v>22.5316564500501</v>
      </c>
      <c r="E331" s="0" t="n">
        <v>0.275802500980556</v>
      </c>
      <c r="F331" s="0" t="n">
        <v>7.46472641298372</v>
      </c>
      <c r="G331" s="0" t="n">
        <v>0.433041301627034</v>
      </c>
      <c r="H331" s="0" t="n">
        <v>0.478097622027534</v>
      </c>
      <c r="I331" s="0" t="n">
        <v>0.251975825197583</v>
      </c>
      <c r="J331" s="0" t="n">
        <v>0.414850734501344</v>
      </c>
      <c r="K331" s="0" t="n">
        <v>0.667715717403612</v>
      </c>
      <c r="L331" s="1" t="b">
        <f aca="false">FALSE()</f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5.55571465391168</v>
      </c>
      <c r="S331" s="0" t="n">
        <v>3.85185185185186</v>
      </c>
      <c r="T331" s="0" t="n">
        <v>0.0740740740740698</v>
      </c>
      <c r="U331" s="0" t="n">
        <v>0.174337517433752</v>
      </c>
      <c r="V331" s="0" t="n">
        <v>0.576011157601116</v>
      </c>
      <c r="W331" s="0" t="n">
        <v>0.00557880055788006</v>
      </c>
      <c r="X331" s="0" t="n">
        <v>0.275802500980556</v>
      </c>
      <c r="Y331" s="0" t="n">
        <v>7.46472641298372</v>
      </c>
      <c r="Z331" s="0" t="n">
        <v>0.414850734501344</v>
      </c>
      <c r="AA331" s="0" t="n">
        <v>-5.55111512312578E-017</v>
      </c>
    </row>
    <row r="332" customFormat="false" ht="15" hidden="false" customHeight="false" outlineLevel="0" collapsed="false">
      <c r="A332" s="0" t="s">
        <v>366</v>
      </c>
      <c r="B332" s="0" t="s">
        <v>33</v>
      </c>
      <c r="C332" s="0" t="s">
        <v>33</v>
      </c>
      <c r="D332" s="0" t="n">
        <v>6.44451193374542</v>
      </c>
      <c r="E332" s="0" t="n">
        <v>0.352396199570543</v>
      </c>
      <c r="F332" s="0" t="n">
        <v>10.4278725399433</v>
      </c>
      <c r="G332" s="0" t="n">
        <v>0.824780976220275</v>
      </c>
      <c r="H332" s="0" t="n">
        <v>0.832290362953692</v>
      </c>
      <c r="I332" s="0" t="n">
        <v>0.5</v>
      </c>
      <c r="J332" s="0" t="n">
        <v>0.762828535669587</v>
      </c>
      <c r="K332" s="0" t="n">
        <v>0.667715717403612</v>
      </c>
      <c r="L332" s="1" t="b">
        <f aca="false">TRUE()</f>
        <v>1</v>
      </c>
      <c r="M332" s="0" t="s">
        <v>3035</v>
      </c>
      <c r="N332" s="0" t="n">
        <v>0</v>
      </c>
      <c r="O332" s="0" t="n">
        <v>0</v>
      </c>
      <c r="P332" s="0" t="n">
        <v>0</v>
      </c>
      <c r="Q332" s="0" t="n">
        <v>0</v>
      </c>
      <c r="U332" s="0" t="n">
        <v>0.5</v>
      </c>
      <c r="V332" s="0" t="n">
        <v>0.5</v>
      </c>
      <c r="W332" s="0" t="n">
        <v>0.5</v>
      </c>
      <c r="X332" s="0" t="n">
        <v>0.352396199570543</v>
      </c>
      <c r="Y332" s="0" t="n">
        <v>10.4278725399433</v>
      </c>
      <c r="Z332" s="0" t="n">
        <v>0.762828535669587</v>
      </c>
      <c r="AA332" s="0" t="n">
        <v>0</v>
      </c>
    </row>
    <row r="333" customFormat="false" ht="15" hidden="false" customHeight="false" outlineLevel="0" collapsed="false">
      <c r="A333" s="0" t="s">
        <v>367</v>
      </c>
      <c r="B333" s="0" t="s">
        <v>3013</v>
      </c>
      <c r="C333" s="0" t="s">
        <v>3038</v>
      </c>
      <c r="D333" s="0" t="n">
        <v>16.3510190488595</v>
      </c>
      <c r="E333" s="0" t="n">
        <v>0.158538101644876</v>
      </c>
      <c r="F333" s="0" t="n">
        <v>2.46452738249412</v>
      </c>
      <c r="G333" s="0" t="n">
        <v>0.032540675844806</v>
      </c>
      <c r="H333" s="0" t="n">
        <v>0.0150187734668335</v>
      </c>
      <c r="I333" s="0" t="n">
        <v>0.838679683867968</v>
      </c>
      <c r="J333" s="0" t="n">
        <v>0.18675971649825</v>
      </c>
      <c r="K333" s="0" t="n">
        <v>0.667715717403612</v>
      </c>
      <c r="L333" s="1" t="b">
        <f aca="false">FALSE()</f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12.7716853171519</v>
      </c>
      <c r="S333" s="0" t="n">
        <v>32.3789692868298</v>
      </c>
      <c r="T333" s="0" t="n">
        <v>0.416449765747005</v>
      </c>
      <c r="U333" s="0" t="n">
        <v>0.626220362622036</v>
      </c>
      <c r="V333" s="0" t="n">
        <v>0.99581589958159</v>
      </c>
      <c r="W333" s="0" t="n">
        <v>0.894002789400279</v>
      </c>
      <c r="X333" s="0" t="n">
        <v>0.158538101644876</v>
      </c>
      <c r="Y333" s="0" t="n">
        <v>2.46452738249412</v>
      </c>
      <c r="Z333" s="0" t="n">
        <v>0.18675971649825</v>
      </c>
      <c r="AA333" s="0" t="n">
        <v>2.77555756156289E-017</v>
      </c>
    </row>
    <row r="334" customFormat="false" ht="15" hidden="false" customHeight="false" outlineLevel="0" collapsed="false">
      <c r="A334" s="0" t="s">
        <v>368</v>
      </c>
      <c r="B334" s="0" t="s">
        <v>3013</v>
      </c>
      <c r="C334" s="0" t="s">
        <v>3038</v>
      </c>
      <c r="D334" s="0" t="n">
        <v>46.4337309949622</v>
      </c>
      <c r="E334" s="0" t="n">
        <v>0.155461411998625</v>
      </c>
      <c r="F334" s="0" t="n">
        <v>5.34124410095931</v>
      </c>
      <c r="G334" s="0" t="n">
        <v>0.0300375469336671</v>
      </c>
      <c r="H334" s="0" t="n">
        <v>0.181476846057572</v>
      </c>
      <c r="I334" s="0" t="n">
        <v>0.922826592282659</v>
      </c>
      <c r="J334" s="0" t="n">
        <v>0.269171075653027</v>
      </c>
      <c r="K334" s="0" t="n">
        <v>0.667715717403612</v>
      </c>
      <c r="L334" s="1" t="b">
        <f aca="false">FALSE()</f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26.3453435449682</v>
      </c>
      <c r="S334" s="0" t="n">
        <v>15.2667723190702</v>
      </c>
      <c r="T334" s="0" t="n">
        <v>0.528262017960916</v>
      </c>
      <c r="U334" s="0" t="n">
        <v>0.873082287308229</v>
      </c>
      <c r="V334" s="0" t="n">
        <v>0.931659693165969</v>
      </c>
      <c r="W334" s="0" t="n">
        <v>0.96373779637378</v>
      </c>
      <c r="X334" s="0" t="n">
        <v>0.155461411998625</v>
      </c>
      <c r="Y334" s="0" t="n">
        <v>5.34124410095931</v>
      </c>
      <c r="Z334" s="0" t="n">
        <v>0.269171075653027</v>
      </c>
      <c r="AA334" s="0" t="n">
        <v>5.55111512312578E-017</v>
      </c>
    </row>
    <row r="335" customFormat="false" ht="15" hidden="false" customHeight="false" outlineLevel="0" collapsed="false">
      <c r="A335" s="0" t="s">
        <v>369</v>
      </c>
      <c r="B335" s="0" t="s">
        <v>3013</v>
      </c>
      <c r="C335" s="0" t="s">
        <v>3034</v>
      </c>
      <c r="D335" s="0" t="n">
        <v>2.97632983062091</v>
      </c>
      <c r="E335" s="0" t="n">
        <v>0.376004257525926</v>
      </c>
      <c r="F335" s="0" t="n">
        <v>10.9234875775157</v>
      </c>
      <c r="G335" s="0" t="n">
        <v>0.888610763454318</v>
      </c>
      <c r="H335" s="0" t="n">
        <v>0.873591989987484</v>
      </c>
      <c r="I335" s="0" t="n">
        <v>0.0841469084146908</v>
      </c>
      <c r="J335" s="0" t="n">
        <v>0.721710483059659</v>
      </c>
      <c r="K335" s="0" t="n">
        <v>0.667715717403612</v>
      </c>
      <c r="L335" s="1" t="b">
        <f aca="false">TRUE()</f>
        <v>1</v>
      </c>
      <c r="M335" s="0" t="s">
        <v>3035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3.03454135666269</v>
      </c>
      <c r="S335" s="0" t="n">
        <v>0.574262594622826</v>
      </c>
      <c r="T335" s="0" t="n">
        <v>0.1827199164709</v>
      </c>
      <c r="U335" s="0" t="n">
        <v>0.0264993026499303</v>
      </c>
      <c r="V335" s="0" t="n">
        <v>0.00418410041841004</v>
      </c>
      <c r="W335" s="0" t="n">
        <v>0.221757322175732</v>
      </c>
      <c r="X335" s="0" t="n">
        <v>0.376004257525926</v>
      </c>
      <c r="Y335" s="0" t="n">
        <v>10.9234875775157</v>
      </c>
      <c r="Z335" s="0" t="n">
        <v>0.721710483059659</v>
      </c>
      <c r="AA335" s="0" t="n">
        <v>0</v>
      </c>
    </row>
    <row r="336" customFormat="false" ht="15" hidden="false" customHeight="false" outlineLevel="0" collapsed="false">
      <c r="A336" s="0" t="s">
        <v>370</v>
      </c>
      <c r="B336" s="0" t="s">
        <v>3013</v>
      </c>
      <c r="C336" s="0" t="s">
        <v>3033</v>
      </c>
      <c r="D336" s="0" t="n">
        <v>-5.02603977774557</v>
      </c>
      <c r="E336" s="0" t="n">
        <v>0.328141330168278</v>
      </c>
      <c r="F336" s="0" t="n">
        <v>9.29894859820063</v>
      </c>
      <c r="G336" s="0" t="n">
        <v>0.72215269086358</v>
      </c>
      <c r="H336" s="0" t="n">
        <v>0.713391739674593</v>
      </c>
      <c r="I336" s="0" t="n">
        <v>0.329149232914923</v>
      </c>
      <c r="J336" s="0" t="n">
        <v>0.640047618798254</v>
      </c>
      <c r="K336" s="0" t="n">
        <v>0.667715717403612</v>
      </c>
      <c r="L336" s="1" t="b">
        <f aca="false">FALSE()</f>
        <v>0</v>
      </c>
      <c r="N336" s="0" t="n">
        <v>0</v>
      </c>
      <c r="O336" s="0" t="n">
        <v>0</v>
      </c>
      <c r="P336" s="0" t="n">
        <v>1</v>
      </c>
      <c r="Q336" s="0" t="n">
        <v>5.02603977774557</v>
      </c>
      <c r="R336" s="0" t="n">
        <v>6.42087307339241</v>
      </c>
      <c r="S336" s="0" t="n">
        <v>2.28571428571429</v>
      </c>
      <c r="T336" s="0" t="n">
        <v>0.21052631578947</v>
      </c>
      <c r="U336" s="0" t="n">
        <v>0.267782426778243</v>
      </c>
      <c r="V336" s="0" t="n">
        <v>0.337517433751743</v>
      </c>
      <c r="W336" s="0" t="n">
        <v>0.382147838214784</v>
      </c>
      <c r="X336" s="0" t="n">
        <v>0.328141330168278</v>
      </c>
      <c r="Y336" s="0" t="n">
        <v>9.29894859820063</v>
      </c>
      <c r="Z336" s="0" t="n">
        <v>0.640047618798254</v>
      </c>
      <c r="AA336" s="0" t="n">
        <v>0</v>
      </c>
    </row>
    <row r="337" customFormat="false" ht="15" hidden="false" customHeight="false" outlineLevel="0" collapsed="false">
      <c r="A337" s="0" t="s">
        <v>371</v>
      </c>
      <c r="B337" s="0" t="s">
        <v>3013</v>
      </c>
      <c r="C337" s="0" t="s">
        <v>3033</v>
      </c>
      <c r="D337" s="0" t="n">
        <v>32.4436770756751</v>
      </c>
      <c r="E337" s="0" t="n">
        <v>0.275931596236441</v>
      </c>
      <c r="F337" s="0" t="n">
        <v>9.50015461098323</v>
      </c>
      <c r="G337" s="0" t="n">
        <v>0.434292866082603</v>
      </c>
      <c r="H337" s="0" t="n">
        <v>0.728410513141427</v>
      </c>
      <c r="I337" s="0" t="n">
        <v>0.658763365876337</v>
      </c>
      <c r="J337" s="0" t="n">
        <v>0.596834024864879</v>
      </c>
      <c r="K337" s="0" t="n">
        <v>0.667715717403612</v>
      </c>
      <c r="L337" s="1" t="b">
        <f aca="false">FALSE()</f>
        <v>0</v>
      </c>
      <c r="N337" s="0" t="n">
        <v>5.02603977774561</v>
      </c>
      <c r="O337" s="0" t="n">
        <v>1</v>
      </c>
      <c r="P337" s="0" t="n">
        <v>0</v>
      </c>
      <c r="Q337" s="0" t="n">
        <v>0</v>
      </c>
      <c r="R337" s="0" t="n">
        <v>8.38581409038827</v>
      </c>
      <c r="S337" s="0" t="n">
        <v>6.79475164011247</v>
      </c>
      <c r="T337" s="0" t="n">
        <v>0.328022492970948</v>
      </c>
      <c r="U337" s="0" t="n">
        <v>0.407252440725244</v>
      </c>
      <c r="V337" s="0" t="n">
        <v>0.776847977684798</v>
      </c>
      <c r="W337" s="0" t="n">
        <v>0.792189679218968</v>
      </c>
      <c r="X337" s="0" t="n">
        <v>0.275931596236441</v>
      </c>
      <c r="Y337" s="0" t="n">
        <v>9.50015461098322</v>
      </c>
      <c r="Z337" s="0" t="n">
        <v>0.596834024864879</v>
      </c>
      <c r="AA337" s="0" t="n">
        <v>0</v>
      </c>
    </row>
    <row r="338" customFormat="false" ht="15" hidden="false" customHeight="false" outlineLevel="0" collapsed="false">
      <c r="A338" s="0" t="s">
        <v>372</v>
      </c>
      <c r="B338" s="0" t="s">
        <v>33</v>
      </c>
      <c r="C338" s="0" t="s">
        <v>33</v>
      </c>
      <c r="D338" s="0" t="n">
        <v>28.1862199249569</v>
      </c>
      <c r="E338" s="0" t="n">
        <v>0.363739359264373</v>
      </c>
      <c r="F338" s="0" t="n">
        <v>11.303639989524</v>
      </c>
      <c r="G338" s="0" t="n">
        <v>0.854818523153943</v>
      </c>
      <c r="H338" s="0" t="n">
        <v>0.899874843554443</v>
      </c>
      <c r="I338" s="0" t="n">
        <v>0.5</v>
      </c>
      <c r="J338" s="0" t="n">
        <v>0.801877346683354</v>
      </c>
      <c r="K338" s="0" t="n">
        <v>0.667715717403612</v>
      </c>
      <c r="L338" s="1" t="b">
        <f aca="false">TRUE()</f>
        <v>1</v>
      </c>
      <c r="M338" s="0" t="s">
        <v>3035</v>
      </c>
      <c r="N338" s="0" t="n">
        <v>0</v>
      </c>
      <c r="O338" s="0" t="n">
        <v>0</v>
      </c>
      <c r="P338" s="0" t="n">
        <v>0</v>
      </c>
      <c r="Q338" s="0" t="n">
        <v>0</v>
      </c>
      <c r="U338" s="0" t="n">
        <v>0.5</v>
      </c>
      <c r="V338" s="0" t="n">
        <v>0.5</v>
      </c>
      <c r="W338" s="0" t="n">
        <v>0.5</v>
      </c>
      <c r="X338" s="0" t="n">
        <v>0.363739359264373</v>
      </c>
      <c r="Y338" s="0" t="n">
        <v>11.303639989524</v>
      </c>
      <c r="Z338" s="0" t="n">
        <v>0.801877346683354</v>
      </c>
      <c r="AA338" s="0" t="n">
        <v>0</v>
      </c>
    </row>
    <row r="339" customFormat="false" ht="15" hidden="false" customHeight="false" outlineLevel="0" collapsed="false">
      <c r="A339" s="0" t="s">
        <v>373</v>
      </c>
      <c r="B339" s="0" t="s">
        <v>3013</v>
      </c>
      <c r="C339" s="0" t="s">
        <v>3033</v>
      </c>
      <c r="D339" s="0" t="n">
        <v>0.706541075170567</v>
      </c>
      <c r="E339" s="0" t="n">
        <v>0.252969102503003</v>
      </c>
      <c r="F339" s="0" t="n">
        <v>6.25432374195283</v>
      </c>
      <c r="G339" s="0" t="n">
        <v>0.285356695869837</v>
      </c>
      <c r="H339" s="0" t="n">
        <v>0.304130162703379</v>
      </c>
      <c r="I339" s="0" t="n">
        <v>0.434216643421664</v>
      </c>
      <c r="J339" s="0" t="n">
        <v>0.32263807211362</v>
      </c>
      <c r="K339" s="0" t="n">
        <v>0.667715717403612</v>
      </c>
      <c r="L339" s="1" t="b">
        <f aca="false">FALSE()</f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13.1220733964927</v>
      </c>
      <c r="S339" s="0" t="n">
        <v>1.7981072555205</v>
      </c>
      <c r="T339" s="0" t="n">
        <v>0.220820189274453</v>
      </c>
      <c r="U339" s="0" t="n">
        <v>0.647140864714087</v>
      </c>
      <c r="V339" s="0" t="n">
        <v>0.213389121338912</v>
      </c>
      <c r="W339" s="0" t="n">
        <v>0.442119944211994</v>
      </c>
      <c r="X339" s="0" t="n">
        <v>0.252969102503003</v>
      </c>
      <c r="Y339" s="0" t="n">
        <v>6.25432374195283</v>
      </c>
      <c r="Z339" s="0" t="n">
        <v>0.32263807211362</v>
      </c>
      <c r="AA339" s="0" t="n">
        <v>0</v>
      </c>
    </row>
    <row r="340" customFormat="false" ht="15" hidden="false" customHeight="false" outlineLevel="0" collapsed="false">
      <c r="A340" s="0" t="s">
        <v>374</v>
      </c>
      <c r="B340" s="0" t="s">
        <v>3013</v>
      </c>
      <c r="C340" s="0" t="s">
        <v>3034</v>
      </c>
      <c r="D340" s="0" t="n">
        <v>22.078919813746</v>
      </c>
      <c r="E340" s="0" t="n">
        <v>0.384364178522739</v>
      </c>
      <c r="F340" s="0" t="n">
        <v>11.2370759580416</v>
      </c>
      <c r="G340" s="0" t="n">
        <v>0.913642052565707</v>
      </c>
      <c r="H340" s="0" t="n">
        <v>0.894868585732165</v>
      </c>
      <c r="I340" s="0" t="n">
        <v>0.388656438865644</v>
      </c>
      <c r="J340" s="0" t="n">
        <v>0.801135543092278</v>
      </c>
      <c r="K340" s="0" t="n">
        <v>0.667715717403612</v>
      </c>
      <c r="L340" s="1" t="b">
        <f aca="false">TRUE()</f>
        <v>1</v>
      </c>
      <c r="M340" s="0" t="s">
        <v>3035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5.56809508676919</v>
      </c>
      <c r="S340" s="0" t="n">
        <v>3.47923681257013</v>
      </c>
      <c r="T340" s="0" t="n">
        <v>0.224466891133561</v>
      </c>
      <c r="U340" s="0" t="n">
        <v>0.175732217573222</v>
      </c>
      <c r="V340" s="0" t="n">
        <v>0.523012552301255</v>
      </c>
      <c r="W340" s="0" t="n">
        <v>0.467224546722455</v>
      </c>
      <c r="X340" s="0" t="n">
        <v>0.384364178522739</v>
      </c>
      <c r="Y340" s="0" t="n">
        <v>11.2370759580416</v>
      </c>
      <c r="Z340" s="0" t="n">
        <v>0.801135543092278</v>
      </c>
      <c r="AA340" s="0" t="n">
        <v>0</v>
      </c>
    </row>
    <row r="341" customFormat="false" ht="15" hidden="false" customHeight="false" outlineLevel="0" collapsed="false">
      <c r="A341" s="0" t="s">
        <v>375</v>
      </c>
      <c r="B341" s="0" t="s">
        <v>33</v>
      </c>
      <c r="C341" s="0" t="s">
        <v>33</v>
      </c>
      <c r="D341" s="0" t="n">
        <v>22.1452057973759</v>
      </c>
      <c r="E341" s="0" t="n">
        <v>0.373694421317041</v>
      </c>
      <c r="F341" s="0" t="n">
        <v>10.9089028947656</v>
      </c>
      <c r="G341" s="0" t="n">
        <v>0.88360450563204</v>
      </c>
      <c r="H341" s="0" t="n">
        <v>0.871088861076345</v>
      </c>
      <c r="I341" s="0" t="n">
        <v>0.5</v>
      </c>
      <c r="J341" s="0" t="n">
        <v>0.801877346683354</v>
      </c>
      <c r="K341" s="0" t="n">
        <v>0.667715717403612</v>
      </c>
      <c r="L341" s="1" t="b">
        <f aca="false">TRUE()</f>
        <v>1</v>
      </c>
      <c r="M341" s="0" t="s">
        <v>3035</v>
      </c>
      <c r="N341" s="0" t="n">
        <v>0</v>
      </c>
      <c r="O341" s="0" t="n">
        <v>0</v>
      </c>
      <c r="P341" s="0" t="n">
        <v>0</v>
      </c>
      <c r="Q341" s="0" t="n">
        <v>0</v>
      </c>
      <c r="U341" s="0" t="n">
        <v>0.5</v>
      </c>
      <c r="V341" s="0" t="n">
        <v>0.5</v>
      </c>
      <c r="W341" s="0" t="n">
        <v>0.5</v>
      </c>
      <c r="X341" s="0" t="n">
        <v>0.373694421317041</v>
      </c>
      <c r="Y341" s="0" t="n">
        <v>10.9089028947656</v>
      </c>
      <c r="Z341" s="0" t="n">
        <v>0.801877346683354</v>
      </c>
      <c r="AA341" s="0" t="n">
        <v>0</v>
      </c>
    </row>
    <row r="342" customFormat="false" ht="15" hidden="false" customHeight="false" outlineLevel="0" collapsed="false">
      <c r="A342" s="0" t="s">
        <v>376</v>
      </c>
      <c r="B342" s="0" t="s">
        <v>3013</v>
      </c>
      <c r="C342" s="0" t="s">
        <v>3036</v>
      </c>
      <c r="D342" s="0" t="n">
        <v>19.2982979019856</v>
      </c>
      <c r="E342" s="0" t="n">
        <v>0.263227186107135</v>
      </c>
      <c r="F342" s="0" t="n">
        <v>4.13757140108644</v>
      </c>
      <c r="G342" s="0" t="n">
        <v>0.356695869837297</v>
      </c>
      <c r="H342" s="0" t="n">
        <v>0.0625782227784731</v>
      </c>
      <c r="I342" s="0" t="n">
        <v>0.172942817294282</v>
      </c>
      <c r="J342" s="0" t="n">
        <v>0.202298200505164</v>
      </c>
      <c r="K342" s="0" t="n">
        <v>0.667715717403612</v>
      </c>
      <c r="L342" s="1" t="b">
        <f aca="false">FALSE()</f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6.32097353985511</v>
      </c>
      <c r="S342" s="0" t="n">
        <v>1.73770491803281</v>
      </c>
      <c r="T342" s="0" t="n">
        <v>0.131147540983608</v>
      </c>
      <c r="U342" s="0" t="n">
        <v>0.252440725244073</v>
      </c>
      <c r="V342" s="0" t="n">
        <v>0.199442119944212</v>
      </c>
      <c r="W342" s="0" t="n">
        <v>0.0669456066945607</v>
      </c>
      <c r="X342" s="0" t="n">
        <v>0.263227186107135</v>
      </c>
      <c r="Y342" s="0" t="n">
        <v>4.13757140108644</v>
      </c>
      <c r="Z342" s="0" t="n">
        <v>0.202298200505164</v>
      </c>
      <c r="AA342" s="0" t="n">
        <v>2.77555756156289E-017</v>
      </c>
    </row>
    <row r="343" customFormat="false" ht="15" hidden="false" customHeight="false" outlineLevel="0" collapsed="false">
      <c r="A343" s="0" t="s">
        <v>377</v>
      </c>
      <c r="B343" s="0" t="s">
        <v>3013</v>
      </c>
      <c r="C343" s="0" t="s">
        <v>3033</v>
      </c>
      <c r="D343" s="0" t="n">
        <v>16.73945354941</v>
      </c>
      <c r="E343" s="0" t="n">
        <v>0.240270192545568</v>
      </c>
      <c r="F343" s="0" t="n">
        <v>6.16561924390862</v>
      </c>
      <c r="G343" s="0" t="n">
        <v>0.224030037546934</v>
      </c>
      <c r="H343" s="0" t="n">
        <v>0.285356695869837</v>
      </c>
      <c r="I343" s="0" t="n">
        <v>0.271501627150163</v>
      </c>
      <c r="J343" s="0" t="n">
        <v>0.258055018796741</v>
      </c>
      <c r="K343" s="0" t="n">
        <v>0.667715717403612</v>
      </c>
      <c r="L343" s="1" t="b">
        <f aca="false">FALSE()</f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6.61856277234035</v>
      </c>
      <c r="S343" s="0" t="n">
        <v>2.74039637876193</v>
      </c>
      <c r="T343" s="0" t="n">
        <v>0.146806948862238</v>
      </c>
      <c r="U343" s="0" t="n">
        <v>0.283124128312413</v>
      </c>
      <c r="V343" s="0" t="n">
        <v>0.430962343096234</v>
      </c>
      <c r="W343" s="0" t="n">
        <v>0.100418410041841</v>
      </c>
      <c r="X343" s="0" t="n">
        <v>0.240270192545568</v>
      </c>
      <c r="Y343" s="0" t="n">
        <v>6.16561924390862</v>
      </c>
      <c r="Z343" s="0" t="n">
        <v>0.258055018796741</v>
      </c>
      <c r="AA343" s="0" t="n">
        <v>0</v>
      </c>
    </row>
    <row r="344" customFormat="false" ht="15" hidden="false" customHeight="false" outlineLevel="0" collapsed="false">
      <c r="A344" s="0" t="s">
        <v>378</v>
      </c>
      <c r="B344" s="0" t="s">
        <v>3013</v>
      </c>
      <c r="C344" s="0" t="s">
        <v>3036</v>
      </c>
      <c r="D344" s="0" t="n">
        <v>-0.742087724903248</v>
      </c>
      <c r="E344" s="0" t="n">
        <v>0.307140792695804</v>
      </c>
      <c r="F344" s="0" t="n">
        <v>4.82755637401482</v>
      </c>
      <c r="G344" s="0" t="n">
        <v>0.603254067584481</v>
      </c>
      <c r="H344" s="0" t="n">
        <v>0.115143929912391</v>
      </c>
      <c r="I344" s="0" t="n">
        <v>0.408414690841469</v>
      </c>
      <c r="J344" s="0" t="n">
        <v>0.369042137167042</v>
      </c>
      <c r="K344" s="0" t="n">
        <v>0.667715717403612</v>
      </c>
      <c r="L344" s="1" t="b">
        <f aca="false">FALSE()</f>
        <v>0</v>
      </c>
      <c r="N344" s="0" t="n">
        <v>0</v>
      </c>
      <c r="O344" s="0" t="n">
        <v>0</v>
      </c>
      <c r="P344" s="0" t="n">
        <v>1</v>
      </c>
      <c r="Q344" s="0" t="n">
        <v>0.742087724903248</v>
      </c>
      <c r="R344" s="0" t="n">
        <v>6.29579991785619</v>
      </c>
      <c r="S344" s="0" t="n">
        <v>2.93775450843514</v>
      </c>
      <c r="T344" s="0" t="n">
        <v>0.232693426410707</v>
      </c>
      <c r="U344" s="0" t="n">
        <v>0.249651324965133</v>
      </c>
      <c r="V344" s="0" t="n">
        <v>0.463040446304045</v>
      </c>
      <c r="W344" s="0" t="n">
        <v>0.51255230125523</v>
      </c>
      <c r="X344" s="0" t="n">
        <v>0.307140792695804</v>
      </c>
      <c r="Y344" s="0" t="n">
        <v>4.82755637401482</v>
      </c>
      <c r="Z344" s="0" t="n">
        <v>0.369042137167042</v>
      </c>
      <c r="AA344" s="0" t="n">
        <v>-5.55111512312578E-017</v>
      </c>
    </row>
    <row r="345" customFormat="false" ht="15" hidden="false" customHeight="false" outlineLevel="0" collapsed="false">
      <c r="A345" s="0" t="s">
        <v>379</v>
      </c>
      <c r="B345" s="0" t="s">
        <v>3013</v>
      </c>
      <c r="C345" s="0" t="s">
        <v>3033</v>
      </c>
      <c r="D345" s="0" t="n">
        <v>30.9465426088834</v>
      </c>
      <c r="E345" s="0" t="n">
        <v>0.238110989403279</v>
      </c>
      <c r="F345" s="0" t="n">
        <v>5.1880783885628</v>
      </c>
      <c r="G345" s="0" t="n">
        <v>0.214017521902378</v>
      </c>
      <c r="H345" s="0" t="n">
        <v>0.160200250312891</v>
      </c>
      <c r="I345" s="0" t="n">
        <v>0.310088331008833</v>
      </c>
      <c r="J345" s="0" t="n">
        <v>0.211704775087874</v>
      </c>
      <c r="K345" s="0" t="n">
        <v>0.667715717403612</v>
      </c>
      <c r="L345" s="1" t="b">
        <f aca="false">FALSE()</f>
        <v>0</v>
      </c>
      <c r="N345" s="0" t="n">
        <v>0.742087724903286</v>
      </c>
      <c r="O345" s="0" t="n">
        <v>1</v>
      </c>
      <c r="P345" s="0" t="n">
        <v>0</v>
      </c>
      <c r="Q345" s="0" t="n">
        <v>0</v>
      </c>
      <c r="R345" s="0" t="n">
        <v>7.3362445414855</v>
      </c>
      <c r="S345" s="0" t="n">
        <v>3.4253408713003</v>
      </c>
      <c r="T345" s="0" t="n">
        <v>0.133022946458266</v>
      </c>
      <c r="U345" s="0" t="n">
        <v>0.340306834030683</v>
      </c>
      <c r="V345" s="0" t="n">
        <v>0.520223152022315</v>
      </c>
      <c r="W345" s="0" t="n">
        <v>0.0697350069735007</v>
      </c>
      <c r="X345" s="0" t="n">
        <v>0.238110989403279</v>
      </c>
      <c r="Y345" s="0" t="n">
        <v>5.1880783885628</v>
      </c>
      <c r="Z345" s="0" t="n">
        <v>0.211704775087874</v>
      </c>
      <c r="AA345" s="0" t="n">
        <v>-2.77555756156289E-017</v>
      </c>
    </row>
    <row r="346" customFormat="false" ht="15" hidden="false" customHeight="false" outlineLevel="0" collapsed="false">
      <c r="A346" s="0" t="s">
        <v>380</v>
      </c>
      <c r="B346" s="0" t="s">
        <v>3013</v>
      </c>
      <c r="C346" s="0" t="s">
        <v>3036</v>
      </c>
      <c r="D346" s="0" t="n">
        <v>15.5778902639064</v>
      </c>
      <c r="E346" s="0" t="n">
        <v>0.221755918096616</v>
      </c>
      <c r="F346" s="0" t="n">
        <v>4.37086068002053</v>
      </c>
      <c r="G346" s="0" t="n">
        <v>0.150187734668335</v>
      </c>
      <c r="H346" s="0" t="n">
        <v>0.0788485607008761</v>
      </c>
      <c r="I346" s="0" t="n">
        <v>0.406787540678754</v>
      </c>
      <c r="J346" s="0" t="n">
        <v>0.172972026283435</v>
      </c>
      <c r="K346" s="0" t="n">
        <v>0.667715717403612</v>
      </c>
      <c r="L346" s="1" t="b">
        <f aca="false">FALSE()</f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7.13219306953167</v>
      </c>
      <c r="S346" s="0" t="n">
        <v>2.22772277227724</v>
      </c>
      <c r="T346" s="0" t="n">
        <v>0.247524752475246</v>
      </c>
      <c r="U346" s="0" t="n">
        <v>0.326359832635983</v>
      </c>
      <c r="V346" s="0" t="n">
        <v>0.319386331938633</v>
      </c>
      <c r="W346" s="0" t="n">
        <v>0.574616457461646</v>
      </c>
      <c r="X346" s="0" t="n">
        <v>0.221755918096617</v>
      </c>
      <c r="Y346" s="0" t="n">
        <v>4.37086068002053</v>
      </c>
      <c r="Z346" s="0" t="n">
        <v>0.172972026283435</v>
      </c>
      <c r="AA346" s="0" t="n">
        <v>5.55111512312578E-017</v>
      </c>
    </row>
    <row r="347" customFormat="false" ht="15" hidden="false" customHeight="false" outlineLevel="0" collapsed="false">
      <c r="A347" s="0" t="s">
        <v>381</v>
      </c>
      <c r="B347" s="0" t="s">
        <v>3013</v>
      </c>
      <c r="C347" s="0" t="s">
        <v>3033</v>
      </c>
      <c r="D347" s="0" t="n">
        <v>-21.5046773701132</v>
      </c>
      <c r="E347" s="0" t="n">
        <v>0.310293690015678</v>
      </c>
      <c r="F347" s="0" t="n">
        <v>7.69814206190006</v>
      </c>
      <c r="G347" s="0" t="n">
        <v>0.619524405506884</v>
      </c>
      <c r="H347" s="0" t="n">
        <v>0.514392991239049</v>
      </c>
      <c r="I347" s="0" t="n">
        <v>0.129242212924221</v>
      </c>
      <c r="J347" s="0" t="n">
        <v>0.479415401283217</v>
      </c>
      <c r="K347" s="0" t="n">
        <v>0.667715717403612</v>
      </c>
      <c r="L347" s="1" t="b">
        <f aca="false">FALSE()</f>
        <v>0</v>
      </c>
      <c r="N347" s="0" t="n">
        <v>0</v>
      </c>
      <c r="O347" s="0" t="n">
        <v>0</v>
      </c>
      <c r="P347" s="0" t="n">
        <v>1</v>
      </c>
      <c r="Q347" s="0" t="n">
        <v>21.5046773701132</v>
      </c>
      <c r="R347" s="0" t="n">
        <v>5.66381516726878</v>
      </c>
      <c r="S347" s="0" t="n">
        <v>1.52691511387163</v>
      </c>
      <c r="T347" s="0" t="n">
        <v>0.129399585921325</v>
      </c>
      <c r="U347" s="0" t="n">
        <v>0.188284518828452</v>
      </c>
      <c r="V347" s="0" t="n">
        <v>0.138075313807531</v>
      </c>
      <c r="W347" s="0" t="n">
        <v>0.0613668061366806</v>
      </c>
      <c r="X347" s="0" t="n">
        <v>0.310293690015678</v>
      </c>
      <c r="Y347" s="0" t="n">
        <v>7.69814206190006</v>
      </c>
      <c r="Z347" s="0" t="n">
        <v>0.479415401283217</v>
      </c>
      <c r="AA347" s="0" t="n">
        <v>0</v>
      </c>
    </row>
    <row r="348" customFormat="false" ht="15" hidden="false" customHeight="false" outlineLevel="0" collapsed="false">
      <c r="A348" s="0" t="s">
        <v>382</v>
      </c>
      <c r="B348" s="0" t="s">
        <v>3013</v>
      </c>
      <c r="C348" s="0" t="s">
        <v>3033</v>
      </c>
      <c r="D348" s="0" t="n">
        <v>6.92329431167162</v>
      </c>
      <c r="E348" s="0" t="n">
        <v>0.242430763122274</v>
      </c>
      <c r="F348" s="0" t="n">
        <v>5.05365279075968</v>
      </c>
      <c r="G348" s="0" t="n">
        <v>0.234042553191489</v>
      </c>
      <c r="H348" s="0" t="n">
        <v>0.141426783479349</v>
      </c>
      <c r="I348" s="0" t="n">
        <v>0.535564853556485</v>
      </c>
      <c r="J348" s="0" t="n">
        <v>0.257300705379633</v>
      </c>
      <c r="K348" s="0" t="n">
        <v>0.667715717403612</v>
      </c>
      <c r="L348" s="1" t="b">
        <f aca="false">FALSE()</f>
        <v>0</v>
      </c>
      <c r="N348" s="0" t="n">
        <v>21.5046773701133</v>
      </c>
      <c r="O348" s="0" t="n">
        <v>1</v>
      </c>
      <c r="P348" s="0" t="n">
        <v>0</v>
      </c>
      <c r="Q348" s="0" t="n">
        <v>0</v>
      </c>
      <c r="R348" s="0" t="n">
        <v>12.3332993720722</v>
      </c>
      <c r="S348" s="0" t="n">
        <v>2.37199884292741</v>
      </c>
      <c r="T348" s="0" t="n">
        <v>0.260341336418854</v>
      </c>
      <c r="U348" s="0" t="n">
        <v>0.610878661087866</v>
      </c>
      <c r="V348" s="0" t="n">
        <v>0.359832635983264</v>
      </c>
      <c r="W348" s="0" t="n">
        <v>0.635983263598326</v>
      </c>
      <c r="X348" s="0" t="n">
        <v>0.242430763122274</v>
      </c>
      <c r="Y348" s="0" t="n">
        <v>5.05365279075968</v>
      </c>
      <c r="Z348" s="0" t="n">
        <v>0.257300705379633</v>
      </c>
      <c r="AA348" s="0" t="n">
        <v>0</v>
      </c>
    </row>
    <row r="349" customFormat="false" ht="15" hidden="false" customHeight="false" outlineLevel="0" collapsed="false">
      <c r="A349" s="0" t="s">
        <v>383</v>
      </c>
      <c r="B349" s="0" t="s">
        <v>3013</v>
      </c>
      <c r="C349" s="0" t="s">
        <v>3036</v>
      </c>
      <c r="D349" s="0" t="n">
        <v>37.0404376330198</v>
      </c>
      <c r="E349" s="0" t="n">
        <v>0.359812271497463</v>
      </c>
      <c r="F349" s="0" t="n">
        <v>8.9100918796429</v>
      </c>
      <c r="G349" s="0" t="n">
        <v>0.847309136420526</v>
      </c>
      <c r="H349" s="0" t="n">
        <v>0.665832290362954</v>
      </c>
      <c r="I349" s="0" t="n">
        <v>0.203161320316132</v>
      </c>
      <c r="J349" s="0" t="n">
        <v>0.645888834776618</v>
      </c>
      <c r="K349" s="0" t="n">
        <v>0.667715717403612</v>
      </c>
      <c r="L349" s="1" t="b">
        <f aca="false">FALSE()</f>
        <v>0</v>
      </c>
      <c r="N349" s="0" t="n">
        <v>14.581383058442</v>
      </c>
      <c r="O349" s="0" t="n">
        <v>0</v>
      </c>
      <c r="P349" s="0" t="n">
        <v>0</v>
      </c>
      <c r="Q349" s="0" t="n">
        <v>0</v>
      </c>
      <c r="R349" s="0" t="n">
        <v>7.32158661195669</v>
      </c>
      <c r="S349" s="0" t="n">
        <v>1.43524699599464</v>
      </c>
      <c r="T349" s="0" t="n">
        <v>0.166889185580774</v>
      </c>
      <c r="U349" s="0" t="n">
        <v>0.337517433751743</v>
      </c>
      <c r="V349" s="0" t="n">
        <v>0.112970711297071</v>
      </c>
      <c r="W349" s="0" t="n">
        <v>0.158995815899582</v>
      </c>
      <c r="X349" s="0" t="n">
        <v>0.359812271497463</v>
      </c>
      <c r="Y349" s="0" t="n">
        <v>8.9100918796429</v>
      </c>
      <c r="Z349" s="0" t="n">
        <v>0.645888834776618</v>
      </c>
      <c r="AA349" s="0" t="n">
        <v>0</v>
      </c>
    </row>
    <row r="350" customFormat="false" ht="15" hidden="false" customHeight="false" outlineLevel="0" collapsed="false">
      <c r="A350" s="0" t="s">
        <v>384</v>
      </c>
      <c r="B350" s="0" t="s">
        <v>33</v>
      </c>
      <c r="C350" s="0" t="s">
        <v>33</v>
      </c>
      <c r="D350" s="0" t="n">
        <v>47.7561468764383</v>
      </c>
      <c r="E350" s="0" t="n">
        <v>0.35133280263026</v>
      </c>
      <c r="F350" s="0" t="n">
        <v>10.3635562827162</v>
      </c>
      <c r="G350" s="0" t="n">
        <v>0.819774718397998</v>
      </c>
      <c r="H350" s="0" t="n">
        <v>0.826032540675845</v>
      </c>
      <c r="I350" s="0" t="n">
        <v>0.5</v>
      </c>
      <c r="J350" s="0" t="n">
        <v>0.758322903629537</v>
      </c>
      <c r="K350" s="0" t="n">
        <v>0.667715717403612</v>
      </c>
      <c r="L350" s="1" t="b">
        <f aca="false">TRUE()</f>
        <v>1</v>
      </c>
      <c r="M350" s="0" t="s">
        <v>3035</v>
      </c>
      <c r="N350" s="0" t="n">
        <v>0</v>
      </c>
      <c r="O350" s="0" t="n">
        <v>0</v>
      </c>
      <c r="P350" s="0" t="n">
        <v>0</v>
      </c>
      <c r="Q350" s="0" t="n">
        <v>0</v>
      </c>
      <c r="U350" s="0" t="n">
        <v>0.5</v>
      </c>
      <c r="V350" s="0" t="n">
        <v>0.5</v>
      </c>
      <c r="W350" s="0" t="n">
        <v>0.5</v>
      </c>
      <c r="X350" s="0" t="n">
        <v>0.35133280263026</v>
      </c>
      <c r="Y350" s="0" t="n">
        <v>10.3635562827162</v>
      </c>
      <c r="Z350" s="0" t="n">
        <v>0.758322903629537</v>
      </c>
      <c r="AA350" s="0" t="n">
        <v>0</v>
      </c>
    </row>
    <row r="351" customFormat="false" ht="15" hidden="false" customHeight="false" outlineLevel="0" collapsed="false">
      <c r="A351" s="0" t="s">
        <v>385</v>
      </c>
      <c r="B351" s="0" t="s">
        <v>3013</v>
      </c>
      <c r="C351" s="0" t="s">
        <v>3036</v>
      </c>
      <c r="D351" s="0" t="n">
        <v>-5.61872479436834</v>
      </c>
      <c r="E351" s="0" t="n">
        <v>0.33760705789318</v>
      </c>
      <c r="F351" s="0" t="n">
        <v>6.28981097231591</v>
      </c>
      <c r="G351" s="0" t="n">
        <v>0.772215269086358</v>
      </c>
      <c r="H351" s="0" t="n">
        <v>0.309136420525657</v>
      </c>
      <c r="I351" s="0" t="n">
        <v>0.230590423059042</v>
      </c>
      <c r="J351" s="0" t="n">
        <v>0.478658760456615</v>
      </c>
      <c r="K351" s="0" t="n">
        <v>0.667715717403612</v>
      </c>
      <c r="L351" s="1" t="b">
        <f aca="false">FALSE()</f>
        <v>0</v>
      </c>
      <c r="N351" s="0" t="n">
        <v>0</v>
      </c>
      <c r="O351" s="0" t="n">
        <v>0</v>
      </c>
      <c r="P351" s="0" t="n">
        <v>1</v>
      </c>
      <c r="Q351" s="0" t="n">
        <v>5.61872479436834</v>
      </c>
      <c r="R351" s="0" t="n">
        <v>6.67830392798251</v>
      </c>
      <c r="S351" s="0" t="n">
        <v>1.61333691852649</v>
      </c>
      <c r="T351" s="0" t="n">
        <v>0.188222640494746</v>
      </c>
      <c r="U351" s="0" t="n">
        <v>0.287308228730823</v>
      </c>
      <c r="V351" s="0" t="n">
        <v>0.161785216178522</v>
      </c>
      <c r="W351" s="0" t="n">
        <v>0.242677824267782</v>
      </c>
      <c r="X351" s="0" t="n">
        <v>0.337607057893179</v>
      </c>
      <c r="Y351" s="0" t="n">
        <v>6.2898109723159</v>
      </c>
      <c r="Z351" s="0" t="n">
        <v>0.478658760456615</v>
      </c>
      <c r="AA351" s="0" t="n">
        <v>0</v>
      </c>
    </row>
    <row r="352" customFormat="false" ht="15" hidden="false" customHeight="false" outlineLevel="0" collapsed="false">
      <c r="A352" s="0" t="s">
        <v>386</v>
      </c>
      <c r="B352" s="0" t="s">
        <v>3013</v>
      </c>
      <c r="C352" s="0" t="s">
        <v>3036</v>
      </c>
      <c r="D352" s="0" t="n">
        <v>-22.8552633168066</v>
      </c>
      <c r="E352" s="0" t="n">
        <v>0.260274313899047</v>
      </c>
      <c r="F352" s="0" t="n">
        <v>5.48599910158425</v>
      </c>
      <c r="G352" s="0" t="n">
        <v>0.334167709637046</v>
      </c>
      <c r="H352" s="0" t="n">
        <v>0.196495619524406</v>
      </c>
      <c r="I352" s="0" t="n">
        <v>0.414690841469084</v>
      </c>
      <c r="J352" s="0" t="n">
        <v>0.295203499958398</v>
      </c>
      <c r="K352" s="0" t="n">
        <v>0.667715717403612</v>
      </c>
      <c r="L352" s="1" t="b">
        <f aca="false">FALSE()</f>
        <v>0</v>
      </c>
      <c r="N352" s="0" t="n">
        <v>5.61872479436806</v>
      </c>
      <c r="O352" s="0" t="n">
        <v>1</v>
      </c>
      <c r="P352" s="0" t="n">
        <v>1</v>
      </c>
      <c r="Q352" s="0" t="n">
        <v>22.8552633168066</v>
      </c>
      <c r="R352" s="0" t="n">
        <v>12.5966218150579</v>
      </c>
      <c r="S352" s="0" t="n">
        <v>2.66040688575899</v>
      </c>
      <c r="T352" s="0" t="n">
        <v>0.178850883076231</v>
      </c>
      <c r="U352" s="0" t="n">
        <v>0.617852161785216</v>
      </c>
      <c r="V352" s="0" t="n">
        <v>0.421199442119944</v>
      </c>
      <c r="W352" s="0" t="n">
        <v>0.205020920502092</v>
      </c>
      <c r="X352" s="0" t="n">
        <v>0.260274313899047</v>
      </c>
      <c r="Y352" s="0" t="n">
        <v>5.48599910158425</v>
      </c>
      <c r="Z352" s="0" t="n">
        <v>0.295203499958398</v>
      </c>
      <c r="AA352" s="0" t="n">
        <v>-5.55111512312578E-017</v>
      </c>
    </row>
    <row r="353" customFormat="false" ht="15" hidden="false" customHeight="false" outlineLevel="0" collapsed="false">
      <c r="A353" s="0" t="s">
        <v>387</v>
      </c>
      <c r="B353" s="0" t="s">
        <v>3013</v>
      </c>
      <c r="C353" s="0" t="s">
        <v>3034</v>
      </c>
      <c r="D353" s="0" t="n">
        <v>-34.476613086521</v>
      </c>
      <c r="E353" s="0" t="n">
        <v>0.3809864405819</v>
      </c>
      <c r="F353" s="0" t="n">
        <v>12.9943282300642</v>
      </c>
      <c r="G353" s="0" t="n">
        <v>0.902377972465582</v>
      </c>
      <c r="H353" s="0" t="n">
        <v>0.949937421777222</v>
      </c>
      <c r="I353" s="0" t="n">
        <v>0.273361227336123</v>
      </c>
      <c r="J353" s="0" t="n">
        <v>0.795598403164346</v>
      </c>
      <c r="K353" s="0" t="n">
        <v>0.667715717403612</v>
      </c>
      <c r="L353" s="1" t="b">
        <f aca="false">TRUE()</f>
        <v>1</v>
      </c>
      <c r="M353" s="0" t="s">
        <v>3035</v>
      </c>
      <c r="N353" s="0" t="n">
        <v>28.4739881111746</v>
      </c>
      <c r="O353" s="0" t="n">
        <v>2</v>
      </c>
      <c r="P353" s="0" t="n">
        <v>1</v>
      </c>
      <c r="Q353" s="0" t="n">
        <v>34.476613086521</v>
      </c>
      <c r="R353" s="0" t="n">
        <v>4.71089278225952</v>
      </c>
      <c r="S353" s="0" t="n">
        <v>2.10639057479473</v>
      </c>
      <c r="T353" s="0" t="n">
        <v>0.214209210996071</v>
      </c>
      <c r="U353" s="0" t="n">
        <v>0.115760111576011</v>
      </c>
      <c r="V353" s="0" t="n">
        <v>0.297071129707113</v>
      </c>
      <c r="W353" s="0" t="n">
        <v>0.407252440725244</v>
      </c>
      <c r="X353" s="0" t="n">
        <v>0.3809864405819</v>
      </c>
      <c r="Y353" s="0" t="n">
        <v>12.9943282300642</v>
      </c>
      <c r="Z353" s="0" t="n">
        <v>0.795598403164346</v>
      </c>
      <c r="AA353" s="0" t="n">
        <v>0</v>
      </c>
    </row>
    <row r="354" customFormat="false" ht="15" hidden="false" customHeight="false" outlineLevel="0" collapsed="false">
      <c r="A354" s="0" t="s">
        <v>388</v>
      </c>
      <c r="B354" s="0" t="s">
        <v>3013</v>
      </c>
      <c r="C354" s="0" t="s">
        <v>3036</v>
      </c>
      <c r="D354" s="0" t="n">
        <v>-46.1464094174063</v>
      </c>
      <c r="E354" s="0" t="n">
        <v>0.352655228397593</v>
      </c>
      <c r="F354" s="0" t="n">
        <v>12.3281228698159</v>
      </c>
      <c r="G354" s="0" t="n">
        <v>0.826032540675845</v>
      </c>
      <c r="H354" s="0" t="n">
        <v>0.933667083854819</v>
      </c>
      <c r="I354" s="0" t="n">
        <v>0.490934449093445</v>
      </c>
      <c r="J354" s="0" t="n">
        <v>0.802066739630954</v>
      </c>
      <c r="K354" s="0" t="n">
        <v>0.667715717403612</v>
      </c>
      <c r="L354" s="1" t="b">
        <f aca="false">TRUE()</f>
        <v>1</v>
      </c>
      <c r="M354" s="0" t="s">
        <v>3035</v>
      </c>
      <c r="N354" s="0" t="n">
        <v>62.9506011976955</v>
      </c>
      <c r="O354" s="0" t="n">
        <v>3</v>
      </c>
      <c r="P354" s="0" t="n">
        <v>1</v>
      </c>
      <c r="Q354" s="0" t="n">
        <v>46.1464094174063</v>
      </c>
      <c r="R354" s="0" t="n">
        <v>12.8346870416187</v>
      </c>
      <c r="S354" s="0" t="n">
        <v>4.51727192205491</v>
      </c>
      <c r="T354" s="0" t="n">
        <v>0.177147918511954</v>
      </c>
      <c r="U354" s="0" t="n">
        <v>0.630404463040446</v>
      </c>
      <c r="V354" s="0" t="n">
        <v>0.644351464435147</v>
      </c>
      <c r="W354" s="0" t="n">
        <v>0.198047419804742</v>
      </c>
      <c r="X354" s="0" t="n">
        <v>0.352655228397593</v>
      </c>
      <c r="Y354" s="0" t="n">
        <v>12.3281228698159</v>
      </c>
      <c r="Z354" s="0" t="n">
        <v>0.802066739630954</v>
      </c>
      <c r="AA354" s="0" t="n">
        <v>0</v>
      </c>
    </row>
    <row r="355" customFormat="false" ht="15" hidden="false" customHeight="false" outlineLevel="0" collapsed="false">
      <c r="A355" s="0" t="s">
        <v>389</v>
      </c>
      <c r="B355" s="0" t="s">
        <v>3013</v>
      </c>
      <c r="C355" s="0" t="s">
        <v>3033</v>
      </c>
      <c r="D355" s="0" t="n">
        <v>30.3569373226327</v>
      </c>
      <c r="E355" s="0" t="n">
        <v>0.209515478921594</v>
      </c>
      <c r="F355" s="0" t="n">
        <v>5.24467601767624</v>
      </c>
      <c r="G355" s="0" t="n">
        <v>0.121401752190238</v>
      </c>
      <c r="H355" s="0" t="n">
        <v>0.16270337922403</v>
      </c>
      <c r="I355" s="0" t="n">
        <v>0.333333333333333</v>
      </c>
      <c r="J355" s="0" t="n">
        <v>0.180308719232374</v>
      </c>
      <c r="K355" s="0" t="n">
        <v>0.667715717403612</v>
      </c>
      <c r="L355" s="1" t="b">
        <f aca="false">FALSE()</f>
        <v>0</v>
      </c>
      <c r="N355" s="0" t="n">
        <v>109.097010615102</v>
      </c>
      <c r="O355" s="0" t="n">
        <v>4</v>
      </c>
      <c r="P355" s="0" t="n">
        <v>0</v>
      </c>
      <c r="Q355" s="0" t="n">
        <v>0</v>
      </c>
      <c r="R355" s="0" t="n">
        <v>7.81746360597854</v>
      </c>
      <c r="S355" s="0" t="n">
        <v>1.83437221727515</v>
      </c>
      <c r="T355" s="0" t="n">
        <v>0.213713268032055</v>
      </c>
      <c r="U355" s="0" t="n">
        <v>0.370990237099024</v>
      </c>
      <c r="V355" s="0" t="n">
        <v>0.227336122733612</v>
      </c>
      <c r="W355" s="0" t="n">
        <v>0.401673640167364</v>
      </c>
      <c r="X355" s="0" t="n">
        <v>0.209515478921594</v>
      </c>
      <c r="Y355" s="0" t="n">
        <v>5.24467601767624</v>
      </c>
      <c r="Z355" s="0" t="n">
        <v>0.180308719232374</v>
      </c>
      <c r="AA355" s="0" t="n">
        <v>0</v>
      </c>
    </row>
    <row r="356" customFormat="false" ht="15" hidden="false" customHeight="false" outlineLevel="0" collapsed="false">
      <c r="A356" s="0" t="s">
        <v>390</v>
      </c>
      <c r="B356" s="0" t="s">
        <v>3013</v>
      </c>
      <c r="C356" s="0" t="s">
        <v>3036</v>
      </c>
      <c r="D356" s="0" t="n">
        <v>8.79671274804966</v>
      </c>
      <c r="E356" s="0" t="n">
        <v>0.334046746282285</v>
      </c>
      <c r="F356" s="0" t="n">
        <v>8.05310823457463</v>
      </c>
      <c r="G356" s="0" t="n">
        <v>0.755944931163955</v>
      </c>
      <c r="H356" s="0" t="n">
        <v>0.549436795994994</v>
      </c>
      <c r="I356" s="0" t="n">
        <v>0.334728033472803</v>
      </c>
      <c r="J356" s="0" t="n">
        <v>0.58909829755814</v>
      </c>
      <c r="K356" s="0" t="n">
        <v>0.667715717403612</v>
      </c>
      <c r="L356" s="1" t="b">
        <f aca="false">FALSE()</f>
        <v>0</v>
      </c>
      <c r="N356" s="0" t="n">
        <v>78.7400732924689</v>
      </c>
      <c r="O356" s="0" t="n">
        <v>0</v>
      </c>
      <c r="P356" s="0" t="n">
        <v>0</v>
      </c>
      <c r="Q356" s="0" t="n">
        <v>0</v>
      </c>
      <c r="R356" s="0" t="n">
        <v>14.7514093614059</v>
      </c>
      <c r="S356" s="0" t="n">
        <v>1.82210031347964</v>
      </c>
      <c r="T356" s="0" t="n">
        <v>0.137147335423195</v>
      </c>
      <c r="U356" s="0" t="n">
        <v>0.701534170153417</v>
      </c>
      <c r="V356" s="0" t="n">
        <v>0.223152022315202</v>
      </c>
      <c r="W356" s="0" t="n">
        <v>0.0794979079497908</v>
      </c>
      <c r="X356" s="0" t="n">
        <v>0.334046746282285</v>
      </c>
      <c r="Y356" s="0" t="n">
        <v>8.05310823457463</v>
      </c>
      <c r="Z356" s="0" t="n">
        <v>0.58909829755814</v>
      </c>
      <c r="AA356" s="0" t="n">
        <v>0</v>
      </c>
    </row>
    <row r="357" customFormat="false" ht="15" hidden="false" customHeight="false" outlineLevel="0" collapsed="false">
      <c r="A357" s="0" t="s">
        <v>391</v>
      </c>
      <c r="B357" s="0" t="s">
        <v>3013</v>
      </c>
      <c r="C357" s="0" t="s">
        <v>3038</v>
      </c>
      <c r="D357" s="0" t="n">
        <v>29.9658533997658</v>
      </c>
      <c r="E357" s="0" t="n">
        <v>0.261712284029207</v>
      </c>
      <c r="F357" s="0" t="n">
        <v>5.69118597400793</v>
      </c>
      <c r="G357" s="0" t="n">
        <v>0.341677096370463</v>
      </c>
      <c r="H357" s="0" t="n">
        <v>0.225281602002503</v>
      </c>
      <c r="I357" s="0" t="n">
        <v>0.581589958158996</v>
      </c>
      <c r="J357" s="0" t="n">
        <v>0.343101470980986</v>
      </c>
      <c r="K357" s="0" t="n">
        <v>0.667715717403612</v>
      </c>
      <c r="L357" s="1" t="b">
        <f aca="false">FALSE()</f>
        <v>0</v>
      </c>
      <c r="N357" s="0" t="n">
        <v>69.9433605444192</v>
      </c>
      <c r="O357" s="0" t="n">
        <v>0</v>
      </c>
      <c r="P357" s="0" t="n">
        <v>0</v>
      </c>
      <c r="Q357" s="0" t="n">
        <v>0</v>
      </c>
      <c r="R357" s="0" t="n">
        <v>20.6729201328824</v>
      </c>
      <c r="S357" s="0" t="n">
        <v>10.0129617627997</v>
      </c>
      <c r="T357" s="0" t="n">
        <v>0.129617627997409</v>
      </c>
      <c r="U357" s="0" t="n">
        <v>0.799163179916318</v>
      </c>
      <c r="V357" s="0" t="n">
        <v>0.882845188284519</v>
      </c>
      <c r="W357" s="0" t="n">
        <v>0.0627615062761506</v>
      </c>
      <c r="X357" s="0" t="n">
        <v>0.261712284029207</v>
      </c>
      <c r="Y357" s="0" t="n">
        <v>5.69118597400793</v>
      </c>
      <c r="Z357" s="0" t="n">
        <v>0.343101470980986</v>
      </c>
      <c r="AA357" s="0" t="n">
        <v>5.55111512312578E-017</v>
      </c>
    </row>
    <row r="358" customFormat="false" ht="15" hidden="false" customHeight="false" outlineLevel="0" collapsed="false">
      <c r="A358" s="0" t="s">
        <v>392</v>
      </c>
      <c r="B358" s="0" t="s">
        <v>3013</v>
      </c>
      <c r="C358" s="0" t="s">
        <v>3038</v>
      </c>
      <c r="D358" s="0" t="n">
        <v>2.3595671972989</v>
      </c>
      <c r="E358" s="0" t="n">
        <v>0.189835955100359</v>
      </c>
      <c r="F358" s="0" t="n">
        <v>4.55183297217871</v>
      </c>
      <c r="G358" s="0" t="n">
        <v>0.0876095118898623</v>
      </c>
      <c r="H358" s="0" t="n">
        <v>0.0876095118898623</v>
      </c>
      <c r="I358" s="0" t="n">
        <v>0.867968386796839</v>
      </c>
      <c r="J358" s="0" t="n">
        <v>0.243681286871258</v>
      </c>
      <c r="K358" s="0" t="n">
        <v>0.667715717403612</v>
      </c>
      <c r="L358" s="1" t="b">
        <f aca="false">FALSE()</f>
        <v>0</v>
      </c>
      <c r="N358" s="0" t="n">
        <v>39.9775071446529</v>
      </c>
      <c r="O358" s="0" t="n">
        <v>0</v>
      </c>
      <c r="P358" s="0" t="n">
        <v>0</v>
      </c>
      <c r="Q358" s="0" t="n">
        <v>0</v>
      </c>
      <c r="R358" s="0" t="n">
        <v>17.5944628701418</v>
      </c>
      <c r="S358" s="0" t="n">
        <v>16.2292447777183</v>
      </c>
      <c r="T358" s="0" t="n">
        <v>0.428494911622923</v>
      </c>
      <c r="U358" s="0" t="n">
        <v>0.754532775453278</v>
      </c>
      <c r="V358" s="0" t="n">
        <v>0.942817294281729</v>
      </c>
      <c r="W358" s="0" t="n">
        <v>0.906555090655509</v>
      </c>
      <c r="X358" s="0" t="n">
        <v>0.189835955100359</v>
      </c>
      <c r="Y358" s="0" t="n">
        <v>4.55183297217871</v>
      </c>
      <c r="Z358" s="0" t="n">
        <v>0.243681286871258</v>
      </c>
      <c r="AA358" s="0" t="n">
        <v>2.77555756156289E-017</v>
      </c>
    </row>
    <row r="359" customFormat="false" ht="15" hidden="false" customHeight="false" outlineLevel="0" collapsed="false">
      <c r="A359" s="0" t="s">
        <v>393</v>
      </c>
      <c r="B359" s="0" t="s">
        <v>3013</v>
      </c>
      <c r="C359" s="0" t="s">
        <v>3033</v>
      </c>
      <c r="D359" s="0" t="n">
        <v>25.6399589908173</v>
      </c>
      <c r="E359" s="0" t="n">
        <v>0.262003540772951</v>
      </c>
      <c r="F359" s="0" t="n">
        <v>6.66605451078543</v>
      </c>
      <c r="G359" s="0" t="n">
        <v>0.34793491864831</v>
      </c>
      <c r="H359" s="0" t="n">
        <v>0.369211514392991</v>
      </c>
      <c r="I359" s="0" t="n">
        <v>0.462110646211065</v>
      </c>
      <c r="J359" s="0" t="n">
        <v>0.379280702458734</v>
      </c>
      <c r="K359" s="0" t="n">
        <v>0.667715717403612</v>
      </c>
      <c r="L359" s="1" t="b">
        <f aca="false">FALSE()</f>
        <v>0</v>
      </c>
      <c r="N359" s="0" t="n">
        <v>37.617939947354</v>
      </c>
      <c r="O359" s="0" t="n">
        <v>0</v>
      </c>
      <c r="P359" s="0" t="n">
        <v>0</v>
      </c>
      <c r="Q359" s="0" t="n">
        <v>0</v>
      </c>
      <c r="R359" s="0" t="n">
        <v>9.81091933274685</v>
      </c>
      <c r="S359" s="0" t="n">
        <v>3.19829424307036</v>
      </c>
      <c r="T359" s="0" t="n">
        <v>0.213219616204692</v>
      </c>
      <c r="U359" s="0" t="n">
        <v>0.497907949790795</v>
      </c>
      <c r="V359" s="0" t="n">
        <v>0.492329149232915</v>
      </c>
      <c r="W359" s="0" t="n">
        <v>0.396094839609484</v>
      </c>
      <c r="X359" s="0" t="n">
        <v>0.262003540772951</v>
      </c>
      <c r="Y359" s="0" t="n">
        <v>6.66605451078543</v>
      </c>
      <c r="Z359" s="0" t="n">
        <v>0.379280702458734</v>
      </c>
      <c r="AA359" s="0" t="n">
        <v>0</v>
      </c>
    </row>
    <row r="360" customFormat="false" ht="15" hidden="false" customHeight="false" outlineLevel="0" collapsed="false">
      <c r="A360" s="0" t="s">
        <v>394</v>
      </c>
      <c r="B360" s="0" t="s">
        <v>3013</v>
      </c>
      <c r="C360" s="0" t="s">
        <v>3033</v>
      </c>
      <c r="D360" s="0" t="n">
        <v>34.804911791826</v>
      </c>
      <c r="E360" s="0" t="n">
        <v>0.252189275897724</v>
      </c>
      <c r="F360" s="0" t="n">
        <v>5.0572553192122</v>
      </c>
      <c r="G360" s="0" t="n">
        <v>0.280350438047559</v>
      </c>
      <c r="H360" s="0" t="n">
        <v>0.142678347934919</v>
      </c>
      <c r="I360" s="0" t="n">
        <v>0.147838214783822</v>
      </c>
      <c r="J360" s="0" t="n">
        <v>0.198779157349756</v>
      </c>
      <c r="K360" s="0" t="n">
        <v>0.667715717403612</v>
      </c>
      <c r="L360" s="1" t="b">
        <f aca="false">FALSE()</f>
        <v>0</v>
      </c>
      <c r="N360" s="0" t="n">
        <v>11.9779809565371</v>
      </c>
      <c r="O360" s="0" t="n">
        <v>0</v>
      </c>
      <c r="P360" s="0" t="n">
        <v>0</v>
      </c>
      <c r="Q360" s="0" t="n">
        <v>0</v>
      </c>
      <c r="R360" s="0" t="n">
        <v>5.96878627344113</v>
      </c>
      <c r="S360" s="0" t="n">
        <v>1.68444693992139</v>
      </c>
      <c r="T360" s="0" t="n">
        <v>0.11229646266142</v>
      </c>
      <c r="U360" s="0" t="n">
        <v>0.224546722454672</v>
      </c>
      <c r="V360" s="0" t="n">
        <v>0.182705718270572</v>
      </c>
      <c r="W360" s="0" t="n">
        <v>0.0362622036262204</v>
      </c>
      <c r="X360" s="0" t="n">
        <v>0.252189275897724</v>
      </c>
      <c r="Y360" s="0" t="n">
        <v>5.0572553192122</v>
      </c>
      <c r="Z360" s="0" t="n">
        <v>0.198779157349756</v>
      </c>
      <c r="AA360" s="0" t="n">
        <v>5.55111512312578E-017</v>
      </c>
    </row>
    <row r="361" customFormat="false" ht="15" hidden="false" customHeight="false" outlineLevel="0" collapsed="false">
      <c r="A361" s="0" t="s">
        <v>395</v>
      </c>
      <c r="B361" s="0" t="s">
        <v>3013</v>
      </c>
      <c r="C361" s="0" t="s">
        <v>3033</v>
      </c>
      <c r="D361" s="0" t="n">
        <v>-40.8440803590565</v>
      </c>
      <c r="E361" s="0" t="n">
        <v>0.258363720838717</v>
      </c>
      <c r="F361" s="0" t="n">
        <v>6.72608365205097</v>
      </c>
      <c r="G361" s="0" t="n">
        <v>0.320400500625782</v>
      </c>
      <c r="H361" s="0" t="n">
        <v>0.379224030037547</v>
      </c>
      <c r="I361" s="0" t="n">
        <v>0.387261738726174</v>
      </c>
      <c r="J361" s="0" t="n">
        <v>0.357302160010567</v>
      </c>
      <c r="K361" s="0" t="n">
        <v>0.667715717403612</v>
      </c>
      <c r="L361" s="1" t="b">
        <f aca="false">FALSE()</f>
        <v>0</v>
      </c>
      <c r="N361" s="0" t="n">
        <v>0</v>
      </c>
      <c r="O361" s="0" t="n">
        <v>0</v>
      </c>
      <c r="P361" s="0" t="n">
        <v>1</v>
      </c>
      <c r="Q361" s="0" t="n">
        <v>40.8440803590565</v>
      </c>
      <c r="R361" s="0" t="n">
        <v>6.36690963379212</v>
      </c>
      <c r="S361" s="0" t="n">
        <v>1.44092219020173</v>
      </c>
      <c r="T361" s="0" t="n">
        <v>0.324207492795391</v>
      </c>
      <c r="U361" s="0" t="n">
        <v>0.258019525801953</v>
      </c>
      <c r="V361" s="0" t="n">
        <v>0.115760111576011</v>
      </c>
      <c r="W361" s="0" t="n">
        <v>0.788005578800558</v>
      </c>
      <c r="X361" s="0" t="n">
        <v>0.258363720838717</v>
      </c>
      <c r="Y361" s="0" t="n">
        <v>6.72608365205096</v>
      </c>
      <c r="Z361" s="0" t="n">
        <v>0.357302160010567</v>
      </c>
      <c r="AA361" s="0" t="n">
        <v>-5.55111512312578E-017</v>
      </c>
    </row>
    <row r="362" customFormat="false" ht="15" hidden="false" customHeight="false" outlineLevel="0" collapsed="false">
      <c r="A362" s="0" t="s">
        <v>396</v>
      </c>
      <c r="B362" s="0" t="s">
        <v>3013</v>
      </c>
      <c r="C362" s="0" t="s">
        <v>3033</v>
      </c>
      <c r="D362" s="0" t="n">
        <v>-1.04393659473091</v>
      </c>
      <c r="E362" s="0" t="n">
        <v>0.311602013698368</v>
      </c>
      <c r="F362" s="0" t="n">
        <v>10.6215520520476</v>
      </c>
      <c r="G362" s="0" t="n">
        <v>0.623279098873592</v>
      </c>
      <c r="H362" s="0" t="n">
        <v>0.853566958698373</v>
      </c>
      <c r="I362" s="0" t="n">
        <v>0.347280334728034</v>
      </c>
      <c r="J362" s="0" t="n">
        <v>0.660194489974393</v>
      </c>
      <c r="K362" s="0" t="n">
        <v>0.667715717403612</v>
      </c>
      <c r="L362" s="1" t="b">
        <f aca="false">FALSE()</f>
        <v>0</v>
      </c>
      <c r="N362" s="0" t="n">
        <v>40.8440803590565</v>
      </c>
      <c r="O362" s="0" t="n">
        <v>1</v>
      </c>
      <c r="P362" s="0" t="n">
        <v>1</v>
      </c>
      <c r="Q362" s="0" t="n">
        <v>1.04393659473091</v>
      </c>
      <c r="R362" s="0" t="n">
        <v>5.34245703197326</v>
      </c>
      <c r="S362" s="0" t="n">
        <v>2.2760290556901</v>
      </c>
      <c r="T362" s="0" t="n">
        <v>0.242130750605327</v>
      </c>
      <c r="U362" s="0" t="n">
        <v>0.154811715481172</v>
      </c>
      <c r="V362" s="0" t="n">
        <v>0.331938633193863</v>
      </c>
      <c r="W362" s="0" t="n">
        <v>0.555090655509066</v>
      </c>
      <c r="X362" s="0" t="n">
        <v>0.311602013698368</v>
      </c>
      <c r="Y362" s="0" t="n">
        <v>10.6215520520476</v>
      </c>
      <c r="Z362" s="0" t="n">
        <v>0.660194489974393</v>
      </c>
      <c r="AA362" s="0" t="n">
        <v>0</v>
      </c>
    </row>
    <row r="363" customFormat="false" ht="15" hidden="false" customHeight="false" outlineLevel="0" collapsed="false">
      <c r="A363" s="0" t="s">
        <v>397</v>
      </c>
      <c r="B363" s="0" t="s">
        <v>3013</v>
      </c>
      <c r="C363" s="0" t="s">
        <v>3036</v>
      </c>
      <c r="D363" s="0" t="n">
        <v>-32.3678427718489</v>
      </c>
      <c r="E363" s="0" t="n">
        <v>0.352239417089819</v>
      </c>
      <c r="F363" s="0" t="n">
        <v>9.55493412689116</v>
      </c>
      <c r="G363" s="0" t="n">
        <v>0.823529411764706</v>
      </c>
      <c r="H363" s="0" t="n">
        <v>0.732165206508135</v>
      </c>
      <c r="I363" s="0" t="n">
        <v>0.403533240353324</v>
      </c>
      <c r="J363" s="0" t="n">
        <v>0.702984495379801</v>
      </c>
      <c r="K363" s="0" t="n">
        <v>0.667715717403612</v>
      </c>
      <c r="L363" s="1" t="b">
        <f aca="false">TRUE()</f>
        <v>1</v>
      </c>
      <c r="M363" s="0" t="s">
        <v>3035</v>
      </c>
      <c r="N363" s="0" t="n">
        <v>41.8880169537879</v>
      </c>
      <c r="O363" s="0" t="n">
        <v>2</v>
      </c>
      <c r="P363" s="0" t="n">
        <v>1</v>
      </c>
      <c r="Q363" s="0" t="n">
        <v>32.3678427718489</v>
      </c>
      <c r="R363" s="0" t="n">
        <v>8.1593190880576</v>
      </c>
      <c r="S363" s="0" t="n">
        <v>2.90370370370371</v>
      </c>
      <c r="T363" s="0" t="n">
        <v>0.207407407407412</v>
      </c>
      <c r="U363" s="0" t="n">
        <v>0.393305439330544</v>
      </c>
      <c r="V363" s="0" t="n">
        <v>0.458856345885635</v>
      </c>
      <c r="W363" s="0" t="n">
        <v>0.358437935843794</v>
      </c>
      <c r="X363" s="0" t="n">
        <v>0.352239417089819</v>
      </c>
      <c r="Y363" s="0" t="n">
        <v>9.55493412689116</v>
      </c>
      <c r="Z363" s="0" t="n">
        <v>0.702984495379801</v>
      </c>
      <c r="AA363" s="0" t="n">
        <v>0</v>
      </c>
    </row>
    <row r="364" customFormat="false" ht="15" hidden="false" customHeight="false" outlineLevel="0" collapsed="false">
      <c r="A364" s="0" t="s">
        <v>398</v>
      </c>
      <c r="B364" s="0" t="s">
        <v>3013</v>
      </c>
      <c r="C364" s="0" t="s">
        <v>3033</v>
      </c>
      <c r="D364" s="0" t="n">
        <v>40.5879190978232</v>
      </c>
      <c r="E364" s="0" t="n">
        <v>0.281634361847381</v>
      </c>
      <c r="F364" s="0" t="n">
        <v>9.71457306728228</v>
      </c>
      <c r="G364" s="0" t="n">
        <v>0.469336670838548</v>
      </c>
      <c r="H364" s="0" t="n">
        <v>0.750938673341677</v>
      </c>
      <c r="I364" s="0" t="n">
        <v>0.600650860065086</v>
      </c>
      <c r="J364" s="0" t="n">
        <v>0.608240309685107</v>
      </c>
      <c r="K364" s="0" t="n">
        <v>0.667715717403612</v>
      </c>
      <c r="L364" s="1" t="b">
        <f aca="false">FALSE()</f>
        <v>0</v>
      </c>
      <c r="N364" s="0" t="n">
        <v>74.2558597256366</v>
      </c>
      <c r="O364" s="0" t="n">
        <v>3</v>
      </c>
      <c r="P364" s="0" t="n">
        <v>0</v>
      </c>
      <c r="Q364" s="0" t="n">
        <v>0</v>
      </c>
      <c r="R364" s="0" t="n">
        <v>11.912367380759</v>
      </c>
      <c r="S364" s="0" t="n">
        <v>2.46007768666379</v>
      </c>
      <c r="T364" s="0" t="n">
        <v>0.345274061286145</v>
      </c>
      <c r="U364" s="0" t="n">
        <v>0.596931659693166</v>
      </c>
      <c r="V364" s="0" t="n">
        <v>0.379358437935844</v>
      </c>
      <c r="W364" s="0" t="n">
        <v>0.825662482566248</v>
      </c>
      <c r="X364" s="0" t="n">
        <v>0.281634361847381</v>
      </c>
      <c r="Y364" s="0" t="n">
        <v>9.71457306728228</v>
      </c>
      <c r="Z364" s="0" t="n">
        <v>0.608240309685107</v>
      </c>
      <c r="AA364" s="0" t="n">
        <v>0</v>
      </c>
    </row>
    <row r="365" customFormat="false" ht="15" hidden="false" customHeight="false" outlineLevel="0" collapsed="false">
      <c r="A365" s="0" t="s">
        <v>399</v>
      </c>
      <c r="B365" s="0" t="s">
        <v>3013</v>
      </c>
      <c r="C365" s="0" t="s">
        <v>3038</v>
      </c>
      <c r="D365" s="0" t="n">
        <v>35.1889598282326</v>
      </c>
      <c r="E365" s="0" t="n">
        <v>0.216346288104637</v>
      </c>
      <c r="F365" s="0" t="n">
        <v>6.106522337696</v>
      </c>
      <c r="G365" s="0" t="n">
        <v>0.132665832290363</v>
      </c>
      <c r="H365" s="0" t="n">
        <v>0.27909887359199</v>
      </c>
      <c r="I365" s="0" t="n">
        <v>0.700604370060437</v>
      </c>
      <c r="J365" s="0" t="n">
        <v>0.304826756365029</v>
      </c>
      <c r="K365" s="0" t="n">
        <v>0.667715717403612</v>
      </c>
      <c r="L365" s="1" t="b">
        <f aca="false">FALSE()</f>
        <v>0</v>
      </c>
      <c r="N365" s="0" t="n">
        <v>33.6679406278136</v>
      </c>
      <c r="O365" s="0" t="n">
        <v>0</v>
      </c>
      <c r="P365" s="0" t="n">
        <v>0</v>
      </c>
      <c r="Q365" s="0" t="n">
        <v>0</v>
      </c>
      <c r="R365" s="0" t="n">
        <v>19.2123496759662</v>
      </c>
      <c r="S365" s="0" t="n">
        <v>3.56886657101865</v>
      </c>
      <c r="T365" s="0" t="n">
        <v>0.32281205164993</v>
      </c>
      <c r="U365" s="0" t="n">
        <v>0.779637377963738</v>
      </c>
      <c r="V365" s="0" t="n">
        <v>0.538354253835425</v>
      </c>
      <c r="W365" s="0" t="n">
        <v>0.783821478382148</v>
      </c>
      <c r="X365" s="0" t="n">
        <v>0.216346288104637</v>
      </c>
      <c r="Y365" s="0" t="n">
        <v>6.106522337696</v>
      </c>
      <c r="Z365" s="0" t="n">
        <v>0.304826756365029</v>
      </c>
      <c r="AA365" s="0" t="n">
        <v>0</v>
      </c>
    </row>
    <row r="366" customFormat="false" ht="15" hidden="false" customHeight="false" outlineLevel="0" collapsed="false">
      <c r="A366" s="0" t="s">
        <v>400</v>
      </c>
      <c r="B366" s="0" t="s">
        <v>3013</v>
      </c>
      <c r="C366" s="0" t="s">
        <v>3038</v>
      </c>
      <c r="D366" s="0" t="n">
        <v>12.3611316952852</v>
      </c>
      <c r="E366" s="0" t="n">
        <v>0.251163291115295</v>
      </c>
      <c r="F366" s="0" t="n">
        <v>5.60871632172423</v>
      </c>
      <c r="G366" s="0" t="n">
        <v>0.272841051314143</v>
      </c>
      <c r="H366" s="0" t="n">
        <v>0.219023779724656</v>
      </c>
      <c r="I366" s="0" t="n">
        <v>0.509530450953045</v>
      </c>
      <c r="J366" s="0" t="n">
        <v>0.298652022606128</v>
      </c>
      <c r="K366" s="0" t="n">
        <v>0.667715717403612</v>
      </c>
      <c r="L366" s="1" t="b">
        <f aca="false">FALSE()</f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18.1547003915829</v>
      </c>
      <c r="S366" s="0" t="n">
        <v>5.09656652360515</v>
      </c>
      <c r="T366" s="0" t="n">
        <v>0.13412017167382</v>
      </c>
      <c r="U366" s="0" t="n">
        <v>0.761506276150628</v>
      </c>
      <c r="V366" s="0" t="n">
        <v>0.693165969316597</v>
      </c>
      <c r="W366" s="0" t="n">
        <v>0.0739191073919107</v>
      </c>
      <c r="X366" s="0" t="n">
        <v>0.251163291115295</v>
      </c>
      <c r="Y366" s="0" t="n">
        <v>5.60871632172423</v>
      </c>
      <c r="Z366" s="0" t="n">
        <v>0.298652022606128</v>
      </c>
      <c r="AA366" s="0" t="n">
        <v>5.55111512312578E-017</v>
      </c>
    </row>
    <row r="367" customFormat="false" ht="15" hidden="false" customHeight="false" outlineLevel="0" collapsed="false">
      <c r="A367" s="0" t="s">
        <v>401</v>
      </c>
      <c r="B367" s="0" t="s">
        <v>3013</v>
      </c>
      <c r="C367" s="0" t="s">
        <v>3033</v>
      </c>
      <c r="D367" s="0" t="n">
        <v>23.0164853991246</v>
      </c>
      <c r="E367" s="0" t="n">
        <v>0.261788759102474</v>
      </c>
      <c r="F367" s="0" t="n">
        <v>7.17794688057434</v>
      </c>
      <c r="G367" s="0" t="n">
        <v>0.342928660826033</v>
      </c>
      <c r="H367" s="0" t="n">
        <v>0.440550688360451</v>
      </c>
      <c r="I367" s="0" t="n">
        <v>0.519758251975825</v>
      </c>
      <c r="J367" s="0" t="n">
        <v>0.417343390069758</v>
      </c>
      <c r="K367" s="0" t="n">
        <v>0.667715717403612</v>
      </c>
      <c r="L367" s="1" t="b">
        <f aca="false">FALSE()</f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13.5600725048775</v>
      </c>
      <c r="S367" s="0" t="n">
        <v>3.45791128187215</v>
      </c>
      <c r="T367" s="0" t="n">
        <v>0.209570380719523</v>
      </c>
      <c r="U367" s="0" t="n">
        <v>0.663877266387727</v>
      </c>
      <c r="V367" s="0" t="n">
        <v>0.521617852161785</v>
      </c>
      <c r="W367" s="0" t="n">
        <v>0.373779637377964</v>
      </c>
      <c r="X367" s="0" t="n">
        <v>0.261788759102474</v>
      </c>
      <c r="Y367" s="0" t="n">
        <v>7.17794688057434</v>
      </c>
      <c r="Z367" s="0" t="n">
        <v>0.417343390069758</v>
      </c>
      <c r="AA367" s="0" t="n">
        <v>0</v>
      </c>
    </row>
    <row r="368" customFormat="false" ht="15" hidden="false" customHeight="false" outlineLevel="0" collapsed="false">
      <c r="A368" s="0" t="s">
        <v>402</v>
      </c>
      <c r="B368" s="0" t="s">
        <v>3013</v>
      </c>
      <c r="C368" s="0" t="s">
        <v>3038</v>
      </c>
      <c r="D368" s="0" t="n">
        <v>12.5224997539227</v>
      </c>
      <c r="E368" s="0" t="n">
        <v>0.188661610070427</v>
      </c>
      <c r="F368" s="0" t="n">
        <v>4.90150565494897</v>
      </c>
      <c r="G368" s="0" t="n">
        <v>0.0851063829787234</v>
      </c>
      <c r="H368" s="0" t="n">
        <v>0.123904881101377</v>
      </c>
      <c r="I368" s="0" t="n">
        <v>0.875406787540679</v>
      </c>
      <c r="J368" s="0" t="n">
        <v>0.258685863140176</v>
      </c>
      <c r="K368" s="0" t="n">
        <v>0.667715717403612</v>
      </c>
      <c r="L368" s="1" t="b">
        <f aca="false">FALSE()</f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16.8925446465551</v>
      </c>
      <c r="S368" s="0" t="n">
        <v>15.8394931362196</v>
      </c>
      <c r="T368" s="0" t="n">
        <v>0.475184794086585</v>
      </c>
      <c r="U368" s="0" t="n">
        <v>0.743375174337517</v>
      </c>
      <c r="V368" s="0" t="n">
        <v>0.940027894002789</v>
      </c>
      <c r="W368" s="0" t="n">
        <v>0.942817294281729</v>
      </c>
      <c r="X368" s="0" t="n">
        <v>0.188661610070427</v>
      </c>
      <c r="Y368" s="0" t="n">
        <v>4.90150565494896</v>
      </c>
      <c r="Z368" s="0" t="n">
        <v>0.258685863140176</v>
      </c>
      <c r="AA368" s="0" t="n">
        <v>5.55111512312578E-017</v>
      </c>
    </row>
    <row r="369" customFormat="false" ht="15" hidden="false" customHeight="false" outlineLevel="0" collapsed="false">
      <c r="A369" s="0" t="s">
        <v>403</v>
      </c>
      <c r="B369" s="0" t="s">
        <v>3013</v>
      </c>
      <c r="C369" s="0" t="s">
        <v>3033</v>
      </c>
      <c r="D369" s="0" t="n">
        <v>25.5880894945274</v>
      </c>
      <c r="E369" s="0" t="n">
        <v>0.223506178146732</v>
      </c>
      <c r="F369" s="0" t="n">
        <v>6.16660749805358</v>
      </c>
      <c r="G369" s="0" t="n">
        <v>0.153942428035044</v>
      </c>
      <c r="H369" s="0" t="n">
        <v>0.286608260325407</v>
      </c>
      <c r="I369" s="0" t="n">
        <v>0.215713621571362</v>
      </c>
      <c r="J369" s="0" t="n">
        <v>0.219362999658453</v>
      </c>
      <c r="K369" s="0" t="n">
        <v>0.667715717403612</v>
      </c>
      <c r="L369" s="1" t="b">
        <f aca="false">FALSE()</f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6.70594566252541</v>
      </c>
      <c r="S369" s="0" t="n">
        <v>1.35617416131336</v>
      </c>
      <c r="T369" s="0" t="n">
        <v>0.190340233166782</v>
      </c>
      <c r="U369" s="0" t="n">
        <v>0.290097629009763</v>
      </c>
      <c r="V369" s="0" t="n">
        <v>0.100418410041841</v>
      </c>
      <c r="W369" s="0" t="n">
        <v>0.256624825662483</v>
      </c>
      <c r="X369" s="0" t="n">
        <v>0.223506178146732</v>
      </c>
      <c r="Y369" s="0" t="n">
        <v>6.16660749805358</v>
      </c>
      <c r="Z369" s="0" t="n">
        <v>0.219362999658453</v>
      </c>
      <c r="AA369" s="0" t="n">
        <v>-5.55111512312578E-017</v>
      </c>
    </row>
    <row r="370" customFormat="false" ht="15" hidden="false" customHeight="false" outlineLevel="0" collapsed="false">
      <c r="A370" s="0" t="s">
        <v>404</v>
      </c>
      <c r="B370" s="0" t="s">
        <v>3013</v>
      </c>
      <c r="C370" s="0" t="s">
        <v>3036</v>
      </c>
      <c r="D370" s="0" t="n">
        <v>-13.2419475489911</v>
      </c>
      <c r="E370" s="0" t="n">
        <v>0.244330524282766</v>
      </c>
      <c r="F370" s="0" t="n">
        <v>7.07318399316934</v>
      </c>
      <c r="G370" s="0" t="n">
        <v>0.241551939924906</v>
      </c>
      <c r="H370" s="0" t="n">
        <v>0.426783479349187</v>
      </c>
      <c r="I370" s="0" t="n">
        <v>0.732217573221757</v>
      </c>
      <c r="J370" s="0" t="n">
        <v>0.413777682353989</v>
      </c>
      <c r="K370" s="0" t="n">
        <v>0.667715717403612</v>
      </c>
      <c r="L370" s="1" t="b">
        <f aca="false">FALSE()</f>
        <v>0</v>
      </c>
      <c r="N370" s="0" t="n">
        <v>0</v>
      </c>
      <c r="O370" s="0" t="n">
        <v>0</v>
      </c>
      <c r="P370" s="0" t="n">
        <v>1</v>
      </c>
      <c r="Q370" s="0" t="n">
        <v>13.2419475489911</v>
      </c>
      <c r="R370" s="0" t="n">
        <v>41.6088375934881</v>
      </c>
      <c r="S370" s="0" t="n">
        <v>9.51207491375062</v>
      </c>
      <c r="T370" s="0" t="n">
        <v>0.209462789551502</v>
      </c>
      <c r="U370" s="0" t="n">
        <v>0.9581589958159</v>
      </c>
      <c r="V370" s="0" t="n">
        <v>0.867503486750349</v>
      </c>
      <c r="W370" s="0" t="n">
        <v>0.370990237099024</v>
      </c>
      <c r="X370" s="0" t="n">
        <v>0.244330524282766</v>
      </c>
      <c r="Y370" s="0" t="n">
        <v>7.07318399316934</v>
      </c>
      <c r="Z370" s="0" t="n">
        <v>0.413777682353989</v>
      </c>
      <c r="AA370" s="0" t="n">
        <v>0</v>
      </c>
    </row>
    <row r="371" customFormat="false" ht="15" hidden="false" customHeight="false" outlineLevel="0" collapsed="false">
      <c r="A371" s="0" t="s">
        <v>405</v>
      </c>
      <c r="B371" s="0" t="s">
        <v>3013</v>
      </c>
      <c r="C371" s="0" t="s">
        <v>3038</v>
      </c>
      <c r="D371" s="0" t="n">
        <v>-39.5565233584274</v>
      </c>
      <c r="E371" s="0" t="n">
        <v>0.245155064224503</v>
      </c>
      <c r="F371" s="0" t="n">
        <v>9.85577985131871</v>
      </c>
      <c r="G371" s="0" t="n">
        <v>0.244055068836045</v>
      </c>
      <c r="H371" s="0" t="n">
        <v>0.777221526908636</v>
      </c>
      <c r="I371" s="0" t="n">
        <v>0.847512784751279</v>
      </c>
      <c r="J371" s="0" t="n">
        <v>0.578013195248128</v>
      </c>
      <c r="K371" s="0" t="n">
        <v>0.667715717403612</v>
      </c>
      <c r="L371" s="1" t="b">
        <f aca="false">FALSE()</f>
        <v>0</v>
      </c>
      <c r="N371" s="0" t="n">
        <v>13.2419475489915</v>
      </c>
      <c r="O371" s="0" t="n">
        <v>1</v>
      </c>
      <c r="P371" s="0" t="n">
        <v>1</v>
      </c>
      <c r="Q371" s="0" t="n">
        <v>39.5565233584274</v>
      </c>
      <c r="R371" s="0" t="n">
        <v>56.9140569140569</v>
      </c>
      <c r="S371" s="0" t="n">
        <v>13.6506687647522</v>
      </c>
      <c r="T371" s="0" t="n">
        <v>0.262260687123</v>
      </c>
      <c r="U371" s="0" t="n">
        <v>0.98465829846583</v>
      </c>
      <c r="V371" s="0" t="n">
        <v>0.914923291492329</v>
      </c>
      <c r="W371" s="0" t="n">
        <v>0.642956764295676</v>
      </c>
      <c r="X371" s="0" t="n">
        <v>0.245155064224503</v>
      </c>
      <c r="Y371" s="0" t="n">
        <v>9.85577985131871</v>
      </c>
      <c r="Z371" s="0" t="n">
        <v>0.578013195248128</v>
      </c>
      <c r="AA371" s="0" t="n">
        <v>0</v>
      </c>
    </row>
    <row r="372" customFormat="false" ht="15" hidden="false" customHeight="false" outlineLevel="0" collapsed="false">
      <c r="A372" s="0" t="s">
        <v>406</v>
      </c>
      <c r="B372" s="0" t="s">
        <v>3013</v>
      </c>
      <c r="C372" s="0" t="s">
        <v>3038</v>
      </c>
      <c r="D372" s="0" t="n">
        <v>20.7761647411338</v>
      </c>
      <c r="E372" s="0" t="n">
        <v>0.270654454298718</v>
      </c>
      <c r="F372" s="0" t="n">
        <v>8.90445330805751</v>
      </c>
      <c r="G372" s="0" t="n">
        <v>0.394242803504381</v>
      </c>
      <c r="H372" s="0" t="n">
        <v>0.663329161451815</v>
      </c>
      <c r="I372" s="0" t="n">
        <v>0.748489074848907</v>
      </c>
      <c r="J372" s="0" t="n">
        <v>0.57272660095226</v>
      </c>
      <c r="K372" s="0" t="n">
        <v>0.667715717403612</v>
      </c>
      <c r="L372" s="1" t="b">
        <f aca="false">FALSE()</f>
        <v>0</v>
      </c>
      <c r="N372" s="0" t="n">
        <v>52.798470907419</v>
      </c>
      <c r="O372" s="0" t="n">
        <v>2</v>
      </c>
      <c r="P372" s="0" t="n">
        <v>0</v>
      </c>
      <c r="Q372" s="0" t="n">
        <v>0</v>
      </c>
      <c r="R372" s="0" t="n">
        <v>25.8115530704174</v>
      </c>
      <c r="S372" s="0" t="n">
        <v>6.46871686108166</v>
      </c>
      <c r="T372" s="0" t="n">
        <v>0.25753673685805</v>
      </c>
      <c r="U372" s="0" t="n">
        <v>0.867503486750349</v>
      </c>
      <c r="V372" s="0" t="n">
        <v>0.760111576011158</v>
      </c>
      <c r="W372" s="0" t="n">
        <v>0.617852161785216</v>
      </c>
      <c r="X372" s="0" t="n">
        <v>0.270654454298718</v>
      </c>
      <c r="Y372" s="0" t="n">
        <v>8.90445330805751</v>
      </c>
      <c r="Z372" s="0" t="n">
        <v>0.57272660095226</v>
      </c>
      <c r="AA372" s="0" t="n">
        <v>0</v>
      </c>
    </row>
    <row r="373" customFormat="false" ht="15" hidden="false" customHeight="false" outlineLevel="0" collapsed="false">
      <c r="A373" s="0" t="s">
        <v>407</v>
      </c>
      <c r="B373" s="0" t="s">
        <v>3013</v>
      </c>
      <c r="C373" s="0" t="s">
        <v>3036</v>
      </c>
      <c r="D373" s="0" t="n">
        <v>23.677931733576</v>
      </c>
      <c r="E373" s="0" t="n">
        <v>0.48463462306295</v>
      </c>
      <c r="F373" s="0" t="n">
        <v>13.525307412473</v>
      </c>
      <c r="G373" s="0" t="n">
        <v>0.988735919899875</v>
      </c>
      <c r="H373" s="0" t="n">
        <v>0.962453066332916</v>
      </c>
      <c r="I373" s="0" t="n">
        <v>0.304509530450953</v>
      </c>
      <c r="J373" s="0" t="n">
        <v>0.841377500583307</v>
      </c>
      <c r="K373" s="0" t="n">
        <v>0.667715717403612</v>
      </c>
      <c r="L373" s="1" t="b">
        <f aca="false">TRUE()</f>
        <v>1</v>
      </c>
      <c r="M373" s="0" t="s">
        <v>3035</v>
      </c>
      <c r="N373" s="0" t="n">
        <v>32.0223061662855</v>
      </c>
      <c r="O373" s="0" t="n">
        <v>0</v>
      </c>
      <c r="P373" s="0" t="n">
        <v>0</v>
      </c>
      <c r="Q373" s="0" t="n">
        <v>0</v>
      </c>
      <c r="R373" s="0" t="n">
        <v>9.58974993532004</v>
      </c>
      <c r="S373" s="0" t="n">
        <v>1.91445325974472</v>
      </c>
      <c r="T373" s="0" t="n">
        <v>0.17247326664367</v>
      </c>
      <c r="U373" s="0" t="n">
        <v>0.482566248256625</v>
      </c>
      <c r="V373" s="0" t="n">
        <v>0.251046025104603</v>
      </c>
      <c r="W373" s="0" t="n">
        <v>0.179916317991632</v>
      </c>
      <c r="X373" s="0" t="n">
        <v>0.48463462306295</v>
      </c>
      <c r="Y373" s="0" t="n">
        <v>13.525307412473</v>
      </c>
      <c r="Z373" s="0" t="n">
        <v>0.841377500583307</v>
      </c>
      <c r="AA373" s="0" t="n">
        <v>0</v>
      </c>
    </row>
    <row r="374" customFormat="false" ht="15" hidden="false" customHeight="false" outlineLevel="0" collapsed="false">
      <c r="A374" s="0" t="s">
        <v>408</v>
      </c>
      <c r="B374" s="0" t="s">
        <v>3013</v>
      </c>
      <c r="C374" s="0" t="s">
        <v>3038</v>
      </c>
      <c r="D374" s="0" t="n">
        <v>30.2792276719263</v>
      </c>
      <c r="E374" s="0" t="n">
        <v>0.150341640921275</v>
      </c>
      <c r="F374" s="0" t="n">
        <v>4.59932258491247</v>
      </c>
      <c r="G374" s="0" t="n">
        <v>0.0225281602002503</v>
      </c>
      <c r="H374" s="0" t="n">
        <v>0.0938673341677096</v>
      </c>
      <c r="I374" s="0" t="n">
        <v>0.97396559739656</v>
      </c>
      <c r="J374" s="0" t="n">
        <v>0.241351317226496</v>
      </c>
      <c r="K374" s="0" t="n">
        <v>0.667715717403612</v>
      </c>
      <c r="L374" s="1" t="b">
        <f aca="false">FALSE()</f>
        <v>0</v>
      </c>
      <c r="N374" s="0" t="n">
        <v>8.34437443270963</v>
      </c>
      <c r="O374" s="0" t="n">
        <v>0</v>
      </c>
      <c r="P374" s="0" t="n">
        <v>0</v>
      </c>
      <c r="Q374" s="0" t="n">
        <v>0</v>
      </c>
      <c r="R374" s="0" t="n">
        <v>39.306470581518</v>
      </c>
      <c r="S374" s="0" t="n">
        <v>29.829210836278</v>
      </c>
      <c r="T374" s="0" t="n">
        <v>0.736160188457008</v>
      </c>
      <c r="U374" s="0" t="n">
        <v>0.94839609483961</v>
      </c>
      <c r="V374" s="0" t="n">
        <v>0.98744769874477</v>
      </c>
      <c r="W374" s="0" t="n">
        <v>0.9860529986053</v>
      </c>
      <c r="X374" s="0" t="n">
        <v>0.150341640921275</v>
      </c>
      <c r="Y374" s="0" t="n">
        <v>4.59932258491247</v>
      </c>
      <c r="Z374" s="0" t="n">
        <v>0.241351317226496</v>
      </c>
      <c r="AA374" s="0" t="n">
        <v>2.77555756156289E-017</v>
      </c>
    </row>
    <row r="375" customFormat="false" ht="15" hidden="false" customHeight="false" outlineLevel="0" collapsed="false">
      <c r="A375" s="0" t="s">
        <v>409</v>
      </c>
      <c r="B375" s="0" t="s">
        <v>3013</v>
      </c>
      <c r="C375" s="0" t="s">
        <v>3033</v>
      </c>
      <c r="D375" s="0" t="n">
        <v>12.0842118852604</v>
      </c>
      <c r="E375" s="0" t="n">
        <v>0.258101632713389</v>
      </c>
      <c r="F375" s="0" t="n">
        <v>6.40224081669</v>
      </c>
      <c r="G375" s="0" t="n">
        <v>0.319148936170213</v>
      </c>
      <c r="H375" s="0" t="n">
        <v>0.32540675844806</v>
      </c>
      <c r="I375" s="0" t="n">
        <v>0.387726638772664</v>
      </c>
      <c r="J375" s="0" t="n">
        <v>0.335367605601842</v>
      </c>
      <c r="K375" s="0" t="n">
        <v>0.667715717403612</v>
      </c>
      <c r="L375" s="1" t="b">
        <f aca="false">FALSE()</f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7.56416889748765</v>
      </c>
      <c r="S375" s="0" t="n">
        <v>2.3076923076923</v>
      </c>
      <c r="T375" s="0" t="n">
        <v>0.223325062034741</v>
      </c>
      <c r="U375" s="0" t="n">
        <v>0.358437935843794</v>
      </c>
      <c r="V375" s="0" t="n">
        <v>0.341701534170153</v>
      </c>
      <c r="W375" s="0" t="n">
        <v>0.463040446304045</v>
      </c>
      <c r="X375" s="0" t="n">
        <v>0.258101632713389</v>
      </c>
      <c r="Y375" s="0" t="n">
        <v>6.40224081669</v>
      </c>
      <c r="Z375" s="0" t="n">
        <v>0.335367605601842</v>
      </c>
      <c r="AA375" s="0" t="n">
        <v>0</v>
      </c>
    </row>
    <row r="376" customFormat="false" ht="15" hidden="false" customHeight="false" outlineLevel="0" collapsed="false">
      <c r="A376" s="0" t="s">
        <v>410</v>
      </c>
      <c r="B376" s="0" t="s">
        <v>3013</v>
      </c>
      <c r="C376" s="0" t="s">
        <v>3033</v>
      </c>
      <c r="D376" s="0" t="n">
        <v>26.7965855744431</v>
      </c>
      <c r="E376" s="0" t="n">
        <v>0.323195053791491</v>
      </c>
      <c r="F376" s="0" t="n">
        <v>9.83040867546227</v>
      </c>
      <c r="G376" s="0" t="n">
        <v>0.694618272841051</v>
      </c>
      <c r="H376" s="0" t="n">
        <v>0.769712140175219</v>
      </c>
      <c r="I376" s="0" t="n">
        <v>0.242212924221293</v>
      </c>
      <c r="J376" s="0" t="n">
        <v>0.634174750050767</v>
      </c>
      <c r="K376" s="0" t="n">
        <v>0.667715717403612</v>
      </c>
      <c r="L376" s="1" t="b">
        <f aca="false">FALSE()</f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7.91232802653546</v>
      </c>
      <c r="S376" s="0" t="n">
        <v>1.82389937106917</v>
      </c>
      <c r="T376" s="0" t="n">
        <v>0.157232704402507</v>
      </c>
      <c r="U376" s="0" t="n">
        <v>0.377963737796374</v>
      </c>
      <c r="V376" s="0" t="n">
        <v>0.224546722454672</v>
      </c>
      <c r="W376" s="0" t="n">
        <v>0.124128312412831</v>
      </c>
      <c r="X376" s="0" t="n">
        <v>0.323195053791491</v>
      </c>
      <c r="Y376" s="0" t="n">
        <v>9.83040867546227</v>
      </c>
      <c r="Z376" s="0" t="n">
        <v>0.634174750050767</v>
      </c>
      <c r="AA376" s="0" t="n">
        <v>0</v>
      </c>
    </row>
    <row r="377" customFormat="false" ht="15" hidden="false" customHeight="false" outlineLevel="0" collapsed="false">
      <c r="A377" s="0" t="s">
        <v>411</v>
      </c>
      <c r="B377" s="0" t="s">
        <v>3013</v>
      </c>
      <c r="C377" s="0" t="s">
        <v>3038</v>
      </c>
      <c r="D377" s="0" t="n">
        <v>58.6240373691658</v>
      </c>
      <c r="E377" s="0" t="n">
        <v>0.180976819614244</v>
      </c>
      <c r="F377" s="0" t="n">
        <v>5.79260704108647</v>
      </c>
      <c r="G377" s="0" t="n">
        <v>0.0675844806007509</v>
      </c>
      <c r="H377" s="0" t="n">
        <v>0.239048811013767</v>
      </c>
      <c r="I377" s="0" t="n">
        <v>0.900511390051139</v>
      </c>
      <c r="J377" s="0" t="n">
        <v>0.302755594656035</v>
      </c>
      <c r="K377" s="0" t="n">
        <v>0.667715717403612</v>
      </c>
      <c r="L377" s="1" t="b">
        <f aca="false">FALSE()</f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20.9927408279384</v>
      </c>
      <c r="S377" s="0" t="n">
        <v>14.8675171736997</v>
      </c>
      <c r="T377" s="0" t="n">
        <v>0.539744847890093</v>
      </c>
      <c r="U377" s="0" t="n">
        <v>0.810320781032078</v>
      </c>
      <c r="V377" s="0" t="n">
        <v>0.926080892608089</v>
      </c>
      <c r="W377" s="0" t="n">
        <v>0.96513249651325</v>
      </c>
      <c r="X377" s="0" t="n">
        <v>0.180976819614244</v>
      </c>
      <c r="Y377" s="0" t="n">
        <v>5.79260704108646</v>
      </c>
      <c r="Z377" s="0" t="n">
        <v>0.302755594656035</v>
      </c>
      <c r="AA377" s="0" t="n">
        <v>0</v>
      </c>
    </row>
    <row r="378" customFormat="false" ht="15" hidden="false" customHeight="false" outlineLevel="0" collapsed="false">
      <c r="A378" s="0" t="s">
        <v>412</v>
      </c>
      <c r="B378" s="0" t="s">
        <v>3013</v>
      </c>
      <c r="C378" s="0" t="s">
        <v>3036</v>
      </c>
      <c r="D378" s="0" t="n">
        <v>18.3893079341666</v>
      </c>
      <c r="E378" s="0" t="n">
        <v>0.235788451766482</v>
      </c>
      <c r="F378" s="0" t="n">
        <v>3.82407681134424</v>
      </c>
      <c r="G378" s="0" t="n">
        <v>0.204005006257822</v>
      </c>
      <c r="H378" s="0" t="n">
        <v>0.0438047559449312</v>
      </c>
      <c r="I378" s="0" t="n">
        <v>0.358437935843794</v>
      </c>
      <c r="J378" s="0" t="n">
        <v>0.17081149204986</v>
      </c>
      <c r="K378" s="0" t="n">
        <v>0.667715717403612</v>
      </c>
      <c r="L378" s="1" t="b">
        <f aca="false">FALSE()</f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8.59457673809339</v>
      </c>
      <c r="S378" s="0" t="n">
        <v>1.93213949104618</v>
      </c>
      <c r="T378" s="0" t="n">
        <v>0.21206409048068</v>
      </c>
      <c r="U378" s="0" t="n">
        <v>0.425383542538354</v>
      </c>
      <c r="V378" s="0" t="n">
        <v>0.256624825662483</v>
      </c>
      <c r="W378" s="0" t="n">
        <v>0.393305439330544</v>
      </c>
      <c r="X378" s="0" t="n">
        <v>0.235788451766482</v>
      </c>
      <c r="Y378" s="0" t="n">
        <v>3.82407681134424</v>
      </c>
      <c r="Z378" s="0" t="n">
        <v>0.17081149204986</v>
      </c>
      <c r="AA378" s="0" t="n">
        <v>2.77555756156289E-017</v>
      </c>
    </row>
    <row r="379" customFormat="false" ht="15" hidden="false" customHeight="false" outlineLevel="0" collapsed="false">
      <c r="A379" s="0" t="s">
        <v>413</v>
      </c>
      <c r="B379" s="0" t="s">
        <v>3013</v>
      </c>
      <c r="C379" s="0" t="s">
        <v>3036</v>
      </c>
      <c r="D379" s="0" t="n">
        <v>-5.15801041227865</v>
      </c>
      <c r="E379" s="0" t="n">
        <v>0.274594616551185</v>
      </c>
      <c r="F379" s="0" t="n">
        <v>5.72909443921879</v>
      </c>
      <c r="G379" s="0" t="n">
        <v>0.420525657071339</v>
      </c>
      <c r="H379" s="0" t="n">
        <v>0.230287859824781</v>
      </c>
      <c r="I379" s="0" t="n">
        <v>0.378428637842864</v>
      </c>
      <c r="J379" s="0" t="n">
        <v>0.336011134327021</v>
      </c>
      <c r="K379" s="0" t="n">
        <v>0.667715717403612</v>
      </c>
      <c r="L379" s="1" t="b">
        <f aca="false">FALSE()</f>
        <v>0</v>
      </c>
      <c r="N379" s="0" t="n">
        <v>0</v>
      </c>
      <c r="O379" s="0" t="n">
        <v>0</v>
      </c>
      <c r="P379" s="0" t="n">
        <v>1</v>
      </c>
      <c r="Q379" s="0" t="n">
        <v>5.15801041227865</v>
      </c>
      <c r="R379" s="0" t="n">
        <v>9.50975661755671</v>
      </c>
      <c r="S379" s="0" t="n">
        <v>1.85414091470952</v>
      </c>
      <c r="T379" s="0" t="n">
        <v>0.21631644004944</v>
      </c>
      <c r="U379" s="0" t="n">
        <v>0.476987447698745</v>
      </c>
      <c r="V379" s="0" t="n">
        <v>0.237099023709902</v>
      </c>
      <c r="W379" s="0" t="n">
        <v>0.421199442119944</v>
      </c>
      <c r="X379" s="0" t="n">
        <v>0.274594616551185</v>
      </c>
      <c r="Y379" s="0" t="n">
        <v>5.72909443921879</v>
      </c>
      <c r="Z379" s="0" t="n">
        <v>0.336011134327021</v>
      </c>
      <c r="AA379" s="0" t="n">
        <v>5.55111512312578E-017</v>
      </c>
    </row>
    <row r="380" customFormat="false" ht="15" hidden="false" customHeight="false" outlineLevel="0" collapsed="false">
      <c r="A380" s="0" t="s">
        <v>414</v>
      </c>
      <c r="B380" s="0" t="s">
        <v>3013</v>
      </c>
      <c r="C380" s="0" t="s">
        <v>3033</v>
      </c>
      <c r="D380" s="0" t="n">
        <v>15.6242832446221</v>
      </c>
      <c r="E380" s="0" t="n">
        <v>0.28589733142352</v>
      </c>
      <c r="F380" s="0" t="n">
        <v>7.42788765466796</v>
      </c>
      <c r="G380" s="0" t="n">
        <v>0.496871088861076</v>
      </c>
      <c r="H380" s="0" t="n">
        <v>0.469336670838548</v>
      </c>
      <c r="I380" s="0" t="n">
        <v>0.344955834495583</v>
      </c>
      <c r="J380" s="0" t="n">
        <v>0.455474270778967</v>
      </c>
      <c r="K380" s="0" t="n">
        <v>0.667715717403612</v>
      </c>
      <c r="L380" s="1" t="b">
        <f aca="false">FALSE()</f>
        <v>0</v>
      </c>
      <c r="N380" s="0" t="n">
        <v>5.1580104122786</v>
      </c>
      <c r="O380" s="0" t="n">
        <v>1</v>
      </c>
      <c r="P380" s="0" t="n">
        <v>0</v>
      </c>
      <c r="Q380" s="0" t="n">
        <v>0</v>
      </c>
      <c r="R380" s="0" t="n">
        <v>6.59418649812536</v>
      </c>
      <c r="S380" s="0" t="n">
        <v>3.14537782892215</v>
      </c>
      <c r="T380" s="0" t="n">
        <v>0.191791331031848</v>
      </c>
      <c r="U380" s="0" t="n">
        <v>0.281729428172943</v>
      </c>
      <c r="V380" s="0" t="n">
        <v>0.486750348675035</v>
      </c>
      <c r="W380" s="0" t="n">
        <v>0.266387726638773</v>
      </c>
      <c r="X380" s="0" t="n">
        <v>0.28589733142352</v>
      </c>
      <c r="Y380" s="0" t="n">
        <v>7.42788765466796</v>
      </c>
      <c r="Z380" s="0" t="n">
        <v>0.455474270778967</v>
      </c>
      <c r="AA380" s="0" t="n">
        <v>0</v>
      </c>
    </row>
    <row r="381" customFormat="false" ht="15" hidden="false" customHeight="false" outlineLevel="0" collapsed="false">
      <c r="A381" s="0" t="s">
        <v>415</v>
      </c>
      <c r="B381" s="0" t="s">
        <v>3013</v>
      </c>
      <c r="C381" s="0" t="s">
        <v>3033</v>
      </c>
      <c r="D381" s="0" t="n">
        <v>16.019011974578</v>
      </c>
      <c r="E381" s="0" t="n">
        <v>0.263086714432808</v>
      </c>
      <c r="F381" s="0" t="n">
        <v>6.33851159004939</v>
      </c>
      <c r="G381" s="0" t="n">
        <v>0.355444305381727</v>
      </c>
      <c r="H381" s="0" t="n">
        <v>0.319148936170213</v>
      </c>
      <c r="I381" s="0" t="n">
        <v>0.343096234309624</v>
      </c>
      <c r="J381" s="0" t="n">
        <v>0.338456543482701</v>
      </c>
      <c r="K381" s="0" t="n">
        <v>0.667715717403612</v>
      </c>
      <c r="L381" s="1" t="b">
        <f aca="false">FALSE()</f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4.58524501703927</v>
      </c>
      <c r="S381" s="0" t="n">
        <v>2.4176488365065</v>
      </c>
      <c r="T381" s="0" t="n">
        <v>0.241764883650653</v>
      </c>
      <c r="U381" s="0" t="n">
        <v>0.107391910739191</v>
      </c>
      <c r="V381" s="0" t="n">
        <v>0.370990237099024</v>
      </c>
      <c r="W381" s="0" t="n">
        <v>0.550906555090656</v>
      </c>
      <c r="X381" s="0" t="n">
        <v>0.263086714432808</v>
      </c>
      <c r="Y381" s="0" t="n">
        <v>6.33851159004939</v>
      </c>
      <c r="Z381" s="0" t="n">
        <v>0.338456543482701</v>
      </c>
      <c r="AA381" s="0" t="n">
        <v>0</v>
      </c>
    </row>
    <row r="382" customFormat="false" ht="15" hidden="false" customHeight="false" outlineLevel="0" collapsed="false">
      <c r="A382" s="0" t="s">
        <v>416</v>
      </c>
      <c r="B382" s="0" t="s">
        <v>3013</v>
      </c>
      <c r="C382" s="0" t="s">
        <v>3033</v>
      </c>
      <c r="D382" s="0" t="n">
        <v>-40.024446297244</v>
      </c>
      <c r="E382" s="0" t="n">
        <v>0.251836749808459</v>
      </c>
      <c r="F382" s="0" t="n">
        <v>5.71490006805319</v>
      </c>
      <c r="G382" s="0" t="n">
        <v>0.277847309136421</v>
      </c>
      <c r="H382" s="0" t="n">
        <v>0.227784730913642</v>
      </c>
      <c r="I382" s="0" t="n">
        <v>0.634588563458856</v>
      </c>
      <c r="J382" s="0" t="n">
        <v>0.329170528711796</v>
      </c>
      <c r="K382" s="0" t="n">
        <v>0.667715717403612</v>
      </c>
      <c r="L382" s="1" t="b">
        <f aca="false">FALSE()</f>
        <v>0</v>
      </c>
      <c r="N382" s="0" t="n">
        <v>0</v>
      </c>
      <c r="O382" s="0" t="n">
        <v>0</v>
      </c>
      <c r="P382" s="0" t="n">
        <v>1</v>
      </c>
      <c r="Q382" s="0" t="n">
        <v>40.024446297244</v>
      </c>
      <c r="R382" s="0" t="n">
        <v>10.5809683274488</v>
      </c>
      <c r="S382" s="0" t="n">
        <v>3.62733867888507</v>
      </c>
      <c r="T382" s="0" t="n">
        <v>0.343642611683851</v>
      </c>
      <c r="U382" s="0" t="n">
        <v>0.532775453277545</v>
      </c>
      <c r="V382" s="0" t="n">
        <v>0.546722454672246</v>
      </c>
      <c r="W382" s="0" t="n">
        <v>0.824267782426778</v>
      </c>
      <c r="X382" s="0" t="n">
        <v>0.251836749808459</v>
      </c>
      <c r="Y382" s="0" t="n">
        <v>5.71490006805319</v>
      </c>
      <c r="Z382" s="0" t="n">
        <v>0.329170528711796</v>
      </c>
      <c r="AA382" s="0" t="n">
        <v>0</v>
      </c>
    </row>
    <row r="383" customFormat="false" ht="15" hidden="false" customHeight="false" outlineLevel="0" collapsed="false">
      <c r="A383" s="0" t="s">
        <v>417</v>
      </c>
      <c r="B383" s="0" t="s">
        <v>3013</v>
      </c>
      <c r="C383" s="0" t="s">
        <v>3033</v>
      </c>
      <c r="D383" s="0" t="n">
        <v>1.27919966133881</v>
      </c>
      <c r="E383" s="0" t="n">
        <v>0.25132935296429</v>
      </c>
      <c r="F383" s="0" t="n">
        <v>8.81094932722994</v>
      </c>
      <c r="G383" s="0" t="n">
        <v>0.275344180225282</v>
      </c>
      <c r="H383" s="0" t="n">
        <v>0.653316645807259</v>
      </c>
      <c r="I383" s="0" t="n">
        <v>0.682938168293817</v>
      </c>
      <c r="J383" s="0" t="n">
        <v>0.50805196407178</v>
      </c>
      <c r="K383" s="0" t="n">
        <v>0.667715717403612</v>
      </c>
      <c r="L383" s="1" t="b">
        <f aca="false">FALSE()</f>
        <v>0</v>
      </c>
      <c r="N383" s="0" t="n">
        <v>40.0244462972441</v>
      </c>
      <c r="O383" s="0" t="n">
        <v>1</v>
      </c>
      <c r="P383" s="0" t="n">
        <v>0</v>
      </c>
      <c r="Q383" s="0" t="n">
        <v>0</v>
      </c>
      <c r="R383" s="0" t="n">
        <v>11.1690139641179</v>
      </c>
      <c r="S383" s="0" t="n">
        <v>4.19828022255944</v>
      </c>
      <c r="T383" s="0" t="n">
        <v>0.404653515427421</v>
      </c>
      <c r="U383" s="0" t="n">
        <v>0.550906555090656</v>
      </c>
      <c r="V383" s="0" t="n">
        <v>0.612273361227336</v>
      </c>
      <c r="W383" s="0" t="n">
        <v>0.885634588563459</v>
      </c>
      <c r="X383" s="0" t="n">
        <v>0.25132935296429</v>
      </c>
      <c r="Y383" s="0" t="n">
        <v>8.81094932722994</v>
      </c>
      <c r="Z383" s="0" t="n">
        <v>0.50805196407178</v>
      </c>
      <c r="AA383" s="0" t="n">
        <v>0</v>
      </c>
    </row>
    <row r="384" customFormat="false" ht="15" hidden="false" customHeight="false" outlineLevel="0" collapsed="false">
      <c r="A384" s="0" t="s">
        <v>418</v>
      </c>
      <c r="B384" s="0" t="s">
        <v>3013</v>
      </c>
      <c r="C384" s="0" t="s">
        <v>3038</v>
      </c>
      <c r="D384" s="0" t="n">
        <v>20.8489865891498</v>
      </c>
      <c r="E384" s="0" t="n">
        <v>0.240318203646953</v>
      </c>
      <c r="F384" s="0" t="n">
        <v>4.893136630698</v>
      </c>
      <c r="G384" s="0" t="n">
        <v>0.225281602002503</v>
      </c>
      <c r="H384" s="0" t="n">
        <v>0.121401752190238</v>
      </c>
      <c r="I384" s="0" t="n">
        <v>0.446304044630405</v>
      </c>
      <c r="J384" s="0" t="n">
        <v>0.227934150603177</v>
      </c>
      <c r="K384" s="0" t="n">
        <v>0.667715717403612</v>
      </c>
      <c r="L384" s="1" t="b">
        <f aca="false">FALSE()</f>
        <v>0</v>
      </c>
      <c r="N384" s="0" t="n">
        <v>38.7452466359055</v>
      </c>
      <c r="O384" s="0" t="n">
        <v>0</v>
      </c>
      <c r="P384" s="0" t="n">
        <v>0</v>
      </c>
      <c r="Q384" s="0" t="n">
        <v>0</v>
      </c>
      <c r="R384" s="0" t="n">
        <v>18.2062010205815</v>
      </c>
      <c r="S384" s="0" t="n">
        <v>3.56005788712012</v>
      </c>
      <c r="T384" s="0" t="n">
        <v>0.115774240231558</v>
      </c>
      <c r="U384" s="0" t="n">
        <v>0.764295676429568</v>
      </c>
      <c r="V384" s="0" t="n">
        <v>0.535564853556485</v>
      </c>
      <c r="W384" s="0" t="n">
        <v>0.0390516039051604</v>
      </c>
      <c r="X384" s="0" t="n">
        <v>0.240318203646953</v>
      </c>
      <c r="Y384" s="0" t="n">
        <v>4.893136630698</v>
      </c>
      <c r="Z384" s="0" t="n">
        <v>0.227934150603177</v>
      </c>
      <c r="AA384" s="0" t="n">
        <v>0</v>
      </c>
    </row>
    <row r="385" customFormat="false" ht="15" hidden="false" customHeight="false" outlineLevel="0" collapsed="false">
      <c r="A385" s="0" t="s">
        <v>419</v>
      </c>
      <c r="B385" s="0" t="s">
        <v>3013</v>
      </c>
      <c r="C385" s="0" t="s">
        <v>3033</v>
      </c>
      <c r="D385" s="0" t="n">
        <v>41.5168737644412</v>
      </c>
      <c r="E385" s="0" t="n">
        <v>0.281470105301502</v>
      </c>
      <c r="F385" s="0" t="n">
        <v>8.98454904884532</v>
      </c>
      <c r="G385" s="0" t="n">
        <v>0.466833541927409</v>
      </c>
      <c r="H385" s="0" t="n">
        <v>0.682102628285357</v>
      </c>
      <c r="I385" s="0" t="n">
        <v>0.485820548582055</v>
      </c>
      <c r="J385" s="0" t="n">
        <v>0.556738577801517</v>
      </c>
      <c r="K385" s="0" t="n">
        <v>0.667715717403612</v>
      </c>
      <c r="L385" s="1" t="b">
        <f aca="false">FALSE()</f>
        <v>0</v>
      </c>
      <c r="N385" s="0" t="n">
        <v>17.8962600467557</v>
      </c>
      <c r="O385" s="0" t="n">
        <v>0</v>
      </c>
      <c r="P385" s="0" t="n">
        <v>0</v>
      </c>
      <c r="Q385" s="0" t="n">
        <v>0</v>
      </c>
      <c r="R385" s="0" t="n">
        <v>9.34885915152422</v>
      </c>
      <c r="S385" s="0" t="n">
        <v>2.3774145616642</v>
      </c>
      <c r="T385" s="0" t="n">
        <v>0.260029717682027</v>
      </c>
      <c r="U385" s="0" t="n">
        <v>0.464435146443515</v>
      </c>
      <c r="V385" s="0" t="n">
        <v>0.361227336122734</v>
      </c>
      <c r="W385" s="0" t="n">
        <v>0.631799163179916</v>
      </c>
      <c r="X385" s="0" t="n">
        <v>0.281470105301502</v>
      </c>
      <c r="Y385" s="0" t="n">
        <v>8.98454904884532</v>
      </c>
      <c r="Z385" s="0" t="n">
        <v>0.556738577801517</v>
      </c>
      <c r="AA385" s="0" t="n">
        <v>0</v>
      </c>
    </row>
    <row r="386" customFormat="false" ht="15" hidden="false" customHeight="false" outlineLevel="0" collapsed="false">
      <c r="A386" s="0" t="s">
        <v>420</v>
      </c>
      <c r="B386" s="0" t="s">
        <v>33</v>
      </c>
      <c r="C386" s="0" t="s">
        <v>33</v>
      </c>
      <c r="D386" s="0" t="n">
        <v>10.9410332111952</v>
      </c>
      <c r="E386" s="0" t="n">
        <v>0.332703712210479</v>
      </c>
      <c r="F386" s="0" t="n">
        <v>9.19826032494233</v>
      </c>
      <c r="G386" s="0" t="n">
        <v>0.748435544430538</v>
      </c>
      <c r="H386" s="0" t="n">
        <v>0.703379224030038</v>
      </c>
      <c r="I386" s="0" t="n">
        <v>0.5</v>
      </c>
      <c r="J386" s="0" t="n">
        <v>0.68072590738423</v>
      </c>
      <c r="K386" s="0" t="n">
        <v>0.667715717403612</v>
      </c>
      <c r="L386" s="1" t="b">
        <f aca="false">TRUE()</f>
        <v>1</v>
      </c>
      <c r="M386" s="0" t="s">
        <v>3035</v>
      </c>
      <c r="N386" s="0" t="n">
        <v>0</v>
      </c>
      <c r="O386" s="0" t="n">
        <v>0</v>
      </c>
      <c r="P386" s="0" t="n">
        <v>0</v>
      </c>
      <c r="Q386" s="0" t="n">
        <v>0</v>
      </c>
      <c r="U386" s="0" t="n">
        <v>0.5</v>
      </c>
      <c r="V386" s="0" t="n">
        <v>0.5</v>
      </c>
      <c r="W386" s="0" t="n">
        <v>0.5</v>
      </c>
      <c r="X386" s="0" t="n">
        <v>0.332703712210479</v>
      </c>
      <c r="Y386" s="0" t="n">
        <v>9.19826032494233</v>
      </c>
      <c r="Z386" s="0" t="n">
        <v>0.68072590738423</v>
      </c>
      <c r="AA386" s="0" t="n">
        <v>0</v>
      </c>
    </row>
    <row r="387" customFormat="false" ht="15" hidden="false" customHeight="false" outlineLevel="0" collapsed="false">
      <c r="A387" s="0" t="s">
        <v>421</v>
      </c>
      <c r="B387" s="0" t="s">
        <v>3013</v>
      </c>
      <c r="C387" s="0" t="s">
        <v>3036</v>
      </c>
      <c r="D387" s="0" t="n">
        <v>3.74355301345918</v>
      </c>
      <c r="E387" s="0" t="n">
        <v>0.337168748743508</v>
      </c>
      <c r="F387" s="0" t="n">
        <v>6.3648291275543</v>
      </c>
      <c r="G387" s="0" t="n">
        <v>0.76846057571965</v>
      </c>
      <c r="H387" s="0" t="n">
        <v>0.322903629536921</v>
      </c>
      <c r="I387" s="0" t="n">
        <v>0.244537424453743</v>
      </c>
      <c r="J387" s="0" t="n">
        <v>0.485453166993377</v>
      </c>
      <c r="K387" s="0" t="n">
        <v>0.667715717403612</v>
      </c>
      <c r="L387" s="1" t="b">
        <f aca="false">FALSE()</f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5.98765011691484</v>
      </c>
      <c r="S387" s="0" t="n">
        <v>1.85185185185183</v>
      </c>
      <c r="T387" s="0" t="n">
        <v>0.19290123456789</v>
      </c>
      <c r="U387" s="0" t="n">
        <v>0.225941422594142</v>
      </c>
      <c r="V387" s="0" t="n">
        <v>0.234309623430962</v>
      </c>
      <c r="W387" s="0" t="n">
        <v>0.273361227336123</v>
      </c>
      <c r="X387" s="0" t="n">
        <v>0.337168748743508</v>
      </c>
      <c r="Y387" s="0" t="n">
        <v>6.36482912755429</v>
      </c>
      <c r="Z387" s="0" t="n">
        <v>0.485453166993377</v>
      </c>
      <c r="AA387" s="0" t="n">
        <v>-5.55111512312578E-017</v>
      </c>
    </row>
    <row r="388" customFormat="false" ht="15" hidden="false" customHeight="false" outlineLevel="0" collapsed="false">
      <c r="A388" s="0" t="s">
        <v>422</v>
      </c>
      <c r="B388" s="0" t="s">
        <v>33</v>
      </c>
      <c r="C388" s="0" t="s">
        <v>33</v>
      </c>
      <c r="D388" s="0" t="n">
        <v>-11.0526291128808</v>
      </c>
      <c r="E388" s="0" t="n">
        <v>0.330506928520915</v>
      </c>
      <c r="F388" s="0" t="n">
        <v>8.98375616385552</v>
      </c>
      <c r="G388" s="0" t="n">
        <v>0.737171464330413</v>
      </c>
      <c r="H388" s="0" t="n">
        <v>0.680851063829787</v>
      </c>
      <c r="I388" s="0" t="n">
        <v>0.5</v>
      </c>
      <c r="J388" s="0" t="n">
        <v>0.66720901126408</v>
      </c>
      <c r="K388" s="0" t="n">
        <v>0.667715717403612</v>
      </c>
      <c r="L388" s="1" t="b">
        <f aca="false">FALSE()</f>
        <v>0</v>
      </c>
      <c r="N388" s="0" t="n">
        <v>0</v>
      </c>
      <c r="O388" s="0" t="n">
        <v>0</v>
      </c>
      <c r="P388" s="0" t="n">
        <v>1</v>
      </c>
      <c r="Q388" s="0" t="n">
        <v>11.0526291128808</v>
      </c>
      <c r="U388" s="0" t="n">
        <v>0.5</v>
      </c>
      <c r="V388" s="0" t="n">
        <v>0.5</v>
      </c>
      <c r="W388" s="0" t="n">
        <v>0.5</v>
      </c>
      <c r="X388" s="0" t="n">
        <v>0.330506928520915</v>
      </c>
      <c r="Y388" s="0" t="n">
        <v>8.98375616385552</v>
      </c>
      <c r="Z388" s="0" t="n">
        <v>0.66720901126408</v>
      </c>
      <c r="AA388" s="0" t="n">
        <v>0</v>
      </c>
    </row>
    <row r="389" customFormat="false" ht="15" hidden="false" customHeight="false" outlineLevel="0" collapsed="false">
      <c r="A389" s="0" t="s">
        <v>423</v>
      </c>
      <c r="B389" s="0" t="s">
        <v>3013</v>
      </c>
      <c r="C389" s="0" t="s">
        <v>3038</v>
      </c>
      <c r="D389" s="0" t="n">
        <v>27.2057834370371</v>
      </c>
      <c r="E389" s="0" t="n">
        <v>0.151639433514653</v>
      </c>
      <c r="F389" s="0" t="n">
        <v>2.07191872037991</v>
      </c>
      <c r="G389" s="0" t="n">
        <v>0.0250312891113892</v>
      </c>
      <c r="H389" s="0" t="n">
        <v>0.0100125156445557</v>
      </c>
      <c r="I389" s="0" t="n">
        <v>0.843793584379359</v>
      </c>
      <c r="J389" s="0" t="n">
        <v>0.18277623877825</v>
      </c>
      <c r="K389" s="0" t="n">
        <v>0.667715717403612</v>
      </c>
      <c r="L389" s="1" t="b">
        <f aca="false">FALSE()</f>
        <v>0</v>
      </c>
      <c r="N389" s="0" t="n">
        <v>11.0526291128808</v>
      </c>
      <c r="O389" s="0" t="n">
        <v>1</v>
      </c>
      <c r="P389" s="0" t="n">
        <v>0</v>
      </c>
      <c r="Q389" s="0" t="n">
        <v>0</v>
      </c>
      <c r="R389" s="0" t="n">
        <v>60.0571289132601</v>
      </c>
      <c r="S389" s="0" t="n">
        <v>6.6087693285321</v>
      </c>
      <c r="T389" s="0" t="n">
        <v>0.317729294640966</v>
      </c>
      <c r="U389" s="0" t="n">
        <v>0.99163179916318</v>
      </c>
      <c r="V389" s="0" t="n">
        <v>0.768479776847978</v>
      </c>
      <c r="W389" s="0" t="n">
        <v>0.771269177126918</v>
      </c>
      <c r="X389" s="0" t="n">
        <v>0.151639433514653</v>
      </c>
      <c r="Y389" s="0" t="n">
        <v>2.07191872037991</v>
      </c>
      <c r="Z389" s="0" t="n">
        <v>0.18277623877825</v>
      </c>
      <c r="AA389" s="0" t="n">
        <v>0</v>
      </c>
    </row>
    <row r="390" customFormat="false" ht="15" hidden="false" customHeight="false" outlineLevel="0" collapsed="false">
      <c r="A390" s="0" t="s">
        <v>424</v>
      </c>
      <c r="B390" s="0" t="s">
        <v>3013</v>
      </c>
      <c r="C390" s="0" t="s">
        <v>3033</v>
      </c>
      <c r="D390" s="0" t="n">
        <v>-44.8309001624394</v>
      </c>
      <c r="E390" s="0" t="n">
        <v>0.306098583269907</v>
      </c>
      <c r="F390" s="0" t="n">
        <v>9.57512270431089</v>
      </c>
      <c r="G390" s="0" t="n">
        <v>0.600750938673342</v>
      </c>
      <c r="H390" s="0" t="n">
        <v>0.735919899874844</v>
      </c>
      <c r="I390" s="0" t="n">
        <v>0.435611343561134</v>
      </c>
      <c r="J390" s="0" t="n">
        <v>0.621790604131501</v>
      </c>
      <c r="K390" s="0" t="n">
        <v>0.667715717403612</v>
      </c>
      <c r="L390" s="1" t="b">
        <f aca="false">FALSE()</f>
        <v>0</v>
      </c>
      <c r="N390" s="0" t="n">
        <v>0</v>
      </c>
      <c r="O390" s="0" t="n">
        <v>0</v>
      </c>
      <c r="P390" s="0" t="n">
        <v>1</v>
      </c>
      <c r="Q390" s="0" t="n">
        <v>44.8309001624394</v>
      </c>
      <c r="R390" s="0" t="n">
        <v>9.94731171686972</v>
      </c>
      <c r="S390" s="0" t="n">
        <v>5.73078631719236</v>
      </c>
      <c r="T390" s="0" t="n">
        <v>0.133274100399821</v>
      </c>
      <c r="U390" s="0" t="n">
        <v>0.504881450488145</v>
      </c>
      <c r="V390" s="0" t="n">
        <v>0.730822873082287</v>
      </c>
      <c r="W390" s="0" t="n">
        <v>0.0711297071129707</v>
      </c>
      <c r="X390" s="0" t="n">
        <v>0.306098583269907</v>
      </c>
      <c r="Y390" s="0" t="n">
        <v>9.57512270431089</v>
      </c>
      <c r="Z390" s="0" t="n">
        <v>0.621790604131501</v>
      </c>
      <c r="AA390" s="0" t="n">
        <v>0</v>
      </c>
    </row>
    <row r="391" customFormat="false" ht="15" hidden="false" customHeight="false" outlineLevel="0" collapsed="false">
      <c r="A391" s="0" t="s">
        <v>425</v>
      </c>
      <c r="B391" s="0" t="s">
        <v>3013</v>
      </c>
      <c r="C391" s="0" t="s">
        <v>3034</v>
      </c>
      <c r="D391" s="0" t="n">
        <v>1.81279303616219</v>
      </c>
      <c r="E391" s="0" t="n">
        <v>0.365118450408967</v>
      </c>
      <c r="F391" s="0" t="n">
        <v>11.8232502353881</v>
      </c>
      <c r="G391" s="0" t="n">
        <v>0.86107634543179</v>
      </c>
      <c r="H391" s="0" t="n">
        <v>0.913642052565707</v>
      </c>
      <c r="I391" s="0" t="n">
        <v>0.273826127382613</v>
      </c>
      <c r="J391" s="0" t="n">
        <v>0.764652584675521</v>
      </c>
      <c r="K391" s="0" t="n">
        <v>0.667715717403612</v>
      </c>
      <c r="L391" s="1" t="b">
        <f aca="false">TRUE()</f>
        <v>1</v>
      </c>
      <c r="M391" s="0" t="s">
        <v>3035</v>
      </c>
      <c r="N391" s="0" t="n">
        <v>44.8309001624393</v>
      </c>
      <c r="O391" s="0" t="n">
        <v>1</v>
      </c>
      <c r="P391" s="0" t="n">
        <v>0</v>
      </c>
      <c r="Q391" s="0" t="n">
        <v>0</v>
      </c>
      <c r="R391" s="0" t="n">
        <v>7.00502902708903</v>
      </c>
      <c r="S391" s="0" t="n">
        <v>1.82113821138212</v>
      </c>
      <c r="T391" s="0" t="n">
        <v>0.195121951219501</v>
      </c>
      <c r="U391" s="0" t="n">
        <v>0.313807531380753</v>
      </c>
      <c r="V391" s="0" t="n">
        <v>0.221757322175732</v>
      </c>
      <c r="W391" s="0" t="n">
        <v>0.285913528591353</v>
      </c>
      <c r="X391" s="0" t="n">
        <v>0.365118450408967</v>
      </c>
      <c r="Y391" s="0" t="n">
        <v>11.8232502353881</v>
      </c>
      <c r="Z391" s="0" t="n">
        <v>0.764652584675521</v>
      </c>
      <c r="AA391" s="0" t="n">
        <v>0</v>
      </c>
    </row>
    <row r="392" customFormat="false" ht="15" hidden="false" customHeight="false" outlineLevel="0" collapsed="false">
      <c r="A392" s="0" t="s">
        <v>426</v>
      </c>
      <c r="B392" s="0" t="s">
        <v>3013</v>
      </c>
      <c r="C392" s="0" t="s">
        <v>3033</v>
      </c>
      <c r="D392" s="0" t="n">
        <v>50.182600799803</v>
      </c>
      <c r="E392" s="0" t="n">
        <v>0.286291935639917</v>
      </c>
      <c r="F392" s="0" t="n">
        <v>8.80017415926349</v>
      </c>
      <c r="G392" s="0" t="n">
        <v>0.501877346683354</v>
      </c>
      <c r="H392" s="0" t="n">
        <v>0.649561952440551</v>
      </c>
      <c r="I392" s="0" t="n">
        <v>0.478382147838215</v>
      </c>
      <c r="J392" s="0" t="n">
        <v>0.556252149217205</v>
      </c>
      <c r="K392" s="0" t="n">
        <v>0.667715717403612</v>
      </c>
      <c r="L392" s="1" t="b">
        <f aca="false">FALSE()</f>
        <v>0</v>
      </c>
      <c r="N392" s="0" t="n">
        <v>43.0181071262769</v>
      </c>
      <c r="O392" s="0" t="n">
        <v>0</v>
      </c>
      <c r="P392" s="0" t="n">
        <v>0</v>
      </c>
      <c r="Q392" s="0" t="n">
        <v>0</v>
      </c>
      <c r="R392" s="0" t="n">
        <v>5.32766610169902</v>
      </c>
      <c r="S392" s="0" t="n">
        <v>3.99999999999999</v>
      </c>
      <c r="T392" s="0" t="n">
        <v>0.275862068965528</v>
      </c>
      <c r="U392" s="0" t="n">
        <v>0.153417015341702</v>
      </c>
      <c r="V392" s="0" t="n">
        <v>0.599721059972106</v>
      </c>
      <c r="W392" s="0" t="n">
        <v>0.682008368200837</v>
      </c>
      <c r="X392" s="0" t="n">
        <v>0.286291935639917</v>
      </c>
      <c r="Y392" s="0" t="n">
        <v>8.80017415926349</v>
      </c>
      <c r="Z392" s="0" t="n">
        <v>0.556252149217205</v>
      </c>
      <c r="AA392" s="0" t="n">
        <v>0</v>
      </c>
    </row>
    <row r="393" customFormat="false" ht="15" hidden="false" customHeight="false" outlineLevel="0" collapsed="false">
      <c r="A393" s="0" t="s">
        <v>427</v>
      </c>
      <c r="B393" s="0" t="s">
        <v>3013</v>
      </c>
      <c r="C393" s="0" t="s">
        <v>3033</v>
      </c>
      <c r="D393" s="0" t="n">
        <v>12.818881368564</v>
      </c>
      <c r="E393" s="0" t="n">
        <v>0.300826152300379</v>
      </c>
      <c r="F393" s="0" t="n">
        <v>8.93267210831208</v>
      </c>
      <c r="G393" s="0" t="n">
        <v>0.571964956195244</v>
      </c>
      <c r="H393" s="0" t="n">
        <v>0.669586983729662</v>
      </c>
      <c r="I393" s="0" t="n">
        <v>0.242677824267782</v>
      </c>
      <c r="J393" s="0" t="n">
        <v>0.545156340823519</v>
      </c>
      <c r="K393" s="0" t="n">
        <v>0.667715717403612</v>
      </c>
      <c r="L393" s="1" t="b">
        <f aca="false">FALSE()</f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6.88370943686005</v>
      </c>
      <c r="S393" s="0" t="n">
        <v>2.46487552378605</v>
      </c>
      <c r="T393" s="0" t="n">
        <v>0.123243776189302</v>
      </c>
      <c r="U393" s="0" t="n">
        <v>0.301255230125523</v>
      </c>
      <c r="V393" s="0" t="n">
        <v>0.382147838214784</v>
      </c>
      <c r="W393" s="0" t="n">
        <v>0.0446304044630404</v>
      </c>
      <c r="X393" s="0" t="n">
        <v>0.300826152300379</v>
      </c>
      <c r="Y393" s="0" t="n">
        <v>8.93267210831208</v>
      </c>
      <c r="Z393" s="0" t="n">
        <v>0.545156340823519</v>
      </c>
      <c r="AA393" s="0" t="n">
        <v>0</v>
      </c>
    </row>
    <row r="394" customFormat="false" ht="15" hidden="false" customHeight="false" outlineLevel="0" collapsed="false">
      <c r="A394" s="0" t="s">
        <v>428</v>
      </c>
      <c r="B394" s="0" t="s">
        <v>33</v>
      </c>
      <c r="C394" s="0" t="s">
        <v>33</v>
      </c>
      <c r="D394" s="0" t="n">
        <v>4.56072866429879</v>
      </c>
      <c r="E394" s="0" t="n">
        <v>0.355822110287664</v>
      </c>
      <c r="F394" s="0" t="n">
        <v>10.2234069007644</v>
      </c>
      <c r="G394" s="0" t="n">
        <v>0.831038798498123</v>
      </c>
      <c r="H394" s="0" t="n">
        <v>0.816020025031289</v>
      </c>
      <c r="I394" s="0" t="n">
        <v>0.5</v>
      </c>
      <c r="J394" s="0" t="n">
        <v>0.758823529411765</v>
      </c>
      <c r="K394" s="0" t="n">
        <v>0.667715717403612</v>
      </c>
      <c r="L394" s="1" t="b">
        <f aca="false">TRUE()</f>
        <v>1</v>
      </c>
      <c r="M394" s="0" t="s">
        <v>3035</v>
      </c>
      <c r="N394" s="0" t="n">
        <v>0</v>
      </c>
      <c r="O394" s="0" t="n">
        <v>0</v>
      </c>
      <c r="P394" s="0" t="n">
        <v>0</v>
      </c>
      <c r="Q394" s="0" t="n">
        <v>0</v>
      </c>
      <c r="U394" s="0" t="n">
        <v>0.5</v>
      </c>
      <c r="V394" s="0" t="n">
        <v>0.5</v>
      </c>
      <c r="W394" s="0" t="n">
        <v>0.5</v>
      </c>
      <c r="X394" s="0" t="n">
        <v>0.355822110287664</v>
      </c>
      <c r="Y394" s="0" t="n">
        <v>10.2234069007644</v>
      </c>
      <c r="Z394" s="0" t="n">
        <v>0.758823529411765</v>
      </c>
      <c r="AA394" s="0" t="n">
        <v>0</v>
      </c>
    </row>
    <row r="395" customFormat="false" ht="15" hidden="false" customHeight="false" outlineLevel="0" collapsed="false">
      <c r="A395" s="0" t="s">
        <v>429</v>
      </c>
      <c r="B395" s="0" t="s">
        <v>3013</v>
      </c>
      <c r="C395" s="0" t="s">
        <v>3038</v>
      </c>
      <c r="D395" s="0" t="n">
        <v>19.2219610713568</v>
      </c>
      <c r="E395" s="0" t="n">
        <v>0.168571169406969</v>
      </c>
      <c r="F395" s="0" t="n">
        <v>4.16696966351569</v>
      </c>
      <c r="G395" s="0" t="n">
        <v>0.0387984981226533</v>
      </c>
      <c r="H395" s="0" t="n">
        <v>0.0638297872340426</v>
      </c>
      <c r="I395" s="0" t="n">
        <v>0.797303579730358</v>
      </c>
      <c r="J395" s="0" t="n">
        <v>0.20051203008875</v>
      </c>
      <c r="K395" s="0" t="n">
        <v>0.667715717403612</v>
      </c>
      <c r="L395" s="1" t="b">
        <f aca="false">FALSE()</f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12.9984325419573</v>
      </c>
      <c r="S395" s="0" t="n">
        <v>18.9721159103335</v>
      </c>
      <c r="T395" s="0" t="n">
        <v>0.328048113723351</v>
      </c>
      <c r="U395" s="0" t="n">
        <v>0.642956764295676</v>
      </c>
      <c r="V395" s="0" t="n">
        <v>0.95536959553696</v>
      </c>
      <c r="W395" s="0" t="n">
        <v>0.793584379358438</v>
      </c>
      <c r="X395" s="0" t="n">
        <v>0.168571169406969</v>
      </c>
      <c r="Y395" s="0" t="n">
        <v>4.16696966351569</v>
      </c>
      <c r="Z395" s="0" t="n">
        <v>0.20051203008875</v>
      </c>
      <c r="AA395" s="0" t="n">
        <v>2.77555756156289E-017</v>
      </c>
    </row>
    <row r="396" customFormat="false" ht="15" hidden="false" customHeight="false" outlineLevel="0" collapsed="false">
      <c r="A396" s="0" t="s">
        <v>430</v>
      </c>
      <c r="B396" s="0" t="s">
        <v>3013</v>
      </c>
      <c r="C396" s="0" t="s">
        <v>3033</v>
      </c>
      <c r="D396" s="0" t="n">
        <v>17.4662001136856</v>
      </c>
      <c r="E396" s="0" t="n">
        <v>0.259019489851946</v>
      </c>
      <c r="F396" s="0" t="n">
        <v>7.04923288145034</v>
      </c>
      <c r="G396" s="0" t="n">
        <v>0.324155193992491</v>
      </c>
      <c r="H396" s="0" t="n">
        <v>0.420525657071339</v>
      </c>
      <c r="I396" s="0" t="n">
        <v>0.477917247791725</v>
      </c>
      <c r="J396" s="0" t="n">
        <v>0.393455789983877</v>
      </c>
      <c r="K396" s="0" t="n">
        <v>0.667715717403612</v>
      </c>
      <c r="L396" s="1" t="b">
        <f aca="false">FALSE()</f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11.5850266398265</v>
      </c>
      <c r="S396" s="0" t="n">
        <v>1.62376237623762</v>
      </c>
      <c r="T396" s="0" t="n">
        <v>0.277227722772273</v>
      </c>
      <c r="U396" s="0" t="n">
        <v>0.577405857740586</v>
      </c>
      <c r="V396" s="0" t="n">
        <v>0.168758716875872</v>
      </c>
      <c r="W396" s="0" t="n">
        <v>0.687587168758717</v>
      </c>
      <c r="X396" s="0" t="n">
        <v>0.259019489851946</v>
      </c>
      <c r="Y396" s="0" t="n">
        <v>7.04923288145034</v>
      </c>
      <c r="Z396" s="0" t="n">
        <v>0.393455789983877</v>
      </c>
      <c r="AA396" s="0" t="n">
        <v>-5.55111512312578E-017</v>
      </c>
    </row>
    <row r="397" customFormat="false" ht="15" hidden="false" customHeight="false" outlineLevel="0" collapsed="false">
      <c r="A397" s="0" t="s">
        <v>431</v>
      </c>
      <c r="B397" s="0" t="s">
        <v>3013</v>
      </c>
      <c r="C397" s="0" t="s">
        <v>3033</v>
      </c>
      <c r="D397" s="0" t="n">
        <v>31.9412824021004</v>
      </c>
      <c r="E397" s="0" t="n">
        <v>0.229607689230207</v>
      </c>
      <c r="F397" s="0" t="n">
        <v>3.78691517361397</v>
      </c>
      <c r="G397" s="0" t="n">
        <v>0.171464330413016</v>
      </c>
      <c r="H397" s="0" t="n">
        <v>0.0425531914893617</v>
      </c>
      <c r="I397" s="0" t="n">
        <v>0.693165969316597</v>
      </c>
      <c r="J397" s="0" t="n">
        <v>0.224240202624271</v>
      </c>
      <c r="K397" s="0" t="n">
        <v>0.667715717403612</v>
      </c>
      <c r="L397" s="1" t="b">
        <f aca="false">FALSE()</f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18.700393187753</v>
      </c>
      <c r="S397" s="0" t="n">
        <v>6.02377093462993</v>
      </c>
      <c r="T397" s="0" t="n">
        <v>0.243111831442465</v>
      </c>
      <c r="U397" s="0" t="n">
        <v>0.772663877266388</v>
      </c>
      <c r="V397" s="0" t="n">
        <v>0.746164574616458</v>
      </c>
      <c r="W397" s="0" t="n">
        <v>0.560669456066946</v>
      </c>
      <c r="X397" s="0" t="n">
        <v>0.229607689230207</v>
      </c>
      <c r="Y397" s="0" t="n">
        <v>3.78691517361397</v>
      </c>
      <c r="Z397" s="0" t="n">
        <v>0.224240202624271</v>
      </c>
      <c r="AA397" s="0" t="n">
        <v>-2.77555756156289E-017</v>
      </c>
    </row>
    <row r="398" customFormat="false" ht="15" hidden="false" customHeight="false" outlineLevel="0" collapsed="false">
      <c r="A398" s="0" t="s">
        <v>432</v>
      </c>
      <c r="B398" s="0" t="s">
        <v>3013</v>
      </c>
      <c r="C398" s="0" t="s">
        <v>3034</v>
      </c>
      <c r="D398" s="0" t="n">
        <v>4.30272506456188</v>
      </c>
      <c r="E398" s="0" t="n">
        <v>0.435404197338495</v>
      </c>
      <c r="F398" s="0" t="n">
        <v>13.8532439080169</v>
      </c>
      <c r="G398" s="0" t="n">
        <v>0.974968710888611</v>
      </c>
      <c r="H398" s="0" t="n">
        <v>0.968710888610764</v>
      </c>
      <c r="I398" s="0" t="n">
        <v>0.177126917712692</v>
      </c>
      <c r="J398" s="0" t="n">
        <v>0.812897223342288</v>
      </c>
      <c r="K398" s="0" t="n">
        <v>0.667715717403612</v>
      </c>
      <c r="L398" s="1" t="b">
        <f aca="false">TRUE()</f>
        <v>1</v>
      </c>
      <c r="M398" s="0" t="s">
        <v>3035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3.09372056858632</v>
      </c>
      <c r="S398" s="0" t="n">
        <v>2.65567765567766</v>
      </c>
      <c r="T398" s="0" t="n">
        <v>0.137362637362643</v>
      </c>
      <c r="U398" s="0" t="n">
        <v>0.0306834030683403</v>
      </c>
      <c r="V398" s="0" t="n">
        <v>0.418410041841004</v>
      </c>
      <c r="W398" s="0" t="n">
        <v>0.0822873082287308</v>
      </c>
      <c r="X398" s="0" t="n">
        <v>0.435404197338495</v>
      </c>
      <c r="Y398" s="0" t="n">
        <v>13.8532439080169</v>
      </c>
      <c r="Z398" s="0" t="n">
        <v>0.812897223342288</v>
      </c>
      <c r="AA398" s="0" t="n">
        <v>0</v>
      </c>
    </row>
    <row r="399" customFormat="false" ht="15" hidden="false" customHeight="false" outlineLevel="0" collapsed="false">
      <c r="A399" s="0" t="s">
        <v>433</v>
      </c>
      <c r="B399" s="0" t="s">
        <v>3013</v>
      </c>
      <c r="C399" s="0" t="s">
        <v>3036</v>
      </c>
      <c r="D399" s="0" t="n">
        <v>4.32879880888394</v>
      </c>
      <c r="E399" s="0" t="n">
        <v>0.319090874694918</v>
      </c>
      <c r="F399" s="0" t="n">
        <v>4.2160610658292</v>
      </c>
      <c r="G399" s="0" t="n">
        <v>0.662077596996245</v>
      </c>
      <c r="H399" s="0" t="n">
        <v>0.0675844806007509</v>
      </c>
      <c r="I399" s="0" t="n">
        <v>0.304974430497443</v>
      </c>
      <c r="J399" s="0" t="n">
        <v>0.352859717138287</v>
      </c>
      <c r="K399" s="0" t="n">
        <v>0.667715717403612</v>
      </c>
      <c r="L399" s="1" t="b">
        <f aca="false">FALSE()</f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6.37767269456711</v>
      </c>
      <c r="S399" s="0" t="n">
        <v>2.17583063804763</v>
      </c>
      <c r="T399" s="0" t="n">
        <v>0.205821817112611</v>
      </c>
      <c r="U399" s="0" t="n">
        <v>0.262203626220363</v>
      </c>
      <c r="V399" s="0" t="n">
        <v>0.308228730822873</v>
      </c>
      <c r="W399" s="0" t="n">
        <v>0.344490934449094</v>
      </c>
      <c r="X399" s="0" t="n">
        <v>0.319090874694918</v>
      </c>
      <c r="Y399" s="0" t="n">
        <v>4.2160610658292</v>
      </c>
      <c r="Z399" s="0" t="n">
        <v>0.352859717138287</v>
      </c>
      <c r="AA399" s="0" t="n">
        <v>0</v>
      </c>
    </row>
    <row r="400" customFormat="false" ht="15" hidden="false" customHeight="false" outlineLevel="0" collapsed="false">
      <c r="A400" s="0" t="s">
        <v>434</v>
      </c>
      <c r="B400" s="0" t="s">
        <v>3013</v>
      </c>
      <c r="C400" s="0" t="s">
        <v>3033</v>
      </c>
      <c r="D400" s="0" t="n">
        <v>-2.32565140561631</v>
      </c>
      <c r="E400" s="0" t="n">
        <v>0.206400946121839</v>
      </c>
      <c r="F400" s="0" t="n">
        <v>4.27358536479962</v>
      </c>
      <c r="G400" s="0" t="n">
        <v>0.115143929912391</v>
      </c>
      <c r="H400" s="0" t="n">
        <v>0.0725907384230288</v>
      </c>
      <c r="I400" s="0" t="n">
        <v>0.552766155276616</v>
      </c>
      <c r="J400" s="0" t="n">
        <v>0.185647098389491</v>
      </c>
      <c r="K400" s="0" t="n">
        <v>0.667715717403612</v>
      </c>
      <c r="L400" s="1" t="b">
        <f aca="false">FALSE()</f>
        <v>0</v>
      </c>
      <c r="N400" s="0" t="n">
        <v>0</v>
      </c>
      <c r="O400" s="0" t="n">
        <v>0</v>
      </c>
      <c r="P400" s="0" t="n">
        <v>1</v>
      </c>
      <c r="Q400" s="0" t="n">
        <v>2.32565140561631</v>
      </c>
      <c r="R400" s="0" t="n">
        <v>8.52616773198547</v>
      </c>
      <c r="S400" s="0" t="n">
        <v>2.94744318181819</v>
      </c>
      <c r="T400" s="0" t="n">
        <v>0.31960227272727</v>
      </c>
      <c r="U400" s="0" t="n">
        <v>0.419804741980474</v>
      </c>
      <c r="V400" s="0" t="n">
        <v>0.464435146443515</v>
      </c>
      <c r="W400" s="0" t="n">
        <v>0.774058577405858</v>
      </c>
      <c r="X400" s="0" t="n">
        <v>0.206400946121839</v>
      </c>
      <c r="Y400" s="0" t="n">
        <v>4.27358536479962</v>
      </c>
      <c r="Z400" s="0" t="n">
        <v>0.185647098389491</v>
      </c>
      <c r="AA400" s="0" t="n">
        <v>0</v>
      </c>
    </row>
    <row r="401" customFormat="false" ht="15" hidden="false" customHeight="false" outlineLevel="0" collapsed="false">
      <c r="A401" s="0" t="s">
        <v>435</v>
      </c>
      <c r="B401" s="0" t="s">
        <v>3013</v>
      </c>
      <c r="C401" s="0" t="s">
        <v>3036</v>
      </c>
      <c r="D401" s="0" t="n">
        <v>12.6173069380692</v>
      </c>
      <c r="E401" s="0" t="n">
        <v>0.25320722288563</v>
      </c>
      <c r="F401" s="0" t="n">
        <v>4.91441746789044</v>
      </c>
      <c r="G401" s="0" t="n">
        <v>0.287859824780976</v>
      </c>
      <c r="H401" s="0" t="n">
        <v>0.128911138923655</v>
      </c>
      <c r="I401" s="0" t="n">
        <v>0.402603440260344</v>
      </c>
      <c r="J401" s="0" t="n">
        <v>0.247229073533921</v>
      </c>
      <c r="K401" s="0" t="n">
        <v>0.667715717403612</v>
      </c>
      <c r="L401" s="1" t="b">
        <f aca="false">FALSE()</f>
        <v>0</v>
      </c>
      <c r="N401" s="0" t="n">
        <v>2.32565140561655</v>
      </c>
      <c r="O401" s="0" t="n">
        <v>1</v>
      </c>
      <c r="P401" s="0" t="n">
        <v>0</v>
      </c>
      <c r="Q401" s="0" t="n">
        <v>0</v>
      </c>
      <c r="R401" s="0" t="n">
        <v>4.62592586545631</v>
      </c>
      <c r="S401" s="0" t="n">
        <v>2.02135774218155</v>
      </c>
      <c r="T401" s="0" t="n">
        <v>0.343249427917622</v>
      </c>
      <c r="U401" s="0" t="n">
        <v>0.110181311018131</v>
      </c>
      <c r="V401" s="0" t="n">
        <v>0.276150627615063</v>
      </c>
      <c r="W401" s="0" t="n">
        <v>0.821478382147838</v>
      </c>
      <c r="X401" s="0" t="n">
        <v>0.25320722288563</v>
      </c>
      <c r="Y401" s="0" t="n">
        <v>4.91441746789044</v>
      </c>
      <c r="Z401" s="0" t="n">
        <v>0.247229073533921</v>
      </c>
      <c r="AA401" s="0" t="n">
        <v>2.77555756156289E-017</v>
      </c>
    </row>
    <row r="402" customFormat="false" ht="15" hidden="false" customHeight="false" outlineLevel="0" collapsed="false">
      <c r="A402" s="0" t="s">
        <v>436</v>
      </c>
      <c r="B402" s="0" t="s">
        <v>3013</v>
      </c>
      <c r="C402" s="0" t="s">
        <v>3036</v>
      </c>
      <c r="D402" s="0" t="n">
        <v>18.5982633094172</v>
      </c>
      <c r="E402" s="0" t="n">
        <v>0.322571006806868</v>
      </c>
      <c r="F402" s="0" t="n">
        <v>8.74463578687877</v>
      </c>
      <c r="G402" s="0" t="n">
        <v>0.684605757196496</v>
      </c>
      <c r="H402" s="0" t="n">
        <v>0.643304130162703</v>
      </c>
      <c r="I402" s="0" t="n">
        <v>0.330543933054393</v>
      </c>
      <c r="J402" s="0" t="n">
        <v>0.597272741554558</v>
      </c>
      <c r="K402" s="0" t="n">
        <v>0.667715717403612</v>
      </c>
      <c r="L402" s="1" t="b">
        <f aca="false">FALSE()</f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5.74570682933679</v>
      </c>
      <c r="S402" s="0" t="n">
        <v>1.85241421196478</v>
      </c>
      <c r="T402" s="0" t="n">
        <v>0.24293956878226</v>
      </c>
      <c r="U402" s="0" t="n">
        <v>0.196652719665272</v>
      </c>
      <c r="V402" s="0" t="n">
        <v>0.235704323570432</v>
      </c>
      <c r="W402" s="0" t="n">
        <v>0.559274755927476</v>
      </c>
      <c r="X402" s="0" t="n">
        <v>0.322571006806868</v>
      </c>
      <c r="Y402" s="0" t="n">
        <v>8.74463578687877</v>
      </c>
      <c r="Z402" s="0" t="n">
        <v>0.597272741554558</v>
      </c>
      <c r="AA402" s="0" t="n">
        <v>0</v>
      </c>
    </row>
    <row r="403" customFormat="false" ht="15" hidden="false" customHeight="false" outlineLevel="0" collapsed="false">
      <c r="A403" s="0" t="s">
        <v>437</v>
      </c>
      <c r="B403" s="0" t="s">
        <v>3013</v>
      </c>
      <c r="C403" s="0" t="s">
        <v>3034</v>
      </c>
      <c r="D403" s="0" t="n">
        <v>26.4328149484431</v>
      </c>
      <c r="E403" s="0" t="n">
        <v>0.383951375896686</v>
      </c>
      <c r="F403" s="0" t="n">
        <v>10.9205899100622</v>
      </c>
      <c r="G403" s="0" t="n">
        <v>0.911138923654568</v>
      </c>
      <c r="H403" s="0" t="n">
        <v>0.872340425531915</v>
      </c>
      <c r="I403" s="0" t="n">
        <v>0.364016736401674</v>
      </c>
      <c r="J403" s="0" t="n">
        <v>0.786195086954928</v>
      </c>
      <c r="K403" s="0" t="n">
        <v>0.667715717403612</v>
      </c>
      <c r="L403" s="1" t="b">
        <f aca="false">TRUE()</f>
        <v>1</v>
      </c>
      <c r="M403" s="0" t="s">
        <v>3035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3.67501020085709</v>
      </c>
      <c r="S403" s="0" t="n">
        <v>4.60887949260041</v>
      </c>
      <c r="T403" s="0" t="n">
        <v>0.211416490486264</v>
      </c>
      <c r="U403" s="0" t="n">
        <v>0.0516039051603905</v>
      </c>
      <c r="V403" s="0" t="n">
        <v>0.652719665271967</v>
      </c>
      <c r="W403" s="0" t="n">
        <v>0.387726638772664</v>
      </c>
      <c r="X403" s="0" t="n">
        <v>0.383951375896686</v>
      </c>
      <c r="Y403" s="0" t="n">
        <v>10.9205899100622</v>
      </c>
      <c r="Z403" s="0" t="n">
        <v>0.786195086954928</v>
      </c>
      <c r="AA403" s="0" t="n">
        <v>0</v>
      </c>
    </row>
    <row r="404" customFormat="false" ht="15" hidden="false" customHeight="false" outlineLevel="0" collapsed="false">
      <c r="A404" s="0" t="s">
        <v>438</v>
      </c>
      <c r="B404" s="0" t="s">
        <v>3013</v>
      </c>
      <c r="C404" s="0" t="s">
        <v>3036</v>
      </c>
      <c r="D404" s="0" t="n">
        <v>23.5785897682484</v>
      </c>
      <c r="E404" s="0" t="n">
        <v>0.285459711274348</v>
      </c>
      <c r="F404" s="0" t="n">
        <v>4.76384768335338</v>
      </c>
      <c r="G404" s="0" t="n">
        <v>0.495619524405507</v>
      </c>
      <c r="H404" s="0" t="n">
        <v>0.106382978723404</v>
      </c>
      <c r="I404" s="0" t="n">
        <v>0.125058112505811</v>
      </c>
      <c r="J404" s="0" t="n">
        <v>0.265812623752727</v>
      </c>
      <c r="K404" s="0" t="n">
        <v>0.667715717403612</v>
      </c>
      <c r="L404" s="1" t="b">
        <f aca="false">FALSE()</f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3.60119215584943</v>
      </c>
      <c r="S404" s="0" t="n">
        <v>1.12708900116597</v>
      </c>
      <c r="T404" s="0" t="n">
        <v>0.194325689856205</v>
      </c>
      <c r="U404" s="0" t="n">
        <v>0.0474198047419805</v>
      </c>
      <c r="V404" s="0" t="n">
        <v>0.0488145048814505</v>
      </c>
      <c r="W404" s="0" t="n">
        <v>0.278940027894003</v>
      </c>
      <c r="X404" s="0" t="n">
        <v>0.285459711274348</v>
      </c>
      <c r="Y404" s="0" t="n">
        <v>4.76384768335338</v>
      </c>
      <c r="Z404" s="0" t="n">
        <v>0.265812623752727</v>
      </c>
      <c r="AA404" s="0" t="n">
        <v>5.55111512312578E-017</v>
      </c>
    </row>
    <row r="405" customFormat="false" ht="15" hidden="false" customHeight="false" outlineLevel="0" collapsed="false">
      <c r="A405" s="0" t="s">
        <v>439</v>
      </c>
      <c r="B405" s="0" t="s">
        <v>3013</v>
      </c>
      <c r="C405" s="0" t="s">
        <v>3036</v>
      </c>
      <c r="D405" s="0" t="n">
        <v>5.93914980978652</v>
      </c>
      <c r="E405" s="0" t="n">
        <v>0.336440249831362</v>
      </c>
      <c r="F405" s="0" t="n">
        <v>7.50192305713344</v>
      </c>
      <c r="G405" s="0" t="n">
        <v>0.764705882352941</v>
      </c>
      <c r="H405" s="0" t="n">
        <v>0.481852315394243</v>
      </c>
      <c r="I405" s="0" t="n">
        <v>0.202231520223152</v>
      </c>
      <c r="J405" s="0" t="n">
        <v>0.539069583143504</v>
      </c>
      <c r="K405" s="0" t="n">
        <v>0.667715717403612</v>
      </c>
      <c r="L405" s="1" t="b">
        <f aca="false">FALSE()</f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3.86869020657037</v>
      </c>
      <c r="S405" s="0" t="n">
        <v>1.32869345143941</v>
      </c>
      <c r="T405" s="0" t="n">
        <v>0.221448908573242</v>
      </c>
      <c r="U405" s="0" t="n">
        <v>0.0669456066945607</v>
      </c>
      <c r="V405" s="0" t="n">
        <v>0.0906555090655509</v>
      </c>
      <c r="W405" s="0" t="n">
        <v>0.449093444909345</v>
      </c>
      <c r="X405" s="0" t="n">
        <v>0.336440249831362</v>
      </c>
      <c r="Y405" s="0" t="n">
        <v>7.50192305713345</v>
      </c>
      <c r="Z405" s="0" t="n">
        <v>0.539069583143504</v>
      </c>
      <c r="AA405" s="0" t="n">
        <v>0</v>
      </c>
    </row>
    <row r="406" customFormat="false" ht="15" hidden="false" customHeight="false" outlineLevel="0" collapsed="false">
      <c r="A406" s="0" t="s">
        <v>440</v>
      </c>
      <c r="B406" s="0" t="s">
        <v>3013</v>
      </c>
      <c r="C406" s="0" t="s">
        <v>3036</v>
      </c>
      <c r="D406" s="0" t="n">
        <v>13.3337027915627</v>
      </c>
      <c r="E406" s="0" t="n">
        <v>0.291565746256152</v>
      </c>
      <c r="F406" s="0" t="n">
        <v>5.9902675009629</v>
      </c>
      <c r="G406" s="0" t="n">
        <v>0.531914893617021</v>
      </c>
      <c r="H406" s="0" t="n">
        <v>0.265331664580726</v>
      </c>
      <c r="I406" s="0" t="n">
        <v>0.136215713621571</v>
      </c>
      <c r="J406" s="0" t="n">
        <v>0.346141766003413</v>
      </c>
      <c r="K406" s="0" t="n">
        <v>0.667715717403612</v>
      </c>
      <c r="L406" s="1" t="b">
        <f aca="false">FALSE()</f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3.07652796430352</v>
      </c>
      <c r="S406" s="0" t="n">
        <v>1.19617224880383</v>
      </c>
      <c r="T406" s="0" t="n">
        <v>0.199362041467305</v>
      </c>
      <c r="U406" s="0" t="n">
        <v>0.0292887029288703</v>
      </c>
      <c r="V406" s="0" t="n">
        <v>0.0683403068340307</v>
      </c>
      <c r="W406" s="0" t="n">
        <v>0.311018131101813</v>
      </c>
      <c r="X406" s="0" t="n">
        <v>0.291565746256152</v>
      </c>
      <c r="Y406" s="0" t="n">
        <v>5.9902675009629</v>
      </c>
      <c r="Z406" s="0" t="n">
        <v>0.346141766003413</v>
      </c>
      <c r="AA406" s="0" t="n">
        <v>0</v>
      </c>
    </row>
    <row r="407" customFormat="false" ht="15" hidden="false" customHeight="false" outlineLevel="0" collapsed="false">
      <c r="A407" s="0" t="s">
        <v>441</v>
      </c>
      <c r="B407" s="0" t="s">
        <v>3013</v>
      </c>
      <c r="C407" s="0" t="s">
        <v>3036</v>
      </c>
      <c r="D407" s="0" t="n">
        <v>-9.89714446987392</v>
      </c>
      <c r="E407" s="0" t="n">
        <v>0.29270266666397</v>
      </c>
      <c r="F407" s="0" t="n">
        <v>4.30687961760362</v>
      </c>
      <c r="G407" s="0" t="n">
        <v>0.540675844806008</v>
      </c>
      <c r="H407" s="0" t="n">
        <v>0.0738423028785983</v>
      </c>
      <c r="I407" s="0" t="n">
        <v>0.130636913063691</v>
      </c>
      <c r="J407" s="0" t="n">
        <v>0.271934641686581</v>
      </c>
      <c r="K407" s="0" t="n">
        <v>0.667715717403612</v>
      </c>
      <c r="L407" s="1" t="b">
        <f aca="false">FALSE()</f>
        <v>0</v>
      </c>
      <c r="N407" s="0" t="n">
        <v>0</v>
      </c>
      <c r="O407" s="0" t="n">
        <v>0</v>
      </c>
      <c r="P407" s="0" t="n">
        <v>1</v>
      </c>
      <c r="Q407" s="0" t="n">
        <v>9.89714446987392</v>
      </c>
      <c r="R407" s="0" t="n">
        <v>5.70942241455054</v>
      </c>
      <c r="S407" s="0" t="n">
        <v>1.60847391133777</v>
      </c>
      <c r="T407" s="0" t="n">
        <v>0.117693213024709</v>
      </c>
      <c r="U407" s="0" t="n">
        <v>0.191073919107392</v>
      </c>
      <c r="V407" s="0" t="n">
        <v>0.160390516039052</v>
      </c>
      <c r="W407" s="0" t="n">
        <v>0.0404463040446304</v>
      </c>
      <c r="X407" s="0" t="n">
        <v>0.29270266666397</v>
      </c>
      <c r="Y407" s="0" t="n">
        <v>4.30687961760362</v>
      </c>
      <c r="Z407" s="0" t="n">
        <v>0.271934641686581</v>
      </c>
      <c r="AA407" s="0" t="n">
        <v>0</v>
      </c>
    </row>
    <row r="408" customFormat="false" ht="15" hidden="false" customHeight="false" outlineLevel="0" collapsed="false">
      <c r="A408" s="0" t="s">
        <v>442</v>
      </c>
      <c r="B408" s="0" t="s">
        <v>3013</v>
      </c>
      <c r="C408" s="0" t="s">
        <v>3036</v>
      </c>
      <c r="D408" s="0" t="n">
        <v>34.4289280001691</v>
      </c>
      <c r="E408" s="0" t="n">
        <v>0.261537327204185</v>
      </c>
      <c r="F408" s="0" t="n">
        <v>4.88063587413891</v>
      </c>
      <c r="G408" s="0" t="n">
        <v>0.340425531914894</v>
      </c>
      <c r="H408" s="0" t="n">
        <v>0.120150187734668</v>
      </c>
      <c r="I408" s="0" t="n">
        <v>0.195258019525802</v>
      </c>
      <c r="J408" s="0" t="n">
        <v>0.223281891764985</v>
      </c>
      <c r="K408" s="0" t="n">
        <v>0.667715717403612</v>
      </c>
      <c r="L408" s="1" t="b">
        <f aca="false">FALSE()</f>
        <v>0</v>
      </c>
      <c r="N408" s="0" t="n">
        <v>9.89714446987364</v>
      </c>
      <c r="O408" s="0" t="n">
        <v>1</v>
      </c>
      <c r="P408" s="0" t="n">
        <v>0</v>
      </c>
      <c r="Q408" s="0" t="n">
        <v>0</v>
      </c>
      <c r="R408" s="0" t="n">
        <v>2.55907190992028</v>
      </c>
      <c r="S408" s="0" t="n">
        <v>1.59482758620689</v>
      </c>
      <c r="T408" s="0" t="n">
        <v>0.21551724137931</v>
      </c>
      <c r="U408" s="0" t="n">
        <v>0.0153417015341702</v>
      </c>
      <c r="V408" s="0" t="n">
        <v>0.156206415620642</v>
      </c>
      <c r="W408" s="0" t="n">
        <v>0.414225941422594</v>
      </c>
      <c r="X408" s="0" t="n">
        <v>0.261537327204185</v>
      </c>
      <c r="Y408" s="0" t="n">
        <v>4.88063587413891</v>
      </c>
      <c r="Z408" s="0" t="n">
        <v>0.223281891764985</v>
      </c>
      <c r="AA408" s="0" t="n">
        <v>-2.77555756156289E-017</v>
      </c>
    </row>
    <row r="409" customFormat="false" ht="15" hidden="false" customHeight="false" outlineLevel="0" collapsed="false">
      <c r="A409" s="0" t="s">
        <v>443</v>
      </c>
      <c r="B409" s="0" t="s">
        <v>3013</v>
      </c>
      <c r="C409" s="0" t="s">
        <v>3033</v>
      </c>
      <c r="D409" s="0" t="n">
        <v>3.77840732146833</v>
      </c>
      <c r="E409" s="0" t="n">
        <v>0.257354458300865</v>
      </c>
      <c r="F409" s="0" t="n">
        <v>9.35660660673863</v>
      </c>
      <c r="G409" s="0" t="n">
        <v>0.315394242803504</v>
      </c>
      <c r="H409" s="0" t="n">
        <v>0.718397997496871</v>
      </c>
      <c r="I409" s="0" t="n">
        <v>0.256624825662483</v>
      </c>
      <c r="J409" s="0" t="n">
        <v>0.464841861252647</v>
      </c>
      <c r="K409" s="0" t="n">
        <v>0.667715717403612</v>
      </c>
      <c r="L409" s="1" t="b">
        <f aca="false">FALSE()</f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11.686161069886</v>
      </c>
      <c r="S409" s="0" t="n">
        <v>1.60170848905499</v>
      </c>
      <c r="T409" s="0" t="n">
        <v>0.106780565937001</v>
      </c>
      <c r="U409" s="0" t="n">
        <v>0.587168758716876</v>
      </c>
      <c r="V409" s="0" t="n">
        <v>0.158995815899582</v>
      </c>
      <c r="W409" s="0" t="n">
        <v>0.0237099023709902</v>
      </c>
      <c r="X409" s="0" t="n">
        <v>0.257354458300865</v>
      </c>
      <c r="Y409" s="0" t="n">
        <v>9.35660660673863</v>
      </c>
      <c r="Z409" s="0" t="n">
        <v>0.464841861252647</v>
      </c>
      <c r="AA409" s="0" t="n">
        <v>0</v>
      </c>
    </row>
    <row r="410" customFormat="false" ht="15" hidden="false" customHeight="false" outlineLevel="0" collapsed="false">
      <c r="A410" s="0" t="s">
        <v>444</v>
      </c>
      <c r="B410" s="0" t="s">
        <v>3013</v>
      </c>
      <c r="C410" s="0" t="s">
        <v>3033</v>
      </c>
      <c r="D410" s="0" t="n">
        <v>12.7504831038865</v>
      </c>
      <c r="E410" s="0" t="n">
        <v>0.208080255935251</v>
      </c>
      <c r="F410" s="0" t="n">
        <v>5.55110595313541</v>
      </c>
      <c r="G410" s="0" t="n">
        <v>0.11639549436796</v>
      </c>
      <c r="H410" s="0" t="n">
        <v>0.207759699624531</v>
      </c>
      <c r="I410" s="0" t="n">
        <v>0.522082752208275</v>
      </c>
      <c r="J410" s="0" t="n">
        <v>0.234078628038651</v>
      </c>
      <c r="K410" s="0" t="n">
        <v>0.667715717403612</v>
      </c>
      <c r="L410" s="1" t="b">
        <f aca="false">FALSE()</f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10.1309548360475</v>
      </c>
      <c r="S410" s="0" t="n">
        <v>4.84996510816468</v>
      </c>
      <c r="T410" s="0" t="n">
        <v>0.209351011863232</v>
      </c>
      <c r="U410" s="0" t="n">
        <v>0.514644351464435</v>
      </c>
      <c r="V410" s="0" t="n">
        <v>0.682008368200837</v>
      </c>
      <c r="W410" s="0" t="n">
        <v>0.369595536959554</v>
      </c>
      <c r="X410" s="0" t="n">
        <v>0.208080255935251</v>
      </c>
      <c r="Y410" s="0" t="n">
        <v>5.55110595313541</v>
      </c>
      <c r="Z410" s="0" t="n">
        <v>0.234078628038651</v>
      </c>
      <c r="AA410" s="0" t="n">
        <v>2.77555756156289E-017</v>
      </c>
    </row>
    <row r="411" customFormat="false" ht="15" hidden="false" customHeight="false" outlineLevel="0" collapsed="false">
      <c r="A411" s="0" t="s">
        <v>445</v>
      </c>
      <c r="B411" s="0" t="s">
        <v>3013</v>
      </c>
      <c r="C411" s="0" t="s">
        <v>3033</v>
      </c>
      <c r="D411" s="0" t="n">
        <v>24.3008873112913</v>
      </c>
      <c r="E411" s="0" t="n">
        <v>0.237957342664754</v>
      </c>
      <c r="F411" s="0" t="n">
        <v>6.56138105867423</v>
      </c>
      <c r="G411" s="0" t="n">
        <v>0.212765957446809</v>
      </c>
      <c r="H411" s="0" t="n">
        <v>0.355444305381727</v>
      </c>
      <c r="I411" s="0" t="n">
        <v>0.246397024639703</v>
      </c>
      <c r="J411" s="0" t="n">
        <v>0.276563510059355</v>
      </c>
      <c r="K411" s="0" t="n">
        <v>0.667715717403612</v>
      </c>
      <c r="L411" s="1" t="b">
        <f aca="false">FALSE()</f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5.7327804499303</v>
      </c>
      <c r="S411" s="0" t="n">
        <v>2.50887573964496</v>
      </c>
      <c r="T411" s="0" t="n">
        <v>0.165680473372778</v>
      </c>
      <c r="U411" s="0" t="n">
        <v>0.195258019525802</v>
      </c>
      <c r="V411" s="0" t="n">
        <v>0.390516039051604</v>
      </c>
      <c r="W411" s="0" t="n">
        <v>0.153417015341702</v>
      </c>
      <c r="X411" s="0" t="n">
        <v>0.237957342664754</v>
      </c>
      <c r="Y411" s="0" t="n">
        <v>6.56138105867423</v>
      </c>
      <c r="Z411" s="0" t="n">
        <v>0.276563510059355</v>
      </c>
      <c r="AA411" s="0" t="n">
        <v>-5.55111512312578E-017</v>
      </c>
    </row>
    <row r="412" customFormat="false" ht="15" hidden="false" customHeight="false" outlineLevel="0" collapsed="false">
      <c r="A412" s="0" t="s">
        <v>446</v>
      </c>
      <c r="B412" s="0" t="s">
        <v>3013</v>
      </c>
      <c r="C412" s="0" t="s">
        <v>3033</v>
      </c>
      <c r="D412" s="0" t="n">
        <v>26.6897137206334</v>
      </c>
      <c r="E412" s="0" t="n">
        <v>0.28446374372824</v>
      </c>
      <c r="F412" s="0" t="n">
        <v>8.73456028010419</v>
      </c>
      <c r="G412" s="0" t="n">
        <v>0.484355444305382</v>
      </c>
      <c r="H412" s="0" t="n">
        <v>0.638297872340426</v>
      </c>
      <c r="I412" s="0" t="n">
        <v>0.294281729428173</v>
      </c>
      <c r="J412" s="0" t="n">
        <v>0.507917672543958</v>
      </c>
      <c r="K412" s="0" t="n">
        <v>0.667715717403612</v>
      </c>
      <c r="L412" s="1" t="b">
        <f aca="false">FALSE()</f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5.30998960759177</v>
      </c>
      <c r="S412" s="0" t="n">
        <v>4.26368309646206</v>
      </c>
      <c r="T412" s="0" t="n">
        <v>0.151194436044762</v>
      </c>
      <c r="U412" s="0" t="n">
        <v>0.149232914923292</v>
      </c>
      <c r="V412" s="0" t="n">
        <v>0.622036262203626</v>
      </c>
      <c r="W412" s="0" t="n">
        <v>0.111576011157601</v>
      </c>
      <c r="X412" s="0" t="n">
        <v>0.28446374372824</v>
      </c>
      <c r="Y412" s="0" t="n">
        <v>8.73456028010419</v>
      </c>
      <c r="Z412" s="0" t="n">
        <v>0.507917672543958</v>
      </c>
      <c r="AA412" s="0" t="n">
        <v>0</v>
      </c>
    </row>
    <row r="413" customFormat="false" ht="15" hidden="false" customHeight="false" outlineLevel="0" collapsed="false">
      <c r="A413" s="0" t="s">
        <v>447</v>
      </c>
      <c r="B413" s="0" t="s">
        <v>3013</v>
      </c>
      <c r="C413" s="0" t="s">
        <v>3036</v>
      </c>
      <c r="D413" s="0" t="n">
        <v>16.6839981861722</v>
      </c>
      <c r="E413" s="0" t="n">
        <v>0.290887478107059</v>
      </c>
      <c r="F413" s="0" t="n">
        <v>5.75844352554129</v>
      </c>
      <c r="G413" s="0" t="n">
        <v>0.528160200250313</v>
      </c>
      <c r="H413" s="0" t="n">
        <v>0.234042553191489</v>
      </c>
      <c r="I413" s="0" t="n">
        <v>0.285913528591353</v>
      </c>
      <c r="J413" s="0" t="n">
        <v>0.362063807094992</v>
      </c>
      <c r="K413" s="0" t="n">
        <v>0.667715717403612</v>
      </c>
      <c r="L413" s="1" t="b">
        <f aca="false">FALSE()</f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3.47570180000687</v>
      </c>
      <c r="S413" s="0" t="n">
        <v>2.03288490284006</v>
      </c>
      <c r="T413" s="0" t="n">
        <v>0.239162929745884</v>
      </c>
      <c r="U413" s="0" t="n">
        <v>0.0418410041841004</v>
      </c>
      <c r="V413" s="0" t="n">
        <v>0.278940027894003</v>
      </c>
      <c r="W413" s="0" t="n">
        <v>0.536959553695955</v>
      </c>
      <c r="X413" s="0" t="n">
        <v>0.290887478107059</v>
      </c>
      <c r="Y413" s="0" t="n">
        <v>5.75844352554129</v>
      </c>
      <c r="Z413" s="0" t="n">
        <v>0.362063807094992</v>
      </c>
      <c r="AA413" s="0" t="n">
        <v>0</v>
      </c>
    </row>
    <row r="414" customFormat="false" ht="15" hidden="false" customHeight="false" outlineLevel="0" collapsed="false">
      <c r="A414" s="0" t="s">
        <v>448</v>
      </c>
      <c r="B414" s="0" t="s">
        <v>3013</v>
      </c>
      <c r="C414" s="0" t="s">
        <v>3036</v>
      </c>
      <c r="D414" s="0" t="n">
        <v>26.0186340939317</v>
      </c>
      <c r="E414" s="0" t="n">
        <v>0.240707619361803</v>
      </c>
      <c r="F414" s="0" t="n">
        <v>4.65124179915812</v>
      </c>
      <c r="G414" s="0" t="n">
        <v>0.230287859824781</v>
      </c>
      <c r="H414" s="0" t="n">
        <v>0.097622027534418</v>
      </c>
      <c r="I414" s="0" t="n">
        <v>0.280799628079963</v>
      </c>
      <c r="J414" s="0" t="n">
        <v>0.187323880559672</v>
      </c>
      <c r="K414" s="0" t="n">
        <v>0.667715717403612</v>
      </c>
      <c r="L414" s="1" t="b">
        <f aca="false">FALSE()</f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5.51766925513934</v>
      </c>
      <c r="S414" s="0" t="n">
        <v>1.29427792915532</v>
      </c>
      <c r="T414" s="0" t="n">
        <v>0.249772933696638</v>
      </c>
      <c r="U414" s="0" t="n">
        <v>0.170153417015342</v>
      </c>
      <c r="V414" s="0" t="n">
        <v>0.0864714086471409</v>
      </c>
      <c r="W414" s="0" t="n">
        <v>0.585774058577406</v>
      </c>
      <c r="X414" s="0" t="n">
        <v>0.240707619361803</v>
      </c>
      <c r="Y414" s="0" t="n">
        <v>4.65124179915812</v>
      </c>
      <c r="Z414" s="0" t="n">
        <v>0.187323880559672</v>
      </c>
      <c r="AA414" s="0" t="n">
        <v>-2.77555756156289E-017</v>
      </c>
    </row>
    <row r="415" customFormat="false" ht="15" hidden="false" customHeight="false" outlineLevel="0" collapsed="false">
      <c r="A415" s="0" t="s">
        <v>449</v>
      </c>
      <c r="B415" s="0" t="s">
        <v>3013</v>
      </c>
      <c r="C415" s="0" t="s">
        <v>3037</v>
      </c>
      <c r="D415" s="0" t="n">
        <v>20.3055056868342</v>
      </c>
      <c r="E415" s="0" t="n">
        <v>0.272799658907127</v>
      </c>
      <c r="F415" s="0" t="n">
        <v>6.26590655633532</v>
      </c>
      <c r="G415" s="0" t="n">
        <v>0.408010012515645</v>
      </c>
      <c r="H415" s="0" t="n">
        <v>0.306633291614518</v>
      </c>
      <c r="I415" s="0" t="n">
        <v>0.165504416550442</v>
      </c>
      <c r="J415" s="0" t="n">
        <v>0.318958204962153</v>
      </c>
      <c r="K415" s="0" t="n">
        <v>0.667715717403612</v>
      </c>
      <c r="L415" s="1" t="b">
        <f aca="false">FALSE()</f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4.57831447202822</v>
      </c>
      <c r="S415" s="0" t="n">
        <v>1.0387811634349</v>
      </c>
      <c r="T415" s="0" t="n">
        <v>0.207756232686984</v>
      </c>
      <c r="U415" s="0" t="n">
        <v>0.104602510460251</v>
      </c>
      <c r="V415" s="0" t="n">
        <v>0.0306834030683403</v>
      </c>
      <c r="W415" s="0" t="n">
        <v>0.361227336122734</v>
      </c>
      <c r="X415" s="0" t="n">
        <v>0.272799658907127</v>
      </c>
      <c r="Y415" s="0" t="n">
        <v>6.26590655633532</v>
      </c>
      <c r="Z415" s="0" t="n">
        <v>0.318958204962153</v>
      </c>
      <c r="AA415" s="0" t="n">
        <v>5.55111512312578E-017</v>
      </c>
    </row>
    <row r="416" customFormat="false" ht="15" hidden="false" customHeight="false" outlineLevel="0" collapsed="false">
      <c r="A416" s="0" t="s">
        <v>450</v>
      </c>
      <c r="B416" s="0" t="s">
        <v>3013</v>
      </c>
      <c r="C416" s="0" t="s">
        <v>3034</v>
      </c>
      <c r="D416" s="0" t="n">
        <v>4.4025439655117</v>
      </c>
      <c r="E416" s="0" t="n">
        <v>0.380653913086575</v>
      </c>
      <c r="F416" s="0" t="n">
        <v>11.0240913135415</v>
      </c>
      <c r="G416" s="0" t="n">
        <v>0.899874843554443</v>
      </c>
      <c r="H416" s="0" t="n">
        <v>0.881101376720901</v>
      </c>
      <c r="I416" s="0" t="n">
        <v>0.401673640167364</v>
      </c>
      <c r="J416" s="0" t="n">
        <v>0.792725216143611</v>
      </c>
      <c r="K416" s="0" t="n">
        <v>0.667715717403612</v>
      </c>
      <c r="L416" s="1" t="b">
        <f aca="false">TRUE()</f>
        <v>1</v>
      </c>
      <c r="M416" s="0" t="s">
        <v>3035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5.31985636387892</v>
      </c>
      <c r="S416" s="0" t="n">
        <v>3.7022900763359</v>
      </c>
      <c r="T416" s="0" t="n">
        <v>0.229007633587795</v>
      </c>
      <c r="U416" s="0" t="n">
        <v>0.152022315202232</v>
      </c>
      <c r="V416" s="0" t="n">
        <v>0.557880055788006</v>
      </c>
      <c r="W416" s="0" t="n">
        <v>0.495118549511855</v>
      </c>
      <c r="X416" s="0" t="n">
        <v>0.380653913086575</v>
      </c>
      <c r="Y416" s="0" t="n">
        <v>11.0240913135415</v>
      </c>
      <c r="Z416" s="0" t="n">
        <v>0.792725216143611</v>
      </c>
      <c r="AA416" s="0" t="n">
        <v>0</v>
      </c>
    </row>
    <row r="417" customFormat="false" ht="15" hidden="false" customHeight="false" outlineLevel="0" collapsed="false">
      <c r="A417" s="0" t="s">
        <v>451</v>
      </c>
      <c r="B417" s="0" t="s">
        <v>33</v>
      </c>
      <c r="C417" s="0" t="s">
        <v>33</v>
      </c>
      <c r="D417" s="0" t="n">
        <v>9.96427612811733</v>
      </c>
      <c r="E417" s="0" t="n">
        <v>0.342754676864237</v>
      </c>
      <c r="F417" s="0" t="n">
        <v>9.75827320290238</v>
      </c>
      <c r="G417" s="0" t="n">
        <v>0.793491864831039</v>
      </c>
      <c r="H417" s="0" t="n">
        <v>0.760951188986233</v>
      </c>
      <c r="I417" s="0" t="n">
        <v>0.5</v>
      </c>
      <c r="J417" s="0" t="n">
        <v>0.721777221526909</v>
      </c>
      <c r="K417" s="0" t="n">
        <v>0.667715717403612</v>
      </c>
      <c r="L417" s="1" t="b">
        <f aca="false">TRUE()</f>
        <v>1</v>
      </c>
      <c r="M417" s="0" t="s">
        <v>3035</v>
      </c>
      <c r="N417" s="0" t="n">
        <v>0</v>
      </c>
      <c r="O417" s="0" t="n">
        <v>0</v>
      </c>
      <c r="P417" s="0" t="n">
        <v>0</v>
      </c>
      <c r="Q417" s="0" t="n">
        <v>0</v>
      </c>
      <c r="U417" s="0" t="n">
        <v>0.5</v>
      </c>
      <c r="V417" s="0" t="n">
        <v>0.5</v>
      </c>
      <c r="W417" s="0" t="n">
        <v>0.5</v>
      </c>
      <c r="X417" s="0" t="n">
        <v>0.342754676864237</v>
      </c>
      <c r="Y417" s="0" t="n">
        <v>9.75827320290238</v>
      </c>
      <c r="Z417" s="0" t="n">
        <v>0.721777221526909</v>
      </c>
      <c r="AA417" s="0" t="n">
        <v>0</v>
      </c>
    </row>
    <row r="418" customFormat="false" ht="15" hidden="false" customHeight="false" outlineLevel="0" collapsed="false">
      <c r="A418" s="0" t="s">
        <v>452</v>
      </c>
      <c r="B418" s="0" t="s">
        <v>3013</v>
      </c>
      <c r="C418" s="0" t="s">
        <v>3033</v>
      </c>
      <c r="D418" s="0" t="n">
        <v>13.5442955812356</v>
      </c>
      <c r="E418" s="0" t="n">
        <v>0.266602232383416</v>
      </c>
      <c r="F418" s="0" t="n">
        <v>5.5022498343502</v>
      </c>
      <c r="G418" s="0" t="n">
        <v>0.375469336670839</v>
      </c>
      <c r="H418" s="0" t="n">
        <v>0.200250312891114</v>
      </c>
      <c r="I418" s="0" t="n">
        <v>0.0860065086006509</v>
      </c>
      <c r="J418" s="0" t="n">
        <v>0.247489161544911</v>
      </c>
      <c r="K418" s="0" t="n">
        <v>0.667715717403612</v>
      </c>
      <c r="L418" s="1" t="b">
        <f aca="false">FALSE()</f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2.9061763896097</v>
      </c>
      <c r="S418" s="0" t="n">
        <v>1.11888111888112</v>
      </c>
      <c r="T418" s="0" t="n">
        <v>0.174825174825175</v>
      </c>
      <c r="U418" s="0" t="n">
        <v>0.0223152022315202</v>
      </c>
      <c r="V418" s="0" t="n">
        <v>0.0474198047419805</v>
      </c>
      <c r="W418" s="0" t="n">
        <v>0.188284518828452</v>
      </c>
      <c r="X418" s="0" t="n">
        <v>0.266602232383416</v>
      </c>
      <c r="Y418" s="0" t="n">
        <v>5.5022498343502</v>
      </c>
      <c r="Z418" s="0" t="n">
        <v>0.247489161544911</v>
      </c>
      <c r="AA418" s="0" t="n">
        <v>-2.77555756156289E-017</v>
      </c>
    </row>
    <row r="419" customFormat="false" ht="15" hidden="false" customHeight="false" outlineLevel="0" collapsed="false">
      <c r="A419" s="0" t="s">
        <v>453</v>
      </c>
      <c r="B419" s="0" t="s">
        <v>3013</v>
      </c>
      <c r="C419" s="0" t="s">
        <v>3038</v>
      </c>
      <c r="D419" s="0" t="n">
        <v>10.6118178603059</v>
      </c>
      <c r="E419" s="0" t="n">
        <v>0.239395221347863</v>
      </c>
      <c r="F419" s="0" t="n">
        <v>7.59699669089542</v>
      </c>
      <c r="G419" s="0" t="n">
        <v>0.221526908635795</v>
      </c>
      <c r="H419" s="0" t="n">
        <v>0.498122653316646</v>
      </c>
      <c r="I419" s="0" t="n">
        <v>0.835890283589028</v>
      </c>
      <c r="J419" s="0" t="n">
        <v>0.455037881498782</v>
      </c>
      <c r="K419" s="0" t="n">
        <v>0.667715717403612</v>
      </c>
      <c r="L419" s="1" t="b">
        <f aca="false">FALSE()</f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22.6861527704415</v>
      </c>
      <c r="S419" s="0" t="n">
        <v>15.1682571572074</v>
      </c>
      <c r="T419" s="0" t="n">
        <v>0.301356102461072</v>
      </c>
      <c r="U419" s="0" t="n">
        <v>0.829846582984658</v>
      </c>
      <c r="V419" s="0" t="n">
        <v>0.930264993026499</v>
      </c>
      <c r="W419" s="0" t="n">
        <v>0.747559274755927</v>
      </c>
      <c r="X419" s="0" t="n">
        <v>0.239395221347863</v>
      </c>
      <c r="Y419" s="0" t="n">
        <v>7.59699669089542</v>
      </c>
      <c r="Z419" s="0" t="n">
        <v>0.455037881498782</v>
      </c>
      <c r="AA419" s="0" t="n">
        <v>0</v>
      </c>
    </row>
    <row r="420" customFormat="false" ht="15" hidden="false" customHeight="false" outlineLevel="0" collapsed="false">
      <c r="A420" s="0" t="s">
        <v>454</v>
      </c>
      <c r="B420" s="0" t="s">
        <v>3013</v>
      </c>
      <c r="C420" s="0" t="s">
        <v>3036</v>
      </c>
      <c r="D420" s="0" t="n">
        <v>-8.18465714103412</v>
      </c>
      <c r="E420" s="0" t="n">
        <v>0.377436018864152</v>
      </c>
      <c r="F420" s="0" t="n">
        <v>10.5361491938571</v>
      </c>
      <c r="G420" s="0" t="n">
        <v>0.893617021276596</v>
      </c>
      <c r="H420" s="0" t="n">
        <v>0.844806007509387</v>
      </c>
      <c r="I420" s="0" t="n">
        <v>0.215713621571362</v>
      </c>
      <c r="J420" s="0" t="n">
        <v>0.738511935828666</v>
      </c>
      <c r="K420" s="0" t="n">
        <v>0.667715717403612</v>
      </c>
      <c r="L420" s="1" t="b">
        <f aca="false">TRUE()</f>
        <v>1</v>
      </c>
      <c r="M420" s="0" t="s">
        <v>3035</v>
      </c>
      <c r="N420" s="0" t="n">
        <v>0</v>
      </c>
      <c r="O420" s="0" t="n">
        <v>0</v>
      </c>
      <c r="P420" s="0" t="n">
        <v>1</v>
      </c>
      <c r="Q420" s="0" t="n">
        <v>8.18465714103412</v>
      </c>
      <c r="R420" s="0" t="n">
        <v>3.62032814252245</v>
      </c>
      <c r="S420" s="0" t="n">
        <v>1.08958837772398</v>
      </c>
      <c r="T420" s="0" t="n">
        <v>0.24213075060533</v>
      </c>
      <c r="U420" s="0" t="n">
        <v>0.0488145048814505</v>
      </c>
      <c r="V420" s="0" t="n">
        <v>0.0418410041841004</v>
      </c>
      <c r="W420" s="0" t="n">
        <v>0.556485355648536</v>
      </c>
      <c r="X420" s="0" t="n">
        <v>0.377436018864152</v>
      </c>
      <c r="Y420" s="0" t="n">
        <v>10.5361491938571</v>
      </c>
      <c r="Z420" s="0" t="n">
        <v>0.738511935828666</v>
      </c>
      <c r="AA420" s="0" t="n">
        <v>0</v>
      </c>
    </row>
    <row r="421" customFormat="false" ht="15" hidden="false" customHeight="false" outlineLevel="0" collapsed="false">
      <c r="A421" s="0" t="s">
        <v>455</v>
      </c>
      <c r="B421" s="0" t="s">
        <v>3013</v>
      </c>
      <c r="C421" s="0" t="s">
        <v>3033</v>
      </c>
      <c r="D421" s="0" t="n">
        <v>-36.6532798797749</v>
      </c>
      <c r="E421" s="0" t="n">
        <v>0.317081242808148</v>
      </c>
      <c r="F421" s="0" t="n">
        <v>10.4601249719337</v>
      </c>
      <c r="G421" s="0" t="n">
        <v>0.653316645807259</v>
      </c>
      <c r="H421" s="0" t="n">
        <v>0.834793491864831</v>
      </c>
      <c r="I421" s="0" t="n">
        <v>0.222222222222222</v>
      </c>
      <c r="J421" s="0" t="n">
        <v>0.63968849951328</v>
      </c>
      <c r="K421" s="0" t="n">
        <v>0.667715717403612</v>
      </c>
      <c r="L421" s="1" t="b">
        <f aca="false">FALSE()</f>
        <v>0</v>
      </c>
      <c r="N421" s="0" t="n">
        <v>8.18465714103422</v>
      </c>
      <c r="O421" s="0" t="n">
        <v>1</v>
      </c>
      <c r="P421" s="0" t="n">
        <v>1</v>
      </c>
      <c r="Q421" s="0" t="n">
        <v>36.6532798797749</v>
      </c>
      <c r="R421" s="0" t="n">
        <v>4.45872565137104</v>
      </c>
      <c r="S421" s="0" t="n">
        <v>3.40479192938208</v>
      </c>
      <c r="T421" s="0" t="n">
        <v>0.126103404791922</v>
      </c>
      <c r="U421" s="0" t="n">
        <v>0.094839609483961</v>
      </c>
      <c r="V421" s="0" t="n">
        <v>0.517433751743375</v>
      </c>
      <c r="W421" s="0" t="n">
        <v>0.0543933054393306</v>
      </c>
      <c r="X421" s="0" t="n">
        <v>0.317081242808148</v>
      </c>
      <c r="Y421" s="0" t="n">
        <v>10.4601249719337</v>
      </c>
      <c r="Z421" s="0" t="n">
        <v>0.63968849951328</v>
      </c>
      <c r="AA421" s="0" t="n">
        <v>0</v>
      </c>
    </row>
    <row r="422" customFormat="false" ht="15" hidden="false" customHeight="false" outlineLevel="0" collapsed="false">
      <c r="A422" s="0" t="s">
        <v>456</v>
      </c>
      <c r="B422" s="0" t="s">
        <v>3013</v>
      </c>
      <c r="C422" s="0" t="s">
        <v>3036</v>
      </c>
      <c r="D422" s="0" t="n">
        <v>19.0153868444513</v>
      </c>
      <c r="E422" s="0" t="n">
        <v>0.358394767486388</v>
      </c>
      <c r="F422" s="0" t="n">
        <v>7.96864919411493</v>
      </c>
      <c r="G422" s="0" t="n">
        <v>0.843554443053817</v>
      </c>
      <c r="H422" s="0" t="n">
        <v>0.539424280350438</v>
      </c>
      <c r="I422" s="0" t="n">
        <v>0.260344026034403</v>
      </c>
      <c r="J422" s="0" t="n">
        <v>0.605260294568583</v>
      </c>
      <c r="K422" s="0" t="n">
        <v>0.667715717403612</v>
      </c>
      <c r="L422" s="1" t="b">
        <f aca="false">FALSE()</f>
        <v>0</v>
      </c>
      <c r="N422" s="0" t="n">
        <v>44.8379370208095</v>
      </c>
      <c r="O422" s="0" t="n">
        <v>2</v>
      </c>
      <c r="P422" s="0" t="n">
        <v>0</v>
      </c>
      <c r="Q422" s="0" t="n">
        <v>0</v>
      </c>
      <c r="R422" s="0" t="n">
        <v>4.0921908597799</v>
      </c>
      <c r="S422" s="0" t="n">
        <v>0.863398088189951</v>
      </c>
      <c r="T422" s="0" t="n">
        <v>0.277520814061056</v>
      </c>
      <c r="U422" s="0" t="n">
        <v>0.0781032078103208</v>
      </c>
      <c r="V422" s="0" t="n">
        <v>0.0139470013947001</v>
      </c>
      <c r="W422" s="0" t="n">
        <v>0.688981868898187</v>
      </c>
      <c r="X422" s="0" t="n">
        <v>0.358394767486388</v>
      </c>
      <c r="Y422" s="0" t="n">
        <v>7.96864919411493</v>
      </c>
      <c r="Z422" s="0" t="n">
        <v>0.605260294568583</v>
      </c>
      <c r="AA422" s="0" t="n">
        <v>0</v>
      </c>
    </row>
    <row r="423" customFormat="false" ht="15" hidden="false" customHeight="false" outlineLevel="0" collapsed="false">
      <c r="A423" s="0" t="s">
        <v>457</v>
      </c>
      <c r="B423" s="0" t="s">
        <v>3013</v>
      </c>
      <c r="C423" s="0" t="s">
        <v>3033</v>
      </c>
      <c r="D423" s="0" t="n">
        <v>1.23187161193052</v>
      </c>
      <c r="E423" s="0" t="n">
        <v>0.288016032753702</v>
      </c>
      <c r="F423" s="0" t="n">
        <v>6.16972761723288</v>
      </c>
      <c r="G423" s="0" t="n">
        <v>0.509386733416771</v>
      </c>
      <c r="H423" s="0" t="n">
        <v>0.287859824780976</v>
      </c>
      <c r="I423" s="0" t="n">
        <v>0.226406322640632</v>
      </c>
      <c r="J423" s="0" t="n">
        <v>0.364179887807225</v>
      </c>
      <c r="K423" s="0" t="n">
        <v>0.667715717403612</v>
      </c>
      <c r="L423" s="1" t="b">
        <f aca="false">FALSE()</f>
        <v>0</v>
      </c>
      <c r="N423" s="0" t="n">
        <v>25.8225501763582</v>
      </c>
      <c r="O423" s="0" t="n">
        <v>0</v>
      </c>
      <c r="P423" s="0" t="n">
        <v>0</v>
      </c>
      <c r="Q423" s="0" t="n">
        <v>0</v>
      </c>
      <c r="R423" s="0" t="n">
        <v>8.436802756701</v>
      </c>
      <c r="S423" s="0" t="n">
        <v>1.85082872928177</v>
      </c>
      <c r="T423" s="0" t="n">
        <v>0.110497237569055</v>
      </c>
      <c r="U423" s="0" t="n">
        <v>0.414225941422594</v>
      </c>
      <c r="V423" s="0" t="n">
        <v>0.232914923291492</v>
      </c>
      <c r="W423" s="0" t="n">
        <v>0.0320781032078103</v>
      </c>
      <c r="X423" s="0" t="n">
        <v>0.288016032753702</v>
      </c>
      <c r="Y423" s="0" t="n">
        <v>6.16972761723288</v>
      </c>
      <c r="Z423" s="0" t="n">
        <v>0.364179887807225</v>
      </c>
      <c r="AA423" s="0" t="n">
        <v>0</v>
      </c>
    </row>
    <row r="424" customFormat="false" ht="15" hidden="false" customHeight="false" outlineLevel="0" collapsed="false">
      <c r="A424" s="0" t="s">
        <v>458</v>
      </c>
      <c r="B424" s="0" t="s">
        <v>3013</v>
      </c>
      <c r="C424" s="0" t="s">
        <v>3033</v>
      </c>
      <c r="D424" s="0" t="n">
        <v>23.1404134749563</v>
      </c>
      <c r="E424" s="0" t="n">
        <v>0.227104224502225</v>
      </c>
      <c r="F424" s="0" t="n">
        <v>3.96460050116928</v>
      </c>
      <c r="G424" s="0" t="n">
        <v>0.1639549436796</v>
      </c>
      <c r="H424" s="0" t="n">
        <v>0.0500625782227785</v>
      </c>
      <c r="I424" s="0" t="n">
        <v>0.222222222222222</v>
      </c>
      <c r="J424" s="0" t="n">
        <v>0.130051453205396</v>
      </c>
      <c r="K424" s="0" t="n">
        <v>0.667715717403612</v>
      </c>
      <c r="L424" s="1" t="b">
        <f aca="false">FALSE()</f>
        <v>0</v>
      </c>
      <c r="N424" s="0" t="n">
        <v>24.5906785644274</v>
      </c>
      <c r="O424" s="0" t="n">
        <v>0</v>
      </c>
      <c r="P424" s="0" t="n">
        <v>0</v>
      </c>
      <c r="Q424" s="0" t="n">
        <v>0</v>
      </c>
      <c r="R424" s="0" t="n">
        <v>6.90927010673917</v>
      </c>
      <c r="S424" s="0" t="n">
        <v>1.73233695652173</v>
      </c>
      <c r="T424" s="0" t="n">
        <v>0.169836956521739</v>
      </c>
      <c r="U424" s="0" t="n">
        <v>0.305439330543933</v>
      </c>
      <c r="V424" s="0" t="n">
        <v>0.198047419804742</v>
      </c>
      <c r="W424" s="0" t="n">
        <v>0.163179916317992</v>
      </c>
      <c r="X424" s="0" t="n">
        <v>0.227104224502225</v>
      </c>
      <c r="Y424" s="0" t="n">
        <v>3.96460050116929</v>
      </c>
      <c r="Z424" s="0" t="n">
        <v>0.130051453205396</v>
      </c>
      <c r="AA424" s="0" t="n">
        <v>2.77555756156289E-017</v>
      </c>
    </row>
    <row r="425" customFormat="false" ht="15" hidden="false" customHeight="false" outlineLevel="0" collapsed="false">
      <c r="A425" s="0" t="s">
        <v>459</v>
      </c>
      <c r="B425" s="0" t="s">
        <v>3013</v>
      </c>
      <c r="C425" s="0" t="s">
        <v>3036</v>
      </c>
      <c r="D425" s="0" t="n">
        <v>-2.28774832672448</v>
      </c>
      <c r="E425" s="0" t="n">
        <v>0.265563552156951</v>
      </c>
      <c r="F425" s="0" t="n">
        <v>5.25173090771793</v>
      </c>
      <c r="G425" s="0" t="n">
        <v>0.3729662077597</v>
      </c>
      <c r="H425" s="0" t="n">
        <v>0.166458072590738</v>
      </c>
      <c r="I425" s="0" t="n">
        <v>0.195722919572292</v>
      </c>
      <c r="J425" s="0" t="n">
        <v>0.254914296054634</v>
      </c>
      <c r="K425" s="0" t="n">
        <v>0.667715717403612</v>
      </c>
      <c r="L425" s="1" t="b">
        <f aca="false">FALSE()</f>
        <v>0</v>
      </c>
      <c r="N425" s="0" t="n">
        <v>1.45026508947103</v>
      </c>
      <c r="O425" s="0" t="n">
        <v>0</v>
      </c>
      <c r="P425" s="0" t="n">
        <v>1</v>
      </c>
      <c r="Q425" s="0" t="n">
        <v>2.28774832672448</v>
      </c>
      <c r="R425" s="0" t="n">
        <v>2.67365516406369</v>
      </c>
      <c r="S425" s="0" t="n">
        <v>0.831889081455818</v>
      </c>
      <c r="T425" s="0" t="n">
        <v>0.242634315424611</v>
      </c>
      <c r="U425" s="0" t="n">
        <v>0.0181311018131102</v>
      </c>
      <c r="V425" s="0" t="n">
        <v>0.0111576011157601</v>
      </c>
      <c r="W425" s="0" t="n">
        <v>0.557880055788006</v>
      </c>
      <c r="X425" s="0" t="n">
        <v>0.265563552156951</v>
      </c>
      <c r="Y425" s="0" t="n">
        <v>5.25173090771793</v>
      </c>
      <c r="Z425" s="0" t="n">
        <v>0.254914296054634</v>
      </c>
      <c r="AA425" s="0" t="n">
        <v>0</v>
      </c>
    </row>
    <row r="426" customFormat="false" ht="15" hidden="false" customHeight="false" outlineLevel="0" collapsed="false">
      <c r="A426" s="0" t="s">
        <v>460</v>
      </c>
      <c r="B426" s="0" t="s">
        <v>3013</v>
      </c>
      <c r="C426" s="0" t="s">
        <v>3034</v>
      </c>
      <c r="D426" s="0" t="n">
        <v>24.6660338853639</v>
      </c>
      <c r="E426" s="0" t="n">
        <v>0.364155719834823</v>
      </c>
      <c r="F426" s="0" t="n">
        <v>10.9425936539216</v>
      </c>
      <c r="G426" s="0" t="n">
        <v>0.857321652065081</v>
      </c>
      <c r="H426" s="0" t="n">
        <v>0.876095118898623</v>
      </c>
      <c r="I426" s="0" t="n">
        <v>0.343096234309624</v>
      </c>
      <c r="J426" s="0" t="n">
        <v>0.761985955247407</v>
      </c>
      <c r="K426" s="0" t="n">
        <v>0.667715717403612</v>
      </c>
      <c r="L426" s="1" t="b">
        <f aca="false">TRUE()</f>
        <v>1</v>
      </c>
      <c r="M426" s="0" t="s">
        <v>3035</v>
      </c>
      <c r="N426" s="0" t="n">
        <v>3.73801341619583</v>
      </c>
      <c r="O426" s="0" t="n">
        <v>1</v>
      </c>
      <c r="P426" s="0" t="n">
        <v>0</v>
      </c>
      <c r="Q426" s="0" t="n">
        <v>0</v>
      </c>
      <c r="R426" s="0" t="n">
        <v>4.91988699476094</v>
      </c>
      <c r="S426" s="0" t="n">
        <v>2.36378205128205</v>
      </c>
      <c r="T426" s="0" t="n">
        <v>0.240384615384619</v>
      </c>
      <c r="U426" s="0" t="n">
        <v>0.126917712691771</v>
      </c>
      <c r="V426" s="0" t="n">
        <v>0.357043235704324</v>
      </c>
      <c r="W426" s="0" t="n">
        <v>0.545327754532776</v>
      </c>
      <c r="X426" s="0" t="n">
        <v>0.364155719834823</v>
      </c>
      <c r="Y426" s="0" t="n">
        <v>10.9425936539216</v>
      </c>
      <c r="Z426" s="0" t="n">
        <v>0.761985955247407</v>
      </c>
      <c r="AA426" s="0" t="n">
        <v>0</v>
      </c>
    </row>
    <row r="427" customFormat="false" ht="15" hidden="false" customHeight="false" outlineLevel="0" collapsed="false">
      <c r="A427" s="0" t="s">
        <v>461</v>
      </c>
      <c r="B427" s="0" t="s">
        <v>3013</v>
      </c>
      <c r="C427" s="0" t="s">
        <v>3034</v>
      </c>
      <c r="D427" s="0" t="n">
        <v>35.9180982257562</v>
      </c>
      <c r="E427" s="0" t="n">
        <v>0.425347395019835</v>
      </c>
      <c r="F427" s="0" t="n">
        <v>16.5882176002708</v>
      </c>
      <c r="G427" s="0" t="n">
        <v>0.968710888610764</v>
      </c>
      <c r="H427" s="0" t="n">
        <v>0.991239048811014</v>
      </c>
      <c r="I427" s="0" t="n">
        <v>0.500697350069735</v>
      </c>
      <c r="J427" s="0" t="n">
        <v>0.884119444982658</v>
      </c>
      <c r="K427" s="0" t="n">
        <v>0.667715717403612</v>
      </c>
      <c r="L427" s="1" t="b">
        <f aca="false">TRUE()</f>
        <v>1</v>
      </c>
      <c r="M427" s="0" t="s">
        <v>3035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9.67262489875238</v>
      </c>
      <c r="S427" s="0" t="n">
        <v>2.64150943396228</v>
      </c>
      <c r="T427" s="0" t="n">
        <v>0.251572327044029</v>
      </c>
      <c r="U427" s="0" t="n">
        <v>0.488145048814505</v>
      </c>
      <c r="V427" s="0" t="n">
        <v>0.415620641562064</v>
      </c>
      <c r="W427" s="0" t="n">
        <v>0.598326359832636</v>
      </c>
      <c r="X427" s="0" t="n">
        <v>0.425347395019835</v>
      </c>
      <c r="Y427" s="0" t="n">
        <v>16.5882176002708</v>
      </c>
      <c r="Z427" s="0" t="n">
        <v>0.884119444982658</v>
      </c>
      <c r="AA427" s="0" t="n">
        <v>0</v>
      </c>
    </row>
    <row r="428" customFormat="false" ht="15" hidden="false" customHeight="false" outlineLevel="0" collapsed="false">
      <c r="A428" s="0" t="s">
        <v>462</v>
      </c>
      <c r="B428" s="0" t="s">
        <v>3013</v>
      </c>
      <c r="C428" s="0" t="s">
        <v>3033</v>
      </c>
      <c r="D428" s="0" t="n">
        <v>-4.3516273205906</v>
      </c>
      <c r="E428" s="0" t="n">
        <v>0.276952255130954</v>
      </c>
      <c r="F428" s="0" t="n">
        <v>7.66437154594598</v>
      </c>
      <c r="G428" s="0" t="n">
        <v>0.444305381727159</v>
      </c>
      <c r="H428" s="0" t="n">
        <v>0.508135168961202</v>
      </c>
      <c r="I428" s="0" t="n">
        <v>0.554160855416086</v>
      </c>
      <c r="J428" s="0" t="n">
        <v>0.491808391358561</v>
      </c>
      <c r="K428" s="0" t="n">
        <v>0.667715717403612</v>
      </c>
      <c r="L428" s="1" t="b">
        <f aca="false">FALSE()</f>
        <v>0</v>
      </c>
      <c r="N428" s="0" t="n">
        <v>0</v>
      </c>
      <c r="O428" s="0" t="n">
        <v>0</v>
      </c>
      <c r="P428" s="0" t="n">
        <v>1</v>
      </c>
      <c r="Q428" s="0" t="n">
        <v>4.3516273205906</v>
      </c>
      <c r="R428" s="0" t="n">
        <v>12.5225590217668</v>
      </c>
      <c r="S428" s="0" t="n">
        <v>6.29882812499999</v>
      </c>
      <c r="T428" s="0" t="n">
        <v>0.195312500000003</v>
      </c>
      <c r="U428" s="0" t="n">
        <v>0.616457461645746</v>
      </c>
      <c r="V428" s="0" t="n">
        <v>0.755927475592748</v>
      </c>
      <c r="W428" s="0" t="n">
        <v>0.290097629009763</v>
      </c>
      <c r="X428" s="0" t="n">
        <v>0.276952255130954</v>
      </c>
      <c r="Y428" s="0" t="n">
        <v>7.66437154594598</v>
      </c>
      <c r="Z428" s="0" t="n">
        <v>0.491808391358561</v>
      </c>
      <c r="AA428" s="0" t="n">
        <v>5.55111512312578E-017</v>
      </c>
    </row>
    <row r="429" customFormat="false" ht="15" hidden="false" customHeight="false" outlineLevel="0" collapsed="false">
      <c r="A429" s="0" t="s">
        <v>463</v>
      </c>
      <c r="B429" s="0" t="s">
        <v>3013</v>
      </c>
      <c r="C429" s="0" t="s">
        <v>3033</v>
      </c>
      <c r="D429" s="0" t="n">
        <v>9.13542639183399</v>
      </c>
      <c r="E429" s="0" t="n">
        <v>0.264301477476436</v>
      </c>
      <c r="F429" s="0" t="n">
        <v>4.92735902325911</v>
      </c>
      <c r="G429" s="0" t="n">
        <v>0.361702127659575</v>
      </c>
      <c r="H429" s="0" t="n">
        <v>0.132665832290363</v>
      </c>
      <c r="I429" s="0" t="n">
        <v>0.315667131566713</v>
      </c>
      <c r="J429" s="0" t="n">
        <v>0.260880610293318</v>
      </c>
      <c r="K429" s="0" t="n">
        <v>0.667715717403612</v>
      </c>
      <c r="L429" s="1" t="b">
        <f aca="false">FALSE()</f>
        <v>0</v>
      </c>
      <c r="N429" s="0" t="n">
        <v>4.35162732059052</v>
      </c>
      <c r="O429" s="0" t="n">
        <v>1</v>
      </c>
      <c r="P429" s="0" t="n">
        <v>0</v>
      </c>
      <c r="Q429" s="0" t="n">
        <v>0</v>
      </c>
      <c r="R429" s="0" t="n">
        <v>1.92582245457627</v>
      </c>
      <c r="S429" s="0" t="n">
        <v>2.36051502145924</v>
      </c>
      <c r="T429" s="0" t="n">
        <v>0.250357653791131</v>
      </c>
      <c r="U429" s="0" t="n">
        <v>0.00418410041841004</v>
      </c>
      <c r="V429" s="0" t="n">
        <v>0.354253835425384</v>
      </c>
      <c r="W429" s="0" t="n">
        <v>0.588563458856346</v>
      </c>
      <c r="X429" s="0" t="n">
        <v>0.264301477476436</v>
      </c>
      <c r="Y429" s="0" t="n">
        <v>4.9273590232591</v>
      </c>
      <c r="Z429" s="0" t="n">
        <v>0.260880610293318</v>
      </c>
      <c r="AA429" s="0" t="n">
        <v>0</v>
      </c>
    </row>
    <row r="430" customFormat="false" ht="15" hidden="false" customHeight="false" outlineLevel="0" collapsed="false">
      <c r="A430" s="0" t="s">
        <v>464</v>
      </c>
      <c r="B430" s="0" t="s">
        <v>3013</v>
      </c>
      <c r="C430" s="0" t="s">
        <v>3036</v>
      </c>
      <c r="D430" s="0" t="n">
        <v>11.4124668731268</v>
      </c>
      <c r="E430" s="0" t="n">
        <v>0.325690720936886</v>
      </c>
      <c r="F430" s="0" t="n">
        <v>6.23598735415333</v>
      </c>
      <c r="G430" s="0" t="n">
        <v>0.708385481852315</v>
      </c>
      <c r="H430" s="0" t="n">
        <v>0.299123904881101</v>
      </c>
      <c r="I430" s="0" t="n">
        <v>0.182240818224082</v>
      </c>
      <c r="J430" s="0" t="n">
        <v>0.439451918338183</v>
      </c>
      <c r="K430" s="0" t="n">
        <v>0.667715717403612</v>
      </c>
      <c r="L430" s="1" t="b">
        <f aca="false">FALSE()</f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4.32694497441752</v>
      </c>
      <c r="S430" s="0" t="n">
        <v>1.61830357142856</v>
      </c>
      <c r="T430" s="0" t="n">
        <v>0.195312500000005</v>
      </c>
      <c r="U430" s="0" t="n">
        <v>0.0906555090655509</v>
      </c>
      <c r="V430" s="0" t="n">
        <v>0.164574616457462</v>
      </c>
      <c r="W430" s="0" t="n">
        <v>0.291492329149233</v>
      </c>
      <c r="X430" s="0" t="n">
        <v>0.325690720936886</v>
      </c>
      <c r="Y430" s="0" t="n">
        <v>6.23598735415333</v>
      </c>
      <c r="Z430" s="0" t="n">
        <v>0.439451918338183</v>
      </c>
      <c r="AA430" s="0" t="n">
        <v>5.55111512312578E-017</v>
      </c>
    </row>
    <row r="431" customFormat="false" ht="15" hidden="false" customHeight="false" outlineLevel="0" collapsed="false">
      <c r="A431" s="0" t="s">
        <v>465</v>
      </c>
      <c r="B431" s="0" t="s">
        <v>3013</v>
      </c>
      <c r="C431" s="0" t="s">
        <v>3033</v>
      </c>
      <c r="D431" s="0" t="n">
        <v>7.47863008659663</v>
      </c>
      <c r="E431" s="0" t="n">
        <v>0.252400404514882</v>
      </c>
      <c r="F431" s="0" t="n">
        <v>5.51168293378143</v>
      </c>
      <c r="G431" s="0" t="n">
        <v>0.282853566958698</v>
      </c>
      <c r="H431" s="0" t="n">
        <v>0.204005006257822</v>
      </c>
      <c r="I431" s="0" t="n">
        <v>0.240818224081822</v>
      </c>
      <c r="J431" s="0" t="n">
        <v>0.242907074102973</v>
      </c>
      <c r="K431" s="0" t="n">
        <v>0.667715717403612</v>
      </c>
      <c r="L431" s="1" t="b">
        <f aca="false">FALSE()</f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5.40962762044674</v>
      </c>
      <c r="S431" s="0" t="n">
        <v>2.55536626916525</v>
      </c>
      <c r="T431" s="0" t="n">
        <v>0.170357751277683</v>
      </c>
      <c r="U431" s="0" t="n">
        <v>0.160390516039052</v>
      </c>
      <c r="V431" s="0" t="n">
        <v>0.396094839609484</v>
      </c>
      <c r="W431" s="0" t="n">
        <v>0.165969316596932</v>
      </c>
      <c r="X431" s="0" t="n">
        <v>0.252400404514882</v>
      </c>
      <c r="Y431" s="0" t="n">
        <v>5.51168293378143</v>
      </c>
      <c r="Z431" s="0" t="n">
        <v>0.242907074102973</v>
      </c>
      <c r="AA431" s="0" t="n">
        <v>-2.77555756156289E-017</v>
      </c>
    </row>
    <row r="432" customFormat="false" ht="15" hidden="false" customHeight="false" outlineLevel="0" collapsed="false">
      <c r="A432" s="0" t="s">
        <v>466</v>
      </c>
      <c r="B432" s="0" t="s">
        <v>3013</v>
      </c>
      <c r="C432" s="0" t="s">
        <v>3034</v>
      </c>
      <c r="D432" s="0" t="n">
        <v>38.797589999866</v>
      </c>
      <c r="E432" s="0" t="n">
        <v>0.334279720177239</v>
      </c>
      <c r="F432" s="0" t="n">
        <v>9.55211232967749</v>
      </c>
      <c r="G432" s="0" t="n">
        <v>0.758448060075094</v>
      </c>
      <c r="H432" s="0" t="n">
        <v>0.729662077596996</v>
      </c>
      <c r="I432" s="0" t="n">
        <v>0.245467224546722</v>
      </c>
      <c r="J432" s="0" t="n">
        <v>0.644337499978181</v>
      </c>
      <c r="K432" s="0" t="n">
        <v>0.667715717403612</v>
      </c>
      <c r="L432" s="1" t="b">
        <f aca="false">FALSE()</f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4.53410293133388</v>
      </c>
      <c r="S432" s="0" t="n">
        <v>2.57123002084782</v>
      </c>
      <c r="T432" s="0" t="n">
        <v>0.185313875376421</v>
      </c>
      <c r="U432" s="0" t="n">
        <v>0.100418410041841</v>
      </c>
      <c r="V432" s="0" t="n">
        <v>0.401673640167364</v>
      </c>
      <c r="W432" s="0" t="n">
        <v>0.234309623430962</v>
      </c>
      <c r="X432" s="0" t="n">
        <v>0.334279720177239</v>
      </c>
      <c r="Y432" s="0" t="n">
        <v>9.55211232967749</v>
      </c>
      <c r="Z432" s="0" t="n">
        <v>0.644337499978181</v>
      </c>
      <c r="AA432" s="0" t="n">
        <v>0</v>
      </c>
    </row>
    <row r="433" customFormat="false" ht="15" hidden="false" customHeight="false" outlineLevel="0" collapsed="false">
      <c r="A433" s="0" t="s">
        <v>467</v>
      </c>
      <c r="B433" s="0" t="s">
        <v>3013</v>
      </c>
      <c r="C433" s="0" t="s">
        <v>3033</v>
      </c>
      <c r="D433" s="0" t="n">
        <v>24.9343105002747</v>
      </c>
      <c r="E433" s="0" t="n">
        <v>0.265914187106908</v>
      </c>
      <c r="F433" s="0" t="n">
        <v>8.84844897159389</v>
      </c>
      <c r="G433" s="0" t="n">
        <v>0.374217772215269</v>
      </c>
      <c r="H433" s="0" t="n">
        <v>0.659574468085106</v>
      </c>
      <c r="I433" s="0" t="n">
        <v>0.551371455137146</v>
      </c>
      <c r="J433" s="0" t="n">
        <v>0.523791187147579</v>
      </c>
      <c r="K433" s="0" t="n">
        <v>0.667715717403612</v>
      </c>
      <c r="L433" s="1" t="b">
        <f aca="false">FALSE()</f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6.3718284045143</v>
      </c>
      <c r="S433" s="0" t="n">
        <v>6.65804783451843</v>
      </c>
      <c r="T433" s="0" t="n">
        <v>0.258564964447321</v>
      </c>
      <c r="U433" s="0" t="n">
        <v>0.259414225941423</v>
      </c>
      <c r="V433" s="0" t="n">
        <v>0.772663877266388</v>
      </c>
      <c r="W433" s="0" t="n">
        <v>0.622036262203626</v>
      </c>
      <c r="X433" s="0" t="n">
        <v>0.265914187106908</v>
      </c>
      <c r="Y433" s="0" t="n">
        <v>8.84844897159389</v>
      </c>
      <c r="Z433" s="0" t="n">
        <v>0.523791187147579</v>
      </c>
      <c r="AA433" s="0" t="n">
        <v>0</v>
      </c>
    </row>
    <row r="434" customFormat="false" ht="15" hidden="false" customHeight="false" outlineLevel="0" collapsed="false">
      <c r="A434" s="0" t="s">
        <v>468</v>
      </c>
      <c r="B434" s="0" t="s">
        <v>33</v>
      </c>
      <c r="C434" s="0" t="s">
        <v>33</v>
      </c>
      <c r="D434" s="0" t="n">
        <v>31.5017705578763</v>
      </c>
      <c r="E434" s="0" t="n">
        <v>0.353803719552427</v>
      </c>
      <c r="F434" s="0" t="n">
        <v>10.1369181358093</v>
      </c>
      <c r="G434" s="0" t="n">
        <v>0.828535669586984</v>
      </c>
      <c r="H434" s="0" t="n">
        <v>0.803504380475595</v>
      </c>
      <c r="I434" s="0" t="n">
        <v>0.5</v>
      </c>
      <c r="J434" s="0" t="n">
        <v>0.752816020025031</v>
      </c>
      <c r="K434" s="0" t="n">
        <v>0.667715717403612</v>
      </c>
      <c r="L434" s="1" t="b">
        <f aca="false">TRUE()</f>
        <v>1</v>
      </c>
      <c r="M434" s="0" t="s">
        <v>3035</v>
      </c>
      <c r="N434" s="0" t="n">
        <v>0</v>
      </c>
      <c r="O434" s="0" t="n">
        <v>0</v>
      </c>
      <c r="P434" s="0" t="n">
        <v>0</v>
      </c>
      <c r="Q434" s="0" t="n">
        <v>0</v>
      </c>
      <c r="U434" s="0" t="n">
        <v>0.5</v>
      </c>
      <c r="V434" s="0" t="n">
        <v>0.5</v>
      </c>
      <c r="W434" s="0" t="n">
        <v>0.5</v>
      </c>
      <c r="X434" s="0" t="n">
        <v>0.353803719552427</v>
      </c>
      <c r="Y434" s="0" t="n">
        <v>10.1369181358093</v>
      </c>
      <c r="Z434" s="0" t="n">
        <v>0.752816020025031</v>
      </c>
      <c r="AA434" s="0" t="n">
        <v>0</v>
      </c>
    </row>
    <row r="435" customFormat="false" ht="15" hidden="false" customHeight="false" outlineLevel="0" collapsed="false">
      <c r="A435" s="0" t="s">
        <v>469</v>
      </c>
      <c r="B435" s="0" t="s">
        <v>3013</v>
      </c>
      <c r="C435" s="0" t="s">
        <v>3033</v>
      </c>
      <c r="D435" s="0" t="n">
        <v>-6.36630085213222</v>
      </c>
      <c r="E435" s="0" t="n">
        <v>0.248836596676249</v>
      </c>
      <c r="F435" s="0" t="n">
        <v>5.99737462798815</v>
      </c>
      <c r="G435" s="0" t="n">
        <v>0.257822277847309</v>
      </c>
      <c r="H435" s="0" t="n">
        <v>0.266583229036295</v>
      </c>
      <c r="I435" s="0" t="n">
        <v>0.146908414690842</v>
      </c>
      <c r="J435" s="0" t="n">
        <v>0.23914388569161</v>
      </c>
      <c r="K435" s="0" t="n">
        <v>0.667715717403612</v>
      </c>
      <c r="L435" s="1" t="b">
        <f aca="false">FALSE()</f>
        <v>0</v>
      </c>
      <c r="N435" s="0" t="n">
        <v>0</v>
      </c>
      <c r="O435" s="0" t="n">
        <v>0</v>
      </c>
      <c r="P435" s="0" t="n">
        <v>1</v>
      </c>
      <c r="Q435" s="0" t="n">
        <v>6.36630085213222</v>
      </c>
      <c r="R435" s="0" t="n">
        <v>5.08422228029607</v>
      </c>
      <c r="S435" s="0" t="n">
        <v>1.71699230313796</v>
      </c>
      <c r="T435" s="0" t="n">
        <v>0.148016577856728</v>
      </c>
      <c r="U435" s="0" t="n">
        <v>0.138075313807531</v>
      </c>
      <c r="V435" s="0" t="n">
        <v>0.196652719665272</v>
      </c>
      <c r="W435" s="0" t="n">
        <v>0.105997210599721</v>
      </c>
      <c r="X435" s="0" t="n">
        <v>0.248836596676249</v>
      </c>
      <c r="Y435" s="0" t="n">
        <v>5.99737462798815</v>
      </c>
      <c r="Z435" s="0" t="n">
        <v>0.23914388569161</v>
      </c>
      <c r="AA435" s="0" t="n">
        <v>0</v>
      </c>
    </row>
    <row r="436" customFormat="false" ht="15" hidden="false" customHeight="false" outlineLevel="0" collapsed="false">
      <c r="A436" s="0" t="s">
        <v>470</v>
      </c>
      <c r="B436" s="0" t="s">
        <v>3013</v>
      </c>
      <c r="C436" s="0" t="s">
        <v>3036</v>
      </c>
      <c r="D436" s="0" t="n">
        <v>23.9763678976217</v>
      </c>
      <c r="E436" s="0" t="n">
        <v>0.318149733998351</v>
      </c>
      <c r="F436" s="0" t="n">
        <v>6.2290223529227</v>
      </c>
      <c r="G436" s="0" t="n">
        <v>0.659574468085106</v>
      </c>
      <c r="H436" s="0" t="n">
        <v>0.297872340425532</v>
      </c>
      <c r="I436" s="0" t="n">
        <v>0.312877731287773</v>
      </c>
      <c r="J436" s="0" t="n">
        <v>0.44555426966181</v>
      </c>
      <c r="K436" s="0" t="n">
        <v>0.667715717403612</v>
      </c>
      <c r="L436" s="1" t="b">
        <f aca="false">FALSE()</f>
        <v>0</v>
      </c>
      <c r="N436" s="0" t="n">
        <v>6.36630085213255</v>
      </c>
      <c r="O436" s="0" t="n">
        <v>1</v>
      </c>
      <c r="P436" s="0" t="n">
        <v>0</v>
      </c>
      <c r="Q436" s="0" t="n">
        <v>0</v>
      </c>
      <c r="R436" s="0" t="n">
        <v>12.1031496173169</v>
      </c>
      <c r="S436" s="0" t="n">
        <v>1.38185168125289</v>
      </c>
      <c r="T436" s="0" t="n">
        <v>0.184246890833713</v>
      </c>
      <c r="U436" s="0" t="n">
        <v>0.605299860529986</v>
      </c>
      <c r="V436" s="0" t="n">
        <v>0.103207810320781</v>
      </c>
      <c r="W436" s="0" t="n">
        <v>0.230125523012552</v>
      </c>
      <c r="X436" s="0" t="n">
        <v>0.318149733998351</v>
      </c>
      <c r="Y436" s="0" t="n">
        <v>6.2290223529227</v>
      </c>
      <c r="Z436" s="0" t="n">
        <v>0.44555426966181</v>
      </c>
      <c r="AA436" s="0" t="n">
        <v>5.55111512312578E-017</v>
      </c>
    </row>
    <row r="437" customFormat="false" ht="15" hidden="false" customHeight="false" outlineLevel="0" collapsed="false">
      <c r="A437" s="0" t="s">
        <v>471</v>
      </c>
      <c r="B437" s="0" t="s">
        <v>3013</v>
      </c>
      <c r="C437" s="0" t="s">
        <v>3036</v>
      </c>
      <c r="D437" s="0" t="n">
        <v>27.9916113982347</v>
      </c>
      <c r="E437" s="0" t="n">
        <v>0.284595733177478</v>
      </c>
      <c r="F437" s="0" t="n">
        <v>5.04111958026812</v>
      </c>
      <c r="G437" s="0" t="n">
        <v>0.48811013767209</v>
      </c>
      <c r="H437" s="0" t="n">
        <v>0.13892365456821</v>
      </c>
      <c r="I437" s="0" t="n">
        <v>0.305439330543933</v>
      </c>
      <c r="J437" s="0" t="n">
        <v>0.311901383004907</v>
      </c>
      <c r="K437" s="0" t="n">
        <v>0.667715717403612</v>
      </c>
      <c r="L437" s="1" t="b">
        <f aca="false">FALSE()</f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5.46135623679915</v>
      </c>
      <c r="S437" s="0" t="n">
        <v>2.32744783306581</v>
      </c>
      <c r="T437" s="0" t="n">
        <v>0.214018191546284</v>
      </c>
      <c r="U437" s="0" t="n">
        <v>0.164574616457462</v>
      </c>
      <c r="V437" s="0" t="n">
        <v>0.347280334728034</v>
      </c>
      <c r="W437" s="0" t="n">
        <v>0.404463040446304</v>
      </c>
      <c r="X437" s="0" t="n">
        <v>0.284595733177478</v>
      </c>
      <c r="Y437" s="0" t="n">
        <v>5.04111958026812</v>
      </c>
      <c r="Z437" s="0" t="n">
        <v>0.311901383004907</v>
      </c>
      <c r="AA437" s="0" t="n">
        <v>0</v>
      </c>
    </row>
    <row r="438" customFormat="false" ht="15" hidden="false" customHeight="false" outlineLevel="0" collapsed="false">
      <c r="A438" s="0" t="s">
        <v>472</v>
      </c>
      <c r="B438" s="0" t="s">
        <v>33</v>
      </c>
      <c r="C438" s="0" t="s">
        <v>33</v>
      </c>
      <c r="D438" s="0" t="n">
        <v>-14.0132634613078</v>
      </c>
      <c r="E438" s="0" t="n">
        <v>0.369465056765736</v>
      </c>
      <c r="F438" s="0" t="n">
        <v>10.4795660824024</v>
      </c>
      <c r="G438" s="0" t="n">
        <v>0.872340425531915</v>
      </c>
      <c r="H438" s="0" t="n">
        <v>0.838548185231539</v>
      </c>
      <c r="I438" s="0" t="n">
        <v>0.5</v>
      </c>
      <c r="J438" s="0" t="n">
        <v>0.784355444305382</v>
      </c>
      <c r="K438" s="0" t="n">
        <v>0.667715717403612</v>
      </c>
      <c r="L438" s="1" t="b">
        <f aca="false">TRUE()</f>
        <v>1</v>
      </c>
      <c r="M438" s="0" t="s">
        <v>3035</v>
      </c>
      <c r="N438" s="0" t="n">
        <v>0</v>
      </c>
      <c r="O438" s="0" t="n">
        <v>0</v>
      </c>
      <c r="P438" s="0" t="n">
        <v>1</v>
      </c>
      <c r="Q438" s="0" t="n">
        <v>14.0132634613078</v>
      </c>
      <c r="U438" s="0" t="n">
        <v>0.5</v>
      </c>
      <c r="V438" s="0" t="n">
        <v>0.5</v>
      </c>
      <c r="W438" s="0" t="n">
        <v>0.5</v>
      </c>
      <c r="X438" s="0" t="n">
        <v>0.369465056765736</v>
      </c>
      <c r="Y438" s="0" t="n">
        <v>10.4795660824024</v>
      </c>
      <c r="Z438" s="0" t="n">
        <v>0.784355444305382</v>
      </c>
      <c r="AA438" s="0" t="n">
        <v>0</v>
      </c>
    </row>
    <row r="439" customFormat="false" ht="15" hidden="false" customHeight="false" outlineLevel="0" collapsed="false">
      <c r="A439" s="0" t="s">
        <v>473</v>
      </c>
      <c r="B439" s="0" t="s">
        <v>3013</v>
      </c>
      <c r="C439" s="0" t="s">
        <v>3038</v>
      </c>
      <c r="D439" s="0" t="n">
        <v>52.9589011973327</v>
      </c>
      <c r="E439" s="0" t="n">
        <v>0.271394913548013</v>
      </c>
      <c r="F439" s="0" t="n">
        <v>9.01297491843054</v>
      </c>
      <c r="G439" s="0" t="n">
        <v>0.397997496871089</v>
      </c>
      <c r="H439" s="0" t="n">
        <v>0.685857321652065</v>
      </c>
      <c r="I439" s="0" t="n">
        <v>0.807996280799628</v>
      </c>
      <c r="J439" s="0" t="n">
        <v>0.595141183569187</v>
      </c>
      <c r="K439" s="0" t="n">
        <v>0.667715717403612</v>
      </c>
      <c r="L439" s="1" t="b">
        <f aca="false">FALSE()</f>
        <v>0</v>
      </c>
      <c r="N439" s="0" t="n">
        <v>14.0132634613083</v>
      </c>
      <c r="O439" s="0" t="n">
        <v>1</v>
      </c>
      <c r="P439" s="0" t="n">
        <v>0</v>
      </c>
      <c r="Q439" s="0" t="n">
        <v>0</v>
      </c>
      <c r="R439" s="0" t="n">
        <v>17.2139221047018</v>
      </c>
      <c r="S439" s="0" t="n">
        <v>13.1294964028777</v>
      </c>
      <c r="T439" s="0" t="n">
        <v>0.314748201438857</v>
      </c>
      <c r="U439" s="0" t="n">
        <v>0.750348675034868</v>
      </c>
      <c r="V439" s="0" t="n">
        <v>0.910739191073919</v>
      </c>
      <c r="W439" s="0" t="n">
        <v>0.762900976290098</v>
      </c>
      <c r="X439" s="0" t="n">
        <v>0.271394913548013</v>
      </c>
      <c r="Y439" s="0" t="n">
        <v>9.01297491843054</v>
      </c>
      <c r="Z439" s="0" t="n">
        <v>0.595141183569187</v>
      </c>
      <c r="AA439" s="0" t="n">
        <v>0</v>
      </c>
    </row>
    <row r="440" customFormat="false" ht="15" hidden="false" customHeight="false" outlineLevel="0" collapsed="false">
      <c r="A440" s="0" t="s">
        <v>474</v>
      </c>
      <c r="B440" s="0" t="s">
        <v>3013</v>
      </c>
      <c r="C440" s="0" t="s">
        <v>3033</v>
      </c>
      <c r="D440" s="0" t="n">
        <v>30.0362226589083</v>
      </c>
      <c r="E440" s="0" t="n">
        <v>0.214103869579019</v>
      </c>
      <c r="F440" s="0" t="n">
        <v>5.76212463235348</v>
      </c>
      <c r="G440" s="0" t="n">
        <v>0.128911138923655</v>
      </c>
      <c r="H440" s="0" t="n">
        <v>0.235294117647059</v>
      </c>
      <c r="I440" s="0" t="n">
        <v>0.344026034402603</v>
      </c>
      <c r="J440" s="0" t="n">
        <v>0.214487309508806</v>
      </c>
      <c r="K440" s="0" t="n">
        <v>0.667715717403612</v>
      </c>
      <c r="L440" s="1" t="b">
        <f aca="false">FALSE()</f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7.90410301068236</v>
      </c>
      <c r="S440" s="0" t="n">
        <v>2.05161083506973</v>
      </c>
      <c r="T440" s="0" t="n">
        <v>0.20836672543677</v>
      </c>
      <c r="U440" s="0" t="n">
        <v>0.376569037656904</v>
      </c>
      <c r="V440" s="0" t="n">
        <v>0.288702928870293</v>
      </c>
      <c r="W440" s="0" t="n">
        <v>0.366806136680614</v>
      </c>
      <c r="X440" s="0" t="n">
        <v>0.214103869579019</v>
      </c>
      <c r="Y440" s="0" t="n">
        <v>5.76212463235347</v>
      </c>
      <c r="Z440" s="0" t="n">
        <v>0.214487309508806</v>
      </c>
      <c r="AA440" s="0" t="n">
        <v>2.77555756156289E-017</v>
      </c>
    </row>
    <row r="441" customFormat="false" ht="15" hidden="false" customHeight="false" outlineLevel="0" collapsed="false">
      <c r="A441" s="0" t="s">
        <v>475</v>
      </c>
      <c r="B441" s="0" t="s">
        <v>3013</v>
      </c>
      <c r="C441" s="0" t="s">
        <v>3034</v>
      </c>
      <c r="D441" s="0" t="n">
        <v>34.2927786208829</v>
      </c>
      <c r="E441" s="0" t="n">
        <v>0.275375693511715</v>
      </c>
      <c r="F441" s="0" t="n">
        <v>6.40341802536688</v>
      </c>
      <c r="G441" s="0" t="n">
        <v>0.428035043804756</v>
      </c>
      <c r="H441" s="0" t="n">
        <v>0.32665832290363</v>
      </c>
      <c r="I441" s="0" t="n">
        <v>0.53114830311483</v>
      </c>
      <c r="J441" s="0" t="n">
        <v>0.40810700730632</v>
      </c>
      <c r="K441" s="0" t="n">
        <v>0.667715717403612</v>
      </c>
      <c r="L441" s="1" t="b">
        <f aca="false">FALSE()</f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14.1609629454796</v>
      </c>
      <c r="S441" s="0" t="n">
        <v>4.74728389230043</v>
      </c>
      <c r="T441" s="0" t="n">
        <v>0.188946622579124</v>
      </c>
      <c r="U441" s="0" t="n">
        <v>0.680613668061367</v>
      </c>
      <c r="V441" s="0" t="n">
        <v>0.666666666666667</v>
      </c>
      <c r="W441" s="0" t="n">
        <v>0.246164574616458</v>
      </c>
      <c r="X441" s="0" t="n">
        <v>0.275375693511715</v>
      </c>
      <c r="Y441" s="0" t="n">
        <v>6.40341802536688</v>
      </c>
      <c r="Z441" s="0" t="n">
        <v>0.40810700730632</v>
      </c>
      <c r="AA441" s="0" t="n">
        <v>0</v>
      </c>
    </row>
    <row r="442" customFormat="false" ht="15" hidden="false" customHeight="false" outlineLevel="0" collapsed="false">
      <c r="A442" s="0" t="s">
        <v>476</v>
      </c>
      <c r="B442" s="0" t="s">
        <v>3013</v>
      </c>
      <c r="C442" s="0" t="s">
        <v>3033</v>
      </c>
      <c r="D442" s="0" t="n">
        <v>23.5661830658093</v>
      </c>
      <c r="E442" s="0" t="n">
        <v>0.301029749618446</v>
      </c>
      <c r="F442" s="0" t="n">
        <v>7.8284376805361</v>
      </c>
      <c r="G442" s="0" t="n">
        <v>0.573216520650814</v>
      </c>
      <c r="H442" s="0" t="n">
        <v>0.521902377972466</v>
      </c>
      <c r="I442" s="0" t="n">
        <v>0.219897721989772</v>
      </c>
      <c r="J442" s="0" t="n">
        <v>0.482027103847266</v>
      </c>
      <c r="K442" s="0" t="n">
        <v>0.667715717403612</v>
      </c>
      <c r="L442" s="1" t="b">
        <f aca="false">FALSE()</f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2.10511705376111</v>
      </c>
      <c r="S442" s="0" t="n">
        <v>2.69277845777232</v>
      </c>
      <c r="T442" s="0" t="n">
        <v>0.183598531211749</v>
      </c>
      <c r="U442" s="0" t="n">
        <v>0.00697350069735007</v>
      </c>
      <c r="V442" s="0" t="n">
        <v>0.423988842398884</v>
      </c>
      <c r="W442" s="0" t="n">
        <v>0.228730822873082</v>
      </c>
      <c r="X442" s="0" t="n">
        <v>0.301029749618446</v>
      </c>
      <c r="Y442" s="0" t="n">
        <v>7.8284376805361</v>
      </c>
      <c r="Z442" s="0" t="n">
        <v>0.482027103847266</v>
      </c>
      <c r="AA442" s="0" t="n">
        <v>-5.55111512312578E-017</v>
      </c>
    </row>
    <row r="443" customFormat="false" ht="15" hidden="false" customHeight="false" outlineLevel="0" collapsed="false">
      <c r="A443" s="0" t="s">
        <v>477</v>
      </c>
      <c r="B443" s="0" t="s">
        <v>33</v>
      </c>
      <c r="C443" s="0" t="s">
        <v>33</v>
      </c>
      <c r="D443" s="0" t="n">
        <v>40.6030734995189</v>
      </c>
      <c r="E443" s="0" t="n">
        <v>0.328228295292845</v>
      </c>
      <c r="F443" s="0" t="n">
        <v>9.44504006428393</v>
      </c>
      <c r="G443" s="0" t="n">
        <v>0.725907384230288</v>
      </c>
      <c r="H443" s="0" t="n">
        <v>0.72215269086358</v>
      </c>
      <c r="I443" s="0" t="n">
        <v>0.5</v>
      </c>
      <c r="J443" s="0" t="n">
        <v>0.679224030037547</v>
      </c>
      <c r="K443" s="0" t="n">
        <v>0.667715717403612</v>
      </c>
      <c r="L443" s="1" t="b">
        <f aca="false">TRUE()</f>
        <v>1</v>
      </c>
      <c r="M443" s="0" t="s">
        <v>3035</v>
      </c>
      <c r="N443" s="0" t="n">
        <v>0</v>
      </c>
      <c r="O443" s="0" t="n">
        <v>0</v>
      </c>
      <c r="P443" s="0" t="n">
        <v>0</v>
      </c>
      <c r="Q443" s="0" t="n">
        <v>0</v>
      </c>
      <c r="U443" s="0" t="n">
        <v>0.5</v>
      </c>
      <c r="V443" s="0" t="n">
        <v>0.5</v>
      </c>
      <c r="W443" s="0" t="n">
        <v>0.5</v>
      </c>
      <c r="X443" s="0" t="n">
        <v>0.328228295292845</v>
      </c>
      <c r="Y443" s="0" t="n">
        <v>9.44504006428393</v>
      </c>
      <c r="Z443" s="0" t="n">
        <v>0.679224030037547</v>
      </c>
      <c r="AA443" s="0" t="n">
        <v>0</v>
      </c>
    </row>
    <row r="444" customFormat="false" ht="15" hidden="false" customHeight="false" outlineLevel="0" collapsed="false">
      <c r="A444" s="0" t="s">
        <v>478</v>
      </c>
      <c r="B444" s="0" t="s">
        <v>3013</v>
      </c>
      <c r="C444" s="0" t="s">
        <v>3036</v>
      </c>
      <c r="D444" s="0" t="n">
        <v>-37.2755429764786</v>
      </c>
      <c r="E444" s="0" t="n">
        <v>0.324444643914791</v>
      </c>
      <c r="F444" s="0" t="n">
        <v>5.71667705704258</v>
      </c>
      <c r="G444" s="0" t="n">
        <v>0.702127659574468</v>
      </c>
      <c r="H444" s="0" t="n">
        <v>0.229036295369212</v>
      </c>
      <c r="I444" s="0" t="n">
        <v>0.175267317526732</v>
      </c>
      <c r="J444" s="0" t="n">
        <v>0.407519045482818</v>
      </c>
      <c r="K444" s="0" t="n">
        <v>0.667715717403612</v>
      </c>
      <c r="L444" s="1" t="b">
        <f aca="false">FALSE()</f>
        <v>0</v>
      </c>
      <c r="N444" s="0" t="n">
        <v>0</v>
      </c>
      <c r="O444" s="0" t="n">
        <v>0</v>
      </c>
      <c r="P444" s="0" t="n">
        <v>1</v>
      </c>
      <c r="Q444" s="0" t="n">
        <v>37.2755429764786</v>
      </c>
      <c r="R444" s="0" t="n">
        <v>3.3365855454512</v>
      </c>
      <c r="S444" s="0" t="n">
        <v>1.01384767556874</v>
      </c>
      <c r="T444" s="0" t="n">
        <v>0.222551928783384</v>
      </c>
      <c r="U444" s="0" t="n">
        <v>0.0376569037656904</v>
      </c>
      <c r="V444" s="0" t="n">
        <v>0.0292887029288703</v>
      </c>
      <c r="W444" s="0" t="n">
        <v>0.458856345885635</v>
      </c>
      <c r="X444" s="0" t="n">
        <v>0.324444643914791</v>
      </c>
      <c r="Y444" s="0" t="n">
        <v>5.71667705704258</v>
      </c>
      <c r="Z444" s="0" t="n">
        <v>0.407519045482818</v>
      </c>
      <c r="AA444" s="0" t="n">
        <v>0</v>
      </c>
    </row>
    <row r="445" customFormat="false" ht="15" hidden="false" customHeight="false" outlineLevel="0" collapsed="false">
      <c r="A445" s="0" t="s">
        <v>479</v>
      </c>
      <c r="B445" s="0" t="s">
        <v>3013</v>
      </c>
      <c r="C445" s="0" t="s">
        <v>3036</v>
      </c>
      <c r="D445" s="0" t="n">
        <v>-0.623897304040283</v>
      </c>
      <c r="E445" s="0" t="n">
        <v>0.314375239406303</v>
      </c>
      <c r="F445" s="0" t="n">
        <v>6.52039125605484</v>
      </c>
      <c r="G445" s="0" t="n">
        <v>0.639549436795995</v>
      </c>
      <c r="H445" s="0" t="n">
        <v>0.346683354192741</v>
      </c>
      <c r="I445" s="0" t="n">
        <v>0.135285913528591</v>
      </c>
      <c r="J445" s="0" t="n">
        <v>0.421550299101213</v>
      </c>
      <c r="K445" s="0" t="n">
        <v>0.667715717403612</v>
      </c>
      <c r="L445" s="1" t="b">
        <f aca="false">FALSE()</f>
        <v>0</v>
      </c>
      <c r="N445" s="0" t="n">
        <v>37.2755429764784</v>
      </c>
      <c r="O445" s="0" t="n">
        <v>1</v>
      </c>
      <c r="P445" s="0" t="n">
        <v>1</v>
      </c>
      <c r="Q445" s="0" t="n">
        <v>0.623897304040283</v>
      </c>
      <c r="R445" s="0" t="n">
        <v>2.85443760617183</v>
      </c>
      <c r="S445" s="0" t="n">
        <v>1.51515151515152</v>
      </c>
      <c r="T445" s="0" t="n">
        <v>0.189393939393938</v>
      </c>
      <c r="U445" s="0" t="n">
        <v>0.0209205020920502</v>
      </c>
      <c r="V445" s="0" t="n">
        <v>0.135285913528591</v>
      </c>
      <c r="W445" s="0" t="n">
        <v>0.249651324965133</v>
      </c>
      <c r="X445" s="0" t="n">
        <v>0.314375239406303</v>
      </c>
      <c r="Y445" s="0" t="n">
        <v>6.52039125605484</v>
      </c>
      <c r="Z445" s="0" t="n">
        <v>0.421550299101213</v>
      </c>
      <c r="AA445" s="0" t="n">
        <v>-5.55111512312578E-017</v>
      </c>
    </row>
    <row r="446" customFormat="false" ht="15" hidden="false" customHeight="false" outlineLevel="0" collapsed="false">
      <c r="A446" s="0" t="s">
        <v>480</v>
      </c>
      <c r="B446" s="0" t="s">
        <v>33</v>
      </c>
      <c r="C446" s="0" t="s">
        <v>33</v>
      </c>
      <c r="D446" s="0" t="n">
        <v>-3.57265984418983</v>
      </c>
      <c r="E446" s="0" t="n">
        <v>0.325574781828868</v>
      </c>
      <c r="F446" s="0" t="n">
        <v>8.91284477101664</v>
      </c>
      <c r="G446" s="0" t="n">
        <v>0.705882352941177</v>
      </c>
      <c r="H446" s="0" t="n">
        <v>0.667083854818523</v>
      </c>
      <c r="I446" s="0" t="n">
        <v>0.5</v>
      </c>
      <c r="J446" s="0" t="n">
        <v>0.64918648310388</v>
      </c>
      <c r="K446" s="0" t="n">
        <v>0.667715717403612</v>
      </c>
      <c r="L446" s="1" t="b">
        <f aca="false">FALSE()</f>
        <v>0</v>
      </c>
      <c r="N446" s="0" t="n">
        <v>37.8994402805183</v>
      </c>
      <c r="O446" s="0" t="n">
        <v>2</v>
      </c>
      <c r="P446" s="0" t="n">
        <v>1</v>
      </c>
      <c r="Q446" s="0" t="n">
        <v>3.57265984418983</v>
      </c>
      <c r="U446" s="0" t="n">
        <v>0.5</v>
      </c>
      <c r="V446" s="0" t="n">
        <v>0.5</v>
      </c>
      <c r="W446" s="0" t="n">
        <v>0.5</v>
      </c>
      <c r="X446" s="0" t="n">
        <v>0.325574781828868</v>
      </c>
      <c r="Y446" s="0" t="n">
        <v>8.91284477101664</v>
      </c>
      <c r="Z446" s="0" t="n">
        <v>0.64918648310388</v>
      </c>
      <c r="AA446" s="0" t="n">
        <v>0</v>
      </c>
    </row>
    <row r="447" customFormat="false" ht="15" hidden="false" customHeight="false" outlineLevel="0" collapsed="false">
      <c r="A447" s="0" t="s">
        <v>481</v>
      </c>
      <c r="B447" s="0" t="s">
        <v>3013</v>
      </c>
      <c r="C447" s="0" t="s">
        <v>3033</v>
      </c>
      <c r="D447" s="0" t="n">
        <v>13.3429247826733</v>
      </c>
      <c r="E447" s="0" t="n">
        <v>0.304359464931421</v>
      </c>
      <c r="F447" s="0" t="n">
        <v>9.46351310497262</v>
      </c>
      <c r="G447" s="0" t="n">
        <v>0.588235294117647</v>
      </c>
      <c r="H447" s="0" t="n">
        <v>0.725907384230288</v>
      </c>
      <c r="I447" s="0" t="n">
        <v>0.188749418874942</v>
      </c>
      <c r="J447" s="0" t="n">
        <v>0.563406955114162</v>
      </c>
      <c r="K447" s="0" t="n">
        <v>0.667715717403612</v>
      </c>
      <c r="L447" s="1" t="b">
        <f aca="false">FALSE()</f>
        <v>0</v>
      </c>
      <c r="N447" s="0" t="n">
        <v>41.4721001247081</v>
      </c>
      <c r="O447" s="0" t="n">
        <v>3</v>
      </c>
      <c r="P447" s="0" t="n">
        <v>0</v>
      </c>
      <c r="Q447" s="0" t="n">
        <v>0</v>
      </c>
      <c r="R447" s="0" t="n">
        <v>4.42469843978326</v>
      </c>
      <c r="S447" s="0" t="n">
        <v>1.47965474722566</v>
      </c>
      <c r="T447" s="0" t="n">
        <v>0.20550760378134</v>
      </c>
      <c r="U447" s="0" t="n">
        <v>0.0934449093444909</v>
      </c>
      <c r="V447" s="0" t="n">
        <v>0.131101813110181</v>
      </c>
      <c r="W447" s="0" t="n">
        <v>0.341701534170153</v>
      </c>
      <c r="X447" s="0" t="n">
        <v>0.304359464931421</v>
      </c>
      <c r="Y447" s="0" t="n">
        <v>9.46351310497262</v>
      </c>
      <c r="Z447" s="0" t="n">
        <v>0.563406955114162</v>
      </c>
      <c r="AA447" s="0" t="n">
        <v>0</v>
      </c>
    </row>
    <row r="448" customFormat="false" ht="15" hidden="false" customHeight="false" outlineLevel="0" collapsed="false">
      <c r="A448" s="0" t="s">
        <v>482</v>
      </c>
      <c r="B448" s="0" t="s">
        <v>3013</v>
      </c>
      <c r="C448" s="0" t="s">
        <v>3033</v>
      </c>
      <c r="D448" s="0" t="n">
        <v>10.7215400207084</v>
      </c>
      <c r="E448" s="0" t="n">
        <v>0.232470658390474</v>
      </c>
      <c r="F448" s="0" t="n">
        <v>3.7428762153852</v>
      </c>
      <c r="G448" s="0" t="n">
        <v>0.188986232790989</v>
      </c>
      <c r="H448" s="0" t="n">
        <v>0.0400500625782228</v>
      </c>
      <c r="I448" s="0" t="n">
        <v>0.241748024174802</v>
      </c>
      <c r="J448" s="0" t="n">
        <v>0.139964122982645</v>
      </c>
      <c r="K448" s="0" t="n">
        <v>0.667715717403612</v>
      </c>
      <c r="L448" s="1" t="b">
        <f aca="false">FALSE()</f>
        <v>0</v>
      </c>
      <c r="N448" s="0" t="n">
        <v>28.1291753420346</v>
      </c>
      <c r="O448" s="0" t="n">
        <v>0</v>
      </c>
      <c r="P448" s="0" t="n">
        <v>0</v>
      </c>
      <c r="Q448" s="0" t="n">
        <v>0</v>
      </c>
      <c r="R448" s="0" t="n">
        <v>3.17353813232912</v>
      </c>
      <c r="S448" s="0" t="n">
        <v>1.94647201946472</v>
      </c>
      <c r="T448" s="0" t="n">
        <v>0.218978102189782</v>
      </c>
      <c r="U448" s="0" t="n">
        <v>0.0334728033472803</v>
      </c>
      <c r="V448" s="0" t="n">
        <v>0.259414225941423</v>
      </c>
      <c r="W448" s="0" t="n">
        <v>0.432357043235704</v>
      </c>
      <c r="X448" s="0" t="n">
        <v>0.232470658390474</v>
      </c>
      <c r="Y448" s="0" t="n">
        <v>3.7428762153852</v>
      </c>
      <c r="Z448" s="0" t="n">
        <v>0.139964122982645</v>
      </c>
      <c r="AA448" s="0" t="n">
        <v>0</v>
      </c>
    </row>
    <row r="449" customFormat="false" ht="15" hidden="false" customHeight="false" outlineLevel="0" collapsed="false">
      <c r="A449" s="0" t="s">
        <v>483</v>
      </c>
      <c r="B449" s="0" t="s">
        <v>3013</v>
      </c>
      <c r="C449" s="0" t="s">
        <v>3038</v>
      </c>
      <c r="D449" s="0" t="n">
        <v>55.0252832730254</v>
      </c>
      <c r="E449" s="0" t="n">
        <v>0.130161065452334</v>
      </c>
      <c r="F449" s="0" t="n">
        <v>1.88461143841967</v>
      </c>
      <c r="G449" s="0" t="n">
        <v>0.00750938673341677</v>
      </c>
      <c r="H449" s="0" t="n">
        <v>0.00750938673341677</v>
      </c>
      <c r="I449" s="0" t="n">
        <v>0.925615992561599</v>
      </c>
      <c r="J449" s="0" t="n">
        <v>0.191130707899053</v>
      </c>
      <c r="K449" s="0" t="n">
        <v>0.667715717403612</v>
      </c>
      <c r="L449" s="1" t="b">
        <f aca="false">FALSE()</f>
        <v>0</v>
      </c>
      <c r="N449" s="0" t="n">
        <v>17.4076353213259</v>
      </c>
      <c r="O449" s="0" t="n">
        <v>0</v>
      </c>
      <c r="P449" s="0" t="n">
        <v>0</v>
      </c>
      <c r="Q449" s="0" t="n">
        <v>0</v>
      </c>
      <c r="R449" s="0" t="n">
        <v>59.2916104543486</v>
      </c>
      <c r="S449" s="0" t="n">
        <v>21.8714253031343</v>
      </c>
      <c r="T449" s="0" t="n">
        <v>0.343170899107756</v>
      </c>
      <c r="U449" s="0" t="n">
        <v>0.98884239888424</v>
      </c>
      <c r="V449" s="0" t="n">
        <v>0.96792189679219</v>
      </c>
      <c r="W449" s="0" t="n">
        <v>0.820083682008368</v>
      </c>
      <c r="X449" s="0" t="n">
        <v>0.130161065452334</v>
      </c>
      <c r="Y449" s="0" t="n">
        <v>1.88461143841967</v>
      </c>
      <c r="Z449" s="0" t="n">
        <v>0.191130707899053</v>
      </c>
      <c r="AA449" s="0" t="n">
        <v>-2.77555756156289E-017</v>
      </c>
    </row>
    <row r="450" customFormat="false" ht="15" hidden="false" customHeight="false" outlineLevel="0" collapsed="false">
      <c r="A450" s="0" t="s">
        <v>484</v>
      </c>
      <c r="B450" s="0" t="s">
        <v>33</v>
      </c>
      <c r="C450" s="0" t="s">
        <v>33</v>
      </c>
      <c r="D450" s="0" t="n">
        <v>49.0146117134064</v>
      </c>
      <c r="E450" s="0" t="n">
        <v>0.400705989079862</v>
      </c>
      <c r="F450" s="0" t="n">
        <v>12.601360796961</v>
      </c>
      <c r="G450" s="0" t="n">
        <v>0.946182728410513</v>
      </c>
      <c r="H450" s="0" t="n">
        <v>0.943679599499374</v>
      </c>
      <c r="I450" s="0" t="n">
        <v>0.5</v>
      </c>
      <c r="J450" s="0" t="n">
        <v>0.855944931163955</v>
      </c>
      <c r="K450" s="0" t="n">
        <v>0.667715717403612</v>
      </c>
      <c r="L450" s="1" t="b">
        <f aca="false">TRUE()</f>
        <v>1</v>
      </c>
      <c r="M450" s="0" t="s">
        <v>3035</v>
      </c>
      <c r="N450" s="0" t="n">
        <v>0</v>
      </c>
      <c r="O450" s="0" t="n">
        <v>0</v>
      </c>
      <c r="P450" s="0" t="n">
        <v>0</v>
      </c>
      <c r="Q450" s="0" t="n">
        <v>0</v>
      </c>
      <c r="U450" s="0" t="n">
        <v>0.5</v>
      </c>
      <c r="V450" s="0" t="n">
        <v>0.5</v>
      </c>
      <c r="W450" s="0" t="n">
        <v>0.5</v>
      </c>
      <c r="X450" s="0" t="n">
        <v>0.400705989079862</v>
      </c>
      <c r="Y450" s="0" t="n">
        <v>12.601360796961</v>
      </c>
      <c r="Z450" s="0" t="n">
        <v>0.855944931163955</v>
      </c>
      <c r="AA450" s="0" t="n">
        <v>0</v>
      </c>
    </row>
    <row r="451" customFormat="false" ht="15" hidden="false" customHeight="false" outlineLevel="0" collapsed="false">
      <c r="A451" s="0" t="s">
        <v>485</v>
      </c>
      <c r="B451" s="0" t="s">
        <v>3013</v>
      </c>
      <c r="C451" s="0" t="s">
        <v>3034</v>
      </c>
      <c r="D451" s="0" t="n">
        <v>17.2564358711784</v>
      </c>
      <c r="E451" s="0" t="n">
        <v>0.368088926687113</v>
      </c>
      <c r="F451" s="0" t="n">
        <v>12.9985983186528</v>
      </c>
      <c r="G451" s="0" t="n">
        <v>0.864831038798498</v>
      </c>
      <c r="H451" s="0" t="n">
        <v>0.951188986232791</v>
      </c>
      <c r="I451" s="0" t="n">
        <v>0.452347745234774</v>
      </c>
      <c r="J451" s="0" t="n">
        <v>0.816877559059471</v>
      </c>
      <c r="K451" s="0" t="n">
        <v>0.667715717403612</v>
      </c>
      <c r="L451" s="1" t="b">
        <f aca="false">TRUE()</f>
        <v>1</v>
      </c>
      <c r="M451" s="0" t="s">
        <v>3035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12.7869465613159</v>
      </c>
      <c r="S451" s="0" t="n">
        <v>3.78246142265714</v>
      </c>
      <c r="T451" s="0" t="n">
        <v>0.169363944298076</v>
      </c>
      <c r="U451" s="0" t="n">
        <v>0.627615062761506</v>
      </c>
      <c r="V451" s="0" t="n">
        <v>0.567642956764296</v>
      </c>
      <c r="W451" s="0" t="n">
        <v>0.161785216178522</v>
      </c>
      <c r="X451" s="0" t="n">
        <v>0.368088926687113</v>
      </c>
      <c r="Y451" s="0" t="n">
        <v>12.9985983186528</v>
      </c>
      <c r="Z451" s="0" t="n">
        <v>0.816877559059471</v>
      </c>
      <c r="AA451" s="0" t="n">
        <v>0</v>
      </c>
    </row>
    <row r="452" customFormat="false" ht="15" hidden="false" customHeight="false" outlineLevel="0" collapsed="false">
      <c r="A452" s="0" t="s">
        <v>486</v>
      </c>
      <c r="B452" s="0" t="s">
        <v>33</v>
      </c>
      <c r="C452" s="0" t="s">
        <v>33</v>
      </c>
      <c r="D452" s="0" t="n">
        <v>-37.1829439068722</v>
      </c>
      <c r="E452" s="0" t="n">
        <v>0.399567892882993</v>
      </c>
      <c r="F452" s="0" t="n">
        <v>13.0803967349551</v>
      </c>
      <c r="G452" s="0" t="n">
        <v>0.939924906132666</v>
      </c>
      <c r="H452" s="0" t="n">
        <v>0.954943679599499</v>
      </c>
      <c r="I452" s="0" t="n">
        <v>0.5</v>
      </c>
      <c r="J452" s="0" t="n">
        <v>0.857947434292866</v>
      </c>
      <c r="K452" s="0" t="n">
        <v>0.667715717403612</v>
      </c>
      <c r="L452" s="1" t="b">
        <f aca="false">TRUE()</f>
        <v>1</v>
      </c>
      <c r="M452" s="0" t="s">
        <v>3035</v>
      </c>
      <c r="N452" s="0" t="n">
        <v>0</v>
      </c>
      <c r="O452" s="0" t="n">
        <v>0</v>
      </c>
      <c r="P452" s="0" t="n">
        <v>1</v>
      </c>
      <c r="Q452" s="0" t="n">
        <v>37.1829439068722</v>
      </c>
      <c r="U452" s="0" t="n">
        <v>0.5</v>
      </c>
      <c r="V452" s="0" t="n">
        <v>0.5</v>
      </c>
      <c r="W452" s="0" t="n">
        <v>0.5</v>
      </c>
      <c r="X452" s="0" t="n">
        <v>0.399567892882993</v>
      </c>
      <c r="Y452" s="0" t="n">
        <v>13.0803967349551</v>
      </c>
      <c r="Z452" s="0" t="n">
        <v>0.857947434292866</v>
      </c>
      <c r="AA452" s="0" t="n">
        <v>0</v>
      </c>
    </row>
    <row r="453" customFormat="false" ht="15" hidden="false" customHeight="false" outlineLevel="0" collapsed="false">
      <c r="A453" s="0" t="s">
        <v>487</v>
      </c>
      <c r="B453" s="0" t="s">
        <v>3013</v>
      </c>
      <c r="C453" s="0" t="s">
        <v>3036</v>
      </c>
      <c r="D453" s="0" t="n">
        <v>14.1188839738033</v>
      </c>
      <c r="E453" s="0" t="n">
        <v>0.315851097055523</v>
      </c>
      <c r="F453" s="0" t="n">
        <v>7.45794849675412</v>
      </c>
      <c r="G453" s="0" t="n">
        <v>0.644555694618273</v>
      </c>
      <c r="H453" s="0" t="n">
        <v>0.475594493116396</v>
      </c>
      <c r="I453" s="0" t="n">
        <v>0.516968851696885</v>
      </c>
      <c r="J453" s="0" t="n">
        <v>0.551453845433244</v>
      </c>
      <c r="K453" s="0" t="n">
        <v>0.667715717403612</v>
      </c>
      <c r="L453" s="1" t="b">
        <f aca="false">FALSE()</f>
        <v>0</v>
      </c>
      <c r="N453" s="0" t="n">
        <v>37.1829439068724</v>
      </c>
      <c r="O453" s="0" t="n">
        <v>1</v>
      </c>
      <c r="P453" s="0" t="n">
        <v>0</v>
      </c>
      <c r="Q453" s="0" t="n">
        <v>0</v>
      </c>
      <c r="R453" s="0" t="n">
        <v>7.2348936587307</v>
      </c>
      <c r="S453" s="0" t="n">
        <v>3.37477797513322</v>
      </c>
      <c r="T453" s="0" t="n">
        <v>0.284191829484901</v>
      </c>
      <c r="U453" s="0" t="n">
        <v>0.330543933054393</v>
      </c>
      <c r="V453" s="0" t="n">
        <v>0.513249651324965</v>
      </c>
      <c r="W453" s="0" t="n">
        <v>0.707112970711297</v>
      </c>
      <c r="X453" s="0" t="n">
        <v>0.315851097055523</v>
      </c>
      <c r="Y453" s="0" t="n">
        <v>7.45794849675411</v>
      </c>
      <c r="Z453" s="0" t="n">
        <v>0.551453845433244</v>
      </c>
      <c r="AA453" s="0" t="n">
        <v>0</v>
      </c>
    </row>
    <row r="454" customFormat="false" ht="15" hidden="false" customHeight="false" outlineLevel="0" collapsed="false">
      <c r="A454" s="0" t="s">
        <v>488</v>
      </c>
      <c r="B454" s="0" t="s">
        <v>3013</v>
      </c>
      <c r="C454" s="0" t="s">
        <v>3033</v>
      </c>
      <c r="D454" s="0" t="n">
        <v>-37.4974640519967</v>
      </c>
      <c r="E454" s="0" t="n">
        <v>0.362819528596909</v>
      </c>
      <c r="F454" s="0" t="n">
        <v>10.9752648656736</v>
      </c>
      <c r="G454" s="0" t="n">
        <v>0.852315394242804</v>
      </c>
      <c r="H454" s="0" t="n">
        <v>0.878598247809762</v>
      </c>
      <c r="I454" s="0" t="n">
        <v>0.194793119479312</v>
      </c>
      <c r="J454" s="0" t="n">
        <v>0.731324080716889</v>
      </c>
      <c r="K454" s="0" t="n">
        <v>0.667715717403612</v>
      </c>
      <c r="L454" s="1" t="b">
        <f aca="false">TRUE()</f>
        <v>1</v>
      </c>
      <c r="M454" s="0" t="s">
        <v>3035</v>
      </c>
      <c r="N454" s="0" t="n">
        <v>23.0640599330691</v>
      </c>
      <c r="O454" s="0" t="n">
        <v>0</v>
      </c>
      <c r="P454" s="0" t="n">
        <v>1</v>
      </c>
      <c r="Q454" s="0" t="n">
        <v>37.4974640519967</v>
      </c>
      <c r="R454" s="0" t="n">
        <v>6.54538364768297</v>
      </c>
      <c r="S454" s="0" t="n">
        <v>1.9316909294513</v>
      </c>
      <c r="T454" s="0" t="n">
        <v>0.125979843225089</v>
      </c>
      <c r="U454" s="0" t="n">
        <v>0.276150627615063</v>
      </c>
      <c r="V454" s="0" t="n">
        <v>0.255230125523013</v>
      </c>
      <c r="W454" s="0" t="n">
        <v>0.0529986052998605</v>
      </c>
      <c r="X454" s="0" t="n">
        <v>0.362819528596909</v>
      </c>
      <c r="Y454" s="0" t="n">
        <v>10.9752648656736</v>
      </c>
      <c r="Z454" s="0" t="n">
        <v>0.731324080716889</v>
      </c>
      <c r="AA454" s="0" t="n">
        <v>0</v>
      </c>
    </row>
    <row r="455" customFormat="false" ht="15" hidden="false" customHeight="false" outlineLevel="0" collapsed="false">
      <c r="A455" s="0" t="s">
        <v>489</v>
      </c>
      <c r="B455" s="0" t="s">
        <v>3013</v>
      </c>
      <c r="C455" s="0" t="s">
        <v>3036</v>
      </c>
      <c r="D455" s="0" t="n">
        <v>21.5001478274114</v>
      </c>
      <c r="E455" s="0" t="n">
        <v>0.332938774736161</v>
      </c>
      <c r="F455" s="0" t="n">
        <v>8.52011950250534</v>
      </c>
      <c r="G455" s="0" t="n">
        <v>0.749687108886108</v>
      </c>
      <c r="H455" s="0" t="n">
        <v>0.608260325406759</v>
      </c>
      <c r="I455" s="0" t="n">
        <v>0.312877731287773</v>
      </c>
      <c r="J455" s="0" t="n">
        <v>0.605754519974701</v>
      </c>
      <c r="K455" s="0" t="n">
        <v>0.667715717403612</v>
      </c>
      <c r="L455" s="1" t="b">
        <f aca="false">FALSE()</f>
        <v>0</v>
      </c>
      <c r="N455" s="0" t="n">
        <v>60.5615239850658</v>
      </c>
      <c r="O455" s="0" t="n">
        <v>1</v>
      </c>
      <c r="P455" s="0" t="n">
        <v>0</v>
      </c>
      <c r="Q455" s="0" t="n">
        <v>0</v>
      </c>
      <c r="R455" s="0" t="n">
        <v>5.79355701501187</v>
      </c>
      <c r="S455" s="0" t="n">
        <v>1.78938105016134</v>
      </c>
      <c r="T455" s="0" t="n">
        <v>0.234672924611318</v>
      </c>
      <c r="U455" s="0" t="n">
        <v>0.206415620641562</v>
      </c>
      <c r="V455" s="0" t="n">
        <v>0.211994421199442</v>
      </c>
      <c r="W455" s="0" t="n">
        <v>0.520223152022315</v>
      </c>
      <c r="X455" s="0" t="n">
        <v>0.332938774736161</v>
      </c>
      <c r="Y455" s="0" t="n">
        <v>8.52011950250535</v>
      </c>
      <c r="Z455" s="0" t="n">
        <v>0.605754519974701</v>
      </c>
      <c r="AA455" s="0" t="n">
        <v>0</v>
      </c>
    </row>
    <row r="456" customFormat="false" ht="15" hidden="false" customHeight="false" outlineLevel="0" collapsed="false">
      <c r="A456" s="0" t="s">
        <v>490</v>
      </c>
      <c r="B456" s="0" t="s">
        <v>3013</v>
      </c>
      <c r="C456" s="0" t="s">
        <v>3038</v>
      </c>
      <c r="D456" s="0" t="n">
        <v>23.9971438598383</v>
      </c>
      <c r="E456" s="0" t="n">
        <v>0.310170035864447</v>
      </c>
      <c r="F456" s="0" t="n">
        <v>10.4413148019874</v>
      </c>
      <c r="G456" s="0" t="n">
        <v>0.618272841051314</v>
      </c>
      <c r="H456" s="0" t="n">
        <v>0.833541927409262</v>
      </c>
      <c r="I456" s="0" t="n">
        <v>0.786610878661088</v>
      </c>
      <c r="J456" s="0" t="n">
        <v>0.738048083116448</v>
      </c>
      <c r="K456" s="0" t="n">
        <v>0.667715717403612</v>
      </c>
      <c r="L456" s="1" t="b">
        <f aca="false">TRUE()</f>
        <v>1</v>
      </c>
      <c r="M456" s="0" t="s">
        <v>3035</v>
      </c>
      <c r="N456" s="0" t="n">
        <v>39.0613761576542</v>
      </c>
      <c r="O456" s="0" t="n">
        <v>0</v>
      </c>
      <c r="P456" s="0" t="n">
        <v>0</v>
      </c>
      <c r="Q456" s="0" t="n">
        <v>0</v>
      </c>
      <c r="R456" s="0" t="n">
        <v>25.5291248253291</v>
      </c>
      <c r="S456" s="0" t="n">
        <v>5.10305851063829</v>
      </c>
      <c r="T456" s="0" t="n">
        <v>0.332446808510638</v>
      </c>
      <c r="U456" s="0" t="n">
        <v>0.863319386331939</v>
      </c>
      <c r="V456" s="0" t="n">
        <v>0.694560669456067</v>
      </c>
      <c r="W456" s="0" t="n">
        <v>0.801952580195258</v>
      </c>
      <c r="X456" s="0" t="n">
        <v>0.310170035864447</v>
      </c>
      <c r="Y456" s="0" t="n">
        <v>10.4413148019874</v>
      </c>
      <c r="Z456" s="0" t="n">
        <v>0.738048083116448</v>
      </c>
      <c r="AA456" s="0" t="n">
        <v>0</v>
      </c>
    </row>
    <row r="457" customFormat="false" ht="15" hidden="false" customHeight="false" outlineLevel="0" collapsed="false">
      <c r="A457" s="0" t="s">
        <v>491</v>
      </c>
      <c r="B457" s="0" t="s">
        <v>3013</v>
      </c>
      <c r="C457" s="0" t="s">
        <v>3036</v>
      </c>
      <c r="D457" s="0" t="n">
        <v>33.1604373814139</v>
      </c>
      <c r="E457" s="0" t="n">
        <v>0.499726774034472</v>
      </c>
      <c r="F457" s="0" t="n">
        <v>14.0662991281078</v>
      </c>
      <c r="G457" s="0" t="n">
        <v>0.993742177722153</v>
      </c>
      <c r="H457" s="0" t="n">
        <v>0.973717146433041</v>
      </c>
      <c r="I457" s="0" t="n">
        <v>0.403068340306834</v>
      </c>
      <c r="J457" s="0" t="n">
        <v>0.867597397723445</v>
      </c>
      <c r="K457" s="0" t="n">
        <v>0.667715717403612</v>
      </c>
      <c r="L457" s="1" t="b">
        <f aca="false">TRUE()</f>
        <v>1</v>
      </c>
      <c r="M457" s="0" t="s">
        <v>3035</v>
      </c>
      <c r="N457" s="0" t="n">
        <v>15.0642322978156</v>
      </c>
      <c r="O457" s="0" t="n">
        <v>0</v>
      </c>
      <c r="P457" s="0" t="n">
        <v>0</v>
      </c>
      <c r="Q457" s="0" t="n">
        <v>0</v>
      </c>
      <c r="R457" s="0" t="n">
        <v>7.38773405998363</v>
      </c>
      <c r="S457" s="0" t="n">
        <v>2.74190343731372</v>
      </c>
      <c r="T457" s="0" t="n">
        <v>0.218557520365592</v>
      </c>
      <c r="U457" s="0" t="n">
        <v>0.348675034867504</v>
      </c>
      <c r="V457" s="0" t="n">
        <v>0.432357043235704</v>
      </c>
      <c r="W457" s="0" t="n">
        <v>0.428172942817294</v>
      </c>
      <c r="X457" s="0" t="n">
        <v>0.499726774034472</v>
      </c>
      <c r="Y457" s="0" t="n">
        <v>14.0662991281078</v>
      </c>
      <c r="Z457" s="0" t="n">
        <v>0.867597397723445</v>
      </c>
      <c r="AA457" s="0" t="n">
        <v>0</v>
      </c>
    </row>
    <row r="458" customFormat="false" ht="15" hidden="false" customHeight="false" outlineLevel="0" collapsed="false">
      <c r="A458" s="0" t="s">
        <v>492</v>
      </c>
      <c r="B458" s="0" t="s">
        <v>3013</v>
      </c>
      <c r="C458" s="0" t="s">
        <v>3036</v>
      </c>
      <c r="D458" s="0" t="n">
        <v>-8.60523287958135</v>
      </c>
      <c r="E458" s="0" t="n">
        <v>0.337755596447385</v>
      </c>
      <c r="F458" s="0" t="n">
        <v>6.67758570533173</v>
      </c>
      <c r="G458" s="0" t="n">
        <v>0.775969962453066</v>
      </c>
      <c r="H458" s="0" t="n">
        <v>0.376720901126408</v>
      </c>
      <c r="I458" s="0" t="n">
        <v>0.313342631334263</v>
      </c>
      <c r="J458" s="0" t="n">
        <v>0.523744871698642</v>
      </c>
      <c r="K458" s="0" t="n">
        <v>0.667715717403612</v>
      </c>
      <c r="L458" s="1" t="b">
        <f aca="false">FALSE()</f>
        <v>0</v>
      </c>
      <c r="N458" s="0" t="n">
        <v>0</v>
      </c>
      <c r="O458" s="0" t="n">
        <v>0</v>
      </c>
      <c r="P458" s="0" t="n">
        <v>1</v>
      </c>
      <c r="Q458" s="0" t="n">
        <v>8.60523287958135</v>
      </c>
      <c r="R458" s="0" t="n">
        <v>7.88914042670126</v>
      </c>
      <c r="S458" s="0" t="n">
        <v>3.01807617817946</v>
      </c>
      <c r="T458" s="0" t="n">
        <v>0.145255003227894</v>
      </c>
      <c r="U458" s="0" t="n">
        <v>0.375174337517434</v>
      </c>
      <c r="V458" s="0" t="n">
        <v>0.470013947001395</v>
      </c>
      <c r="W458" s="0" t="n">
        <v>0.094839609483961</v>
      </c>
      <c r="X458" s="0" t="n">
        <v>0.337755596447385</v>
      </c>
      <c r="Y458" s="0" t="n">
        <v>6.67758570533174</v>
      </c>
      <c r="Z458" s="0" t="n">
        <v>0.523744871698642</v>
      </c>
      <c r="AA458" s="0" t="n">
        <v>0</v>
      </c>
    </row>
    <row r="459" customFormat="false" ht="15" hidden="false" customHeight="false" outlineLevel="0" collapsed="false">
      <c r="A459" s="0" t="s">
        <v>493</v>
      </c>
      <c r="B459" s="0" t="s">
        <v>3013</v>
      </c>
      <c r="C459" s="0" t="s">
        <v>3036</v>
      </c>
      <c r="D459" s="0" t="n">
        <v>8.50971424838528</v>
      </c>
      <c r="E459" s="0" t="n">
        <v>0.299280094540984</v>
      </c>
      <c r="F459" s="0" t="n">
        <v>6.78893096550004</v>
      </c>
      <c r="G459" s="0" t="n">
        <v>0.563204005006258</v>
      </c>
      <c r="H459" s="0" t="n">
        <v>0.392991239048811</v>
      </c>
      <c r="I459" s="0" t="n">
        <v>0.311018131101813</v>
      </c>
      <c r="J459" s="0" t="n">
        <v>0.44468172384239</v>
      </c>
      <c r="K459" s="0" t="n">
        <v>0.667715717403612</v>
      </c>
      <c r="L459" s="1" t="b">
        <f aca="false">FALSE()</f>
        <v>0</v>
      </c>
      <c r="N459" s="0" t="n">
        <v>8.60523287958131</v>
      </c>
      <c r="O459" s="0" t="n">
        <v>1</v>
      </c>
      <c r="P459" s="0" t="n">
        <v>0</v>
      </c>
      <c r="Q459" s="0" t="n">
        <v>0</v>
      </c>
      <c r="R459" s="0" t="n">
        <v>7.44711171587004</v>
      </c>
      <c r="S459" s="0" t="n">
        <v>2.43553008595987</v>
      </c>
      <c r="T459" s="0" t="n">
        <v>0.179083094555874</v>
      </c>
      <c r="U459" s="0" t="n">
        <v>0.351464435146444</v>
      </c>
      <c r="V459" s="0" t="n">
        <v>0.375174337517434</v>
      </c>
      <c r="W459" s="0" t="n">
        <v>0.206415620641562</v>
      </c>
      <c r="X459" s="0" t="n">
        <v>0.299280094540984</v>
      </c>
      <c r="Y459" s="0" t="n">
        <v>6.78893096550004</v>
      </c>
      <c r="Z459" s="0" t="n">
        <v>0.44468172384239</v>
      </c>
      <c r="AA459" s="0" t="n">
        <v>0</v>
      </c>
    </row>
    <row r="460" customFormat="false" ht="15" hidden="false" customHeight="false" outlineLevel="0" collapsed="false">
      <c r="A460" s="0" t="s">
        <v>494</v>
      </c>
      <c r="B460" s="0" t="s">
        <v>3013</v>
      </c>
      <c r="C460" s="0" t="s">
        <v>3033</v>
      </c>
      <c r="D460" s="0" t="n">
        <v>18.442065821221</v>
      </c>
      <c r="E460" s="0" t="n">
        <v>0.313277787133216</v>
      </c>
      <c r="F460" s="0" t="n">
        <v>10.1982305977089</v>
      </c>
      <c r="G460" s="0" t="n">
        <v>0.633291614518148</v>
      </c>
      <c r="H460" s="0" t="n">
        <v>0.809762202753442</v>
      </c>
      <c r="I460" s="0" t="n">
        <v>0.238958623895862</v>
      </c>
      <c r="J460" s="0" t="n">
        <v>0.625013251687808</v>
      </c>
      <c r="K460" s="0" t="n">
        <v>0.667715717403612</v>
      </c>
      <c r="L460" s="1" t="b">
        <f aca="false">FALSE()</f>
        <v>0</v>
      </c>
      <c r="N460" s="0" t="n">
        <v>0.0955186311957732</v>
      </c>
      <c r="O460" s="0" t="n">
        <v>0</v>
      </c>
      <c r="P460" s="0" t="n">
        <v>0</v>
      </c>
      <c r="Q460" s="0" t="n">
        <v>0</v>
      </c>
      <c r="R460" s="0" t="n">
        <v>6.61987413170763</v>
      </c>
      <c r="S460" s="0" t="n">
        <v>1.68246445497631</v>
      </c>
      <c r="T460" s="0" t="n">
        <v>0.189573459715643</v>
      </c>
      <c r="U460" s="0" t="n">
        <v>0.284518828451883</v>
      </c>
      <c r="V460" s="0" t="n">
        <v>0.181311018131102</v>
      </c>
      <c r="W460" s="0" t="n">
        <v>0.251046025104603</v>
      </c>
      <c r="X460" s="0" t="n">
        <v>0.313277787133216</v>
      </c>
      <c r="Y460" s="0" t="n">
        <v>10.1982305977089</v>
      </c>
      <c r="Z460" s="0" t="n">
        <v>0.625013251687808</v>
      </c>
      <c r="AA460" s="0" t="n">
        <v>0</v>
      </c>
    </row>
    <row r="461" customFormat="false" ht="15" hidden="false" customHeight="false" outlineLevel="0" collapsed="false">
      <c r="A461" s="0" t="s">
        <v>495</v>
      </c>
      <c r="B461" s="0" t="s">
        <v>3013</v>
      </c>
      <c r="C461" s="0" t="s">
        <v>3036</v>
      </c>
      <c r="D461" s="0" t="n">
        <v>-41.2883061674766</v>
      </c>
      <c r="E461" s="0" t="n">
        <v>0.307830133890111</v>
      </c>
      <c r="F461" s="0" t="n">
        <v>7.4446255930583</v>
      </c>
      <c r="G461" s="0" t="n">
        <v>0.60575719649562</v>
      </c>
      <c r="H461" s="0" t="n">
        <v>0.473091364205257</v>
      </c>
      <c r="I461" s="0" t="n">
        <v>0.360762436076244</v>
      </c>
      <c r="J461" s="0" t="n">
        <v>0.503691911495599</v>
      </c>
      <c r="K461" s="0" t="n">
        <v>0.667715717403612</v>
      </c>
      <c r="L461" s="1" t="b">
        <f aca="false">FALSE()</f>
        <v>0</v>
      </c>
      <c r="N461" s="0" t="n">
        <v>0</v>
      </c>
      <c r="O461" s="0" t="n">
        <v>0</v>
      </c>
      <c r="P461" s="0" t="n">
        <v>1</v>
      </c>
      <c r="Q461" s="0" t="n">
        <v>41.2883061674766</v>
      </c>
      <c r="R461" s="0" t="n">
        <v>3.70404035813199</v>
      </c>
      <c r="S461" s="0" t="n">
        <v>2.00000000000001</v>
      </c>
      <c r="T461" s="0" t="n">
        <v>0.304347826086958</v>
      </c>
      <c r="U461" s="0" t="n">
        <v>0.0571827057182706</v>
      </c>
      <c r="V461" s="0" t="n">
        <v>0.269177126917713</v>
      </c>
      <c r="W461" s="0" t="n">
        <v>0.755927475592748</v>
      </c>
      <c r="X461" s="0" t="n">
        <v>0.307830133890111</v>
      </c>
      <c r="Y461" s="0" t="n">
        <v>7.4446255930583</v>
      </c>
      <c r="Z461" s="0" t="n">
        <v>0.503691911495599</v>
      </c>
      <c r="AA461" s="0" t="n">
        <v>0</v>
      </c>
    </row>
    <row r="462" customFormat="false" ht="15" hidden="false" customHeight="false" outlineLevel="0" collapsed="false">
      <c r="A462" s="0" t="s">
        <v>496</v>
      </c>
      <c r="B462" s="0" t="s">
        <v>3013</v>
      </c>
      <c r="C462" s="0" t="s">
        <v>3036</v>
      </c>
      <c r="D462" s="0" t="n">
        <v>32.7562383075123</v>
      </c>
      <c r="E462" s="0" t="n">
        <v>0.253888672101368</v>
      </c>
      <c r="F462" s="0" t="n">
        <v>5.67781830556573</v>
      </c>
      <c r="G462" s="0" t="n">
        <v>0.292866082603254</v>
      </c>
      <c r="H462" s="0" t="n">
        <v>0.224030037546934</v>
      </c>
      <c r="I462" s="0" t="n">
        <v>0.303114830311483</v>
      </c>
      <c r="J462" s="0" t="n">
        <v>0.267381414122372</v>
      </c>
      <c r="K462" s="0" t="n">
        <v>0.667715717403612</v>
      </c>
      <c r="L462" s="1" t="b">
        <f aca="false">FALSE()</f>
        <v>0</v>
      </c>
      <c r="N462" s="0" t="n">
        <v>41.2883061674766</v>
      </c>
      <c r="O462" s="0" t="n">
        <v>1</v>
      </c>
      <c r="P462" s="0" t="n">
        <v>0</v>
      </c>
      <c r="Q462" s="0" t="n">
        <v>0</v>
      </c>
      <c r="R462" s="0" t="n">
        <v>8.4261902569294</v>
      </c>
      <c r="S462" s="0" t="n">
        <v>1.7531556802244</v>
      </c>
      <c r="T462" s="0" t="n">
        <v>0.196353436185138</v>
      </c>
      <c r="U462" s="0" t="n">
        <v>0.410041841004184</v>
      </c>
      <c r="V462" s="0" t="n">
        <v>0.202231520223152</v>
      </c>
      <c r="W462" s="0" t="n">
        <v>0.297071129707113</v>
      </c>
      <c r="X462" s="0" t="n">
        <v>0.253888672101368</v>
      </c>
      <c r="Y462" s="0" t="n">
        <v>5.67781830556573</v>
      </c>
      <c r="Z462" s="0" t="n">
        <v>0.267381414122372</v>
      </c>
      <c r="AA462" s="0" t="n">
        <v>0</v>
      </c>
    </row>
    <row r="463" customFormat="false" ht="15" hidden="false" customHeight="false" outlineLevel="0" collapsed="false">
      <c r="A463" s="0" t="s">
        <v>497</v>
      </c>
      <c r="B463" s="0" t="s">
        <v>3013</v>
      </c>
      <c r="C463" s="0" t="s">
        <v>3036</v>
      </c>
      <c r="D463" s="0" t="n">
        <v>6.63082553950027</v>
      </c>
      <c r="E463" s="0" t="n">
        <v>0.312575050545572</v>
      </c>
      <c r="F463" s="0" t="n">
        <v>6.32873437875516</v>
      </c>
      <c r="G463" s="0" t="n">
        <v>0.6270337922403</v>
      </c>
      <c r="H463" s="0" t="n">
        <v>0.316645807259074</v>
      </c>
      <c r="I463" s="0" t="n">
        <v>0.252440725244073</v>
      </c>
      <c r="J463" s="0" t="n">
        <v>0.427959984848564</v>
      </c>
      <c r="K463" s="0" t="n">
        <v>0.667715717403612</v>
      </c>
      <c r="L463" s="1" t="b">
        <f aca="false">FALSE()</f>
        <v>0</v>
      </c>
      <c r="N463" s="0" t="n">
        <v>8.53206785996463</v>
      </c>
      <c r="O463" s="0" t="n">
        <v>0</v>
      </c>
      <c r="P463" s="0" t="n">
        <v>0</v>
      </c>
      <c r="Q463" s="0" t="n">
        <v>0</v>
      </c>
      <c r="R463" s="0" t="n">
        <v>7.15862591330211</v>
      </c>
      <c r="S463" s="0" t="n">
        <v>2.00921658986177</v>
      </c>
      <c r="T463" s="0" t="n">
        <v>0.165898617511527</v>
      </c>
      <c r="U463" s="0" t="n">
        <v>0.327754532775453</v>
      </c>
      <c r="V463" s="0" t="n">
        <v>0.271966527196653</v>
      </c>
      <c r="W463" s="0" t="n">
        <v>0.157601115760112</v>
      </c>
      <c r="X463" s="0" t="n">
        <v>0.312575050545572</v>
      </c>
      <c r="Y463" s="0" t="n">
        <v>6.32873437875517</v>
      </c>
      <c r="Z463" s="0" t="n">
        <v>0.427959984848564</v>
      </c>
      <c r="AA463" s="0" t="n">
        <v>5.55111512312578E-017</v>
      </c>
    </row>
    <row r="464" customFormat="false" ht="15" hidden="false" customHeight="false" outlineLevel="0" collapsed="false">
      <c r="A464" s="0" t="s">
        <v>498</v>
      </c>
      <c r="B464" s="0" t="s">
        <v>3013</v>
      </c>
      <c r="C464" s="0" t="s">
        <v>3033</v>
      </c>
      <c r="D464" s="0" t="n">
        <v>15.0277433188618</v>
      </c>
      <c r="E464" s="0" t="n">
        <v>0.276548495920778</v>
      </c>
      <c r="F464" s="0" t="n">
        <v>7.65052438789654</v>
      </c>
      <c r="G464" s="0" t="n">
        <v>0.439299123904881</v>
      </c>
      <c r="H464" s="0" t="n">
        <v>0.505632040050063</v>
      </c>
      <c r="I464" s="0" t="n">
        <v>0.514179451417945</v>
      </c>
      <c r="J464" s="0" t="n">
        <v>0.480808355865567</v>
      </c>
      <c r="K464" s="0" t="n">
        <v>0.667715717403612</v>
      </c>
      <c r="L464" s="1" t="b">
        <f aca="false">FALSE()</f>
        <v>0</v>
      </c>
      <c r="N464" s="0" t="n">
        <v>1.90124232046401</v>
      </c>
      <c r="O464" s="0" t="n">
        <v>0</v>
      </c>
      <c r="P464" s="0" t="n">
        <v>0</v>
      </c>
      <c r="Q464" s="0" t="n">
        <v>0</v>
      </c>
      <c r="R464" s="0" t="n">
        <v>8.09951220402557</v>
      </c>
      <c r="S464" s="0" t="n">
        <v>7.4608408903545</v>
      </c>
      <c r="T464" s="0" t="n">
        <v>0.20610057708161</v>
      </c>
      <c r="U464" s="0" t="n">
        <v>0.390516039051604</v>
      </c>
      <c r="V464" s="0" t="n">
        <v>0.804741980474198</v>
      </c>
      <c r="W464" s="0" t="n">
        <v>0.347280334728034</v>
      </c>
      <c r="X464" s="0" t="n">
        <v>0.276548495920778</v>
      </c>
      <c r="Y464" s="0" t="n">
        <v>7.65052438789654</v>
      </c>
      <c r="Z464" s="0" t="n">
        <v>0.480808355865567</v>
      </c>
      <c r="AA464" s="0" t="n">
        <v>5.55111512312578E-017</v>
      </c>
    </row>
    <row r="465" customFormat="false" ht="15" hidden="false" customHeight="false" outlineLevel="0" collapsed="false">
      <c r="A465" s="0" t="s">
        <v>499</v>
      </c>
      <c r="B465" s="0" t="s">
        <v>3013</v>
      </c>
      <c r="C465" s="0" t="s">
        <v>3038</v>
      </c>
      <c r="D465" s="0" t="n">
        <v>8.77488029553996</v>
      </c>
      <c r="E465" s="0" t="n">
        <v>0.21762179611058</v>
      </c>
      <c r="F465" s="0" t="n">
        <v>6.17320520658547</v>
      </c>
      <c r="G465" s="0" t="n">
        <v>0.137672090112641</v>
      </c>
      <c r="H465" s="0" t="n">
        <v>0.289111389236546</v>
      </c>
      <c r="I465" s="0" t="n">
        <v>0.552301255230126</v>
      </c>
      <c r="J465" s="0" t="n">
        <v>0.2811736427857</v>
      </c>
      <c r="K465" s="0" t="n">
        <v>0.667715717403612</v>
      </c>
      <c r="L465" s="1" t="b">
        <f aca="false">FALSE()</f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11.2806614961737</v>
      </c>
      <c r="S465" s="0" t="n">
        <v>4.46244243290458</v>
      </c>
      <c r="T465" s="0" t="n">
        <v>0.222328092742572</v>
      </c>
      <c r="U465" s="0" t="n">
        <v>0.557880055788006</v>
      </c>
      <c r="V465" s="0" t="n">
        <v>0.642956764295676</v>
      </c>
      <c r="W465" s="0" t="n">
        <v>0.456066945606695</v>
      </c>
      <c r="X465" s="0" t="n">
        <v>0.21762179611058</v>
      </c>
      <c r="Y465" s="0" t="n">
        <v>6.17320520658547</v>
      </c>
      <c r="Z465" s="0" t="n">
        <v>0.2811736427857</v>
      </c>
      <c r="AA465" s="0" t="n">
        <v>0</v>
      </c>
    </row>
    <row r="466" customFormat="false" ht="15" hidden="false" customHeight="false" outlineLevel="0" collapsed="false">
      <c r="A466" s="0" t="s">
        <v>500</v>
      </c>
      <c r="B466" s="0" t="s">
        <v>3013</v>
      </c>
      <c r="C466" s="0" t="s">
        <v>3033</v>
      </c>
      <c r="D466" s="0" t="n">
        <v>-4.87999806855399</v>
      </c>
      <c r="E466" s="0" t="n">
        <v>0.340482239372841</v>
      </c>
      <c r="F466" s="0" t="n">
        <v>9.25424817012469</v>
      </c>
      <c r="G466" s="0" t="n">
        <v>0.784730913642053</v>
      </c>
      <c r="H466" s="0" t="n">
        <v>0.710888610763454</v>
      </c>
      <c r="I466" s="0" t="n">
        <v>0.246861924686193</v>
      </c>
      <c r="J466" s="0" t="n">
        <v>0.647620194699441</v>
      </c>
      <c r="K466" s="0" t="n">
        <v>0.667715717403612</v>
      </c>
      <c r="L466" s="1" t="b">
        <f aca="false">FALSE()</f>
        <v>0</v>
      </c>
      <c r="N466" s="0" t="n">
        <v>0</v>
      </c>
      <c r="O466" s="0" t="n">
        <v>0</v>
      </c>
      <c r="P466" s="0" t="n">
        <v>1</v>
      </c>
      <c r="Q466" s="0" t="n">
        <v>4.87999806855399</v>
      </c>
      <c r="R466" s="0" t="n">
        <v>5.65998863474118</v>
      </c>
      <c r="S466" s="0" t="n">
        <v>1.71250648676699</v>
      </c>
      <c r="T466" s="0" t="n">
        <v>0.207576543850543</v>
      </c>
      <c r="U466" s="0" t="n">
        <v>0.185495118549512</v>
      </c>
      <c r="V466" s="0" t="n">
        <v>0.195258019525802</v>
      </c>
      <c r="W466" s="0" t="n">
        <v>0.359832635983264</v>
      </c>
      <c r="X466" s="0" t="n">
        <v>0.340482239372841</v>
      </c>
      <c r="Y466" s="0" t="n">
        <v>9.25424817012469</v>
      </c>
      <c r="Z466" s="0" t="n">
        <v>0.647620194699441</v>
      </c>
      <c r="AA466" s="0" t="n">
        <v>0</v>
      </c>
    </row>
    <row r="467" customFormat="false" ht="15" hidden="false" customHeight="false" outlineLevel="0" collapsed="false">
      <c r="A467" s="0" t="s">
        <v>501</v>
      </c>
      <c r="B467" s="0" t="s">
        <v>3013</v>
      </c>
      <c r="C467" s="0" t="s">
        <v>3038</v>
      </c>
      <c r="D467" s="0" t="n">
        <v>3.88507892681832</v>
      </c>
      <c r="E467" s="0" t="n">
        <v>0.256898379473276</v>
      </c>
      <c r="F467" s="0" t="n">
        <v>5.91354364363598</v>
      </c>
      <c r="G467" s="0" t="n">
        <v>0.310387984981227</v>
      </c>
      <c r="H467" s="0" t="n">
        <v>0.254067584480601</v>
      </c>
      <c r="I467" s="0" t="n">
        <v>0.698279869827987</v>
      </c>
      <c r="J467" s="0" t="n">
        <v>0.365438201750328</v>
      </c>
      <c r="K467" s="0" t="n">
        <v>0.667715717403612</v>
      </c>
      <c r="L467" s="1" t="b">
        <f aca="false">FALSE()</f>
        <v>0</v>
      </c>
      <c r="N467" s="0" t="n">
        <v>4.87999806855441</v>
      </c>
      <c r="O467" s="0" t="n">
        <v>1</v>
      </c>
      <c r="P467" s="0" t="n">
        <v>0</v>
      </c>
      <c r="Q467" s="0" t="n">
        <v>0</v>
      </c>
      <c r="R467" s="0" t="n">
        <v>15.498290429806</v>
      </c>
      <c r="S467" s="0" t="n">
        <v>5.5077452667814</v>
      </c>
      <c r="T467" s="0" t="n">
        <v>0.267737617135203</v>
      </c>
      <c r="U467" s="0" t="n">
        <v>0.716875871687587</v>
      </c>
      <c r="V467" s="0" t="n">
        <v>0.719665271966527</v>
      </c>
      <c r="W467" s="0" t="n">
        <v>0.658298465829847</v>
      </c>
      <c r="X467" s="0" t="n">
        <v>0.256898379473276</v>
      </c>
      <c r="Y467" s="0" t="n">
        <v>5.91354364363598</v>
      </c>
      <c r="Z467" s="0" t="n">
        <v>0.365438201750328</v>
      </c>
      <c r="AA467" s="0" t="n">
        <v>0</v>
      </c>
    </row>
    <row r="468" customFormat="false" ht="15" hidden="false" customHeight="false" outlineLevel="0" collapsed="false">
      <c r="A468" s="0" t="s">
        <v>502</v>
      </c>
      <c r="B468" s="0" t="s">
        <v>3013</v>
      </c>
      <c r="C468" s="0" t="s">
        <v>3038</v>
      </c>
      <c r="D468" s="0" t="n">
        <v>52.3022079171256</v>
      </c>
      <c r="E468" s="0" t="n">
        <v>0.264961072451895</v>
      </c>
      <c r="F468" s="0" t="n">
        <v>7.85796903330593</v>
      </c>
      <c r="G468" s="0" t="n">
        <v>0.367959949937422</v>
      </c>
      <c r="H468" s="0" t="n">
        <v>0.523153942428035</v>
      </c>
      <c r="I468" s="0" t="n">
        <v>0.782426778242678</v>
      </c>
      <c r="J468" s="0" t="n">
        <v>0.512930912594718</v>
      </c>
      <c r="K468" s="0" t="n">
        <v>0.667715717403612</v>
      </c>
      <c r="L468" s="1" t="b">
        <f aca="false">FALSE()</f>
        <v>0</v>
      </c>
      <c r="N468" s="0" t="n">
        <v>0.994919141736318</v>
      </c>
      <c r="O468" s="0" t="n">
        <v>0</v>
      </c>
      <c r="P468" s="0" t="n">
        <v>0</v>
      </c>
      <c r="Q468" s="0" t="n">
        <v>0</v>
      </c>
      <c r="R468" s="0" t="n">
        <v>15.202257591557</v>
      </c>
      <c r="S468" s="0" t="n">
        <v>7.33144743045734</v>
      </c>
      <c r="T468" s="0" t="n">
        <v>0.353606789250354</v>
      </c>
      <c r="U468" s="0" t="n">
        <v>0.709902370990237</v>
      </c>
      <c r="V468" s="0" t="n">
        <v>0.797768479776848</v>
      </c>
      <c r="W468" s="0" t="n">
        <v>0.839609483960948</v>
      </c>
      <c r="X468" s="0" t="n">
        <v>0.264961072451895</v>
      </c>
      <c r="Y468" s="0" t="n">
        <v>7.85796903330593</v>
      </c>
      <c r="Z468" s="0" t="n">
        <v>0.512930912594718</v>
      </c>
      <c r="AA468" s="0" t="n">
        <v>0</v>
      </c>
    </row>
    <row r="469" customFormat="false" ht="15" hidden="false" customHeight="false" outlineLevel="0" collapsed="false">
      <c r="A469" s="0" t="s">
        <v>503</v>
      </c>
      <c r="B469" s="0" t="s">
        <v>3013</v>
      </c>
      <c r="C469" s="0" t="s">
        <v>3033</v>
      </c>
      <c r="D469" s="0" t="n">
        <v>-46.2645909779201</v>
      </c>
      <c r="E469" s="0" t="n">
        <v>0.307889916288697</v>
      </c>
      <c r="F469" s="0" t="n">
        <v>9.87044341145503</v>
      </c>
      <c r="G469" s="0" t="n">
        <v>0.607008760951189</v>
      </c>
      <c r="H469" s="0" t="n">
        <v>0.780976220275344</v>
      </c>
      <c r="I469" s="0" t="n">
        <v>0.476987447698745</v>
      </c>
      <c r="J469" s="0" t="n">
        <v>0.650591482030362</v>
      </c>
      <c r="K469" s="0" t="n">
        <v>0.667715717403612</v>
      </c>
      <c r="L469" s="1" t="b">
        <f aca="false">FALSE()</f>
        <v>0</v>
      </c>
      <c r="N469" s="0" t="n">
        <v>0</v>
      </c>
      <c r="O469" s="0" t="n">
        <v>0</v>
      </c>
      <c r="P469" s="0" t="n">
        <v>1</v>
      </c>
      <c r="Q469" s="0" t="n">
        <v>46.2645909779201</v>
      </c>
      <c r="R469" s="0" t="n">
        <v>8.23091923268687</v>
      </c>
      <c r="S469" s="0" t="n">
        <v>5.11875511875512</v>
      </c>
      <c r="T469" s="0" t="n">
        <v>0.204750204750199</v>
      </c>
      <c r="U469" s="0" t="n">
        <v>0.394700139470014</v>
      </c>
      <c r="V469" s="0" t="n">
        <v>0.695955369595537</v>
      </c>
      <c r="W469" s="0" t="n">
        <v>0.340306834030683</v>
      </c>
      <c r="X469" s="0" t="n">
        <v>0.307889916288697</v>
      </c>
      <c r="Y469" s="0" t="n">
        <v>9.87044341145503</v>
      </c>
      <c r="Z469" s="0" t="n">
        <v>0.650591482030362</v>
      </c>
      <c r="AA469" s="0" t="n">
        <v>0</v>
      </c>
    </row>
    <row r="470" customFormat="false" ht="15" hidden="false" customHeight="false" outlineLevel="0" collapsed="false">
      <c r="A470" s="0" t="s">
        <v>504</v>
      </c>
      <c r="B470" s="0" t="s">
        <v>3013</v>
      </c>
      <c r="C470" s="0" t="s">
        <v>3033</v>
      </c>
      <c r="D470" s="0" t="n">
        <v>21.026170180741</v>
      </c>
      <c r="E470" s="0" t="n">
        <v>0.320828891267901</v>
      </c>
      <c r="F470" s="0" t="n">
        <v>8.00578413395947</v>
      </c>
      <c r="G470" s="0" t="n">
        <v>0.675844806007509</v>
      </c>
      <c r="H470" s="0" t="n">
        <v>0.544430538172716</v>
      </c>
      <c r="I470" s="0" t="n">
        <v>0.313807531380753</v>
      </c>
      <c r="J470" s="0" t="n">
        <v>0.550871643948241</v>
      </c>
      <c r="K470" s="0" t="n">
        <v>0.667715717403612</v>
      </c>
      <c r="L470" s="1" t="b">
        <f aca="false">FALSE()</f>
        <v>0</v>
      </c>
      <c r="N470" s="0" t="n">
        <v>46.2645909779203</v>
      </c>
      <c r="O470" s="0" t="n">
        <v>1</v>
      </c>
      <c r="P470" s="0" t="n">
        <v>0</v>
      </c>
      <c r="Q470" s="0" t="n">
        <v>0</v>
      </c>
      <c r="R470" s="0" t="n">
        <v>9.7994160899654</v>
      </c>
      <c r="S470" s="0" t="n">
        <v>1.93751090940826</v>
      </c>
      <c r="T470" s="0" t="n">
        <v>0.174550532379114</v>
      </c>
      <c r="U470" s="0" t="n">
        <v>0.496513249651325</v>
      </c>
      <c r="V470" s="0" t="n">
        <v>0.258019525801953</v>
      </c>
      <c r="W470" s="0" t="n">
        <v>0.186889818688982</v>
      </c>
      <c r="X470" s="0" t="n">
        <v>0.320828891267901</v>
      </c>
      <c r="Y470" s="0" t="n">
        <v>8.00578413395947</v>
      </c>
      <c r="Z470" s="0" t="n">
        <v>0.550871643948241</v>
      </c>
      <c r="AA470" s="0" t="n">
        <v>0</v>
      </c>
    </row>
    <row r="471" customFormat="false" ht="15" hidden="false" customHeight="false" outlineLevel="0" collapsed="false">
      <c r="A471" s="0" t="s">
        <v>505</v>
      </c>
      <c r="B471" s="0" t="s">
        <v>3013</v>
      </c>
      <c r="C471" s="0" t="s">
        <v>3033</v>
      </c>
      <c r="D471" s="0" t="n">
        <v>38.1125394066885</v>
      </c>
      <c r="E471" s="0" t="n">
        <v>0.330354826710655</v>
      </c>
      <c r="F471" s="0" t="n">
        <v>8.64610434442567</v>
      </c>
      <c r="G471" s="0" t="n">
        <v>0.735919899874844</v>
      </c>
      <c r="H471" s="0" t="n">
        <v>0.629536921151439</v>
      </c>
      <c r="I471" s="0" t="n">
        <v>0.117619711761971</v>
      </c>
      <c r="J471" s="0" t="n">
        <v>0.569706670762907</v>
      </c>
      <c r="K471" s="0" t="n">
        <v>0.667715717403612</v>
      </c>
      <c r="L471" s="1" t="b">
        <f aca="false">FALSE()</f>
        <v>0</v>
      </c>
      <c r="N471" s="0" t="n">
        <v>25.2384207971791</v>
      </c>
      <c r="O471" s="0" t="n">
        <v>0</v>
      </c>
      <c r="P471" s="0" t="n">
        <v>0</v>
      </c>
      <c r="Q471" s="0" t="n">
        <v>0</v>
      </c>
      <c r="R471" s="0" t="n">
        <v>3.45904982388138</v>
      </c>
      <c r="S471" s="0" t="n">
        <v>1.70476559473072</v>
      </c>
      <c r="T471" s="0" t="n">
        <v>0.154978690430063</v>
      </c>
      <c r="U471" s="0" t="n">
        <v>0.0390516039051604</v>
      </c>
      <c r="V471" s="0" t="n">
        <v>0.193863319386332</v>
      </c>
      <c r="W471" s="0" t="n">
        <v>0.119944211994421</v>
      </c>
      <c r="X471" s="0" t="n">
        <v>0.330354826710655</v>
      </c>
      <c r="Y471" s="0" t="n">
        <v>8.64610434442567</v>
      </c>
      <c r="Z471" s="0" t="n">
        <v>0.569706670762907</v>
      </c>
      <c r="AA471" s="0" t="n">
        <v>0</v>
      </c>
    </row>
    <row r="472" customFormat="false" ht="15" hidden="false" customHeight="false" outlineLevel="0" collapsed="false">
      <c r="A472" s="0" t="s">
        <v>506</v>
      </c>
      <c r="B472" s="0" t="s">
        <v>3013</v>
      </c>
      <c r="C472" s="0" t="s">
        <v>3033</v>
      </c>
      <c r="D472" s="0" t="n">
        <v>-46.2243102160917</v>
      </c>
      <c r="E472" s="0" t="n">
        <v>0.405225514681412</v>
      </c>
      <c r="F472" s="0" t="n">
        <v>12.3799310040375</v>
      </c>
      <c r="G472" s="0" t="n">
        <v>0.95244055068836</v>
      </c>
      <c r="H472" s="0" t="n">
        <v>0.936170212765958</v>
      </c>
      <c r="I472" s="0" t="n">
        <v>0.0878661087866109</v>
      </c>
      <c r="J472" s="0" t="n">
        <v>0.773017527139049</v>
      </c>
      <c r="K472" s="0" t="n">
        <v>0.667715717403612</v>
      </c>
      <c r="L472" s="1" t="b">
        <f aca="false">TRUE()</f>
        <v>1</v>
      </c>
      <c r="M472" s="0" t="s">
        <v>3035</v>
      </c>
      <c r="N472" s="0" t="n">
        <v>0</v>
      </c>
      <c r="O472" s="0" t="n">
        <v>0</v>
      </c>
      <c r="P472" s="0" t="n">
        <v>1</v>
      </c>
      <c r="Q472" s="0" t="n">
        <v>46.2243102160917</v>
      </c>
      <c r="R472" s="0" t="n">
        <v>5.06649493125166</v>
      </c>
      <c r="S472" s="0" t="n">
        <v>1.46802687235632</v>
      </c>
      <c r="T472" s="0" t="n">
        <v>0.0746454341876117</v>
      </c>
      <c r="U472" s="0" t="n">
        <v>0.131101813110181</v>
      </c>
      <c r="V472" s="0" t="n">
        <v>0.125523012552301</v>
      </c>
      <c r="W472" s="0" t="n">
        <v>0.00697350069735007</v>
      </c>
      <c r="X472" s="0" t="n">
        <v>0.405225514681412</v>
      </c>
      <c r="Y472" s="0" t="n">
        <v>12.3799310040375</v>
      </c>
      <c r="Z472" s="0" t="n">
        <v>0.773017527139049</v>
      </c>
      <c r="AA472" s="0" t="n">
        <v>0</v>
      </c>
    </row>
    <row r="473" customFormat="false" ht="15" hidden="false" customHeight="false" outlineLevel="0" collapsed="false">
      <c r="A473" s="0" t="s">
        <v>507</v>
      </c>
      <c r="B473" s="0" t="s">
        <v>3013</v>
      </c>
      <c r="C473" s="0" t="s">
        <v>3033</v>
      </c>
      <c r="D473" s="0" t="n">
        <v>-61.2793149951032</v>
      </c>
      <c r="E473" s="0" t="n">
        <v>0.331025662703279</v>
      </c>
      <c r="F473" s="0" t="n">
        <v>12.161161724939</v>
      </c>
      <c r="G473" s="0" t="n">
        <v>0.740926157697121</v>
      </c>
      <c r="H473" s="0" t="n">
        <v>0.926157697121402</v>
      </c>
      <c r="I473" s="0" t="n">
        <v>0.603440260344026</v>
      </c>
      <c r="J473" s="0" t="n">
        <v>0.787521593996215</v>
      </c>
      <c r="K473" s="0" t="n">
        <v>0.667715717403612</v>
      </c>
      <c r="L473" s="1" t="b">
        <f aca="false">TRUE()</f>
        <v>1</v>
      </c>
      <c r="M473" s="0" t="s">
        <v>3035</v>
      </c>
      <c r="N473" s="0" t="n">
        <v>46.2243102160919</v>
      </c>
      <c r="O473" s="0" t="n">
        <v>1</v>
      </c>
      <c r="P473" s="0" t="n">
        <v>1</v>
      </c>
      <c r="Q473" s="0" t="n">
        <v>61.2793149951032</v>
      </c>
      <c r="R473" s="0" t="n">
        <v>10.1231420956275</v>
      </c>
      <c r="S473" s="0" t="n">
        <v>3.70856580242862</v>
      </c>
      <c r="T473" s="0" t="n">
        <v>0.295372497538564</v>
      </c>
      <c r="U473" s="0" t="n">
        <v>0.513249651324965</v>
      </c>
      <c r="V473" s="0" t="n">
        <v>0.560669456066946</v>
      </c>
      <c r="W473" s="0" t="n">
        <v>0.736401673640167</v>
      </c>
      <c r="X473" s="0" t="n">
        <v>0.331025662703279</v>
      </c>
      <c r="Y473" s="0" t="n">
        <v>12.161161724939</v>
      </c>
      <c r="Z473" s="0" t="n">
        <v>0.787521593996215</v>
      </c>
      <c r="AA473" s="0" t="n">
        <v>0</v>
      </c>
    </row>
    <row r="474" customFormat="false" ht="15" hidden="false" customHeight="false" outlineLevel="0" collapsed="false">
      <c r="A474" s="0" t="s">
        <v>508</v>
      </c>
      <c r="B474" s="0" t="s">
        <v>3013</v>
      </c>
      <c r="C474" s="0" t="s">
        <v>3033</v>
      </c>
      <c r="D474" s="0" t="n">
        <v>27.0717137255965</v>
      </c>
      <c r="E474" s="0" t="n">
        <v>0.270249687900735</v>
      </c>
      <c r="F474" s="0" t="n">
        <v>7.34155167935366</v>
      </c>
      <c r="G474" s="0" t="n">
        <v>0.390488110137672</v>
      </c>
      <c r="H474" s="0" t="n">
        <v>0.454317897371715</v>
      </c>
      <c r="I474" s="0" t="n">
        <v>0.149232914923292</v>
      </c>
      <c r="J474" s="0" t="n">
        <v>0.367768985988413</v>
      </c>
      <c r="K474" s="0" t="n">
        <v>0.667715717403612</v>
      </c>
      <c r="L474" s="1" t="b">
        <f aca="false">FALSE()</f>
        <v>0</v>
      </c>
      <c r="N474" s="0" t="n">
        <v>107.503625211195</v>
      </c>
      <c r="O474" s="0" t="n">
        <v>2</v>
      </c>
      <c r="P474" s="0" t="n">
        <v>0</v>
      </c>
      <c r="Q474" s="0" t="n">
        <v>0</v>
      </c>
      <c r="R474" s="0" t="n">
        <v>1.58624125612239</v>
      </c>
      <c r="S474" s="0" t="n">
        <v>1.08677753993083</v>
      </c>
      <c r="T474" s="0" t="n">
        <v>0.214062242713652</v>
      </c>
      <c r="U474" s="0" t="n">
        <v>0.00139470013947001</v>
      </c>
      <c r="V474" s="0" t="n">
        <v>0.0404463040446304</v>
      </c>
      <c r="W474" s="0" t="n">
        <v>0.405857740585774</v>
      </c>
      <c r="X474" s="0" t="n">
        <v>0.270249687900735</v>
      </c>
      <c r="Y474" s="0" t="n">
        <v>7.34155167935367</v>
      </c>
      <c r="Z474" s="0" t="n">
        <v>0.367768985988413</v>
      </c>
      <c r="AA474" s="0" t="n">
        <v>0</v>
      </c>
    </row>
    <row r="475" customFormat="false" ht="15" hidden="false" customHeight="false" outlineLevel="0" collapsed="false">
      <c r="A475" s="0" t="s">
        <v>509</v>
      </c>
      <c r="B475" s="0" t="s">
        <v>3013</v>
      </c>
      <c r="C475" s="0" t="s">
        <v>3038</v>
      </c>
      <c r="D475" s="0" t="n">
        <v>38.0186767098599</v>
      </c>
      <c r="E475" s="0" t="n">
        <v>0.370333789949816</v>
      </c>
      <c r="F475" s="0" t="n">
        <v>9.34577292993326</v>
      </c>
      <c r="G475" s="0" t="n">
        <v>0.874843554443054</v>
      </c>
      <c r="H475" s="0" t="n">
        <v>0.715894868585732</v>
      </c>
      <c r="I475" s="0" t="n">
        <v>0.346815434681544</v>
      </c>
      <c r="J475" s="0" t="n">
        <v>0.705658456147823</v>
      </c>
      <c r="K475" s="0" t="n">
        <v>0.667715717403612</v>
      </c>
      <c r="L475" s="1" t="b">
        <f aca="false">TRUE()</f>
        <v>1</v>
      </c>
      <c r="M475" s="0" t="s">
        <v>3035</v>
      </c>
      <c r="N475" s="0" t="n">
        <v>80.4319114855989</v>
      </c>
      <c r="O475" s="0" t="n">
        <v>0</v>
      </c>
      <c r="P475" s="0" t="n">
        <v>0</v>
      </c>
      <c r="Q475" s="0" t="n">
        <v>0</v>
      </c>
      <c r="R475" s="0" t="n">
        <v>7.02621559106087</v>
      </c>
      <c r="S475" s="0" t="n">
        <v>3.92646796359093</v>
      </c>
      <c r="T475" s="0" t="n">
        <v>0.160628234874171</v>
      </c>
      <c r="U475" s="0" t="n">
        <v>0.316596931659693</v>
      </c>
      <c r="V475" s="0" t="n">
        <v>0.585774058577406</v>
      </c>
      <c r="W475" s="0" t="n">
        <v>0.138075313807531</v>
      </c>
      <c r="X475" s="0" t="n">
        <v>0.370333789949816</v>
      </c>
      <c r="Y475" s="0" t="n">
        <v>9.34577292993326</v>
      </c>
      <c r="Z475" s="0" t="n">
        <v>0.705658456147823</v>
      </c>
      <c r="AA475" s="0" t="n">
        <v>0</v>
      </c>
    </row>
    <row r="476" customFormat="false" ht="15" hidden="false" customHeight="false" outlineLevel="0" collapsed="false">
      <c r="A476" s="0" t="s">
        <v>510</v>
      </c>
      <c r="B476" s="0" t="s">
        <v>3013</v>
      </c>
      <c r="C476" s="0" t="s">
        <v>3038</v>
      </c>
      <c r="D476" s="0" t="n">
        <v>33.4025116092371</v>
      </c>
      <c r="E476" s="0" t="n">
        <v>0.269602181148709</v>
      </c>
      <c r="F476" s="0" t="n">
        <v>5.62234928885729</v>
      </c>
      <c r="G476" s="0" t="n">
        <v>0.386733416770964</v>
      </c>
      <c r="H476" s="0" t="n">
        <v>0.220275344180225</v>
      </c>
      <c r="I476" s="0" t="n">
        <v>0.492794049279405</v>
      </c>
      <c r="J476" s="0" t="n">
        <v>0.341362314236357</v>
      </c>
      <c r="K476" s="0" t="n">
        <v>0.667715717403612</v>
      </c>
      <c r="L476" s="1" t="b">
        <f aca="false">FALSE()</f>
        <v>0</v>
      </c>
      <c r="N476" s="0" t="n">
        <v>42.4132347757386</v>
      </c>
      <c r="O476" s="0" t="n">
        <v>0</v>
      </c>
      <c r="P476" s="0" t="n">
        <v>0</v>
      </c>
      <c r="Q476" s="0" t="n">
        <v>0</v>
      </c>
      <c r="R476" s="0" t="n">
        <v>14.3432535242797</v>
      </c>
      <c r="S476" s="0" t="n">
        <v>6.89873417721519</v>
      </c>
      <c r="T476" s="0" t="n">
        <v>0.0843881856540036</v>
      </c>
      <c r="U476" s="0" t="n">
        <v>0.687587168758717</v>
      </c>
      <c r="V476" s="0" t="n">
        <v>0.782426778242678</v>
      </c>
      <c r="W476" s="0" t="n">
        <v>0.00836820083682008</v>
      </c>
      <c r="X476" s="0" t="n">
        <v>0.269602181148709</v>
      </c>
      <c r="Y476" s="0" t="n">
        <v>5.62234928885729</v>
      </c>
      <c r="Z476" s="0" t="n">
        <v>0.341362314236357</v>
      </c>
      <c r="AA476" s="0" t="n">
        <v>0</v>
      </c>
    </row>
    <row r="477" customFormat="false" ht="15" hidden="false" customHeight="false" outlineLevel="0" collapsed="false">
      <c r="A477" s="0" t="s">
        <v>511</v>
      </c>
      <c r="B477" s="0" t="s">
        <v>3013</v>
      </c>
      <c r="C477" s="0" t="s">
        <v>3033</v>
      </c>
      <c r="D477" s="0" t="n">
        <v>-8.00691380616066</v>
      </c>
      <c r="E477" s="0" t="n">
        <v>0.325864126167623</v>
      </c>
      <c r="F477" s="0" t="n">
        <v>8.63785992758417</v>
      </c>
      <c r="G477" s="0" t="n">
        <v>0.710888610763454</v>
      </c>
      <c r="H477" s="0" t="n">
        <v>0.62828535669587</v>
      </c>
      <c r="I477" s="0" t="n">
        <v>0.210134821013482</v>
      </c>
      <c r="J477" s="0" t="n">
        <v>0.577696551186426</v>
      </c>
      <c r="K477" s="0" t="n">
        <v>0.667715717403612</v>
      </c>
      <c r="L477" s="1" t="b">
        <f aca="false">FALSE()</f>
        <v>0</v>
      </c>
      <c r="N477" s="0" t="n">
        <v>9.01072316650152</v>
      </c>
      <c r="O477" s="0" t="n">
        <v>0</v>
      </c>
      <c r="P477" s="0" t="n">
        <v>1</v>
      </c>
      <c r="Q477" s="0" t="n">
        <v>8.00691380616066</v>
      </c>
      <c r="R477" s="0" t="n">
        <v>5.15448899964815</v>
      </c>
      <c r="S477" s="0" t="n">
        <v>2.8890705914418</v>
      </c>
      <c r="T477" s="0" t="n">
        <v>0.109021531752523</v>
      </c>
      <c r="U477" s="0" t="n">
        <v>0.145048814504881</v>
      </c>
      <c r="V477" s="0" t="n">
        <v>0.457461645746165</v>
      </c>
      <c r="W477" s="0" t="n">
        <v>0.0278940027894003</v>
      </c>
      <c r="X477" s="0" t="n">
        <v>0.325864126167623</v>
      </c>
      <c r="Y477" s="0" t="n">
        <v>8.63785992758417</v>
      </c>
      <c r="Z477" s="0" t="n">
        <v>0.577696551186426</v>
      </c>
      <c r="AA477" s="0" t="n">
        <v>0</v>
      </c>
    </row>
    <row r="478" customFormat="false" ht="15" hidden="false" customHeight="false" outlineLevel="0" collapsed="false">
      <c r="A478" s="0" t="s">
        <v>512</v>
      </c>
      <c r="B478" s="0" t="s">
        <v>3013</v>
      </c>
      <c r="C478" s="0" t="s">
        <v>3038</v>
      </c>
      <c r="D478" s="0" t="n">
        <v>49.666155796303</v>
      </c>
      <c r="E478" s="0" t="n">
        <v>0.273183700999559</v>
      </c>
      <c r="F478" s="0" t="n">
        <v>8.52930481603484</v>
      </c>
      <c r="G478" s="0" t="n">
        <v>0.409261576971214</v>
      </c>
      <c r="H478" s="0" t="n">
        <v>0.610763454317897</v>
      </c>
      <c r="I478" s="0" t="n">
        <v>0.739191073919108</v>
      </c>
      <c r="J478" s="0" t="n">
        <v>0.555848227299466</v>
      </c>
      <c r="K478" s="0" t="n">
        <v>0.667715717403612</v>
      </c>
      <c r="L478" s="1" t="b">
        <f aca="false">FALSE()</f>
        <v>0</v>
      </c>
      <c r="N478" s="0" t="n">
        <v>17.0176369726623</v>
      </c>
      <c r="O478" s="0" t="n">
        <v>1</v>
      </c>
      <c r="P478" s="0" t="n">
        <v>0</v>
      </c>
      <c r="Q478" s="0" t="n">
        <v>0</v>
      </c>
      <c r="R478" s="0" t="n">
        <v>12.9597602777797</v>
      </c>
      <c r="S478" s="0" t="n">
        <v>8.06591500433652</v>
      </c>
      <c r="T478" s="0" t="n">
        <v>0.303555941023418</v>
      </c>
      <c r="U478" s="0" t="n">
        <v>0.638772663877266</v>
      </c>
      <c r="V478" s="0" t="n">
        <v>0.824267782426778</v>
      </c>
      <c r="W478" s="0" t="n">
        <v>0.754532775453278</v>
      </c>
      <c r="X478" s="0" t="n">
        <v>0.273183700999559</v>
      </c>
      <c r="Y478" s="0" t="n">
        <v>8.52930481603484</v>
      </c>
      <c r="Z478" s="0" t="n">
        <v>0.555848227299466</v>
      </c>
      <c r="AA478" s="0" t="n">
        <v>0</v>
      </c>
    </row>
    <row r="479" customFormat="false" ht="15" hidden="false" customHeight="false" outlineLevel="0" collapsed="false">
      <c r="A479" s="0" t="s">
        <v>513</v>
      </c>
      <c r="B479" s="0" t="s">
        <v>3013</v>
      </c>
      <c r="C479" s="0" t="s">
        <v>3038</v>
      </c>
      <c r="D479" s="0" t="n">
        <v>17.1513213589299</v>
      </c>
      <c r="E479" s="0" t="n">
        <v>0.288782971116745</v>
      </c>
      <c r="F479" s="0" t="n">
        <v>7.37157889463717</v>
      </c>
      <c r="G479" s="0" t="n">
        <v>0.516896120150188</v>
      </c>
      <c r="H479" s="0" t="n">
        <v>0.456821026282854</v>
      </c>
      <c r="I479" s="0" t="n">
        <v>0.582984658298466</v>
      </c>
      <c r="J479" s="0" t="n">
        <v>0.50608379023291</v>
      </c>
      <c r="K479" s="0" t="n">
        <v>0.667715717403612</v>
      </c>
      <c r="L479" s="1" t="b">
        <f aca="false">FALSE()</f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17.1757166917754</v>
      </c>
      <c r="S479" s="0" t="n">
        <v>7.67307692307692</v>
      </c>
      <c r="T479" s="0" t="n">
        <v>0.17307692307693</v>
      </c>
      <c r="U479" s="0" t="n">
        <v>0.748953974895398</v>
      </c>
      <c r="V479" s="0" t="n">
        <v>0.815899581589958</v>
      </c>
      <c r="W479" s="0" t="n">
        <v>0.184100418410042</v>
      </c>
      <c r="X479" s="0" t="n">
        <v>0.288782971116745</v>
      </c>
      <c r="Y479" s="0" t="n">
        <v>7.37157889463717</v>
      </c>
      <c r="Z479" s="0" t="n">
        <v>0.50608379023291</v>
      </c>
      <c r="AA479" s="0" t="n">
        <v>0</v>
      </c>
    </row>
    <row r="480" customFormat="false" ht="15" hidden="false" customHeight="false" outlineLevel="0" collapsed="false">
      <c r="A480" s="0" t="s">
        <v>514</v>
      </c>
      <c r="B480" s="0" t="s">
        <v>3013</v>
      </c>
      <c r="C480" s="0" t="s">
        <v>3036</v>
      </c>
      <c r="D480" s="0" t="n">
        <v>-35.0893817271337</v>
      </c>
      <c r="E480" s="0" t="n">
        <v>0.308793319417463</v>
      </c>
      <c r="F480" s="0" t="n">
        <v>6.96049335098963</v>
      </c>
      <c r="G480" s="0" t="n">
        <v>0.609511889862328</v>
      </c>
      <c r="H480" s="0" t="n">
        <v>0.410513141426784</v>
      </c>
      <c r="I480" s="0" t="n">
        <v>0.159925615992562</v>
      </c>
      <c r="J480" s="0" t="n">
        <v>0.439995135714157</v>
      </c>
      <c r="K480" s="0" t="n">
        <v>0.667715717403612</v>
      </c>
      <c r="L480" s="1" t="b">
        <f aca="false">FALSE()</f>
        <v>0</v>
      </c>
      <c r="N480" s="0" t="n">
        <v>0</v>
      </c>
      <c r="O480" s="0" t="n">
        <v>0</v>
      </c>
      <c r="P480" s="0" t="n">
        <v>1</v>
      </c>
      <c r="Q480" s="0" t="n">
        <v>35.0893817271337</v>
      </c>
      <c r="R480" s="0" t="n">
        <v>3.57473200680987</v>
      </c>
      <c r="S480" s="0" t="n">
        <v>1.35562584726615</v>
      </c>
      <c r="T480" s="0" t="n">
        <v>0.203343877089918</v>
      </c>
      <c r="U480" s="0" t="n">
        <v>0.0460251046025105</v>
      </c>
      <c r="V480" s="0" t="n">
        <v>0.099023709902371</v>
      </c>
      <c r="W480" s="0" t="n">
        <v>0.334728033472803</v>
      </c>
      <c r="X480" s="0" t="n">
        <v>0.308793319417463</v>
      </c>
      <c r="Y480" s="0" t="n">
        <v>6.96049335098963</v>
      </c>
      <c r="Z480" s="0" t="n">
        <v>0.439995135714157</v>
      </c>
      <c r="AA480" s="0" t="n">
        <v>5.55111512312578E-017</v>
      </c>
    </row>
    <row r="481" customFormat="false" ht="15" hidden="false" customHeight="false" outlineLevel="0" collapsed="false">
      <c r="A481" s="0" t="s">
        <v>515</v>
      </c>
      <c r="B481" s="0" t="s">
        <v>3013</v>
      </c>
      <c r="C481" s="0" t="s">
        <v>3033</v>
      </c>
      <c r="D481" s="0" t="n">
        <v>-40.1680114272852</v>
      </c>
      <c r="E481" s="0" t="n">
        <v>0.305215058150253</v>
      </c>
      <c r="F481" s="0" t="n">
        <v>9.61052363387936</v>
      </c>
      <c r="G481" s="0" t="n">
        <v>0.593241551939925</v>
      </c>
      <c r="H481" s="0" t="n">
        <v>0.738423028785982</v>
      </c>
      <c r="I481" s="0" t="n">
        <v>0.190144119014412</v>
      </c>
      <c r="J481" s="0" t="n">
        <v>0.570694656093245</v>
      </c>
      <c r="K481" s="0" t="n">
        <v>0.667715717403612</v>
      </c>
      <c r="L481" s="1" t="b">
        <f aca="false">FALSE()</f>
        <v>0</v>
      </c>
      <c r="N481" s="0" t="n">
        <v>35.0893817271335</v>
      </c>
      <c r="O481" s="0" t="n">
        <v>1</v>
      </c>
      <c r="P481" s="0" t="n">
        <v>1</v>
      </c>
      <c r="Q481" s="0" t="n">
        <v>40.1680114272852</v>
      </c>
      <c r="R481" s="0" t="n">
        <v>3.83763244852204</v>
      </c>
      <c r="S481" s="0" t="n">
        <v>2.38541945859018</v>
      </c>
      <c r="T481" s="0" t="n">
        <v>0.160814794961127</v>
      </c>
      <c r="U481" s="0" t="n">
        <v>0.0641562064156206</v>
      </c>
      <c r="V481" s="0" t="n">
        <v>0.365411436541144</v>
      </c>
      <c r="W481" s="0" t="n">
        <v>0.140864714086471</v>
      </c>
      <c r="X481" s="0" t="n">
        <v>0.305215058150253</v>
      </c>
      <c r="Y481" s="0" t="n">
        <v>9.61052363387936</v>
      </c>
      <c r="Z481" s="0" t="n">
        <v>0.570694656093245</v>
      </c>
      <c r="AA481" s="0" t="n">
        <v>0</v>
      </c>
    </row>
    <row r="482" customFormat="false" ht="15" hidden="false" customHeight="false" outlineLevel="0" collapsed="false">
      <c r="A482" s="0" t="s">
        <v>516</v>
      </c>
      <c r="B482" s="0" t="s">
        <v>3013</v>
      </c>
      <c r="C482" s="0" t="s">
        <v>3033</v>
      </c>
      <c r="D482" s="0" t="n">
        <v>7.21600975464972</v>
      </c>
      <c r="E482" s="0" t="n">
        <v>0.312849461246656</v>
      </c>
      <c r="F482" s="0" t="n">
        <v>10.849508702533</v>
      </c>
      <c r="G482" s="0" t="n">
        <v>0.629536921151439</v>
      </c>
      <c r="H482" s="0" t="n">
        <v>0.867334167709637</v>
      </c>
      <c r="I482" s="0" t="n">
        <v>0.461180846118085</v>
      </c>
      <c r="J482" s="0" t="n">
        <v>0.690984604768048</v>
      </c>
      <c r="K482" s="0" t="n">
        <v>0.667715717403612</v>
      </c>
      <c r="L482" s="1" t="b">
        <f aca="false">TRUE()</f>
        <v>1</v>
      </c>
      <c r="M482" s="0" t="s">
        <v>3035</v>
      </c>
      <c r="N482" s="0" t="n">
        <v>75.2573931544184</v>
      </c>
      <c r="O482" s="0" t="n">
        <v>2</v>
      </c>
      <c r="P482" s="0" t="n">
        <v>0</v>
      </c>
      <c r="Q482" s="0" t="n">
        <v>0</v>
      </c>
      <c r="R482" s="0" t="n">
        <v>6.38074837063033</v>
      </c>
      <c r="S482" s="0" t="n">
        <v>6.66208791208791</v>
      </c>
      <c r="T482" s="0" t="n">
        <v>0.206043956043954</v>
      </c>
      <c r="U482" s="0" t="n">
        <v>0.263598326359833</v>
      </c>
      <c r="V482" s="0" t="n">
        <v>0.774058577405858</v>
      </c>
      <c r="W482" s="0" t="n">
        <v>0.345885634588564</v>
      </c>
      <c r="X482" s="0" t="n">
        <v>0.312849461246656</v>
      </c>
      <c r="Y482" s="0" t="n">
        <v>10.849508702533</v>
      </c>
      <c r="Z482" s="0" t="n">
        <v>0.690984604768048</v>
      </c>
      <c r="AA482" s="0" t="n">
        <v>0</v>
      </c>
    </row>
    <row r="483" customFormat="false" ht="15" hidden="false" customHeight="false" outlineLevel="0" collapsed="false">
      <c r="A483" s="0" t="s">
        <v>517</v>
      </c>
      <c r="B483" s="0" t="s">
        <v>3013</v>
      </c>
      <c r="C483" s="0" t="s">
        <v>3033</v>
      </c>
      <c r="D483" s="0" t="n">
        <v>22.3924035614245</v>
      </c>
      <c r="E483" s="0" t="n">
        <v>0.300620943214434</v>
      </c>
      <c r="F483" s="0" t="n">
        <v>6.4777574457467</v>
      </c>
      <c r="G483" s="0" t="n">
        <v>0.568210262828536</v>
      </c>
      <c r="H483" s="0" t="n">
        <v>0.339173967459324</v>
      </c>
      <c r="I483" s="0" t="n">
        <v>0.314272431427243</v>
      </c>
      <c r="J483" s="0" t="n">
        <v>0.425808178400593</v>
      </c>
      <c r="K483" s="0" t="n">
        <v>0.667715717403612</v>
      </c>
      <c r="L483" s="1" t="b">
        <f aca="false">FALSE()</f>
        <v>0</v>
      </c>
      <c r="N483" s="0" t="n">
        <v>68.0413833997691</v>
      </c>
      <c r="O483" s="0" t="n">
        <v>0</v>
      </c>
      <c r="P483" s="0" t="n">
        <v>0</v>
      </c>
      <c r="Q483" s="0" t="n">
        <v>0</v>
      </c>
      <c r="R483" s="0" t="n">
        <v>9.20090691408398</v>
      </c>
      <c r="S483" s="0" t="n">
        <v>2.33262108262109</v>
      </c>
      <c r="T483" s="0" t="n">
        <v>0.160256410256406</v>
      </c>
      <c r="U483" s="0" t="n">
        <v>0.457461645746165</v>
      </c>
      <c r="V483" s="0" t="n">
        <v>0.348675034867504</v>
      </c>
      <c r="W483" s="0" t="n">
        <v>0.136680613668061</v>
      </c>
      <c r="X483" s="0" t="n">
        <v>0.300620943214434</v>
      </c>
      <c r="Y483" s="0" t="n">
        <v>6.4777574457467</v>
      </c>
      <c r="Z483" s="0" t="n">
        <v>0.425808178400593</v>
      </c>
      <c r="AA483" s="0" t="n">
        <v>0</v>
      </c>
    </row>
    <row r="484" customFormat="false" ht="15" hidden="false" customHeight="false" outlineLevel="0" collapsed="false">
      <c r="A484" s="0" t="s">
        <v>518</v>
      </c>
      <c r="B484" s="0" t="s">
        <v>3013</v>
      </c>
      <c r="C484" s="0" t="s">
        <v>3033</v>
      </c>
      <c r="D484" s="0" t="n">
        <v>13.4643759428918</v>
      </c>
      <c r="E484" s="0" t="n">
        <v>0.277731307319273</v>
      </c>
      <c r="F484" s="0" t="n">
        <v>5.32997216789607</v>
      </c>
      <c r="G484" s="0" t="n">
        <v>0.451814768460576</v>
      </c>
      <c r="H484" s="0" t="n">
        <v>0.178973717146433</v>
      </c>
      <c r="I484" s="0" t="n">
        <v>0.201301720130172</v>
      </c>
      <c r="J484" s="0" t="n">
        <v>0.292575738268838</v>
      </c>
      <c r="K484" s="0" t="n">
        <v>0.667715717403612</v>
      </c>
      <c r="L484" s="1" t="b">
        <f aca="false">FALSE()</f>
        <v>0</v>
      </c>
      <c r="N484" s="0" t="n">
        <v>45.6489798383445</v>
      </c>
      <c r="O484" s="0" t="n">
        <v>0</v>
      </c>
      <c r="P484" s="0" t="n">
        <v>0</v>
      </c>
      <c r="Q484" s="0" t="n">
        <v>0</v>
      </c>
      <c r="R484" s="0" t="n">
        <v>6.50419816426933</v>
      </c>
      <c r="S484" s="0" t="n">
        <v>1.8670496512105</v>
      </c>
      <c r="T484" s="0" t="n">
        <v>0.143619203939267</v>
      </c>
      <c r="U484" s="0" t="n">
        <v>0.273361227336123</v>
      </c>
      <c r="V484" s="0" t="n">
        <v>0.239888423988842</v>
      </c>
      <c r="W484" s="0" t="n">
        <v>0.0906555090655509</v>
      </c>
      <c r="X484" s="0" t="n">
        <v>0.277731307319273</v>
      </c>
      <c r="Y484" s="0" t="n">
        <v>5.32997216789607</v>
      </c>
      <c r="Z484" s="0" t="n">
        <v>0.292575738268838</v>
      </c>
      <c r="AA484" s="0" t="n">
        <v>0</v>
      </c>
    </row>
    <row r="485" customFormat="false" ht="15" hidden="false" customHeight="false" outlineLevel="0" collapsed="false">
      <c r="A485" s="0" t="s">
        <v>519</v>
      </c>
      <c r="B485" s="0" t="s">
        <v>3013</v>
      </c>
      <c r="C485" s="0" t="s">
        <v>3036</v>
      </c>
      <c r="D485" s="0" t="n">
        <v>-0.519516331000696</v>
      </c>
      <c r="E485" s="0" t="n">
        <v>0.337189038682825</v>
      </c>
      <c r="F485" s="0" t="n">
        <v>8.49668767670793</v>
      </c>
      <c r="G485" s="0" t="n">
        <v>0.769712140175219</v>
      </c>
      <c r="H485" s="0" t="n">
        <v>0.600750938673342</v>
      </c>
      <c r="I485" s="0" t="n">
        <v>0.309158530915853</v>
      </c>
      <c r="J485" s="0" t="n">
        <v>0.610016937722595</v>
      </c>
      <c r="K485" s="0" t="n">
        <v>0.667715717403612</v>
      </c>
      <c r="L485" s="1" t="b">
        <f aca="false">FALSE()</f>
        <v>0</v>
      </c>
      <c r="N485" s="0" t="n">
        <v>32.1846038954527</v>
      </c>
      <c r="O485" s="0" t="n">
        <v>0</v>
      </c>
      <c r="P485" s="0" t="n">
        <v>1</v>
      </c>
      <c r="Q485" s="0" t="n">
        <v>0.519516331000696</v>
      </c>
      <c r="R485" s="0" t="n">
        <v>5.48441056297474</v>
      </c>
      <c r="S485" s="0" t="n">
        <v>3.59001040582728</v>
      </c>
      <c r="T485" s="0" t="n">
        <v>0.182101977107177</v>
      </c>
      <c r="U485" s="0" t="n">
        <v>0.167364016736402</v>
      </c>
      <c r="V485" s="0" t="n">
        <v>0.539748953974895</v>
      </c>
      <c r="W485" s="0" t="n">
        <v>0.220362622036262</v>
      </c>
      <c r="X485" s="0" t="n">
        <v>0.337189038682825</v>
      </c>
      <c r="Y485" s="0" t="n">
        <v>8.49668767670793</v>
      </c>
      <c r="Z485" s="0" t="n">
        <v>0.610016937722595</v>
      </c>
      <c r="AA485" s="0" t="n">
        <v>0</v>
      </c>
    </row>
    <row r="486" customFormat="false" ht="15" hidden="false" customHeight="false" outlineLevel="0" collapsed="false">
      <c r="A486" s="0" t="s">
        <v>520</v>
      </c>
      <c r="B486" s="0" t="s">
        <v>33</v>
      </c>
      <c r="C486" s="0" t="s">
        <v>33</v>
      </c>
      <c r="D486" s="0" t="n">
        <v>33.9189309697403</v>
      </c>
      <c r="E486" s="0" t="n">
        <v>0.320564279740151</v>
      </c>
      <c r="F486" s="0" t="n">
        <v>8.8011468673713</v>
      </c>
      <c r="G486" s="0" t="n">
        <v>0.673341677096371</v>
      </c>
      <c r="H486" s="0" t="n">
        <v>0.65081351689612</v>
      </c>
      <c r="I486" s="0" t="n">
        <v>0.5</v>
      </c>
      <c r="J486" s="0" t="n">
        <v>0.629662077596996</v>
      </c>
      <c r="K486" s="0" t="n">
        <v>0.667715717403612</v>
      </c>
      <c r="L486" s="1" t="b">
        <f aca="false">FALSE()</f>
        <v>0</v>
      </c>
      <c r="N486" s="0" t="n">
        <v>32.7041202264536</v>
      </c>
      <c r="O486" s="0" t="n">
        <v>1</v>
      </c>
      <c r="P486" s="0" t="n">
        <v>0</v>
      </c>
      <c r="Q486" s="0" t="n">
        <v>0</v>
      </c>
      <c r="U486" s="0" t="n">
        <v>0.5</v>
      </c>
      <c r="V486" s="0" t="n">
        <v>0.5</v>
      </c>
      <c r="W486" s="0" t="n">
        <v>0.5</v>
      </c>
      <c r="X486" s="0" t="n">
        <v>0.320564279740151</v>
      </c>
      <c r="Y486" s="0" t="n">
        <v>8.8011468673713</v>
      </c>
      <c r="Z486" s="0" t="n">
        <v>0.629662077596996</v>
      </c>
      <c r="AA486" s="0" t="n">
        <v>0</v>
      </c>
    </row>
    <row r="487" customFormat="false" ht="15" hidden="false" customHeight="false" outlineLevel="0" collapsed="false">
      <c r="A487" s="0" t="s">
        <v>521</v>
      </c>
      <c r="B487" s="0" t="s">
        <v>3013</v>
      </c>
      <c r="C487" s="0" t="s">
        <v>3033</v>
      </c>
      <c r="D487" s="0" t="n">
        <v>48.4600797196496</v>
      </c>
      <c r="E487" s="0" t="n">
        <v>0.263071225830139</v>
      </c>
      <c r="F487" s="0" t="n">
        <v>5.35259316368565</v>
      </c>
      <c r="G487" s="0" t="n">
        <v>0.354192740926158</v>
      </c>
      <c r="H487" s="0" t="n">
        <v>0.182728410513141</v>
      </c>
      <c r="I487" s="0" t="n">
        <v>0.290562529056253</v>
      </c>
      <c r="J487" s="0" t="n">
        <v>0.27288096638697</v>
      </c>
      <c r="K487" s="0" t="n">
        <v>0.667715717403612</v>
      </c>
      <c r="L487" s="1" t="b">
        <f aca="false">FALSE()</f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4.70346677158917</v>
      </c>
      <c r="S487" s="0" t="n">
        <v>3.09122351923907</v>
      </c>
      <c r="T487" s="0" t="n">
        <v>0.194552529182881</v>
      </c>
      <c r="U487" s="0" t="n">
        <v>0.114365411436541</v>
      </c>
      <c r="V487" s="0" t="n">
        <v>0.476987447698745</v>
      </c>
      <c r="W487" s="0" t="n">
        <v>0.280334728033473</v>
      </c>
      <c r="X487" s="0" t="n">
        <v>0.263071225830139</v>
      </c>
      <c r="Y487" s="0" t="n">
        <v>5.35259316368565</v>
      </c>
      <c r="Z487" s="0" t="n">
        <v>0.27288096638697</v>
      </c>
      <c r="AA487" s="0" t="n">
        <v>5.55111512312578E-017</v>
      </c>
    </row>
    <row r="488" customFormat="false" ht="15" hidden="false" customHeight="false" outlineLevel="0" collapsed="false">
      <c r="A488" s="0" t="s">
        <v>522</v>
      </c>
      <c r="B488" s="0" t="s">
        <v>3013</v>
      </c>
      <c r="C488" s="0" t="s">
        <v>3033</v>
      </c>
      <c r="D488" s="0" t="n">
        <v>36.5781038296098</v>
      </c>
      <c r="E488" s="0" t="n">
        <v>0.302604959201421</v>
      </c>
      <c r="F488" s="0" t="n">
        <v>8.50260043653633</v>
      </c>
      <c r="G488" s="0" t="n">
        <v>0.58072590738423</v>
      </c>
      <c r="H488" s="0" t="n">
        <v>0.60450563204005</v>
      </c>
      <c r="I488" s="0" t="n">
        <v>0.255230125523013</v>
      </c>
      <c r="J488" s="0" t="n">
        <v>0.525138640874315</v>
      </c>
      <c r="K488" s="0" t="n">
        <v>0.667715717403612</v>
      </c>
      <c r="L488" s="1" t="b">
        <f aca="false">FALSE()</f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5.65924550938869</v>
      </c>
      <c r="S488" s="0" t="n">
        <v>1.99487033342833</v>
      </c>
      <c r="T488" s="0" t="n">
        <v>0.199487033342821</v>
      </c>
      <c r="U488" s="0" t="n">
        <v>0.184100418410042</v>
      </c>
      <c r="V488" s="0" t="n">
        <v>0.267782426778243</v>
      </c>
      <c r="W488" s="0" t="n">
        <v>0.313807531380753</v>
      </c>
      <c r="X488" s="0" t="n">
        <v>0.302604959201421</v>
      </c>
      <c r="Y488" s="0" t="n">
        <v>8.50260043653633</v>
      </c>
      <c r="Z488" s="0" t="n">
        <v>0.525138640874315</v>
      </c>
      <c r="AA488" s="0" t="n">
        <v>0</v>
      </c>
    </row>
    <row r="489" customFormat="false" ht="15" hidden="false" customHeight="false" outlineLevel="0" collapsed="false">
      <c r="A489" s="0" t="s">
        <v>523</v>
      </c>
      <c r="B489" s="0" t="s">
        <v>3013</v>
      </c>
      <c r="C489" s="0" t="s">
        <v>3034</v>
      </c>
      <c r="D489" s="0" t="n">
        <v>-29.7228081420955</v>
      </c>
      <c r="E489" s="0" t="n">
        <v>0.33143931693718</v>
      </c>
      <c r="F489" s="0" t="n">
        <v>11.1305667857401</v>
      </c>
      <c r="G489" s="0" t="n">
        <v>0.742177722152691</v>
      </c>
      <c r="H489" s="0" t="n">
        <v>0.889862327909887</v>
      </c>
      <c r="I489" s="0" t="n">
        <v>0.502556950255695</v>
      </c>
      <c r="J489" s="0" t="n">
        <v>0.75332741007617</v>
      </c>
      <c r="K489" s="0" t="n">
        <v>0.667715717403612</v>
      </c>
      <c r="L489" s="1" t="b">
        <f aca="false">TRUE()</f>
        <v>1</v>
      </c>
      <c r="M489" s="0" t="s">
        <v>3035</v>
      </c>
      <c r="N489" s="0" t="n">
        <v>0</v>
      </c>
      <c r="O489" s="0" t="n">
        <v>0</v>
      </c>
      <c r="P489" s="0" t="n">
        <v>1</v>
      </c>
      <c r="Q489" s="0" t="n">
        <v>29.7228081420955</v>
      </c>
      <c r="R489" s="0" t="n">
        <v>12.9967911370832</v>
      </c>
      <c r="S489" s="0" t="n">
        <v>9.12052117263845</v>
      </c>
      <c r="T489" s="0" t="n">
        <v>0.0930665425779445</v>
      </c>
      <c r="U489" s="0" t="n">
        <v>0.641562064156206</v>
      </c>
      <c r="V489" s="0" t="n">
        <v>0.852161785216179</v>
      </c>
      <c r="W489" s="0" t="n">
        <v>0.0139470013947001</v>
      </c>
      <c r="X489" s="0" t="n">
        <v>0.33143931693718</v>
      </c>
      <c r="Y489" s="0" t="n">
        <v>11.1305667857401</v>
      </c>
      <c r="Z489" s="0" t="n">
        <v>0.75332741007617</v>
      </c>
      <c r="AA489" s="0" t="n">
        <v>0</v>
      </c>
    </row>
    <row r="490" customFormat="false" ht="15" hidden="false" customHeight="false" outlineLevel="0" collapsed="false">
      <c r="A490" s="0" t="s">
        <v>524</v>
      </c>
      <c r="B490" s="0" t="s">
        <v>3013</v>
      </c>
      <c r="C490" s="0" t="s">
        <v>3033</v>
      </c>
      <c r="D490" s="0" t="n">
        <v>38.3396119711537</v>
      </c>
      <c r="E490" s="0" t="n">
        <v>0.264148160246105</v>
      </c>
      <c r="F490" s="0" t="n">
        <v>7.56771514480741</v>
      </c>
      <c r="G490" s="0" t="n">
        <v>0.360450563204005</v>
      </c>
      <c r="H490" s="0" t="n">
        <v>0.491864831038799</v>
      </c>
      <c r="I490" s="0" t="n">
        <v>0.540678754067875</v>
      </c>
      <c r="J490" s="0" t="n">
        <v>0.449061908510697</v>
      </c>
      <c r="K490" s="0" t="n">
        <v>0.667715717403612</v>
      </c>
      <c r="L490" s="1" t="b">
        <f aca="false">FALSE()</f>
        <v>0</v>
      </c>
      <c r="N490" s="0" t="n">
        <v>29.7228081420954</v>
      </c>
      <c r="O490" s="0" t="n">
        <v>1</v>
      </c>
      <c r="P490" s="0" t="n">
        <v>0</v>
      </c>
      <c r="Q490" s="0" t="n">
        <v>0</v>
      </c>
      <c r="R490" s="0" t="n">
        <v>11.1591512820791</v>
      </c>
      <c r="S490" s="0" t="n">
        <v>3.81135707410972</v>
      </c>
      <c r="T490" s="0" t="n">
        <v>0.23099133782484</v>
      </c>
      <c r="U490" s="0" t="n">
        <v>0.548117154811716</v>
      </c>
      <c r="V490" s="0" t="n">
        <v>0.570432357043236</v>
      </c>
      <c r="W490" s="0" t="n">
        <v>0.503486750348675</v>
      </c>
      <c r="X490" s="0" t="n">
        <v>0.264148160246105</v>
      </c>
      <c r="Y490" s="0" t="n">
        <v>7.56771514480741</v>
      </c>
      <c r="Z490" s="0" t="n">
        <v>0.449061908510697</v>
      </c>
      <c r="AA490" s="0" t="n">
        <v>0</v>
      </c>
    </row>
    <row r="491" customFormat="false" ht="15" hidden="false" customHeight="false" outlineLevel="0" collapsed="false">
      <c r="A491" s="0" t="s">
        <v>525</v>
      </c>
      <c r="B491" s="0" t="s">
        <v>3013</v>
      </c>
      <c r="C491" s="0" t="s">
        <v>3033</v>
      </c>
      <c r="D491" s="0" t="n">
        <v>15.2994876460649</v>
      </c>
      <c r="E491" s="0" t="n">
        <v>0.228417986583045</v>
      </c>
      <c r="F491" s="0" t="n">
        <v>3.8439556056656</v>
      </c>
      <c r="G491" s="0" t="n">
        <v>0.167709637046308</v>
      </c>
      <c r="H491" s="0" t="n">
        <v>0.0450563204005006</v>
      </c>
      <c r="I491" s="0" t="n">
        <v>0.417945141794514</v>
      </c>
      <c r="J491" s="0" t="n">
        <v>0.168695411337626</v>
      </c>
      <c r="K491" s="0" t="n">
        <v>0.667715717403612</v>
      </c>
      <c r="L491" s="1" t="b">
        <f aca="false">FALSE()</f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6.44074293635509</v>
      </c>
      <c r="S491" s="0" t="n">
        <v>2.24171539961013</v>
      </c>
      <c r="T491" s="0" t="n">
        <v>0.268031189083819</v>
      </c>
      <c r="U491" s="0" t="n">
        <v>0.271966527196653</v>
      </c>
      <c r="V491" s="0" t="n">
        <v>0.320781032078103</v>
      </c>
      <c r="W491" s="0" t="n">
        <v>0.661087866108787</v>
      </c>
      <c r="X491" s="0" t="n">
        <v>0.228417986583045</v>
      </c>
      <c r="Y491" s="0" t="n">
        <v>3.8439556056656</v>
      </c>
      <c r="Z491" s="0" t="n">
        <v>0.168695411337626</v>
      </c>
      <c r="AA491" s="0" t="n">
        <v>-2.77555756156289E-017</v>
      </c>
    </row>
    <row r="492" customFormat="false" ht="15" hidden="false" customHeight="false" outlineLevel="0" collapsed="false">
      <c r="A492" s="0" t="s">
        <v>526</v>
      </c>
      <c r="B492" s="0" t="s">
        <v>3013</v>
      </c>
      <c r="C492" s="0" t="s">
        <v>3033</v>
      </c>
      <c r="D492" s="0" t="n">
        <v>18.7769110128508</v>
      </c>
      <c r="E492" s="0" t="n">
        <v>0.289328987135709</v>
      </c>
      <c r="F492" s="0" t="n">
        <v>6.57729869953886</v>
      </c>
      <c r="G492" s="0" t="n">
        <v>0.520650813516896</v>
      </c>
      <c r="H492" s="0" t="n">
        <v>0.359198998748436</v>
      </c>
      <c r="I492" s="0" t="n">
        <v>0.237563923756392</v>
      </c>
      <c r="J492" s="0" t="n">
        <v>0.399452709657411</v>
      </c>
      <c r="K492" s="0" t="n">
        <v>0.667715717403612</v>
      </c>
      <c r="L492" s="1" t="b">
        <f aca="false">FALSE()</f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5.12361561695972</v>
      </c>
      <c r="S492" s="0" t="n">
        <v>2.75376240794109</v>
      </c>
      <c r="T492" s="0" t="n">
        <v>0.16010246557797</v>
      </c>
      <c r="U492" s="0" t="n">
        <v>0.142259414225941</v>
      </c>
      <c r="V492" s="0" t="n">
        <v>0.435146443514644</v>
      </c>
      <c r="W492" s="0" t="n">
        <v>0.135285913528591</v>
      </c>
      <c r="X492" s="0" t="n">
        <v>0.289328987135709</v>
      </c>
      <c r="Y492" s="0" t="n">
        <v>6.57729869953886</v>
      </c>
      <c r="Z492" s="0" t="n">
        <v>0.399452709657411</v>
      </c>
      <c r="AA492" s="0" t="n">
        <v>5.55111512312578E-017</v>
      </c>
    </row>
    <row r="493" customFormat="false" ht="15" hidden="false" customHeight="false" outlineLevel="0" collapsed="false">
      <c r="A493" s="0" t="s">
        <v>527</v>
      </c>
      <c r="B493" s="0" t="s">
        <v>3013</v>
      </c>
      <c r="C493" s="0" t="s">
        <v>3038</v>
      </c>
      <c r="D493" s="0" t="n">
        <v>25.3846525439916</v>
      </c>
      <c r="E493" s="0" t="n">
        <v>0.133235465954859</v>
      </c>
      <c r="F493" s="0" t="n">
        <v>2.36934081900101</v>
      </c>
      <c r="G493" s="0" t="n">
        <v>0.00876095118898623</v>
      </c>
      <c r="H493" s="0" t="n">
        <v>0.0125156445556946</v>
      </c>
      <c r="I493" s="0" t="n">
        <v>0.783821478382148</v>
      </c>
      <c r="J493" s="0" t="n">
        <v>0.165274933974302</v>
      </c>
      <c r="K493" s="0" t="n">
        <v>0.667715717403612</v>
      </c>
      <c r="L493" s="1" t="b">
        <f aca="false">FALSE()</f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45.7729554598222</v>
      </c>
      <c r="S493" s="0" t="n">
        <v>10.0649350649351</v>
      </c>
      <c r="T493" s="0" t="n">
        <v>0.229182582123756</v>
      </c>
      <c r="U493" s="0" t="n">
        <v>0.97071129707113</v>
      </c>
      <c r="V493" s="0" t="n">
        <v>0.884239888423989</v>
      </c>
      <c r="W493" s="0" t="n">
        <v>0.496513249651325</v>
      </c>
      <c r="X493" s="0" t="n">
        <v>0.133235465954859</v>
      </c>
      <c r="Y493" s="0" t="n">
        <v>2.36934081900101</v>
      </c>
      <c r="Z493" s="0" t="n">
        <v>0.165274933974302</v>
      </c>
      <c r="AA493" s="0" t="n">
        <v>2.77555756156289E-017</v>
      </c>
    </row>
    <row r="494" customFormat="false" ht="15" hidden="false" customHeight="false" outlineLevel="0" collapsed="false">
      <c r="A494" s="0" t="s">
        <v>528</v>
      </c>
      <c r="B494" s="0" t="s">
        <v>3013</v>
      </c>
      <c r="C494" s="0" t="s">
        <v>3033</v>
      </c>
      <c r="D494" s="0" t="n">
        <v>11.5359383042272</v>
      </c>
      <c r="E494" s="0" t="n">
        <v>0.283538634364512</v>
      </c>
      <c r="F494" s="0" t="n">
        <v>8.22710574280037</v>
      </c>
      <c r="G494" s="0" t="n">
        <v>0.478097622027534</v>
      </c>
      <c r="H494" s="0" t="n">
        <v>0.570713391739675</v>
      </c>
      <c r="I494" s="0" t="n">
        <v>0.304509530450953</v>
      </c>
      <c r="J494" s="0" t="n">
        <v>0.480426311597074</v>
      </c>
      <c r="K494" s="0" t="n">
        <v>0.667715717403612</v>
      </c>
      <c r="L494" s="1" t="b">
        <f aca="false">FALSE()</f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5.93232719883543</v>
      </c>
      <c r="S494" s="0" t="n">
        <v>1.61673799334283</v>
      </c>
      <c r="T494" s="0" t="n">
        <v>0.237755587256301</v>
      </c>
      <c r="U494" s="0" t="n">
        <v>0.220362622036262</v>
      </c>
      <c r="V494" s="0" t="n">
        <v>0.163179916317992</v>
      </c>
      <c r="W494" s="0" t="n">
        <v>0.529986052998605</v>
      </c>
      <c r="X494" s="0" t="n">
        <v>0.283538634364512</v>
      </c>
      <c r="Y494" s="0" t="n">
        <v>8.22710574280036</v>
      </c>
      <c r="Z494" s="0" t="n">
        <v>0.480426311597074</v>
      </c>
      <c r="AA494" s="0" t="n">
        <v>0</v>
      </c>
    </row>
    <row r="495" customFormat="false" ht="15" hidden="false" customHeight="false" outlineLevel="0" collapsed="false">
      <c r="A495" s="0" t="s">
        <v>529</v>
      </c>
      <c r="B495" s="0" t="s">
        <v>3013</v>
      </c>
      <c r="C495" s="0" t="s">
        <v>3037</v>
      </c>
      <c r="D495" s="0" t="n">
        <v>27.0221218848833</v>
      </c>
      <c r="E495" s="0" t="n">
        <v>0.336278292572583</v>
      </c>
      <c r="F495" s="0" t="n">
        <v>8.93477114697843</v>
      </c>
      <c r="G495" s="0" t="n">
        <v>0.763454317897372</v>
      </c>
      <c r="H495" s="0" t="n">
        <v>0.670838548185232</v>
      </c>
      <c r="I495" s="0" t="n">
        <v>0.281729428172943</v>
      </c>
      <c r="J495" s="0" t="n">
        <v>0.63006303206763</v>
      </c>
      <c r="K495" s="0" t="n">
        <v>0.667715717403612</v>
      </c>
      <c r="L495" s="1" t="b">
        <f aca="false">FALSE()</f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6.16473945169046</v>
      </c>
      <c r="S495" s="0" t="n">
        <v>1.69700709657513</v>
      </c>
      <c r="T495" s="0" t="n">
        <v>0.215982721382295</v>
      </c>
      <c r="U495" s="0" t="n">
        <v>0.234309623430962</v>
      </c>
      <c r="V495" s="0" t="n">
        <v>0.191073919107392</v>
      </c>
      <c r="W495" s="0" t="n">
        <v>0.419804741980474</v>
      </c>
      <c r="X495" s="0" t="n">
        <v>0.336278292572583</v>
      </c>
      <c r="Y495" s="0" t="n">
        <v>8.93477114697843</v>
      </c>
      <c r="Z495" s="0" t="n">
        <v>0.63006303206763</v>
      </c>
      <c r="AA495" s="0" t="n">
        <v>0</v>
      </c>
    </row>
    <row r="496" customFormat="false" ht="15" hidden="false" customHeight="false" outlineLevel="0" collapsed="false">
      <c r="A496" s="0" t="s">
        <v>530</v>
      </c>
      <c r="B496" s="0" t="s">
        <v>3013</v>
      </c>
      <c r="C496" s="0" t="s">
        <v>3033</v>
      </c>
      <c r="D496" s="0" t="n">
        <v>26.3556859147595</v>
      </c>
      <c r="E496" s="0" t="n">
        <v>0.26475975918808</v>
      </c>
      <c r="F496" s="0" t="n">
        <v>6.54926013419998</v>
      </c>
      <c r="G496" s="0" t="n">
        <v>0.366708385481852</v>
      </c>
      <c r="H496" s="0" t="n">
        <v>0.34918648310388</v>
      </c>
      <c r="I496" s="0" t="n">
        <v>0.259414225941423</v>
      </c>
      <c r="J496" s="0" t="n">
        <v>0.338240792622577</v>
      </c>
      <c r="K496" s="0" t="n">
        <v>0.667715717403612</v>
      </c>
      <c r="L496" s="1" t="b">
        <f aca="false">FALSE()</f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6.89372648864752</v>
      </c>
      <c r="S496" s="0" t="n">
        <v>2.13252094440214</v>
      </c>
      <c r="T496" s="0" t="n">
        <v>0.171363290175167</v>
      </c>
      <c r="U496" s="0" t="n">
        <v>0.302649930264993</v>
      </c>
      <c r="V496" s="0" t="n">
        <v>0.301255230125523</v>
      </c>
      <c r="W496" s="0" t="n">
        <v>0.174337517433752</v>
      </c>
      <c r="X496" s="0" t="n">
        <v>0.26475975918808</v>
      </c>
      <c r="Y496" s="0" t="n">
        <v>6.54926013419998</v>
      </c>
      <c r="Z496" s="0" t="n">
        <v>0.338240792622577</v>
      </c>
      <c r="AA496" s="0" t="n">
        <v>5.55111512312578E-017</v>
      </c>
    </row>
    <row r="497" customFormat="false" ht="15" hidden="false" customHeight="false" outlineLevel="0" collapsed="false">
      <c r="A497" s="0" t="s">
        <v>531</v>
      </c>
      <c r="B497" s="0" t="s">
        <v>3013</v>
      </c>
      <c r="C497" s="0" t="s">
        <v>3036</v>
      </c>
      <c r="D497" s="0" t="n">
        <v>29.3650894001619</v>
      </c>
      <c r="E497" s="0" t="n">
        <v>0.342126345417156</v>
      </c>
      <c r="F497" s="0" t="n">
        <v>6.50570415937991</v>
      </c>
      <c r="G497" s="0" t="n">
        <v>0.7909887359199</v>
      </c>
      <c r="H497" s="0" t="n">
        <v>0.342928660826033</v>
      </c>
      <c r="I497" s="0" t="n">
        <v>0.414225941422594</v>
      </c>
      <c r="J497" s="0" t="n">
        <v>0.536412146982892</v>
      </c>
      <c r="K497" s="0" t="n">
        <v>0.667715717403612</v>
      </c>
      <c r="L497" s="1" t="b">
        <f aca="false">FALSE()</f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6.63190684069007</v>
      </c>
      <c r="S497" s="0" t="n">
        <v>3.61681329423265</v>
      </c>
      <c r="T497" s="0" t="n">
        <v>0.215053763440865</v>
      </c>
      <c r="U497" s="0" t="n">
        <v>0.285913528591353</v>
      </c>
      <c r="V497" s="0" t="n">
        <v>0.543933054393305</v>
      </c>
      <c r="W497" s="0" t="n">
        <v>0.412831241283124</v>
      </c>
      <c r="X497" s="0" t="n">
        <v>0.342126345417156</v>
      </c>
      <c r="Y497" s="0" t="n">
        <v>6.50570415937991</v>
      </c>
      <c r="Z497" s="0" t="n">
        <v>0.536412146982892</v>
      </c>
      <c r="AA497" s="0" t="n">
        <v>0</v>
      </c>
    </row>
    <row r="498" customFormat="false" ht="15" hidden="false" customHeight="false" outlineLevel="0" collapsed="false">
      <c r="A498" s="0" t="s">
        <v>532</v>
      </c>
      <c r="B498" s="0" t="s">
        <v>3013</v>
      </c>
      <c r="C498" s="0" t="s">
        <v>3034</v>
      </c>
      <c r="D498" s="0" t="n">
        <v>-39.8429014660043</v>
      </c>
      <c r="E498" s="0" t="n">
        <v>0.249752044689011</v>
      </c>
      <c r="F498" s="0" t="n">
        <v>8.7087843217966</v>
      </c>
      <c r="G498" s="0" t="n">
        <v>0.265331664580726</v>
      </c>
      <c r="H498" s="0" t="n">
        <v>0.634543178973717</v>
      </c>
      <c r="I498" s="0" t="n">
        <v>0.844258484425848</v>
      </c>
      <c r="J498" s="0" t="n">
        <v>0.528801634306947</v>
      </c>
      <c r="K498" s="0" t="n">
        <v>0.667715717403612</v>
      </c>
      <c r="L498" s="1" t="b">
        <f aca="false">FALSE()</f>
        <v>0</v>
      </c>
      <c r="N498" s="0" t="n">
        <v>0</v>
      </c>
      <c r="O498" s="0" t="n">
        <v>0</v>
      </c>
      <c r="P498" s="0" t="n">
        <v>1</v>
      </c>
      <c r="Q498" s="0" t="n">
        <v>39.8429014660043</v>
      </c>
      <c r="R498" s="0" t="n">
        <v>13.7448289271642</v>
      </c>
      <c r="S498" s="0" t="n">
        <v>28.9925208974923</v>
      </c>
      <c r="T498" s="0" t="n">
        <v>0.395952485701706</v>
      </c>
      <c r="U498" s="0" t="n">
        <v>0.670850767085077</v>
      </c>
      <c r="V498" s="0" t="n">
        <v>0.98465829846583</v>
      </c>
      <c r="W498" s="0" t="n">
        <v>0.877266387726639</v>
      </c>
      <c r="X498" s="0" t="n">
        <v>0.249752044689011</v>
      </c>
      <c r="Y498" s="0" t="n">
        <v>8.7087843217966</v>
      </c>
      <c r="Z498" s="0" t="n">
        <v>0.528801634306947</v>
      </c>
      <c r="AA498" s="0" t="n">
        <v>0</v>
      </c>
    </row>
    <row r="499" customFormat="false" ht="15" hidden="false" customHeight="false" outlineLevel="0" collapsed="false">
      <c r="A499" s="0" t="s">
        <v>533</v>
      </c>
      <c r="B499" s="0" t="s">
        <v>3013</v>
      </c>
      <c r="C499" s="0" t="s">
        <v>3033</v>
      </c>
      <c r="D499" s="0" t="n">
        <v>7.05359865147343</v>
      </c>
      <c r="E499" s="0" t="n">
        <v>0.292078955291339</v>
      </c>
      <c r="F499" s="0" t="n">
        <v>8.20511367842612</v>
      </c>
      <c r="G499" s="0" t="n">
        <v>0.53566958698373</v>
      </c>
      <c r="H499" s="0" t="n">
        <v>0.565707133917397</v>
      </c>
      <c r="I499" s="0" t="n">
        <v>0.175732217573222</v>
      </c>
      <c r="J499" s="0" t="n">
        <v>0.475697131875095</v>
      </c>
      <c r="K499" s="0" t="n">
        <v>0.667715717403612</v>
      </c>
      <c r="L499" s="1" t="b">
        <f aca="false">FALSE()</f>
        <v>0</v>
      </c>
      <c r="N499" s="0" t="n">
        <v>39.8429014660042</v>
      </c>
      <c r="O499" s="0" t="n">
        <v>1</v>
      </c>
      <c r="P499" s="0" t="n">
        <v>0</v>
      </c>
      <c r="Q499" s="0" t="n">
        <v>0</v>
      </c>
      <c r="R499" s="0" t="n">
        <v>3.63746052024751</v>
      </c>
      <c r="S499" s="0" t="n">
        <v>1.69270833333335</v>
      </c>
      <c r="T499" s="0" t="n">
        <v>0.195312500000001</v>
      </c>
      <c r="U499" s="0" t="n">
        <v>0.0502092050209205</v>
      </c>
      <c r="V499" s="0" t="n">
        <v>0.188284518828452</v>
      </c>
      <c r="W499" s="0" t="n">
        <v>0.288702928870293</v>
      </c>
      <c r="X499" s="0" t="n">
        <v>0.292078955291339</v>
      </c>
      <c r="Y499" s="0" t="n">
        <v>8.20511367842612</v>
      </c>
      <c r="Z499" s="0" t="n">
        <v>0.475697131875095</v>
      </c>
      <c r="AA499" s="0" t="n">
        <v>0</v>
      </c>
    </row>
    <row r="500" customFormat="false" ht="15" hidden="false" customHeight="false" outlineLevel="0" collapsed="false">
      <c r="A500" s="0" t="s">
        <v>534</v>
      </c>
      <c r="B500" s="0" t="s">
        <v>3013</v>
      </c>
      <c r="C500" s="0" t="s">
        <v>3038</v>
      </c>
      <c r="D500" s="0" t="n">
        <v>57.8206747207703</v>
      </c>
      <c r="E500" s="0" t="n">
        <v>0.188203514380003</v>
      </c>
      <c r="F500" s="0" t="n">
        <v>6.74406902588709</v>
      </c>
      <c r="G500" s="0" t="n">
        <v>0.081351689612015</v>
      </c>
      <c r="H500" s="0" t="n">
        <v>0.385481852315394</v>
      </c>
      <c r="I500" s="0" t="n">
        <v>0.837284983728499</v>
      </c>
      <c r="J500" s="0" t="n">
        <v>0.354190413516663</v>
      </c>
      <c r="K500" s="0" t="n">
        <v>0.667715717403612</v>
      </c>
      <c r="L500" s="1" t="b">
        <f aca="false">FALSE()</f>
        <v>0</v>
      </c>
      <c r="N500" s="0" t="n">
        <v>32.7893028145309</v>
      </c>
      <c r="O500" s="0" t="n">
        <v>0</v>
      </c>
      <c r="P500" s="0" t="n">
        <v>0</v>
      </c>
      <c r="Q500" s="0" t="n">
        <v>0</v>
      </c>
      <c r="R500" s="0" t="n">
        <v>27.4049315648361</v>
      </c>
      <c r="S500" s="0" t="n">
        <v>21.2271341463415</v>
      </c>
      <c r="T500" s="0" t="n">
        <v>0.266768292682933</v>
      </c>
      <c r="U500" s="0" t="n">
        <v>0.892608089260809</v>
      </c>
      <c r="V500" s="0" t="n">
        <v>0.96373779637378</v>
      </c>
      <c r="W500" s="0" t="n">
        <v>0.655509065550907</v>
      </c>
      <c r="X500" s="0" t="n">
        <v>0.188203514380003</v>
      </c>
      <c r="Y500" s="0" t="n">
        <v>6.74406902588709</v>
      </c>
      <c r="Z500" s="0" t="n">
        <v>0.354190413516663</v>
      </c>
      <c r="AA500" s="0" t="n">
        <v>0</v>
      </c>
    </row>
    <row r="501" customFormat="false" ht="15" hidden="false" customHeight="false" outlineLevel="0" collapsed="false">
      <c r="A501" s="0" t="s">
        <v>535</v>
      </c>
      <c r="B501" s="0" t="s">
        <v>3013</v>
      </c>
      <c r="C501" s="0" t="s">
        <v>3033</v>
      </c>
      <c r="D501" s="0" t="n">
        <v>-36.4026509720218</v>
      </c>
      <c r="E501" s="0" t="n">
        <v>0.276900882038828</v>
      </c>
      <c r="F501" s="0" t="n">
        <v>7.56735880197286</v>
      </c>
      <c r="G501" s="0" t="n">
        <v>0.44305381727159</v>
      </c>
      <c r="H501" s="0" t="n">
        <v>0.490613266583229</v>
      </c>
      <c r="I501" s="0" t="n">
        <v>0.383077638307764</v>
      </c>
      <c r="J501" s="0" t="n">
        <v>0.45008236120348</v>
      </c>
      <c r="K501" s="0" t="n">
        <v>0.667715717403612</v>
      </c>
      <c r="L501" s="1" t="b">
        <f aca="false">FALSE()</f>
        <v>0</v>
      </c>
      <c r="N501" s="0" t="n">
        <v>0</v>
      </c>
      <c r="O501" s="0" t="n">
        <v>0</v>
      </c>
      <c r="P501" s="0" t="n">
        <v>1</v>
      </c>
      <c r="Q501" s="0" t="n">
        <v>36.4026509720218</v>
      </c>
      <c r="R501" s="0" t="n">
        <v>7.60412312453799</v>
      </c>
      <c r="S501" s="0" t="n">
        <v>3.63636363636364</v>
      </c>
      <c r="T501" s="0" t="n">
        <v>0.185950413223142</v>
      </c>
      <c r="U501" s="0" t="n">
        <v>0.359832635983264</v>
      </c>
      <c r="V501" s="0" t="n">
        <v>0.550906555090656</v>
      </c>
      <c r="W501" s="0" t="n">
        <v>0.238493723849372</v>
      </c>
      <c r="X501" s="0" t="n">
        <v>0.276900882038828</v>
      </c>
      <c r="Y501" s="0" t="n">
        <v>7.56735880197286</v>
      </c>
      <c r="Z501" s="0" t="n">
        <v>0.45008236120348</v>
      </c>
      <c r="AA501" s="0" t="n">
        <v>0</v>
      </c>
    </row>
    <row r="502" customFormat="false" ht="15" hidden="false" customHeight="false" outlineLevel="0" collapsed="false">
      <c r="A502" s="0" t="s">
        <v>536</v>
      </c>
      <c r="B502" s="0" t="s">
        <v>3013</v>
      </c>
      <c r="C502" s="0" t="s">
        <v>3033</v>
      </c>
      <c r="D502" s="0" t="n">
        <v>4.55029253585794</v>
      </c>
      <c r="E502" s="0" t="n">
        <v>0.298227231598119</v>
      </c>
      <c r="F502" s="0" t="n">
        <v>8.98776248707886</v>
      </c>
      <c r="G502" s="0" t="n">
        <v>0.55819774718398</v>
      </c>
      <c r="H502" s="0" t="n">
        <v>0.683354192740926</v>
      </c>
      <c r="I502" s="0" t="n">
        <v>0.509995350999535</v>
      </c>
      <c r="J502" s="0" t="n">
        <v>0.59861984616987</v>
      </c>
      <c r="K502" s="0" t="n">
        <v>0.667715717403612</v>
      </c>
      <c r="L502" s="1" t="b">
        <f aca="false">FALSE()</f>
        <v>0</v>
      </c>
      <c r="N502" s="0" t="n">
        <v>36.4026509720216</v>
      </c>
      <c r="O502" s="0" t="n">
        <v>1</v>
      </c>
      <c r="P502" s="0" t="n">
        <v>0</v>
      </c>
      <c r="Q502" s="0" t="n">
        <v>0</v>
      </c>
      <c r="R502" s="0" t="n">
        <v>10.5378348802325</v>
      </c>
      <c r="S502" s="0" t="n">
        <v>4.23887587822015</v>
      </c>
      <c r="T502" s="0" t="n">
        <v>0.210772833723655</v>
      </c>
      <c r="U502" s="0" t="n">
        <v>0.529986052998605</v>
      </c>
      <c r="V502" s="0" t="n">
        <v>0.615062761506276</v>
      </c>
      <c r="W502" s="0" t="n">
        <v>0.384937238493724</v>
      </c>
      <c r="X502" s="0" t="n">
        <v>0.298227231598119</v>
      </c>
      <c r="Y502" s="0" t="n">
        <v>8.98776248707886</v>
      </c>
      <c r="Z502" s="0" t="n">
        <v>0.59861984616987</v>
      </c>
      <c r="AA502" s="0" t="n">
        <v>0</v>
      </c>
    </row>
    <row r="503" customFormat="false" ht="15" hidden="false" customHeight="false" outlineLevel="0" collapsed="false">
      <c r="A503" s="0" t="s">
        <v>537</v>
      </c>
      <c r="B503" s="0" t="s">
        <v>3013</v>
      </c>
      <c r="C503" s="0" t="s">
        <v>3038</v>
      </c>
      <c r="D503" s="0" t="n">
        <v>-10.4631998144482</v>
      </c>
      <c r="E503" s="0" t="n">
        <v>0.311271692771423</v>
      </c>
      <c r="F503" s="0" t="n">
        <v>10.0024966102962</v>
      </c>
      <c r="G503" s="0" t="n">
        <v>0.622027534418023</v>
      </c>
      <c r="H503" s="0" t="n">
        <v>0.7909887359199</v>
      </c>
      <c r="I503" s="0" t="n">
        <v>0.620641562064156</v>
      </c>
      <c r="J503" s="0" t="n">
        <v>0.689334820548</v>
      </c>
      <c r="K503" s="0" t="n">
        <v>0.667715717403612</v>
      </c>
      <c r="L503" s="1" t="b">
        <f aca="false">TRUE()</f>
        <v>1</v>
      </c>
      <c r="M503" s="0" t="s">
        <v>3035</v>
      </c>
      <c r="N503" s="0" t="n">
        <v>31.8523584361637</v>
      </c>
      <c r="O503" s="0" t="n">
        <v>0</v>
      </c>
      <c r="P503" s="0" t="n">
        <v>1</v>
      </c>
      <c r="Q503" s="0" t="n">
        <v>10.4631998144482</v>
      </c>
      <c r="R503" s="0" t="n">
        <v>20.1768387825744</v>
      </c>
      <c r="S503" s="0" t="n">
        <v>8.974358974359</v>
      </c>
      <c r="T503" s="0" t="n">
        <v>0.183150183150183</v>
      </c>
      <c r="U503" s="0" t="n">
        <v>0.790794979079498</v>
      </c>
      <c r="V503" s="0" t="n">
        <v>0.845188284518828</v>
      </c>
      <c r="W503" s="0" t="n">
        <v>0.225941422594142</v>
      </c>
      <c r="X503" s="0" t="n">
        <v>0.311271692771423</v>
      </c>
      <c r="Y503" s="0" t="n">
        <v>10.0024966102962</v>
      </c>
      <c r="Z503" s="0" t="n">
        <v>0.689334820548</v>
      </c>
      <c r="AA503" s="0" t="n">
        <v>0</v>
      </c>
    </row>
    <row r="504" customFormat="false" ht="15" hidden="false" customHeight="false" outlineLevel="0" collapsed="false">
      <c r="A504" s="0" t="s">
        <v>538</v>
      </c>
      <c r="B504" s="0" t="s">
        <v>3013</v>
      </c>
      <c r="C504" s="0" t="s">
        <v>3033</v>
      </c>
      <c r="D504" s="0" t="n">
        <v>6.36303732862081</v>
      </c>
      <c r="E504" s="0" t="n">
        <v>0.330600564252363</v>
      </c>
      <c r="F504" s="0" t="n">
        <v>8.38669409210329</v>
      </c>
      <c r="G504" s="0" t="n">
        <v>0.738423028785982</v>
      </c>
      <c r="H504" s="0" t="n">
        <v>0.591989987484356</v>
      </c>
      <c r="I504" s="0" t="n">
        <v>0.311018131101813</v>
      </c>
      <c r="J504" s="0" t="n">
        <v>0.594368832728498</v>
      </c>
      <c r="K504" s="0" t="n">
        <v>0.667715717403612</v>
      </c>
      <c r="L504" s="1" t="b">
        <f aca="false">FALSE()</f>
        <v>0</v>
      </c>
      <c r="N504" s="0" t="n">
        <v>42.3155582506124</v>
      </c>
      <c r="O504" s="0" t="n">
        <v>1</v>
      </c>
      <c r="P504" s="0" t="n">
        <v>0</v>
      </c>
      <c r="Q504" s="0" t="n">
        <v>0</v>
      </c>
      <c r="R504" s="0" t="n">
        <v>7.97549636671965</v>
      </c>
      <c r="S504" s="0" t="n">
        <v>2.76104417670685</v>
      </c>
      <c r="T504" s="0" t="n">
        <v>0.15060240963855</v>
      </c>
      <c r="U504" s="0" t="n">
        <v>0.387726638772664</v>
      </c>
      <c r="V504" s="0" t="n">
        <v>0.437935843793584</v>
      </c>
      <c r="W504" s="0" t="n">
        <v>0.107391910739191</v>
      </c>
      <c r="X504" s="0" t="n">
        <v>0.330600564252363</v>
      </c>
      <c r="Y504" s="0" t="n">
        <v>8.38669409210329</v>
      </c>
      <c r="Z504" s="0" t="n">
        <v>0.594368832728498</v>
      </c>
      <c r="AA504" s="0" t="n">
        <v>0</v>
      </c>
    </row>
    <row r="505" customFormat="false" ht="15" hidden="false" customHeight="false" outlineLevel="0" collapsed="false">
      <c r="A505" s="0" t="s">
        <v>539</v>
      </c>
      <c r="B505" s="0" t="s">
        <v>3013</v>
      </c>
      <c r="C505" s="0" t="s">
        <v>3033</v>
      </c>
      <c r="D505" s="0" t="n">
        <v>17.1422524668678</v>
      </c>
      <c r="E505" s="0" t="n">
        <v>0.251268460440317</v>
      </c>
      <c r="F505" s="0" t="n">
        <v>5.8238681528826</v>
      </c>
      <c r="G505" s="0" t="n">
        <v>0.274092615769712</v>
      </c>
      <c r="H505" s="0" t="n">
        <v>0.242803504380476</v>
      </c>
      <c r="I505" s="0" t="n">
        <v>0.277545327754533</v>
      </c>
      <c r="J505" s="0" t="n">
        <v>0.262267513610982</v>
      </c>
      <c r="K505" s="0" t="n">
        <v>0.667715717403612</v>
      </c>
      <c r="L505" s="1" t="b">
        <f aca="false">FALSE()</f>
        <v>0</v>
      </c>
      <c r="N505" s="0" t="n">
        <v>35.9525209219919</v>
      </c>
      <c r="O505" s="0" t="n">
        <v>0</v>
      </c>
      <c r="P505" s="0" t="n">
        <v>0</v>
      </c>
      <c r="Q505" s="0" t="n">
        <v>0</v>
      </c>
      <c r="R505" s="0" t="n">
        <v>7.30531010365005</v>
      </c>
      <c r="S505" s="0" t="n">
        <v>1.23030433844162</v>
      </c>
      <c r="T505" s="0" t="n">
        <v>0.215842866393266</v>
      </c>
      <c r="U505" s="0" t="n">
        <v>0.336122733612273</v>
      </c>
      <c r="V505" s="0" t="n">
        <v>0.0781032078103208</v>
      </c>
      <c r="W505" s="0" t="n">
        <v>0.418410041841004</v>
      </c>
      <c r="X505" s="0" t="n">
        <v>0.251268460440317</v>
      </c>
      <c r="Y505" s="0" t="n">
        <v>5.8238681528826</v>
      </c>
      <c r="Z505" s="0" t="n">
        <v>0.262267513610982</v>
      </c>
      <c r="AA505" s="0" t="n">
        <v>-5.55111512312578E-017</v>
      </c>
    </row>
    <row r="506" customFormat="false" ht="15" hidden="false" customHeight="false" outlineLevel="0" collapsed="false">
      <c r="A506" s="0" t="s">
        <v>540</v>
      </c>
      <c r="B506" s="0" t="s">
        <v>3013</v>
      </c>
      <c r="C506" s="0" t="s">
        <v>3033</v>
      </c>
      <c r="D506" s="0" t="n">
        <v>24.9458001828865</v>
      </c>
      <c r="E506" s="0" t="n">
        <v>0.321317786654868</v>
      </c>
      <c r="F506" s="0" t="n">
        <v>9.21224401799797</v>
      </c>
      <c r="G506" s="0" t="n">
        <v>0.680851063829787</v>
      </c>
      <c r="H506" s="0" t="n">
        <v>0.705882352941177</v>
      </c>
      <c r="I506" s="0" t="n">
        <v>0.235704323570432</v>
      </c>
      <c r="J506" s="0" t="n">
        <v>0.601834231422472</v>
      </c>
      <c r="K506" s="0" t="n">
        <v>0.667715717403612</v>
      </c>
      <c r="L506" s="1" t="b">
        <f aca="false">FALSE()</f>
        <v>0</v>
      </c>
      <c r="N506" s="0" t="n">
        <v>18.8102684551241</v>
      </c>
      <c r="O506" s="0" t="n">
        <v>0</v>
      </c>
      <c r="P506" s="0" t="n">
        <v>0</v>
      </c>
      <c r="Q506" s="0" t="n">
        <v>0</v>
      </c>
      <c r="R506" s="0" t="n">
        <v>5.61660177619415</v>
      </c>
      <c r="S506" s="0" t="n">
        <v>2.02647932991084</v>
      </c>
      <c r="T506" s="0" t="n">
        <v>0.189138070791683</v>
      </c>
      <c r="U506" s="0" t="n">
        <v>0.181311018131102</v>
      </c>
      <c r="V506" s="0" t="n">
        <v>0.277545327754533</v>
      </c>
      <c r="W506" s="0" t="n">
        <v>0.248256624825663</v>
      </c>
      <c r="X506" s="0" t="n">
        <v>0.321317786654868</v>
      </c>
      <c r="Y506" s="0" t="n">
        <v>9.21224401799797</v>
      </c>
      <c r="Z506" s="0" t="n">
        <v>0.601834231422472</v>
      </c>
      <c r="AA506" s="0" t="n">
        <v>0</v>
      </c>
    </row>
    <row r="507" customFormat="false" ht="15" hidden="false" customHeight="false" outlineLevel="0" collapsed="false">
      <c r="A507" s="0" t="s">
        <v>541</v>
      </c>
      <c r="B507" s="0" t="s">
        <v>3013</v>
      </c>
      <c r="C507" s="0" t="s">
        <v>3038</v>
      </c>
      <c r="D507" s="0" t="n">
        <v>-41.4478108004598</v>
      </c>
      <c r="E507" s="0" t="n">
        <v>0.320937015431019</v>
      </c>
      <c r="F507" s="0" t="n">
        <v>11.049841837734</v>
      </c>
      <c r="G507" s="0" t="n">
        <v>0.677096370463079</v>
      </c>
      <c r="H507" s="0" t="n">
        <v>0.88360450563204</v>
      </c>
      <c r="I507" s="0" t="n">
        <v>0.675964667596467</v>
      </c>
      <c r="J507" s="0" t="n">
        <v>0.759473283957341</v>
      </c>
      <c r="K507" s="0" t="n">
        <v>0.667715717403612</v>
      </c>
      <c r="L507" s="1" t="b">
        <f aca="false">TRUE()</f>
        <v>1</v>
      </c>
      <c r="M507" s="0" t="s">
        <v>3035</v>
      </c>
      <c r="N507" s="0" t="n">
        <v>0</v>
      </c>
      <c r="O507" s="0" t="n">
        <v>0</v>
      </c>
      <c r="P507" s="0" t="n">
        <v>1</v>
      </c>
      <c r="Q507" s="0" t="n">
        <v>41.4478108004598</v>
      </c>
      <c r="R507" s="0" t="n">
        <v>8.36990961395096</v>
      </c>
      <c r="S507" s="0" t="n">
        <v>10.994983277592</v>
      </c>
      <c r="T507" s="0" t="n">
        <v>0.292642140468223</v>
      </c>
      <c r="U507" s="0" t="n">
        <v>0.405857740585774</v>
      </c>
      <c r="V507" s="0" t="n">
        <v>0.894002789400279</v>
      </c>
      <c r="W507" s="0" t="n">
        <v>0.728033472803347</v>
      </c>
      <c r="X507" s="0" t="n">
        <v>0.320937015431019</v>
      </c>
      <c r="Y507" s="0" t="n">
        <v>11.049841837734</v>
      </c>
      <c r="Z507" s="0" t="n">
        <v>0.759473283957341</v>
      </c>
      <c r="AA507" s="0" t="n">
        <v>0</v>
      </c>
    </row>
    <row r="508" customFormat="false" ht="15" hidden="false" customHeight="false" outlineLevel="0" collapsed="false">
      <c r="A508" s="0" t="s">
        <v>542</v>
      </c>
      <c r="B508" s="0" t="s">
        <v>3013</v>
      </c>
      <c r="C508" s="0" t="s">
        <v>3038</v>
      </c>
      <c r="D508" s="0" t="n">
        <v>31.0765903053561</v>
      </c>
      <c r="E508" s="0" t="n">
        <v>0.200850823063918</v>
      </c>
      <c r="F508" s="0" t="n">
        <v>5.33770069695022</v>
      </c>
      <c r="G508" s="0" t="n">
        <v>0.102628285356696</v>
      </c>
      <c r="H508" s="0" t="n">
        <v>0.180225281602003</v>
      </c>
      <c r="I508" s="0" t="n">
        <v>0.472803347280335</v>
      </c>
      <c r="J508" s="0" t="n">
        <v>0.207702096239546</v>
      </c>
      <c r="K508" s="0" t="n">
        <v>0.667715717403612</v>
      </c>
      <c r="L508" s="1" t="b">
        <f aca="false">FALSE()</f>
        <v>0</v>
      </c>
      <c r="N508" s="0" t="n">
        <v>41.4478108004596</v>
      </c>
      <c r="O508" s="0" t="n">
        <v>1</v>
      </c>
      <c r="P508" s="0" t="n">
        <v>0</v>
      </c>
      <c r="Q508" s="0" t="n">
        <v>0</v>
      </c>
      <c r="R508" s="0" t="n">
        <v>18.8445016031226</v>
      </c>
      <c r="S508" s="0" t="n">
        <v>3.63577863577864</v>
      </c>
      <c r="T508" s="0" t="n">
        <v>0.14478764478765</v>
      </c>
      <c r="U508" s="0" t="n">
        <v>0.775453277545328</v>
      </c>
      <c r="V508" s="0" t="n">
        <v>0.549511854951186</v>
      </c>
      <c r="W508" s="0" t="n">
        <v>0.0934449093444909</v>
      </c>
      <c r="X508" s="0" t="n">
        <v>0.200850823063918</v>
      </c>
      <c r="Y508" s="0" t="n">
        <v>5.33770069695022</v>
      </c>
      <c r="Z508" s="0" t="n">
        <v>0.207702096239546</v>
      </c>
      <c r="AA508" s="0" t="n">
        <v>-2.77555756156289E-017</v>
      </c>
    </row>
    <row r="509" customFormat="false" ht="15" hidden="false" customHeight="false" outlineLevel="0" collapsed="false">
      <c r="A509" s="0" t="s">
        <v>543</v>
      </c>
      <c r="B509" s="0" t="s">
        <v>3013</v>
      </c>
      <c r="C509" s="0" t="s">
        <v>3033</v>
      </c>
      <c r="D509" s="0" t="n">
        <v>24.8083428097182</v>
      </c>
      <c r="E509" s="0" t="n">
        <v>0.255505350878356</v>
      </c>
      <c r="F509" s="0" t="n">
        <v>6.6719636021087</v>
      </c>
      <c r="G509" s="0" t="n">
        <v>0.297872340425532</v>
      </c>
      <c r="H509" s="0" t="n">
        <v>0.374217772215269</v>
      </c>
      <c r="I509" s="0" t="n">
        <v>0.0692701069270107</v>
      </c>
      <c r="J509" s="0" t="n">
        <v>0.282690066441723</v>
      </c>
      <c r="K509" s="0" t="n">
        <v>0.667715717403612</v>
      </c>
      <c r="L509" s="1" t="b">
        <f aca="false">FALSE()</f>
        <v>0</v>
      </c>
      <c r="N509" s="0" t="n">
        <v>10.3712204951034</v>
      </c>
      <c r="O509" s="0" t="n">
        <v>0</v>
      </c>
      <c r="P509" s="0" t="n">
        <v>0</v>
      </c>
      <c r="Q509" s="0" t="n">
        <v>0</v>
      </c>
      <c r="R509" s="0" t="n">
        <v>2.11264630075795</v>
      </c>
      <c r="S509" s="0" t="n">
        <v>0.569408992735133</v>
      </c>
      <c r="T509" s="0" t="n">
        <v>0.176713135676414</v>
      </c>
      <c r="U509" s="0" t="n">
        <v>0.00836820083682008</v>
      </c>
      <c r="V509" s="0" t="n">
        <v>0.00278940027894003</v>
      </c>
      <c r="W509" s="0" t="n">
        <v>0.196652719665272</v>
      </c>
      <c r="X509" s="0" t="n">
        <v>0.255505350878356</v>
      </c>
      <c r="Y509" s="0" t="n">
        <v>6.6719636021087</v>
      </c>
      <c r="Z509" s="0" t="n">
        <v>0.282690066441723</v>
      </c>
      <c r="AA509" s="0" t="n">
        <v>-5.55111512312578E-017</v>
      </c>
    </row>
    <row r="510" customFormat="false" ht="15" hidden="false" customHeight="false" outlineLevel="0" collapsed="false">
      <c r="A510" s="0" t="s">
        <v>544</v>
      </c>
      <c r="B510" s="0" t="s">
        <v>3013</v>
      </c>
      <c r="C510" s="0" t="s">
        <v>3038</v>
      </c>
      <c r="D510" s="0" t="n">
        <v>26.6357984238333</v>
      </c>
      <c r="E510" s="0" t="n">
        <v>0.185083449002512</v>
      </c>
      <c r="F510" s="0" t="n">
        <v>5.15061739619232</v>
      </c>
      <c r="G510" s="0" t="n">
        <v>0.0725907384230288</v>
      </c>
      <c r="H510" s="0" t="n">
        <v>0.156445556946183</v>
      </c>
      <c r="I510" s="0" t="n">
        <v>0.769409576940958</v>
      </c>
      <c r="J510" s="0" t="n">
        <v>0.245496433535876</v>
      </c>
      <c r="K510" s="0" t="n">
        <v>0.667715717403612</v>
      </c>
      <c r="L510" s="1" t="b">
        <f aca="false">FALSE()</f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31.1398563527089</v>
      </c>
      <c r="S510" s="0" t="n">
        <v>17.0032310177706</v>
      </c>
      <c r="T510" s="0" t="n">
        <v>0.222132471728599</v>
      </c>
      <c r="U510" s="0" t="n">
        <v>0.907949790794979</v>
      </c>
      <c r="V510" s="0" t="n">
        <v>0.947001394700139</v>
      </c>
      <c r="W510" s="0" t="n">
        <v>0.453277545327755</v>
      </c>
      <c r="X510" s="0" t="n">
        <v>0.185083449002512</v>
      </c>
      <c r="Y510" s="0" t="n">
        <v>5.15061739619232</v>
      </c>
      <c r="Z510" s="0" t="n">
        <v>0.245496433535876</v>
      </c>
      <c r="AA510" s="0" t="n">
        <v>2.77555756156289E-017</v>
      </c>
    </row>
    <row r="511" customFormat="false" ht="15" hidden="false" customHeight="false" outlineLevel="0" collapsed="false">
      <c r="A511" s="0" t="s">
        <v>545</v>
      </c>
      <c r="B511" s="0" t="s">
        <v>3013</v>
      </c>
      <c r="C511" s="0" t="s">
        <v>3033</v>
      </c>
      <c r="D511" s="0" t="n">
        <v>0.260831345216317</v>
      </c>
      <c r="E511" s="0" t="n">
        <v>0.317203883343893</v>
      </c>
      <c r="F511" s="0" t="n">
        <v>10.2609392308847</v>
      </c>
      <c r="G511" s="0" t="n">
        <v>0.654568210262829</v>
      </c>
      <c r="H511" s="0" t="n">
        <v>0.817271589486859</v>
      </c>
      <c r="I511" s="0" t="n">
        <v>0.290097629009763</v>
      </c>
      <c r="J511" s="0" t="n">
        <v>0.646755445701827</v>
      </c>
      <c r="K511" s="0" t="n">
        <v>0.667715717403612</v>
      </c>
      <c r="L511" s="1" t="b">
        <f aca="false">FALSE()</f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4.16784903518632</v>
      </c>
      <c r="S511" s="0" t="n">
        <v>1.89535504538175</v>
      </c>
      <c r="T511" s="0" t="n">
        <v>0.24025627335825</v>
      </c>
      <c r="U511" s="0" t="n">
        <v>0.0808926080892608</v>
      </c>
      <c r="V511" s="0" t="n">
        <v>0.245467224546723</v>
      </c>
      <c r="W511" s="0" t="n">
        <v>0.543933054393305</v>
      </c>
      <c r="X511" s="0" t="n">
        <v>0.317203883343893</v>
      </c>
      <c r="Y511" s="0" t="n">
        <v>10.2609392308847</v>
      </c>
      <c r="Z511" s="0" t="n">
        <v>0.646755445701827</v>
      </c>
      <c r="AA511" s="0" t="n">
        <v>0</v>
      </c>
    </row>
    <row r="512" customFormat="false" ht="15" hidden="false" customHeight="false" outlineLevel="0" collapsed="false">
      <c r="A512" s="0" t="s">
        <v>546</v>
      </c>
      <c r="B512" s="0" t="s">
        <v>3013</v>
      </c>
      <c r="C512" s="0" t="s">
        <v>3038</v>
      </c>
      <c r="D512" s="0" t="n">
        <v>-45.6962803040953</v>
      </c>
      <c r="E512" s="0" t="n">
        <v>0.300739577501704</v>
      </c>
      <c r="F512" s="0" t="n">
        <v>10.3032761285339</v>
      </c>
      <c r="G512" s="0" t="n">
        <v>0.570713391739675</v>
      </c>
      <c r="H512" s="0" t="n">
        <v>0.822277847309136</v>
      </c>
      <c r="I512" s="0" t="n">
        <v>0.705253370525337</v>
      </c>
      <c r="J512" s="0" t="n">
        <v>0.698247169724592</v>
      </c>
      <c r="K512" s="0" t="n">
        <v>0.667715717403612</v>
      </c>
      <c r="L512" s="1" t="b">
        <f aca="false">TRUE()</f>
        <v>1</v>
      </c>
      <c r="M512" s="0" t="s">
        <v>3035</v>
      </c>
      <c r="N512" s="0" t="n">
        <v>0</v>
      </c>
      <c r="O512" s="0" t="n">
        <v>0</v>
      </c>
      <c r="P512" s="0" t="n">
        <v>1</v>
      </c>
      <c r="Q512" s="0" t="n">
        <v>45.6962803040953</v>
      </c>
      <c r="R512" s="0" t="n">
        <v>11.6995536918825</v>
      </c>
      <c r="S512" s="0" t="n">
        <v>9.1263650546022</v>
      </c>
      <c r="T512" s="0" t="n">
        <v>0.273010920436813</v>
      </c>
      <c r="U512" s="0" t="n">
        <v>0.591352859135286</v>
      </c>
      <c r="V512" s="0" t="n">
        <v>0.853556485355649</v>
      </c>
      <c r="W512" s="0" t="n">
        <v>0.670850767085077</v>
      </c>
      <c r="X512" s="0" t="n">
        <v>0.300739577501704</v>
      </c>
      <c r="Y512" s="0" t="n">
        <v>10.3032761285339</v>
      </c>
      <c r="Z512" s="0" t="n">
        <v>0.698247169724592</v>
      </c>
      <c r="AA512" s="0" t="n">
        <v>0</v>
      </c>
    </row>
    <row r="513" customFormat="false" ht="15" hidden="false" customHeight="false" outlineLevel="0" collapsed="false">
      <c r="A513" s="0" t="s">
        <v>547</v>
      </c>
      <c r="B513" s="0" t="s">
        <v>3013</v>
      </c>
      <c r="C513" s="0" t="s">
        <v>3038</v>
      </c>
      <c r="D513" s="0" t="n">
        <v>21.6204051597985</v>
      </c>
      <c r="E513" s="0" t="n">
        <v>0.238508055906867</v>
      </c>
      <c r="F513" s="0" t="n">
        <v>7.36217168652151</v>
      </c>
      <c r="G513" s="0" t="n">
        <v>0.216520650813517</v>
      </c>
      <c r="H513" s="0" t="n">
        <v>0.455569461827284</v>
      </c>
      <c r="I513" s="0" t="n">
        <v>0.659228265922827</v>
      </c>
      <c r="J513" s="0" t="n">
        <v>0.400681698240886</v>
      </c>
      <c r="K513" s="0" t="n">
        <v>0.667715717403612</v>
      </c>
      <c r="L513" s="1" t="b">
        <f aca="false">FALSE()</f>
        <v>0</v>
      </c>
      <c r="N513" s="0" t="n">
        <v>45.6962803040951</v>
      </c>
      <c r="O513" s="0" t="n">
        <v>1</v>
      </c>
      <c r="P513" s="0" t="n">
        <v>0</v>
      </c>
      <c r="Q513" s="0" t="n">
        <v>0</v>
      </c>
      <c r="R513" s="0" t="n">
        <v>11.3826304976153</v>
      </c>
      <c r="S513" s="0" t="n">
        <v>4.88522660388465</v>
      </c>
      <c r="T513" s="0" t="n">
        <v>0.294290759270159</v>
      </c>
      <c r="U513" s="0" t="n">
        <v>0.563458856345886</v>
      </c>
      <c r="V513" s="0" t="n">
        <v>0.683403068340307</v>
      </c>
      <c r="W513" s="0" t="n">
        <v>0.730822873082287</v>
      </c>
      <c r="X513" s="0" t="n">
        <v>0.238508055906867</v>
      </c>
      <c r="Y513" s="0" t="n">
        <v>7.36217168652151</v>
      </c>
      <c r="Z513" s="0" t="n">
        <v>0.400681698240886</v>
      </c>
      <c r="AA513" s="0" t="n">
        <v>5.55111512312578E-017</v>
      </c>
    </row>
    <row r="514" customFormat="false" ht="15" hidden="false" customHeight="false" outlineLevel="0" collapsed="false">
      <c r="A514" s="0" t="s">
        <v>548</v>
      </c>
      <c r="B514" s="0" t="s">
        <v>3013</v>
      </c>
      <c r="C514" s="0" t="s">
        <v>3033</v>
      </c>
      <c r="D514" s="0" t="n">
        <v>14.0421877051446</v>
      </c>
      <c r="E514" s="0" t="n">
        <v>0.350794989423911</v>
      </c>
      <c r="F514" s="0" t="n">
        <v>9.83093069045816</v>
      </c>
      <c r="G514" s="0" t="n">
        <v>0.817271589486859</v>
      </c>
      <c r="H514" s="0" t="n">
        <v>0.770963704630788</v>
      </c>
      <c r="I514" s="0" t="n">
        <v>0.225011622501162</v>
      </c>
      <c r="J514" s="0" t="n">
        <v>0.680296442147291</v>
      </c>
      <c r="K514" s="0" t="n">
        <v>0.667715717403612</v>
      </c>
      <c r="L514" s="1" t="b">
        <f aca="false">TRUE()</f>
        <v>1</v>
      </c>
      <c r="M514" s="0" t="s">
        <v>3035</v>
      </c>
      <c r="N514" s="0" t="n">
        <v>24.0758751442963</v>
      </c>
      <c r="O514" s="0" t="n">
        <v>0</v>
      </c>
      <c r="P514" s="0" t="n">
        <v>0</v>
      </c>
      <c r="Q514" s="0" t="n">
        <v>0</v>
      </c>
      <c r="R514" s="0" t="n">
        <v>3.31854088312135</v>
      </c>
      <c r="S514" s="0" t="n">
        <v>2.0611473720371</v>
      </c>
      <c r="T514" s="0" t="n">
        <v>0.206114737203708</v>
      </c>
      <c r="U514" s="0" t="n">
        <v>0.0362622036262204</v>
      </c>
      <c r="V514" s="0" t="n">
        <v>0.290097629009763</v>
      </c>
      <c r="W514" s="0" t="n">
        <v>0.348675034867504</v>
      </c>
      <c r="X514" s="0" t="n">
        <v>0.350794989423911</v>
      </c>
      <c r="Y514" s="0" t="n">
        <v>9.83093069045816</v>
      </c>
      <c r="Z514" s="0" t="n">
        <v>0.680296442147291</v>
      </c>
      <c r="AA514" s="0" t="n">
        <v>0</v>
      </c>
    </row>
    <row r="515" customFormat="false" ht="15" hidden="false" customHeight="false" outlineLevel="0" collapsed="false">
      <c r="A515" s="0" t="s">
        <v>549</v>
      </c>
      <c r="B515" s="0" t="s">
        <v>3013</v>
      </c>
      <c r="C515" s="0" t="s">
        <v>3033</v>
      </c>
      <c r="D515" s="0" t="n">
        <v>37.6472930151103</v>
      </c>
      <c r="E515" s="0" t="n">
        <v>0.316403826789486</v>
      </c>
      <c r="F515" s="0" t="n">
        <v>8.60654076813099</v>
      </c>
      <c r="G515" s="0" t="n">
        <v>0.647058823529412</v>
      </c>
      <c r="H515" s="0" t="n">
        <v>0.623279098873592</v>
      </c>
      <c r="I515" s="0" t="n">
        <v>0.202696420269642</v>
      </c>
      <c r="J515" s="0" t="n">
        <v>0.54867445301513</v>
      </c>
      <c r="K515" s="0" t="n">
        <v>0.667715717403612</v>
      </c>
      <c r="L515" s="1" t="b">
        <f aca="false">FALSE()</f>
        <v>0</v>
      </c>
      <c r="N515" s="0" t="n">
        <v>10.0336874391514</v>
      </c>
      <c r="O515" s="0" t="n">
        <v>0</v>
      </c>
      <c r="P515" s="0" t="n">
        <v>0</v>
      </c>
      <c r="Q515" s="0" t="n">
        <v>0</v>
      </c>
      <c r="R515" s="0" t="n">
        <v>4.08637021644784</v>
      </c>
      <c r="S515" s="0" t="n">
        <v>1.99386503067484</v>
      </c>
      <c r="T515" s="0" t="n">
        <v>0.191717791411043</v>
      </c>
      <c r="U515" s="0" t="n">
        <v>0.0767085076708508</v>
      </c>
      <c r="V515" s="0" t="n">
        <v>0.266387726638773</v>
      </c>
      <c r="W515" s="0" t="n">
        <v>0.264993026499303</v>
      </c>
      <c r="X515" s="0" t="n">
        <v>0.316403826789486</v>
      </c>
      <c r="Y515" s="0" t="n">
        <v>8.60654076813099</v>
      </c>
      <c r="Z515" s="0" t="n">
        <v>0.54867445301513</v>
      </c>
      <c r="AA515" s="0" t="n">
        <v>0</v>
      </c>
    </row>
    <row r="516" customFormat="false" ht="15" hidden="false" customHeight="false" outlineLevel="0" collapsed="false">
      <c r="A516" s="0" t="s">
        <v>550</v>
      </c>
      <c r="B516" s="0" t="s">
        <v>3013</v>
      </c>
      <c r="C516" s="0" t="s">
        <v>3038</v>
      </c>
      <c r="D516" s="0" t="n">
        <v>25.1100623666935</v>
      </c>
      <c r="E516" s="0" t="n">
        <v>0.36869271411597</v>
      </c>
      <c r="F516" s="0" t="n">
        <v>10.5501038240265</v>
      </c>
      <c r="G516" s="0" t="n">
        <v>0.868585732165207</v>
      </c>
      <c r="H516" s="0" t="n">
        <v>0.846057571964956</v>
      </c>
      <c r="I516" s="0" t="n">
        <v>0.513714551371455</v>
      </c>
      <c r="J516" s="0" t="n">
        <v>0.788600231926356</v>
      </c>
      <c r="K516" s="0" t="n">
        <v>0.667715717403612</v>
      </c>
      <c r="L516" s="1" t="b">
        <f aca="false">TRUE()</f>
        <v>1</v>
      </c>
      <c r="M516" s="0" t="s">
        <v>3035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11.9686059309156</v>
      </c>
      <c r="S516" s="0" t="n">
        <v>7.48687514266148</v>
      </c>
      <c r="T516" s="0" t="n">
        <v>0.159780871947048</v>
      </c>
      <c r="U516" s="0" t="n">
        <v>0.601115760111576</v>
      </c>
      <c r="V516" s="0" t="n">
        <v>0.807531380753138</v>
      </c>
      <c r="W516" s="0" t="n">
        <v>0.132496513249651</v>
      </c>
      <c r="X516" s="0" t="n">
        <v>0.36869271411597</v>
      </c>
      <c r="Y516" s="0" t="n">
        <v>10.5501038240265</v>
      </c>
      <c r="Z516" s="0" t="n">
        <v>0.788600231926356</v>
      </c>
      <c r="AA516" s="0" t="n">
        <v>0</v>
      </c>
    </row>
    <row r="517" customFormat="false" ht="15" hidden="false" customHeight="false" outlineLevel="0" collapsed="false">
      <c r="A517" s="0" t="s">
        <v>551</v>
      </c>
      <c r="B517" s="0" t="s">
        <v>3013</v>
      </c>
      <c r="C517" s="0" t="s">
        <v>3033</v>
      </c>
      <c r="D517" s="0" t="n">
        <v>50.8569761886903</v>
      </c>
      <c r="E517" s="0" t="n">
        <v>0.379261967929696</v>
      </c>
      <c r="F517" s="0" t="n">
        <v>11.8755083082817</v>
      </c>
      <c r="G517" s="0" t="n">
        <v>0.898623279098874</v>
      </c>
      <c r="H517" s="0" t="n">
        <v>0.916145181476846</v>
      </c>
      <c r="I517" s="0" t="n">
        <v>0.330079033007903</v>
      </c>
      <c r="J517" s="0" t="n">
        <v>0.791923190831869</v>
      </c>
      <c r="K517" s="0" t="n">
        <v>0.667715717403612</v>
      </c>
      <c r="L517" s="1" t="b">
        <f aca="false">TRUE()</f>
        <v>1</v>
      </c>
      <c r="M517" s="0" t="s">
        <v>3035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3.53317875676273</v>
      </c>
      <c r="S517" s="0" t="n">
        <v>4.14120841819418</v>
      </c>
      <c r="T517" s="0" t="n">
        <v>0.203665987780048</v>
      </c>
      <c r="U517" s="0" t="n">
        <v>0.0446304044630404</v>
      </c>
      <c r="V517" s="0" t="n">
        <v>0.609483960948396</v>
      </c>
      <c r="W517" s="0" t="n">
        <v>0.336122733612273</v>
      </c>
      <c r="X517" s="0" t="n">
        <v>0.379261967929696</v>
      </c>
      <c r="Y517" s="0" t="n">
        <v>11.8755083082817</v>
      </c>
      <c r="Z517" s="0" t="n">
        <v>0.791923190831869</v>
      </c>
      <c r="AA517" s="0" t="n">
        <v>0</v>
      </c>
    </row>
    <row r="518" customFormat="false" ht="15" hidden="false" customHeight="false" outlineLevel="0" collapsed="false">
      <c r="A518" s="0" t="s">
        <v>552</v>
      </c>
      <c r="B518" s="0" t="s">
        <v>3013</v>
      </c>
      <c r="C518" s="0" t="s">
        <v>3038</v>
      </c>
      <c r="D518" s="0" t="n">
        <v>53.1910588592478</v>
      </c>
      <c r="E518" s="0" t="n">
        <v>0.428915246935184</v>
      </c>
      <c r="F518" s="0" t="n">
        <v>16.6765147971416</v>
      </c>
      <c r="G518" s="0" t="n">
        <v>0.969962453066333</v>
      </c>
      <c r="H518" s="0" t="n">
        <v>0.992490613266583</v>
      </c>
      <c r="I518" s="0" t="n">
        <v>0.346815434681544</v>
      </c>
      <c r="J518" s="0" t="n">
        <v>0.854344313469475</v>
      </c>
      <c r="K518" s="0" t="n">
        <v>0.667715717403612</v>
      </c>
      <c r="L518" s="1" t="b">
        <f aca="false">TRUE()</f>
        <v>1</v>
      </c>
      <c r="M518" s="0" t="s">
        <v>3035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8.50661416870494</v>
      </c>
      <c r="S518" s="0" t="n">
        <v>4.05531567277395</v>
      </c>
      <c r="T518" s="0" t="n">
        <v>0.0991947718520273</v>
      </c>
      <c r="U518" s="0" t="n">
        <v>0.417015341701534</v>
      </c>
      <c r="V518" s="0" t="n">
        <v>0.605299860529986</v>
      </c>
      <c r="W518" s="0" t="n">
        <v>0.0181311018131102</v>
      </c>
      <c r="X518" s="0" t="n">
        <v>0.428915246935184</v>
      </c>
      <c r="Y518" s="0" t="n">
        <v>16.6765147971416</v>
      </c>
      <c r="Z518" s="0" t="n">
        <v>0.854344313469475</v>
      </c>
      <c r="AA518" s="0" t="n">
        <v>0</v>
      </c>
    </row>
    <row r="519" customFormat="false" ht="15" hidden="false" customHeight="false" outlineLevel="0" collapsed="false">
      <c r="A519" s="0" t="s">
        <v>553</v>
      </c>
      <c r="B519" s="0" t="s">
        <v>3013</v>
      </c>
      <c r="C519" s="0" t="s">
        <v>3036</v>
      </c>
      <c r="D519" s="0" t="n">
        <v>-25.1308398225659</v>
      </c>
      <c r="E519" s="0" t="n">
        <v>0.404278339239016</v>
      </c>
      <c r="F519" s="0" t="n">
        <v>7.54202660520636</v>
      </c>
      <c r="G519" s="0" t="n">
        <v>0.951188986232791</v>
      </c>
      <c r="H519" s="0" t="n">
        <v>0.48811013767209</v>
      </c>
      <c r="I519" s="0" t="n">
        <v>0.690376569037657</v>
      </c>
      <c r="J519" s="0" t="n">
        <v>0.713794963369484</v>
      </c>
      <c r="K519" s="0" t="n">
        <v>0.667715717403612</v>
      </c>
      <c r="L519" s="1" t="b">
        <f aca="false">TRUE()</f>
        <v>1</v>
      </c>
      <c r="M519" s="0" t="s">
        <v>3035</v>
      </c>
      <c r="N519" s="0" t="n">
        <v>0</v>
      </c>
      <c r="O519" s="0" t="n">
        <v>0</v>
      </c>
      <c r="P519" s="0" t="n">
        <v>1</v>
      </c>
      <c r="Q519" s="0" t="n">
        <v>25.1308398225659</v>
      </c>
      <c r="R519" s="0" t="n">
        <v>21.9616772004214</v>
      </c>
      <c r="S519" s="0" t="n">
        <v>6.50859752821063</v>
      </c>
      <c r="T519" s="0" t="n">
        <v>0.228371843095109</v>
      </c>
      <c r="U519" s="0" t="n">
        <v>0.820083682008368</v>
      </c>
      <c r="V519" s="0" t="n">
        <v>0.762900976290098</v>
      </c>
      <c r="W519" s="0" t="n">
        <v>0.488145048814505</v>
      </c>
      <c r="X519" s="0" t="n">
        <v>0.404278339239016</v>
      </c>
      <c r="Y519" s="0" t="n">
        <v>7.54202660520636</v>
      </c>
      <c r="Z519" s="0" t="n">
        <v>0.713794963369484</v>
      </c>
      <c r="AA519" s="0" t="n">
        <v>0</v>
      </c>
    </row>
    <row r="520" customFormat="false" ht="15" hidden="false" customHeight="false" outlineLevel="0" collapsed="false">
      <c r="A520" s="0" t="s">
        <v>554</v>
      </c>
      <c r="B520" s="0" t="s">
        <v>33</v>
      </c>
      <c r="C520" s="0" t="s">
        <v>33</v>
      </c>
      <c r="D520" s="0" t="n">
        <v>-50.3691330955296</v>
      </c>
      <c r="E520" s="0" t="n">
        <v>0.515762235756712</v>
      </c>
      <c r="F520" s="0" t="n">
        <v>18.6899848039882</v>
      </c>
      <c r="G520" s="0" t="n">
        <v>0.997496871088861</v>
      </c>
      <c r="H520" s="0" t="n">
        <v>0.998748435544431</v>
      </c>
      <c r="I520" s="0" t="n">
        <v>0.5</v>
      </c>
      <c r="J520" s="0" t="n">
        <v>0.898498122653317</v>
      </c>
      <c r="K520" s="0" t="n">
        <v>0.667715717403612</v>
      </c>
      <c r="L520" s="1" t="b">
        <f aca="false">TRUE()</f>
        <v>1</v>
      </c>
      <c r="M520" s="0" t="s">
        <v>3035</v>
      </c>
      <c r="N520" s="0" t="n">
        <v>25.1308398225656</v>
      </c>
      <c r="O520" s="0" t="n">
        <v>1</v>
      </c>
      <c r="P520" s="0" t="n">
        <v>1</v>
      </c>
      <c r="Q520" s="0" t="n">
        <v>50.3691330955296</v>
      </c>
      <c r="U520" s="0" t="n">
        <v>0.5</v>
      </c>
      <c r="V520" s="0" t="n">
        <v>0.5</v>
      </c>
      <c r="W520" s="0" t="n">
        <v>0.5</v>
      </c>
      <c r="X520" s="0" t="n">
        <v>0.515762235756712</v>
      </c>
      <c r="Y520" s="0" t="n">
        <v>18.6899848039882</v>
      </c>
      <c r="Z520" s="0" t="n">
        <v>0.898498122653317</v>
      </c>
      <c r="AA520" s="0" t="n">
        <v>0</v>
      </c>
    </row>
    <row r="521" customFormat="false" ht="15" hidden="false" customHeight="false" outlineLevel="0" collapsed="false">
      <c r="A521" s="0" t="s">
        <v>555</v>
      </c>
      <c r="B521" s="0" t="s">
        <v>3013</v>
      </c>
      <c r="C521" s="0" t="s">
        <v>3033</v>
      </c>
      <c r="D521" s="0" t="n">
        <v>46.2084166310003</v>
      </c>
      <c r="E521" s="0" t="n">
        <v>0.327677447398989</v>
      </c>
      <c r="F521" s="0" t="n">
        <v>10.3972018577005</v>
      </c>
      <c r="G521" s="0" t="n">
        <v>0.719649561952441</v>
      </c>
      <c r="H521" s="0" t="n">
        <v>0.828535669586984</v>
      </c>
      <c r="I521" s="0" t="n">
        <v>0.671315667131567</v>
      </c>
      <c r="J521" s="0" t="n">
        <v>0.753537226042083</v>
      </c>
      <c r="K521" s="0" t="n">
        <v>0.667715717403612</v>
      </c>
      <c r="L521" s="1" t="b">
        <f aca="false">TRUE()</f>
        <v>1</v>
      </c>
      <c r="M521" s="0" t="s">
        <v>3035</v>
      </c>
      <c r="N521" s="0" t="n">
        <v>75.4999729180954</v>
      </c>
      <c r="O521" s="0" t="n">
        <v>2</v>
      </c>
      <c r="P521" s="0" t="n">
        <v>0</v>
      </c>
      <c r="Q521" s="0" t="n">
        <v>0</v>
      </c>
      <c r="R521" s="0" t="n">
        <v>20.7799068866448</v>
      </c>
      <c r="S521" s="0" t="n">
        <v>6.06060606060606</v>
      </c>
      <c r="T521" s="0" t="n">
        <v>0.223713646532437</v>
      </c>
      <c r="U521" s="0" t="n">
        <v>0.801952580195258</v>
      </c>
      <c r="V521" s="0" t="n">
        <v>0.747559274755927</v>
      </c>
      <c r="W521" s="0" t="n">
        <v>0.464435146443515</v>
      </c>
      <c r="X521" s="0" t="n">
        <v>0.327677447398989</v>
      </c>
      <c r="Y521" s="0" t="n">
        <v>10.3972018577005</v>
      </c>
      <c r="Z521" s="0" t="n">
        <v>0.753537226042083</v>
      </c>
      <c r="AA521" s="0" t="n">
        <v>0</v>
      </c>
    </row>
    <row r="522" customFormat="false" ht="15" hidden="false" customHeight="false" outlineLevel="0" collapsed="false">
      <c r="A522" s="0" t="s">
        <v>556</v>
      </c>
      <c r="B522" s="0" t="s">
        <v>3013</v>
      </c>
      <c r="C522" s="0" t="s">
        <v>3038</v>
      </c>
      <c r="D522" s="0" t="n">
        <v>53.2886134302097</v>
      </c>
      <c r="E522" s="0" t="n">
        <v>0.322931255447366</v>
      </c>
      <c r="F522" s="0" t="n">
        <v>9.85948529594907</v>
      </c>
      <c r="G522" s="0" t="n">
        <v>0.689612015018773</v>
      </c>
      <c r="H522" s="0" t="n">
        <v>0.778473091364205</v>
      </c>
      <c r="I522" s="0" t="n">
        <v>0.625290562529056</v>
      </c>
      <c r="J522" s="0" t="n">
        <v>0.712292155059003</v>
      </c>
      <c r="K522" s="0" t="n">
        <v>0.667715717403612</v>
      </c>
      <c r="L522" s="1" t="b">
        <f aca="false">TRUE()</f>
        <v>1</v>
      </c>
      <c r="M522" s="0" t="s">
        <v>3035</v>
      </c>
      <c r="N522" s="0" t="n">
        <v>29.2915562870949</v>
      </c>
      <c r="O522" s="0" t="n">
        <v>0</v>
      </c>
      <c r="P522" s="0" t="n">
        <v>0</v>
      </c>
      <c r="Q522" s="0" t="n">
        <v>0</v>
      </c>
      <c r="R522" s="0" t="n">
        <v>37.6671989670374</v>
      </c>
      <c r="S522" s="0" t="n">
        <v>5.4525627044711</v>
      </c>
      <c r="T522" s="0" t="n">
        <v>0.181752090149037</v>
      </c>
      <c r="U522" s="0" t="n">
        <v>0.942817294281729</v>
      </c>
      <c r="V522" s="0" t="n">
        <v>0.716875871687587</v>
      </c>
      <c r="W522" s="0" t="n">
        <v>0.216178521617852</v>
      </c>
      <c r="X522" s="0" t="n">
        <v>0.322931255447366</v>
      </c>
      <c r="Y522" s="0" t="n">
        <v>9.85948529594907</v>
      </c>
      <c r="Z522" s="0" t="n">
        <v>0.712292155059003</v>
      </c>
      <c r="AA522" s="0" t="n">
        <v>0</v>
      </c>
    </row>
    <row r="523" customFormat="false" ht="15" hidden="false" customHeight="false" outlineLevel="0" collapsed="false">
      <c r="A523" s="0" t="s">
        <v>557</v>
      </c>
      <c r="B523" s="0" t="s">
        <v>3013</v>
      </c>
      <c r="C523" s="0" t="s">
        <v>3033</v>
      </c>
      <c r="D523" s="0" t="n">
        <v>57.8521284962619</v>
      </c>
      <c r="E523" s="0" t="n">
        <v>0.349626269150705</v>
      </c>
      <c r="F523" s="0" t="n">
        <v>8.67280240086534</v>
      </c>
      <c r="G523" s="0" t="n">
        <v>0.81351689612015</v>
      </c>
      <c r="H523" s="0" t="n">
        <v>0.630788485607009</v>
      </c>
      <c r="I523" s="0" t="n">
        <v>0.422129242212924</v>
      </c>
      <c r="J523" s="0" t="n">
        <v>0.662148001133448</v>
      </c>
      <c r="K523" s="0" t="n">
        <v>0.667715717403612</v>
      </c>
      <c r="L523" s="1" t="b">
        <f aca="false">FALSE()</f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8.73633065505234</v>
      </c>
      <c r="S523" s="0" t="n">
        <v>3.35091529630777</v>
      </c>
      <c r="T523" s="0" t="n">
        <v>0.201675457648164</v>
      </c>
      <c r="U523" s="0" t="n">
        <v>0.435146443514644</v>
      </c>
      <c r="V523" s="0" t="n">
        <v>0.511854951185495</v>
      </c>
      <c r="W523" s="0" t="n">
        <v>0.319386331938633</v>
      </c>
      <c r="X523" s="0" t="n">
        <v>0.349626269150705</v>
      </c>
      <c r="Y523" s="0" t="n">
        <v>8.67280240086534</v>
      </c>
      <c r="Z523" s="0" t="n">
        <v>0.662148001133448</v>
      </c>
      <c r="AA523" s="0" t="n">
        <v>0</v>
      </c>
    </row>
    <row r="524" customFormat="false" ht="15" hidden="false" customHeight="false" outlineLevel="0" collapsed="false">
      <c r="A524" s="0" t="s">
        <v>558</v>
      </c>
      <c r="B524" s="0" t="s">
        <v>3013</v>
      </c>
      <c r="C524" s="0" t="s">
        <v>3038</v>
      </c>
      <c r="D524" s="0" t="n">
        <v>53.8087704194761</v>
      </c>
      <c r="E524" s="0" t="n">
        <v>0.217828015408605</v>
      </c>
      <c r="F524" s="0" t="n">
        <v>8.18434769537182</v>
      </c>
      <c r="G524" s="0" t="n">
        <v>0.14017521902378</v>
      </c>
      <c r="H524" s="0" t="n">
        <v>0.560700876095119</v>
      </c>
      <c r="I524" s="0" t="n">
        <v>0.767085076708508</v>
      </c>
      <c r="J524" s="0" t="n">
        <v>0.433767453389261</v>
      </c>
      <c r="K524" s="0" t="n">
        <v>0.667715717403612</v>
      </c>
      <c r="L524" s="1" t="b">
        <f aca="false">FALSE()</f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13.6611438646507</v>
      </c>
      <c r="S524" s="0" t="n">
        <v>20.4918032786885</v>
      </c>
      <c r="T524" s="0" t="n">
        <v>0.273224043715848</v>
      </c>
      <c r="U524" s="0" t="n">
        <v>0.668061366806137</v>
      </c>
      <c r="V524" s="0" t="n">
        <v>0.96094839609484</v>
      </c>
      <c r="W524" s="0" t="n">
        <v>0.672245467224547</v>
      </c>
      <c r="X524" s="0" t="n">
        <v>0.217828015408604</v>
      </c>
      <c r="Y524" s="0" t="n">
        <v>8.18434769537182</v>
      </c>
      <c r="Z524" s="0" t="n">
        <v>0.433767453389261</v>
      </c>
      <c r="AA524" s="0" t="n">
        <v>0</v>
      </c>
    </row>
    <row r="525" customFormat="false" ht="15" hidden="false" customHeight="false" outlineLevel="0" collapsed="false">
      <c r="A525" s="0" t="s">
        <v>559</v>
      </c>
      <c r="B525" s="0" t="s">
        <v>3013</v>
      </c>
      <c r="C525" s="0" t="s">
        <v>3036</v>
      </c>
      <c r="D525" s="0" t="n">
        <v>12.7309560891606</v>
      </c>
      <c r="E525" s="0" t="n">
        <v>0.288338962342848</v>
      </c>
      <c r="F525" s="0" t="n">
        <v>5.98885517315635</v>
      </c>
      <c r="G525" s="0" t="n">
        <v>0.513141426783479</v>
      </c>
      <c r="H525" s="0" t="n">
        <v>0.264080100125156</v>
      </c>
      <c r="I525" s="0" t="n">
        <v>0.324965132496513</v>
      </c>
      <c r="J525" s="0" t="n">
        <v>0.375881637262757</v>
      </c>
      <c r="K525" s="0" t="n">
        <v>0.667715717403612</v>
      </c>
      <c r="L525" s="1" t="b">
        <f aca="false">FALSE()</f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3.6945185235518</v>
      </c>
      <c r="S525" s="0" t="n">
        <v>2.77357539082199</v>
      </c>
      <c r="T525" s="0" t="n">
        <v>0.226928895612709</v>
      </c>
      <c r="U525" s="0" t="n">
        <v>0.0543933054393306</v>
      </c>
      <c r="V525" s="0" t="n">
        <v>0.440725244072524</v>
      </c>
      <c r="W525" s="0" t="n">
        <v>0.479776847977685</v>
      </c>
      <c r="X525" s="0" t="n">
        <v>0.288338962342848</v>
      </c>
      <c r="Y525" s="0" t="n">
        <v>5.98885517315635</v>
      </c>
      <c r="Z525" s="0" t="n">
        <v>0.375881637262757</v>
      </c>
      <c r="AA525" s="0" t="n">
        <v>0</v>
      </c>
    </row>
    <row r="526" customFormat="false" ht="15" hidden="false" customHeight="false" outlineLevel="0" collapsed="false">
      <c r="A526" s="0" t="s">
        <v>560</v>
      </c>
      <c r="B526" s="0" t="s">
        <v>3013</v>
      </c>
      <c r="C526" s="0" t="s">
        <v>3034</v>
      </c>
      <c r="D526" s="0" t="n">
        <v>-43.7895350103634</v>
      </c>
      <c r="E526" s="0" t="n">
        <v>0.357316683017051</v>
      </c>
      <c r="F526" s="0" t="n">
        <v>11.6421923091496</v>
      </c>
      <c r="G526" s="0" t="n">
        <v>0.836045056320401</v>
      </c>
      <c r="H526" s="0" t="n">
        <v>0.908635794743429</v>
      </c>
      <c r="I526" s="0" t="n">
        <v>0.516503951650395</v>
      </c>
      <c r="J526" s="0" t="n">
        <v>0.801173130755611</v>
      </c>
      <c r="K526" s="0" t="n">
        <v>0.667715717403612</v>
      </c>
      <c r="L526" s="1" t="b">
        <f aca="false">TRUE()</f>
        <v>1</v>
      </c>
      <c r="M526" s="0" t="s">
        <v>3035</v>
      </c>
      <c r="N526" s="0" t="n">
        <v>0</v>
      </c>
      <c r="O526" s="0" t="n">
        <v>0</v>
      </c>
      <c r="P526" s="0" t="n">
        <v>1</v>
      </c>
      <c r="Q526" s="0" t="n">
        <v>43.7895350103634</v>
      </c>
      <c r="R526" s="0" t="n">
        <v>11.549697669679</v>
      </c>
      <c r="S526" s="0" t="n">
        <v>4.64716006884683</v>
      </c>
      <c r="T526" s="0" t="n">
        <v>0.200803212851411</v>
      </c>
      <c r="U526" s="0" t="n">
        <v>0.576011157601116</v>
      </c>
      <c r="V526" s="0" t="n">
        <v>0.658298465829847</v>
      </c>
      <c r="W526" s="0" t="n">
        <v>0.315202231520223</v>
      </c>
      <c r="X526" s="0" t="n">
        <v>0.357316683017051</v>
      </c>
      <c r="Y526" s="0" t="n">
        <v>11.6421923091496</v>
      </c>
      <c r="Z526" s="0" t="n">
        <v>0.801173130755611</v>
      </c>
      <c r="AA526" s="0" t="n">
        <v>0</v>
      </c>
    </row>
    <row r="527" customFormat="false" ht="15" hidden="false" customHeight="false" outlineLevel="0" collapsed="false">
      <c r="A527" s="0" t="s">
        <v>561</v>
      </c>
      <c r="B527" s="0" t="s">
        <v>3013</v>
      </c>
      <c r="C527" s="0" t="s">
        <v>3033</v>
      </c>
      <c r="D527" s="0" t="n">
        <v>-49.1216985078469</v>
      </c>
      <c r="E527" s="0" t="n">
        <v>0.337991768551442</v>
      </c>
      <c r="F527" s="0" t="n">
        <v>10.4916831286268</v>
      </c>
      <c r="G527" s="0" t="n">
        <v>0.777221526908636</v>
      </c>
      <c r="H527" s="0" t="n">
        <v>0.841051314142678</v>
      </c>
      <c r="I527" s="0" t="n">
        <v>0.355648535564854</v>
      </c>
      <c r="J527" s="0" t="n">
        <v>0.718438843533496</v>
      </c>
      <c r="K527" s="0" t="n">
        <v>0.667715717403612</v>
      </c>
      <c r="L527" s="1" t="b">
        <f aca="false">TRUE()</f>
        <v>1</v>
      </c>
      <c r="M527" s="0" t="s">
        <v>3035</v>
      </c>
      <c r="N527" s="0" t="n">
        <v>43.7895350103636</v>
      </c>
      <c r="O527" s="0" t="n">
        <v>1</v>
      </c>
      <c r="P527" s="0" t="n">
        <v>1</v>
      </c>
      <c r="Q527" s="0" t="n">
        <v>49.1216985078469</v>
      </c>
      <c r="R527" s="0" t="n">
        <v>7.54352935176801</v>
      </c>
      <c r="S527" s="0" t="n">
        <v>4.88587731811697</v>
      </c>
      <c r="T527" s="0" t="n">
        <v>0.106990014265339</v>
      </c>
      <c r="U527" s="0" t="n">
        <v>0.357043235704324</v>
      </c>
      <c r="V527" s="0" t="n">
        <v>0.684797768479777</v>
      </c>
      <c r="W527" s="0" t="n">
        <v>0.0251046025104603</v>
      </c>
      <c r="X527" s="0" t="n">
        <v>0.337991768551442</v>
      </c>
      <c r="Y527" s="0" t="n">
        <v>10.4916831286268</v>
      </c>
      <c r="Z527" s="0" t="n">
        <v>0.718438843533496</v>
      </c>
      <c r="AA527" s="0" t="n">
        <v>0</v>
      </c>
    </row>
    <row r="528" customFormat="false" ht="15" hidden="false" customHeight="false" outlineLevel="0" collapsed="false">
      <c r="A528" s="0" t="s">
        <v>562</v>
      </c>
      <c r="B528" s="0" t="s">
        <v>3013</v>
      </c>
      <c r="C528" s="0" t="s">
        <v>3033</v>
      </c>
      <c r="D528" s="0" t="n">
        <v>-7.28909653740275</v>
      </c>
      <c r="E528" s="0" t="n">
        <v>0.289503454367198</v>
      </c>
      <c r="F528" s="0" t="n">
        <v>4.02998396442075</v>
      </c>
      <c r="G528" s="0" t="n">
        <v>0.521902377972466</v>
      </c>
      <c r="H528" s="0" t="n">
        <v>0.0538172715894869</v>
      </c>
      <c r="I528" s="0" t="n">
        <v>0.335657833565783</v>
      </c>
      <c r="J528" s="0" t="n">
        <v>0.297419426537938</v>
      </c>
      <c r="K528" s="0" t="n">
        <v>0.667715717403612</v>
      </c>
      <c r="L528" s="1" t="b">
        <f aca="false">FALSE()</f>
        <v>0</v>
      </c>
      <c r="N528" s="0" t="n">
        <v>92.9112335182108</v>
      </c>
      <c r="O528" s="0" t="n">
        <v>2</v>
      </c>
      <c r="P528" s="0" t="n">
        <v>1</v>
      </c>
      <c r="Q528" s="0" t="n">
        <v>7.28909653740275</v>
      </c>
      <c r="R528" s="0" t="n">
        <v>9.79848914999083</v>
      </c>
      <c r="S528" s="0" t="n">
        <v>2.26879446260334</v>
      </c>
      <c r="T528" s="0" t="n">
        <v>0.173043645452799</v>
      </c>
      <c r="U528" s="0" t="n">
        <v>0.495118549511855</v>
      </c>
      <c r="V528" s="0" t="n">
        <v>0.329149232914923</v>
      </c>
      <c r="W528" s="0" t="n">
        <v>0.182705718270572</v>
      </c>
      <c r="X528" s="0" t="n">
        <v>0.289503454367198</v>
      </c>
      <c r="Y528" s="0" t="n">
        <v>4.02998396442075</v>
      </c>
      <c r="Z528" s="0" t="n">
        <v>0.297419426537938</v>
      </c>
      <c r="AA528" s="0" t="n">
        <v>0</v>
      </c>
    </row>
    <row r="529" customFormat="false" ht="15" hidden="false" customHeight="false" outlineLevel="0" collapsed="false">
      <c r="A529" s="0" t="s">
        <v>563</v>
      </c>
      <c r="B529" s="0" t="s">
        <v>3013</v>
      </c>
      <c r="C529" s="0" t="s">
        <v>3036</v>
      </c>
      <c r="D529" s="0" t="n">
        <v>-8.89004285209262</v>
      </c>
      <c r="E529" s="0" t="n">
        <v>0.322766921155891</v>
      </c>
      <c r="F529" s="0" t="n">
        <v>5.1468249853113</v>
      </c>
      <c r="G529" s="0" t="n">
        <v>0.688360450563204</v>
      </c>
      <c r="H529" s="0" t="n">
        <v>0.151439299123905</v>
      </c>
      <c r="I529" s="0" t="n">
        <v>0.298930729893073</v>
      </c>
      <c r="J529" s="0" t="n">
        <v>0.395706045853458</v>
      </c>
      <c r="K529" s="0" t="n">
        <v>0.667715717403612</v>
      </c>
      <c r="L529" s="1" t="b">
        <f aca="false">FALSE()</f>
        <v>0</v>
      </c>
      <c r="N529" s="0" t="n">
        <v>100.200330055613</v>
      </c>
      <c r="O529" s="0" t="n">
        <v>3</v>
      </c>
      <c r="P529" s="0" t="n">
        <v>1</v>
      </c>
      <c r="Q529" s="0" t="n">
        <v>8.89004285209262</v>
      </c>
      <c r="R529" s="0" t="n">
        <v>7.37683546477305</v>
      </c>
      <c r="S529" s="0" t="n">
        <v>1.14757860913473</v>
      </c>
      <c r="T529" s="0" t="n">
        <v>0.229515721826945</v>
      </c>
      <c r="U529" s="0" t="n">
        <v>0.345885634588564</v>
      </c>
      <c r="V529" s="0" t="n">
        <v>0.0516039051603905</v>
      </c>
      <c r="W529" s="0" t="n">
        <v>0.499302649930265</v>
      </c>
      <c r="X529" s="0" t="n">
        <v>0.322766921155891</v>
      </c>
      <c r="Y529" s="0" t="n">
        <v>5.1468249853113</v>
      </c>
      <c r="Z529" s="0" t="n">
        <v>0.395706045853458</v>
      </c>
      <c r="AA529" s="0" t="n">
        <v>0</v>
      </c>
    </row>
    <row r="530" customFormat="false" ht="15" hidden="false" customHeight="false" outlineLevel="0" collapsed="false">
      <c r="A530" s="0" t="s">
        <v>564</v>
      </c>
      <c r="B530" s="0" t="s">
        <v>3013</v>
      </c>
      <c r="C530" s="0" t="s">
        <v>3038</v>
      </c>
      <c r="D530" s="0" t="n">
        <v>20.4119928222362</v>
      </c>
      <c r="E530" s="0" t="n">
        <v>0.302836847655742</v>
      </c>
      <c r="F530" s="0" t="n">
        <v>6.906464692159</v>
      </c>
      <c r="G530" s="0" t="n">
        <v>0.5819774718398</v>
      </c>
      <c r="H530" s="0" t="n">
        <v>0.408010012515645</v>
      </c>
      <c r="I530" s="0" t="n">
        <v>0.675499767549977</v>
      </c>
      <c r="J530" s="0" t="n">
        <v>0.531094947252173</v>
      </c>
      <c r="K530" s="0" t="n">
        <v>0.667715717403612</v>
      </c>
      <c r="L530" s="1" t="b">
        <f aca="false">FALSE()</f>
        <v>0</v>
      </c>
      <c r="N530" s="0" t="n">
        <v>109.090372907706</v>
      </c>
      <c r="O530" s="0" t="n">
        <v>4</v>
      </c>
      <c r="P530" s="0" t="n">
        <v>0</v>
      </c>
      <c r="Q530" s="0" t="n">
        <v>0</v>
      </c>
      <c r="R530" s="0" t="n">
        <v>11.0473475824428</v>
      </c>
      <c r="S530" s="0" t="n">
        <v>10.2255639097744</v>
      </c>
      <c r="T530" s="0" t="n">
        <v>0.25062656641604</v>
      </c>
      <c r="U530" s="0" t="n">
        <v>0.545327754532776</v>
      </c>
      <c r="V530" s="0" t="n">
        <v>0.888423988842399</v>
      </c>
      <c r="W530" s="0" t="n">
        <v>0.592747559274756</v>
      </c>
      <c r="X530" s="0" t="n">
        <v>0.302836847655742</v>
      </c>
      <c r="Y530" s="0" t="n">
        <v>6.906464692159</v>
      </c>
      <c r="Z530" s="0" t="n">
        <v>0.531094947252173</v>
      </c>
      <c r="AA530" s="0" t="n">
        <v>0</v>
      </c>
    </row>
    <row r="531" customFormat="false" ht="15" hidden="false" customHeight="false" outlineLevel="0" collapsed="false">
      <c r="A531" s="0" t="s">
        <v>565</v>
      </c>
      <c r="B531" s="0" t="s">
        <v>3013</v>
      </c>
      <c r="C531" s="0" t="s">
        <v>3038</v>
      </c>
      <c r="D531" s="0" t="n">
        <v>11.2661225579716</v>
      </c>
      <c r="E531" s="0" t="n">
        <v>0.391649361654564</v>
      </c>
      <c r="F531" s="0" t="n">
        <v>9.97866816972012</v>
      </c>
      <c r="G531" s="0" t="n">
        <v>0.926157697121402</v>
      </c>
      <c r="H531" s="0" t="n">
        <v>0.788485607008761</v>
      </c>
      <c r="I531" s="0" t="n">
        <v>0.693165969316597</v>
      </c>
      <c r="J531" s="0" t="n">
        <v>0.824490515515385</v>
      </c>
      <c r="K531" s="0" t="n">
        <v>0.667715717403612</v>
      </c>
      <c r="L531" s="1" t="b">
        <f aca="false">TRUE()</f>
        <v>1</v>
      </c>
      <c r="M531" s="0" t="s">
        <v>3035</v>
      </c>
      <c r="N531" s="0" t="n">
        <v>88.6783800854701</v>
      </c>
      <c r="O531" s="0" t="n">
        <v>0</v>
      </c>
      <c r="P531" s="0" t="n">
        <v>0</v>
      </c>
      <c r="Q531" s="0" t="n">
        <v>0</v>
      </c>
      <c r="R531" s="0" t="n">
        <v>15.8286309283879</v>
      </c>
      <c r="S531" s="0" t="n">
        <v>8.20945945945944</v>
      </c>
      <c r="T531" s="0" t="n">
        <v>0.236486486486492</v>
      </c>
      <c r="U531" s="0" t="n">
        <v>0.725244072524407</v>
      </c>
      <c r="V531" s="0" t="n">
        <v>0.828451882845188</v>
      </c>
      <c r="W531" s="0" t="n">
        <v>0.525801952580195</v>
      </c>
      <c r="X531" s="0" t="n">
        <v>0.391649361654564</v>
      </c>
      <c r="Y531" s="0" t="n">
        <v>9.97866816972012</v>
      </c>
      <c r="Z531" s="0" t="n">
        <v>0.824490515515385</v>
      </c>
      <c r="AA531" s="0" t="n">
        <v>0</v>
      </c>
    </row>
    <row r="532" customFormat="false" ht="15" hidden="false" customHeight="false" outlineLevel="0" collapsed="false">
      <c r="A532" s="0" t="s">
        <v>566</v>
      </c>
      <c r="B532" s="0" t="s">
        <v>3013</v>
      </c>
      <c r="C532" s="0" t="s">
        <v>3038</v>
      </c>
      <c r="D532" s="0" t="n">
        <v>20.4384935017432</v>
      </c>
      <c r="E532" s="0" t="n">
        <v>0.22966587774786</v>
      </c>
      <c r="F532" s="0" t="n">
        <v>5.58166073183521</v>
      </c>
      <c r="G532" s="0" t="n">
        <v>0.172715894868586</v>
      </c>
      <c r="H532" s="0" t="n">
        <v>0.214017521902378</v>
      </c>
      <c r="I532" s="0" t="n">
        <v>0.695025569502557</v>
      </c>
      <c r="J532" s="0" t="n">
        <v>0.293698480608897</v>
      </c>
      <c r="K532" s="0" t="n">
        <v>0.667715717403612</v>
      </c>
      <c r="L532" s="1" t="b">
        <f aca="false">FALSE()</f>
        <v>0</v>
      </c>
      <c r="N532" s="0" t="n">
        <v>77.4122575274987</v>
      </c>
      <c r="O532" s="0" t="n">
        <v>0</v>
      </c>
      <c r="P532" s="0" t="n">
        <v>0</v>
      </c>
      <c r="Q532" s="0" t="n">
        <v>0</v>
      </c>
      <c r="R532" s="0" t="n">
        <v>25.4229204424347</v>
      </c>
      <c r="S532" s="0" t="n">
        <v>6.34139062966279</v>
      </c>
      <c r="T532" s="0" t="n">
        <v>0.223813786929275</v>
      </c>
      <c r="U532" s="0" t="n">
        <v>0.861924686192469</v>
      </c>
      <c r="V532" s="0" t="n">
        <v>0.757322175732218</v>
      </c>
      <c r="W532" s="0" t="n">
        <v>0.465829846582985</v>
      </c>
      <c r="X532" s="0" t="n">
        <v>0.22966587774786</v>
      </c>
      <c r="Y532" s="0" t="n">
        <v>5.58166073183521</v>
      </c>
      <c r="Z532" s="0" t="n">
        <v>0.293698480608897</v>
      </c>
      <c r="AA532" s="0" t="n">
        <v>0</v>
      </c>
    </row>
    <row r="533" customFormat="false" ht="15" hidden="false" customHeight="false" outlineLevel="0" collapsed="false">
      <c r="A533" s="0" t="s">
        <v>567</v>
      </c>
      <c r="B533" s="0" t="s">
        <v>3013</v>
      </c>
      <c r="C533" s="0" t="s">
        <v>3033</v>
      </c>
      <c r="D533" s="0" t="n">
        <v>15.767372365801</v>
      </c>
      <c r="E533" s="0" t="n">
        <v>0.349289593853159</v>
      </c>
      <c r="F533" s="0" t="n">
        <v>6.63319369556517</v>
      </c>
      <c r="G533" s="0" t="n">
        <v>0.812265331664581</v>
      </c>
      <c r="H533" s="0" t="n">
        <v>0.366708385481852</v>
      </c>
      <c r="I533" s="0" t="n">
        <v>0.305904230590423</v>
      </c>
      <c r="J533" s="0" t="n">
        <v>0.532770332976658</v>
      </c>
      <c r="K533" s="0" t="n">
        <v>0.667715717403612</v>
      </c>
      <c r="L533" s="1" t="b">
        <f aca="false">FALSE()</f>
        <v>0</v>
      </c>
      <c r="N533" s="0" t="n">
        <v>56.9737640257554</v>
      </c>
      <c r="O533" s="0" t="n">
        <v>0</v>
      </c>
      <c r="P533" s="0" t="n">
        <v>0</v>
      </c>
      <c r="Q533" s="0" t="n">
        <v>0</v>
      </c>
      <c r="R533" s="0" t="n">
        <v>5.46950387648548</v>
      </c>
      <c r="S533" s="0" t="n">
        <v>2.38179251940722</v>
      </c>
      <c r="T533" s="0" t="n">
        <v>0.211714890613971</v>
      </c>
      <c r="U533" s="0" t="n">
        <v>0.165969316596932</v>
      </c>
      <c r="V533" s="0" t="n">
        <v>0.362622036262204</v>
      </c>
      <c r="W533" s="0" t="n">
        <v>0.389121338912134</v>
      </c>
      <c r="X533" s="0" t="n">
        <v>0.349289593853159</v>
      </c>
      <c r="Y533" s="0" t="n">
        <v>6.63319369556517</v>
      </c>
      <c r="Z533" s="0" t="n">
        <v>0.532770332976658</v>
      </c>
      <c r="AA533" s="0" t="n">
        <v>0</v>
      </c>
    </row>
    <row r="534" customFormat="false" ht="15" hidden="false" customHeight="false" outlineLevel="0" collapsed="false">
      <c r="A534" s="0" t="s">
        <v>568</v>
      </c>
      <c r="B534" s="0" t="s">
        <v>3013</v>
      </c>
      <c r="C534" s="0" t="s">
        <v>3033</v>
      </c>
      <c r="D534" s="0" t="n">
        <v>-1.122454164116</v>
      </c>
      <c r="E534" s="0" t="n">
        <v>0.334268252417086</v>
      </c>
      <c r="F534" s="0" t="n">
        <v>6.30219772453008</v>
      </c>
      <c r="G534" s="0" t="n">
        <v>0.757196495619524</v>
      </c>
      <c r="H534" s="0" t="n">
        <v>0.312891113892366</v>
      </c>
      <c r="I534" s="0" t="n">
        <v>0.311947931194793</v>
      </c>
      <c r="J534" s="0" t="n">
        <v>0.490424630043715</v>
      </c>
      <c r="K534" s="0" t="n">
        <v>0.667715717403612</v>
      </c>
      <c r="L534" s="1" t="b">
        <f aca="false">FALSE()</f>
        <v>0</v>
      </c>
      <c r="N534" s="0" t="n">
        <v>41.2063916599545</v>
      </c>
      <c r="O534" s="0" t="n">
        <v>0</v>
      </c>
      <c r="P534" s="0" t="n">
        <v>1</v>
      </c>
      <c r="Q534" s="0" t="n">
        <v>1.122454164116</v>
      </c>
      <c r="R534" s="0" t="n">
        <v>9.37927387066398</v>
      </c>
      <c r="S534" s="0" t="n">
        <v>2.98313878080414</v>
      </c>
      <c r="T534" s="0" t="n">
        <v>0.0432338953739707</v>
      </c>
      <c r="U534" s="0" t="n">
        <v>0.465829846582985</v>
      </c>
      <c r="V534" s="0" t="n">
        <v>0.468619246861925</v>
      </c>
      <c r="W534" s="0" t="n">
        <v>0.00139470013947001</v>
      </c>
      <c r="X534" s="0" t="n">
        <v>0.334268252417086</v>
      </c>
      <c r="Y534" s="0" t="n">
        <v>6.30219772453008</v>
      </c>
      <c r="Z534" s="0" t="n">
        <v>0.490424630043715</v>
      </c>
      <c r="AA534" s="0" t="n">
        <v>0</v>
      </c>
    </row>
    <row r="535" customFormat="false" ht="15" hidden="false" customHeight="false" outlineLevel="0" collapsed="false">
      <c r="A535" s="0" t="s">
        <v>569</v>
      </c>
      <c r="B535" s="0" t="s">
        <v>3013</v>
      </c>
      <c r="C535" s="0" t="s">
        <v>3033</v>
      </c>
      <c r="D535" s="0" t="n">
        <v>-1.04154663080242</v>
      </c>
      <c r="E535" s="0" t="n">
        <v>0.316548672379958</v>
      </c>
      <c r="F535" s="0" t="n">
        <v>8.13184580276295</v>
      </c>
      <c r="G535" s="0" t="n">
        <v>0.648310387984981</v>
      </c>
      <c r="H535" s="0" t="n">
        <v>0.556946182728411</v>
      </c>
      <c r="I535" s="0" t="n">
        <v>0.490469549046955</v>
      </c>
      <c r="J535" s="0" t="n">
        <v>0.580196538094748</v>
      </c>
      <c r="K535" s="0" t="n">
        <v>0.667715717403612</v>
      </c>
      <c r="L535" s="1" t="b">
        <f aca="false">FALSE()</f>
        <v>0</v>
      </c>
      <c r="N535" s="0" t="n">
        <v>42.3288458240704</v>
      </c>
      <c r="O535" s="0" t="n">
        <v>1</v>
      </c>
      <c r="P535" s="0" t="n">
        <v>1</v>
      </c>
      <c r="Q535" s="0" t="n">
        <v>1.04154663080242</v>
      </c>
      <c r="R535" s="0" t="n">
        <v>7.63476915140573</v>
      </c>
      <c r="S535" s="0" t="n">
        <v>4.58970792767733</v>
      </c>
      <c r="T535" s="0" t="n">
        <v>0.222531293463146</v>
      </c>
      <c r="U535" s="0" t="n">
        <v>0.364016736401674</v>
      </c>
      <c r="V535" s="0" t="n">
        <v>0.649930264993027</v>
      </c>
      <c r="W535" s="0" t="n">
        <v>0.457461645746165</v>
      </c>
      <c r="X535" s="0" t="n">
        <v>0.316548672379958</v>
      </c>
      <c r="Y535" s="0" t="n">
        <v>8.13184580276295</v>
      </c>
      <c r="Z535" s="0" t="n">
        <v>0.580196538094748</v>
      </c>
      <c r="AA535" s="0" t="n">
        <v>0</v>
      </c>
    </row>
    <row r="536" customFormat="false" ht="15" hidden="false" customHeight="false" outlineLevel="0" collapsed="false">
      <c r="A536" s="0" t="s">
        <v>570</v>
      </c>
      <c r="B536" s="0" t="s">
        <v>3013</v>
      </c>
      <c r="C536" s="0" t="s">
        <v>3038</v>
      </c>
      <c r="D536" s="0" t="n">
        <v>50.3453958618709</v>
      </c>
      <c r="E536" s="0" t="n">
        <v>0.262887107599548</v>
      </c>
      <c r="F536" s="0" t="n">
        <v>8.60204848821651</v>
      </c>
      <c r="G536" s="0" t="n">
        <v>0.352941176470588</v>
      </c>
      <c r="H536" s="0" t="n">
        <v>0.622027534418023</v>
      </c>
      <c r="I536" s="0" t="n">
        <v>0.633658763365876</v>
      </c>
      <c r="J536" s="0" t="n">
        <v>0.51671923702862</v>
      </c>
      <c r="K536" s="0" t="n">
        <v>0.667715717403612</v>
      </c>
      <c r="L536" s="1" t="b">
        <f aca="false">FALSE()</f>
        <v>0</v>
      </c>
      <c r="N536" s="0" t="n">
        <v>43.3703924548727</v>
      </c>
      <c r="O536" s="0" t="n">
        <v>2</v>
      </c>
      <c r="P536" s="0" t="n">
        <v>0</v>
      </c>
      <c r="Q536" s="0" t="n">
        <v>0</v>
      </c>
      <c r="R536" s="0" t="n">
        <v>14.012825228016</v>
      </c>
      <c r="S536" s="0" t="n">
        <v>14.2462509865825</v>
      </c>
      <c r="T536" s="0" t="n">
        <v>0.197316495659037</v>
      </c>
      <c r="U536" s="0" t="n">
        <v>0.677824267782427</v>
      </c>
      <c r="V536" s="0" t="n">
        <v>0.923291492329149</v>
      </c>
      <c r="W536" s="0" t="n">
        <v>0.299860529986053</v>
      </c>
      <c r="X536" s="0" t="n">
        <v>0.262887107599548</v>
      </c>
      <c r="Y536" s="0" t="n">
        <v>8.60204848821651</v>
      </c>
      <c r="Z536" s="0" t="n">
        <v>0.51671923702862</v>
      </c>
      <c r="AA536" s="0" t="n">
        <v>0</v>
      </c>
    </row>
    <row r="537" customFormat="false" ht="15" hidden="false" customHeight="false" outlineLevel="0" collapsed="false">
      <c r="A537" s="0" t="s">
        <v>571</v>
      </c>
      <c r="B537" s="0" t="s">
        <v>3013</v>
      </c>
      <c r="C537" s="0" t="s">
        <v>3034</v>
      </c>
      <c r="D537" s="0" t="n">
        <v>-36.6482231896513</v>
      </c>
      <c r="E537" s="0" t="n">
        <v>0.381291799949373</v>
      </c>
      <c r="F537" s="0" t="n">
        <v>13.2166585036704</v>
      </c>
      <c r="G537" s="0" t="n">
        <v>0.903629536921151</v>
      </c>
      <c r="H537" s="0" t="n">
        <v>0.957446808510638</v>
      </c>
      <c r="I537" s="0" t="n">
        <v>0.736866573686657</v>
      </c>
      <c r="J537" s="0" t="n">
        <v>0.891803852910048</v>
      </c>
      <c r="K537" s="0" t="n">
        <v>0.667715717403612</v>
      </c>
      <c r="L537" s="1" t="b">
        <f aca="false">TRUE()</f>
        <v>1</v>
      </c>
      <c r="M537" s="0" t="s">
        <v>3035</v>
      </c>
      <c r="N537" s="0" t="n">
        <v>0</v>
      </c>
      <c r="O537" s="0" t="n">
        <v>0</v>
      </c>
      <c r="P537" s="0" t="n">
        <v>1</v>
      </c>
      <c r="Q537" s="0" t="n">
        <v>36.6482231896513</v>
      </c>
      <c r="R537" s="0" t="n">
        <v>16.4914365850794</v>
      </c>
      <c r="S537" s="0" t="n">
        <v>4.66571834992887</v>
      </c>
      <c r="T537" s="0" t="n">
        <v>0.341394025604557</v>
      </c>
      <c r="U537" s="0" t="n">
        <v>0.736401673640167</v>
      </c>
      <c r="V537" s="0" t="n">
        <v>0.659693165969317</v>
      </c>
      <c r="W537" s="0" t="n">
        <v>0.814504881450488</v>
      </c>
      <c r="X537" s="0" t="n">
        <v>0.381291799949373</v>
      </c>
      <c r="Y537" s="0" t="n">
        <v>13.2166585036704</v>
      </c>
      <c r="Z537" s="0" t="n">
        <v>0.891803852910048</v>
      </c>
      <c r="AA537" s="0" t="n">
        <v>0</v>
      </c>
    </row>
    <row r="538" customFormat="false" ht="15" hidden="false" customHeight="false" outlineLevel="0" collapsed="false">
      <c r="A538" s="0" t="s">
        <v>572</v>
      </c>
      <c r="B538" s="0" t="s">
        <v>3013</v>
      </c>
      <c r="C538" s="0" t="s">
        <v>3036</v>
      </c>
      <c r="D538" s="0" t="n">
        <v>20.7461745670705</v>
      </c>
      <c r="E538" s="0" t="n">
        <v>0.382971918437185</v>
      </c>
      <c r="F538" s="0" t="n">
        <v>10.2797022765136</v>
      </c>
      <c r="G538" s="0" t="n">
        <v>0.909887359198999</v>
      </c>
      <c r="H538" s="0" t="n">
        <v>0.821026282853567</v>
      </c>
      <c r="I538" s="0" t="n">
        <v>0.171548117154812</v>
      </c>
      <c r="J538" s="0" t="n">
        <v>0.726675080251989</v>
      </c>
      <c r="K538" s="0" t="n">
        <v>0.667715717403612</v>
      </c>
      <c r="L538" s="1" t="b">
        <f aca="false">TRUE()</f>
        <v>1</v>
      </c>
      <c r="M538" s="0" t="s">
        <v>3035</v>
      </c>
      <c r="N538" s="0" t="n">
        <v>36.6482231896516</v>
      </c>
      <c r="O538" s="0" t="n">
        <v>1</v>
      </c>
      <c r="P538" s="0" t="n">
        <v>0</v>
      </c>
      <c r="Q538" s="0" t="n">
        <v>0</v>
      </c>
      <c r="R538" s="0" t="n">
        <v>4.5363836275193</v>
      </c>
      <c r="S538" s="0" t="n">
        <v>2.04908804323351</v>
      </c>
      <c r="T538" s="0" t="n">
        <v>0.157622157171806</v>
      </c>
      <c r="U538" s="0" t="n">
        <v>0.101813110181311</v>
      </c>
      <c r="V538" s="0" t="n">
        <v>0.287308228730823</v>
      </c>
      <c r="W538" s="0" t="n">
        <v>0.125523012552301</v>
      </c>
      <c r="X538" s="0" t="n">
        <v>0.382971918437185</v>
      </c>
      <c r="Y538" s="0" t="n">
        <v>10.2797022765136</v>
      </c>
      <c r="Z538" s="0" t="n">
        <v>0.726675080251989</v>
      </c>
      <c r="AA538" s="0" t="n">
        <v>0</v>
      </c>
    </row>
    <row r="539" customFormat="false" ht="15" hidden="false" customHeight="false" outlineLevel="0" collapsed="false">
      <c r="A539" s="0" t="s">
        <v>573</v>
      </c>
      <c r="B539" s="0" t="s">
        <v>3013</v>
      </c>
      <c r="C539" s="0" t="s">
        <v>3033</v>
      </c>
      <c r="D539" s="0" t="n">
        <v>37.8793776161743</v>
      </c>
      <c r="E539" s="0" t="n">
        <v>0.288589756518883</v>
      </c>
      <c r="F539" s="0" t="n">
        <v>7.75948521985156</v>
      </c>
      <c r="G539" s="0" t="n">
        <v>0.515644555694618</v>
      </c>
      <c r="H539" s="0" t="n">
        <v>0.518147684605757</v>
      </c>
      <c r="I539" s="0" t="n">
        <v>0.345420734542073</v>
      </c>
      <c r="J539" s="0" t="n">
        <v>0.482601043028565</v>
      </c>
      <c r="K539" s="0" t="n">
        <v>0.667715717403612</v>
      </c>
      <c r="L539" s="1" t="b">
        <f aca="false">FALSE()</f>
        <v>0</v>
      </c>
      <c r="N539" s="0" t="n">
        <v>15.9020486225809</v>
      </c>
      <c r="O539" s="0" t="n">
        <v>0</v>
      </c>
      <c r="P539" s="0" t="n">
        <v>0</v>
      </c>
      <c r="Q539" s="0" t="n">
        <v>0</v>
      </c>
      <c r="R539" s="0" t="n">
        <v>3.53277972915385</v>
      </c>
      <c r="S539" s="0" t="n">
        <v>2.6228602981778</v>
      </c>
      <c r="T539" s="0" t="n">
        <v>0.248481501932636</v>
      </c>
      <c r="U539" s="0" t="n">
        <v>0.0432357043235704</v>
      </c>
      <c r="V539" s="0" t="n">
        <v>0.412831241283124</v>
      </c>
      <c r="W539" s="0" t="n">
        <v>0.580195258019526</v>
      </c>
      <c r="X539" s="0" t="n">
        <v>0.288589756518883</v>
      </c>
      <c r="Y539" s="0" t="n">
        <v>7.75948521985156</v>
      </c>
      <c r="Z539" s="0" t="n">
        <v>0.482601043028565</v>
      </c>
      <c r="AA539" s="0" t="n">
        <v>5.55111512312578E-017</v>
      </c>
    </row>
    <row r="540" customFormat="false" ht="15" hidden="false" customHeight="false" outlineLevel="0" collapsed="false">
      <c r="A540" s="0" t="s">
        <v>574</v>
      </c>
      <c r="B540" s="0" t="s">
        <v>33</v>
      </c>
      <c r="C540" s="0" t="s">
        <v>33</v>
      </c>
      <c r="D540" s="0" t="n">
        <v>-27.7154599937447</v>
      </c>
      <c r="E540" s="0" t="n">
        <v>0.464931486017674</v>
      </c>
      <c r="F540" s="0" t="n">
        <v>16.2771640040049</v>
      </c>
      <c r="G540" s="0" t="n">
        <v>0.986232790988736</v>
      </c>
      <c r="H540" s="0" t="n">
        <v>0.989987484355444</v>
      </c>
      <c r="I540" s="0" t="n">
        <v>0.5</v>
      </c>
      <c r="J540" s="0" t="n">
        <v>0.890488110137672</v>
      </c>
      <c r="K540" s="0" t="n">
        <v>0.667715717403612</v>
      </c>
      <c r="L540" s="1" t="b">
        <f aca="false">TRUE()</f>
        <v>1</v>
      </c>
      <c r="M540" s="0" t="s">
        <v>3035</v>
      </c>
      <c r="N540" s="0" t="n">
        <v>0</v>
      </c>
      <c r="O540" s="0" t="n">
        <v>0</v>
      </c>
      <c r="P540" s="0" t="n">
        <v>1</v>
      </c>
      <c r="Q540" s="0" t="n">
        <v>27.7154599937447</v>
      </c>
      <c r="U540" s="0" t="n">
        <v>0.5</v>
      </c>
      <c r="V540" s="0" t="n">
        <v>0.5</v>
      </c>
      <c r="W540" s="0" t="n">
        <v>0.5</v>
      </c>
      <c r="X540" s="0" t="n">
        <v>0.464931486017674</v>
      </c>
      <c r="Y540" s="0" t="n">
        <v>16.2771640040049</v>
      </c>
      <c r="Z540" s="0" t="n">
        <v>0.890488110137672</v>
      </c>
      <c r="AA540" s="0" t="n">
        <v>0</v>
      </c>
    </row>
    <row r="541" customFormat="false" ht="15" hidden="false" customHeight="false" outlineLevel="0" collapsed="false">
      <c r="A541" s="0" t="s">
        <v>575</v>
      </c>
      <c r="B541" s="0" t="s">
        <v>3013</v>
      </c>
      <c r="C541" s="0" t="s">
        <v>3033</v>
      </c>
      <c r="D541" s="0" t="n">
        <v>-41.0896478055129</v>
      </c>
      <c r="E541" s="0" t="n">
        <v>0.344953263036938</v>
      </c>
      <c r="F541" s="0" t="n">
        <v>13.1625868995218</v>
      </c>
      <c r="G541" s="0" t="n">
        <v>0.802252816020025</v>
      </c>
      <c r="H541" s="0" t="n">
        <v>0.956195244055069</v>
      </c>
      <c r="I541" s="0" t="n">
        <v>0.0604370060437006</v>
      </c>
      <c r="J541" s="0" t="n">
        <v>0.715466625238778</v>
      </c>
      <c r="K541" s="0" t="n">
        <v>0.667715717403612</v>
      </c>
      <c r="L541" s="1" t="b">
        <f aca="false">TRUE()</f>
        <v>1</v>
      </c>
      <c r="M541" s="0" t="s">
        <v>3035</v>
      </c>
      <c r="N541" s="0" t="n">
        <v>27.7154599937448</v>
      </c>
      <c r="O541" s="0" t="n">
        <v>1</v>
      </c>
      <c r="P541" s="0" t="n">
        <v>1</v>
      </c>
      <c r="Q541" s="0" t="n">
        <v>41.0896478055129</v>
      </c>
      <c r="R541" s="0" t="n">
        <v>4.46008726433299</v>
      </c>
      <c r="S541" s="0" t="n">
        <v>0.743410678080639</v>
      </c>
      <c r="T541" s="0" t="n">
        <v>0.135165577832838</v>
      </c>
      <c r="U541" s="0" t="n">
        <v>0.096234309623431</v>
      </c>
      <c r="V541" s="0" t="n">
        <v>0.00697350069735007</v>
      </c>
      <c r="W541" s="0" t="n">
        <v>0.0781032078103208</v>
      </c>
      <c r="X541" s="0" t="n">
        <v>0.344953263036938</v>
      </c>
      <c r="Y541" s="0" t="n">
        <v>13.1625868995218</v>
      </c>
      <c r="Z541" s="0" t="n">
        <v>0.715466625238778</v>
      </c>
      <c r="AA541" s="0" t="n">
        <v>0</v>
      </c>
    </row>
    <row r="542" customFormat="false" ht="15" hidden="false" customHeight="false" outlineLevel="0" collapsed="false">
      <c r="A542" s="0" t="s">
        <v>576</v>
      </c>
      <c r="B542" s="0" t="s">
        <v>3013</v>
      </c>
      <c r="C542" s="0" t="s">
        <v>3038</v>
      </c>
      <c r="D542" s="0" t="n">
        <v>16.4812254699999</v>
      </c>
      <c r="E542" s="0" t="n">
        <v>0.368997498315207</v>
      </c>
      <c r="F542" s="0" t="n">
        <v>12.8034302243308</v>
      </c>
      <c r="G542" s="0" t="n">
        <v>0.869837296620776</v>
      </c>
      <c r="H542" s="0" t="n">
        <v>0.947434292866083</v>
      </c>
      <c r="I542" s="0" t="n">
        <v>0.659693165969317</v>
      </c>
      <c r="J542" s="0" t="n">
        <v>0.858847268988607</v>
      </c>
      <c r="K542" s="0" t="n">
        <v>0.667715717403612</v>
      </c>
      <c r="L542" s="1" t="b">
        <f aca="false">TRUE()</f>
        <v>1</v>
      </c>
      <c r="M542" s="0" t="s">
        <v>3035</v>
      </c>
      <c r="N542" s="0" t="n">
        <v>68.8051077992577</v>
      </c>
      <c r="O542" s="0" t="n">
        <v>2</v>
      </c>
      <c r="P542" s="0" t="n">
        <v>0</v>
      </c>
      <c r="Q542" s="0" t="n">
        <v>0</v>
      </c>
      <c r="R542" s="0" t="n">
        <v>26.8344743105983</v>
      </c>
      <c r="S542" s="0" t="n">
        <v>7.24573941726223</v>
      </c>
      <c r="T542" s="0" t="n">
        <v>0.197910940076967</v>
      </c>
      <c r="U542" s="0" t="n">
        <v>0.878661087866109</v>
      </c>
      <c r="V542" s="0" t="n">
        <v>0.796373779637378</v>
      </c>
      <c r="W542" s="0" t="n">
        <v>0.304044630404463</v>
      </c>
      <c r="X542" s="0" t="n">
        <v>0.368997498315207</v>
      </c>
      <c r="Y542" s="0" t="n">
        <v>12.8034302243308</v>
      </c>
      <c r="Z542" s="0" t="n">
        <v>0.858847268988607</v>
      </c>
      <c r="AA542" s="0" t="n">
        <v>0</v>
      </c>
    </row>
    <row r="543" customFormat="false" ht="15" hidden="false" customHeight="false" outlineLevel="0" collapsed="false">
      <c r="A543" s="0" t="s">
        <v>577</v>
      </c>
      <c r="B543" s="0" t="s">
        <v>3013</v>
      </c>
      <c r="C543" s="0" t="s">
        <v>3036</v>
      </c>
      <c r="D543" s="0" t="n">
        <v>-13.2643172495948</v>
      </c>
      <c r="E543" s="0" t="n">
        <v>0.436897180288789</v>
      </c>
      <c r="F543" s="0" t="n">
        <v>10.1566387850421</v>
      </c>
      <c r="G543" s="0" t="n">
        <v>0.97622027534418</v>
      </c>
      <c r="H543" s="0" t="n">
        <v>0.806007509386733</v>
      </c>
      <c r="I543" s="0" t="n">
        <v>0.225941422594142</v>
      </c>
      <c r="J543" s="0" t="n">
        <v>0.758079398411194</v>
      </c>
      <c r="K543" s="0" t="n">
        <v>0.667715717403612</v>
      </c>
      <c r="L543" s="1" t="b">
        <f aca="false">TRUE()</f>
        <v>1</v>
      </c>
      <c r="M543" s="0" t="s">
        <v>3035</v>
      </c>
      <c r="N543" s="0" t="n">
        <v>52.3238823292577</v>
      </c>
      <c r="O543" s="0" t="n">
        <v>0</v>
      </c>
      <c r="P543" s="0" t="n">
        <v>1</v>
      </c>
      <c r="Q543" s="0" t="n">
        <v>13.2643172495948</v>
      </c>
      <c r="R543" s="0" t="n">
        <v>5.07388720891404</v>
      </c>
      <c r="S543" s="0" t="n">
        <v>2.27985524728588</v>
      </c>
      <c r="T543" s="0" t="n">
        <v>0.180940892641737</v>
      </c>
      <c r="U543" s="0" t="n">
        <v>0.132496513249651</v>
      </c>
      <c r="V543" s="0" t="n">
        <v>0.334728033472803</v>
      </c>
      <c r="W543" s="0" t="n">
        <v>0.210599721059972</v>
      </c>
      <c r="X543" s="0" t="n">
        <v>0.436897180288789</v>
      </c>
      <c r="Y543" s="0" t="n">
        <v>10.1566387850421</v>
      </c>
      <c r="Z543" s="0" t="n">
        <v>0.758079398411194</v>
      </c>
      <c r="AA543" s="0" t="n">
        <v>0</v>
      </c>
    </row>
    <row r="544" customFormat="false" ht="15" hidden="false" customHeight="false" outlineLevel="0" collapsed="false">
      <c r="A544" s="0" t="s">
        <v>578</v>
      </c>
      <c r="B544" s="0" t="s">
        <v>33</v>
      </c>
      <c r="C544" s="0" t="s">
        <v>33</v>
      </c>
      <c r="D544" s="0" t="n">
        <v>-43.8797321907479</v>
      </c>
      <c r="E544" s="0" t="n">
        <v>0.367636973369959</v>
      </c>
      <c r="F544" s="0" t="n">
        <v>11.3560957542829</v>
      </c>
      <c r="G544" s="0" t="n">
        <v>0.863579474342929</v>
      </c>
      <c r="H544" s="0" t="n">
        <v>0.901126408010013</v>
      </c>
      <c r="I544" s="0" t="n">
        <v>0.5</v>
      </c>
      <c r="J544" s="0" t="n">
        <v>0.805882352941177</v>
      </c>
      <c r="K544" s="0" t="n">
        <v>0.667715717403612</v>
      </c>
      <c r="L544" s="1" t="b">
        <f aca="false">TRUE()</f>
        <v>1</v>
      </c>
      <c r="M544" s="0" t="s">
        <v>3035</v>
      </c>
      <c r="N544" s="0" t="n">
        <v>65.5881995788523</v>
      </c>
      <c r="O544" s="0" t="n">
        <v>1</v>
      </c>
      <c r="P544" s="0" t="n">
        <v>1</v>
      </c>
      <c r="Q544" s="0" t="n">
        <v>43.8797321907479</v>
      </c>
      <c r="U544" s="0" t="n">
        <v>0.5</v>
      </c>
      <c r="V544" s="0" t="n">
        <v>0.5</v>
      </c>
      <c r="W544" s="0" t="n">
        <v>0.5</v>
      </c>
      <c r="X544" s="0" t="n">
        <v>0.367636973369959</v>
      </c>
      <c r="Y544" s="0" t="n">
        <v>11.3560957542829</v>
      </c>
      <c r="Z544" s="0" t="n">
        <v>0.805882352941177</v>
      </c>
      <c r="AA544" s="0" t="n">
        <v>0</v>
      </c>
    </row>
    <row r="545" customFormat="false" ht="15" hidden="false" customHeight="false" outlineLevel="0" collapsed="false">
      <c r="A545" s="0" t="s">
        <v>579</v>
      </c>
      <c r="B545" s="0" t="s">
        <v>3013</v>
      </c>
      <c r="C545" s="0" t="s">
        <v>3038</v>
      </c>
      <c r="D545" s="0" t="n">
        <v>39.2487366234622</v>
      </c>
      <c r="E545" s="0" t="n">
        <v>0.264494984852814</v>
      </c>
      <c r="F545" s="0" t="n">
        <v>8.31052445149371</v>
      </c>
      <c r="G545" s="0" t="n">
        <v>0.364205256570713</v>
      </c>
      <c r="H545" s="0" t="n">
        <v>0.58072590738423</v>
      </c>
      <c r="I545" s="0" t="n">
        <v>0.841004184100418</v>
      </c>
      <c r="J545" s="0" t="n">
        <v>0.546173302402061</v>
      </c>
      <c r="K545" s="0" t="n">
        <v>0.667715717403612</v>
      </c>
      <c r="L545" s="1" t="b">
        <f aca="false">FALSE()</f>
        <v>0</v>
      </c>
      <c r="N545" s="0" t="n">
        <v>109.4679317696</v>
      </c>
      <c r="O545" s="0" t="n">
        <v>2</v>
      </c>
      <c r="P545" s="0" t="n">
        <v>0</v>
      </c>
      <c r="Q545" s="0" t="n">
        <v>0</v>
      </c>
      <c r="R545" s="0" t="n">
        <v>22.7760826375697</v>
      </c>
      <c r="S545" s="0" t="n">
        <v>13.2263242375602</v>
      </c>
      <c r="T545" s="0" t="n">
        <v>0.321027287319422</v>
      </c>
      <c r="U545" s="0" t="n">
        <v>0.834030683403068</v>
      </c>
      <c r="V545" s="0" t="n">
        <v>0.913528591352859</v>
      </c>
      <c r="W545" s="0" t="n">
        <v>0.775453277545328</v>
      </c>
      <c r="X545" s="0" t="n">
        <v>0.264494984852814</v>
      </c>
      <c r="Y545" s="0" t="n">
        <v>8.31052445149371</v>
      </c>
      <c r="Z545" s="0" t="n">
        <v>0.546173302402061</v>
      </c>
      <c r="AA545" s="0" t="n">
        <v>0</v>
      </c>
    </row>
    <row r="546" customFormat="false" ht="15" hidden="false" customHeight="false" outlineLevel="0" collapsed="false">
      <c r="A546" s="0" t="s">
        <v>580</v>
      </c>
      <c r="B546" s="0" t="s">
        <v>3013</v>
      </c>
      <c r="C546" s="0" t="s">
        <v>3036</v>
      </c>
      <c r="D546" s="0" t="n">
        <v>-39.4292167460195</v>
      </c>
      <c r="E546" s="0" t="n">
        <v>0.243469647568841</v>
      </c>
      <c r="F546" s="0" t="n">
        <v>6.13411238450128</v>
      </c>
      <c r="G546" s="0" t="n">
        <v>0.236545682102628</v>
      </c>
      <c r="H546" s="0" t="n">
        <v>0.282853566958698</v>
      </c>
      <c r="I546" s="0" t="n">
        <v>0.195722919572292</v>
      </c>
      <c r="J546" s="0" t="n">
        <v>0.246904283538989</v>
      </c>
      <c r="K546" s="0" t="n">
        <v>0.667715717403612</v>
      </c>
      <c r="L546" s="1" t="b">
        <f aca="false">FALSE()</f>
        <v>0</v>
      </c>
      <c r="N546" s="0" t="n">
        <v>70.2191951461382</v>
      </c>
      <c r="O546" s="0" t="n">
        <v>0</v>
      </c>
      <c r="P546" s="0" t="n">
        <v>1</v>
      </c>
      <c r="Q546" s="0" t="n">
        <v>39.4292167460195</v>
      </c>
      <c r="R546" s="0" t="n">
        <v>3.88402704100511</v>
      </c>
      <c r="S546" s="0" t="n">
        <v>2.09337099185914</v>
      </c>
      <c r="T546" s="0" t="n">
        <v>0.182754610400393</v>
      </c>
      <c r="U546" s="0" t="n">
        <v>0.0683403068340307</v>
      </c>
      <c r="V546" s="0" t="n">
        <v>0.295676429567643</v>
      </c>
      <c r="W546" s="0" t="n">
        <v>0.223152022315202</v>
      </c>
      <c r="X546" s="0" t="n">
        <v>0.243469647568841</v>
      </c>
      <c r="Y546" s="0" t="n">
        <v>6.13411238450128</v>
      </c>
      <c r="Z546" s="0" t="n">
        <v>0.246904283538989</v>
      </c>
      <c r="AA546" s="0" t="n">
        <v>-2.77555756156289E-017</v>
      </c>
    </row>
    <row r="547" customFormat="false" ht="15" hidden="false" customHeight="false" outlineLevel="0" collapsed="false">
      <c r="A547" s="0" t="s">
        <v>581</v>
      </c>
      <c r="B547" s="0" t="s">
        <v>3013</v>
      </c>
      <c r="C547" s="0" t="s">
        <v>3033</v>
      </c>
      <c r="D547" s="0" t="n">
        <v>-12.4618413484557</v>
      </c>
      <c r="E547" s="0" t="n">
        <v>0.303158900087103</v>
      </c>
      <c r="F547" s="0" t="n">
        <v>7.93216810943218</v>
      </c>
      <c r="G547" s="0" t="n">
        <v>0.584480600750939</v>
      </c>
      <c r="H547" s="0" t="n">
        <v>0.529411764705882</v>
      </c>
      <c r="I547" s="0" t="n">
        <v>0.124128312412831</v>
      </c>
      <c r="J547" s="0" t="n">
        <v>0.470382608665295</v>
      </c>
      <c r="K547" s="0" t="n">
        <v>0.667715717403612</v>
      </c>
      <c r="L547" s="1" t="b">
        <f aca="false">FALSE()</f>
        <v>0</v>
      </c>
      <c r="N547" s="0" t="n">
        <v>109.648411892158</v>
      </c>
      <c r="O547" s="0" t="n">
        <v>1</v>
      </c>
      <c r="P547" s="0" t="n">
        <v>1</v>
      </c>
      <c r="Q547" s="0" t="n">
        <v>12.4618413484557</v>
      </c>
      <c r="R547" s="0" t="n">
        <v>2.60887539409216</v>
      </c>
      <c r="S547" s="0" t="n">
        <v>2.24190423470801</v>
      </c>
      <c r="T547" s="0" t="n">
        <v>0.110711320232503</v>
      </c>
      <c r="U547" s="0" t="n">
        <v>0.0167364016736402</v>
      </c>
      <c r="V547" s="0" t="n">
        <v>0.322175732217573</v>
      </c>
      <c r="W547" s="0" t="n">
        <v>0.0334728033472803</v>
      </c>
      <c r="X547" s="0" t="n">
        <v>0.303158900087103</v>
      </c>
      <c r="Y547" s="0" t="n">
        <v>7.93216810943218</v>
      </c>
      <c r="Z547" s="0" t="n">
        <v>0.470382608665295</v>
      </c>
      <c r="AA547" s="0" t="n">
        <v>0</v>
      </c>
    </row>
    <row r="548" customFormat="false" ht="15" hidden="false" customHeight="false" outlineLevel="0" collapsed="false">
      <c r="A548" s="0" t="s">
        <v>582</v>
      </c>
      <c r="B548" s="0" t="s">
        <v>3013</v>
      </c>
      <c r="C548" s="0" t="s">
        <v>3033</v>
      </c>
      <c r="D548" s="0" t="n">
        <v>54.4793984542393</v>
      </c>
      <c r="E548" s="0" t="n">
        <v>0.292229476454757</v>
      </c>
      <c r="F548" s="0" t="n">
        <v>10.8430796824605</v>
      </c>
      <c r="G548" s="0" t="n">
        <v>0.536921151439299</v>
      </c>
      <c r="H548" s="0" t="n">
        <v>0.864831038798498</v>
      </c>
      <c r="I548" s="0" t="n">
        <v>0.512784751278475</v>
      </c>
      <c r="J548" s="0" t="n">
        <v>0.663257826350814</v>
      </c>
      <c r="K548" s="0" t="n">
        <v>0.667715717403612</v>
      </c>
      <c r="L548" s="1" t="b">
        <f aca="false">FALSE()</f>
        <v>0</v>
      </c>
      <c r="N548" s="0" t="n">
        <v>122.110253240614</v>
      </c>
      <c r="O548" s="0" t="n">
        <v>2</v>
      </c>
      <c r="P548" s="0" t="n">
        <v>0</v>
      </c>
      <c r="Q548" s="0" t="n">
        <v>0</v>
      </c>
      <c r="R548" s="0" t="n">
        <v>8.52654511181443</v>
      </c>
      <c r="S548" s="0" t="n">
        <v>4.84581497797354</v>
      </c>
      <c r="T548" s="0" t="n">
        <v>0.220264317180615</v>
      </c>
      <c r="U548" s="0" t="n">
        <v>0.421199442119944</v>
      </c>
      <c r="V548" s="0" t="n">
        <v>0.679218967921897</v>
      </c>
      <c r="W548" s="0" t="n">
        <v>0.437935843793584</v>
      </c>
      <c r="X548" s="0" t="n">
        <v>0.292229476454757</v>
      </c>
      <c r="Y548" s="0" t="n">
        <v>10.8430796824605</v>
      </c>
      <c r="Z548" s="0" t="n">
        <v>0.663257826350814</v>
      </c>
      <c r="AA548" s="0" t="n">
        <v>0</v>
      </c>
    </row>
    <row r="549" customFormat="false" ht="15" hidden="false" customHeight="false" outlineLevel="0" collapsed="false">
      <c r="A549" s="0" t="s">
        <v>583</v>
      </c>
      <c r="B549" s="0" t="s">
        <v>3013</v>
      </c>
      <c r="C549" s="0" t="s">
        <v>3036</v>
      </c>
      <c r="D549" s="0" t="n">
        <v>-12.7584991896706</v>
      </c>
      <c r="E549" s="0" t="n">
        <v>0.31699959532263</v>
      </c>
      <c r="F549" s="0" t="n">
        <v>1.90102224250338</v>
      </c>
      <c r="G549" s="0" t="n">
        <v>0.65206508135169</v>
      </c>
      <c r="H549" s="0" t="n">
        <v>0.00876095118898623</v>
      </c>
      <c r="I549" s="0" t="n">
        <v>0.456996745699675</v>
      </c>
      <c r="J549" s="0" t="n">
        <v>0.355729762156205</v>
      </c>
      <c r="K549" s="0" t="n">
        <v>0.667715717403612</v>
      </c>
      <c r="L549" s="1" t="b">
        <f aca="false">FALSE()</f>
        <v>0</v>
      </c>
      <c r="N549" s="0" t="n">
        <v>67.6308547863746</v>
      </c>
      <c r="O549" s="0" t="n">
        <v>0</v>
      </c>
      <c r="P549" s="0" t="n">
        <v>1</v>
      </c>
      <c r="Q549" s="0" t="n">
        <v>12.7584991896706</v>
      </c>
      <c r="R549" s="0" t="n">
        <v>9.76998373040754</v>
      </c>
      <c r="S549" s="0" t="n">
        <v>5.33863410478488</v>
      </c>
      <c r="T549" s="0" t="n">
        <v>0.170381939514418</v>
      </c>
      <c r="U549" s="0" t="n">
        <v>0.492329149232915</v>
      </c>
      <c r="V549" s="0" t="n">
        <v>0.711297071129707</v>
      </c>
      <c r="W549" s="0" t="n">
        <v>0.167364016736402</v>
      </c>
      <c r="X549" s="0" t="n">
        <v>0.31699959532263</v>
      </c>
      <c r="Y549" s="0" t="n">
        <v>1.90102224250338</v>
      </c>
      <c r="Z549" s="0" t="n">
        <v>0.355729762156205</v>
      </c>
      <c r="AA549" s="0" t="n">
        <v>0</v>
      </c>
    </row>
    <row r="550" customFormat="false" ht="15" hidden="false" customHeight="false" outlineLevel="0" collapsed="false">
      <c r="A550" s="0" t="s">
        <v>584</v>
      </c>
      <c r="B550" s="0" t="s">
        <v>3013</v>
      </c>
      <c r="C550" s="0" t="s">
        <v>3033</v>
      </c>
      <c r="D550" s="0" t="n">
        <v>-45.4007093586676</v>
      </c>
      <c r="E550" s="0" t="n">
        <v>0.296066260579487</v>
      </c>
      <c r="F550" s="0" t="n">
        <v>7.05349910464606</v>
      </c>
      <c r="G550" s="0" t="n">
        <v>0.551939924906133</v>
      </c>
      <c r="H550" s="0" t="n">
        <v>0.421777221526909</v>
      </c>
      <c r="I550" s="0" t="n">
        <v>0.364946536494654</v>
      </c>
      <c r="J550" s="0" t="n">
        <v>0.462476165872147</v>
      </c>
      <c r="K550" s="0" t="n">
        <v>0.667715717403612</v>
      </c>
      <c r="L550" s="1" t="b">
        <f aca="false">FALSE()</f>
        <v>0</v>
      </c>
      <c r="N550" s="0" t="n">
        <v>80.3893539760447</v>
      </c>
      <c r="O550" s="0" t="n">
        <v>1</v>
      </c>
      <c r="P550" s="0" t="n">
        <v>1</v>
      </c>
      <c r="Q550" s="0" t="n">
        <v>45.4007093586676</v>
      </c>
      <c r="R550" s="0" t="n">
        <v>6.4146592495877</v>
      </c>
      <c r="S550" s="0" t="n">
        <v>6.96260261477654</v>
      </c>
      <c r="T550" s="0" t="n">
        <v>0.121617512921854</v>
      </c>
      <c r="U550" s="0" t="n">
        <v>0.266387726638773</v>
      </c>
      <c r="V550" s="0" t="n">
        <v>0.785216178521618</v>
      </c>
      <c r="W550" s="0" t="n">
        <v>0.0432357043235704</v>
      </c>
      <c r="X550" s="0" t="n">
        <v>0.296066260579487</v>
      </c>
      <c r="Y550" s="0" t="n">
        <v>7.05349910464606</v>
      </c>
      <c r="Z550" s="0" t="n">
        <v>0.462476165872147</v>
      </c>
      <c r="AA550" s="0" t="n">
        <v>5.55111512312578E-017</v>
      </c>
    </row>
    <row r="551" customFormat="false" ht="15" hidden="false" customHeight="false" outlineLevel="0" collapsed="false">
      <c r="A551" s="0" t="s">
        <v>585</v>
      </c>
      <c r="B551" s="0" t="s">
        <v>3013</v>
      </c>
      <c r="C551" s="0" t="s">
        <v>3033</v>
      </c>
      <c r="D551" s="0" t="n">
        <v>18.2447455534813</v>
      </c>
      <c r="E551" s="0" t="n">
        <v>0.266765766398759</v>
      </c>
      <c r="F551" s="0" t="n">
        <v>4.79521312267212</v>
      </c>
      <c r="G551" s="0" t="n">
        <v>0.376720901126408</v>
      </c>
      <c r="H551" s="0" t="n">
        <v>0.112640801001252</v>
      </c>
      <c r="I551" s="0" t="n">
        <v>0.275685727568573</v>
      </c>
      <c r="J551" s="0" t="n">
        <v>0.250881826364778</v>
      </c>
      <c r="K551" s="0" t="n">
        <v>0.667715717403612</v>
      </c>
      <c r="L551" s="1" t="b">
        <f aca="false">FALSE()</f>
        <v>0</v>
      </c>
      <c r="N551" s="0" t="n">
        <v>125.790063334713</v>
      </c>
      <c r="O551" s="0" t="n">
        <v>2</v>
      </c>
      <c r="P551" s="0" t="n">
        <v>0</v>
      </c>
      <c r="Q551" s="0" t="n">
        <v>0</v>
      </c>
      <c r="R551" s="0" t="n">
        <v>10.2458383996732</v>
      </c>
      <c r="S551" s="0" t="n">
        <v>2.10705182667799</v>
      </c>
      <c r="T551" s="0" t="n">
        <v>0.0849617672047578</v>
      </c>
      <c r="U551" s="0" t="n">
        <v>0.518828451882845</v>
      </c>
      <c r="V551" s="0" t="n">
        <v>0.298465829846583</v>
      </c>
      <c r="W551" s="0" t="n">
        <v>0.0097629009762901</v>
      </c>
      <c r="X551" s="0" t="n">
        <v>0.266765766398759</v>
      </c>
      <c r="Y551" s="0" t="n">
        <v>4.79521312267212</v>
      </c>
      <c r="Z551" s="0" t="n">
        <v>0.250881826364778</v>
      </c>
      <c r="AA551" s="0" t="n">
        <v>0</v>
      </c>
    </row>
    <row r="552" customFormat="false" ht="15" hidden="false" customHeight="false" outlineLevel="0" collapsed="false">
      <c r="A552" s="0" t="s">
        <v>586</v>
      </c>
      <c r="B552" s="0" t="s">
        <v>3013</v>
      </c>
      <c r="C552" s="0" t="s">
        <v>3033</v>
      </c>
      <c r="D552" s="0" t="n">
        <v>26.5635959178122</v>
      </c>
      <c r="E552" s="0" t="n">
        <v>0.256423255958065</v>
      </c>
      <c r="F552" s="0" t="n">
        <v>5.58543266160364</v>
      </c>
      <c r="G552" s="0" t="n">
        <v>0.30287859824781</v>
      </c>
      <c r="H552" s="0" t="n">
        <v>0.215269086357947</v>
      </c>
      <c r="I552" s="0" t="n">
        <v>0.343096234309623</v>
      </c>
      <c r="J552" s="0" t="n">
        <v>0.275878320704228</v>
      </c>
      <c r="K552" s="0" t="n">
        <v>0.667715717403612</v>
      </c>
      <c r="L552" s="1" t="b">
        <f aca="false">FALSE()</f>
        <v>0</v>
      </c>
      <c r="N552" s="0" t="n">
        <v>107.545317781232</v>
      </c>
      <c r="O552" s="0" t="n">
        <v>0</v>
      </c>
      <c r="P552" s="0" t="n">
        <v>0</v>
      </c>
      <c r="Q552" s="0" t="n">
        <v>0</v>
      </c>
      <c r="R552" s="0" t="n">
        <v>11.9640584882111</v>
      </c>
      <c r="S552" s="0" t="n">
        <v>2.35902044484386</v>
      </c>
      <c r="T552" s="0" t="n">
        <v>0.134801168276797</v>
      </c>
      <c r="U552" s="0" t="n">
        <v>0.599721059972106</v>
      </c>
      <c r="V552" s="0" t="n">
        <v>0.352859135285914</v>
      </c>
      <c r="W552" s="0" t="n">
        <v>0.0767085076708508</v>
      </c>
      <c r="X552" s="0" t="n">
        <v>0.256423255958065</v>
      </c>
      <c r="Y552" s="0" t="n">
        <v>5.58543266160364</v>
      </c>
      <c r="Z552" s="0" t="n">
        <v>0.275878320704228</v>
      </c>
      <c r="AA552" s="0" t="n">
        <v>0</v>
      </c>
    </row>
    <row r="553" customFormat="false" ht="15" hidden="false" customHeight="false" outlineLevel="0" collapsed="false">
      <c r="A553" s="0" t="s">
        <v>587</v>
      </c>
      <c r="B553" s="0" t="s">
        <v>3013</v>
      </c>
      <c r="C553" s="0" t="s">
        <v>3033</v>
      </c>
      <c r="D553" s="0" t="n">
        <v>53.8528299133315</v>
      </c>
      <c r="E553" s="0" t="n">
        <v>0.229797509704651</v>
      </c>
      <c r="F553" s="0" t="n">
        <v>5.88130282215418</v>
      </c>
      <c r="G553" s="0" t="n">
        <v>0.173967459324155</v>
      </c>
      <c r="H553" s="0" t="n">
        <v>0.247809762202753</v>
      </c>
      <c r="I553" s="0" t="n">
        <v>0.520223152022315</v>
      </c>
      <c r="J553" s="0" t="n">
        <v>0.272755519015227</v>
      </c>
      <c r="K553" s="0" t="n">
        <v>0.667715717403612</v>
      </c>
      <c r="L553" s="1" t="b">
        <f aca="false">FALSE()</f>
        <v>0</v>
      </c>
      <c r="N553" s="0" t="n">
        <v>80.9817218634189</v>
      </c>
      <c r="O553" s="0" t="n">
        <v>0</v>
      </c>
      <c r="P553" s="0" t="n">
        <v>0</v>
      </c>
      <c r="Q553" s="0" t="n">
        <v>0</v>
      </c>
      <c r="R553" s="0" t="n">
        <v>6.37663996621269</v>
      </c>
      <c r="S553" s="0" t="n">
        <v>4.61885092001505</v>
      </c>
      <c r="T553" s="0" t="n">
        <v>0.262861434472406</v>
      </c>
      <c r="U553" s="0" t="n">
        <v>0.260808926080893</v>
      </c>
      <c r="V553" s="0" t="n">
        <v>0.655509065550907</v>
      </c>
      <c r="W553" s="0" t="n">
        <v>0.644351464435147</v>
      </c>
      <c r="X553" s="0" t="n">
        <v>0.229797509704651</v>
      </c>
      <c r="Y553" s="0" t="n">
        <v>5.88130282215418</v>
      </c>
      <c r="Z553" s="0" t="n">
        <v>0.272755519015227</v>
      </c>
      <c r="AA553" s="0" t="n">
        <v>5.55111512312578E-017</v>
      </c>
    </row>
    <row r="554" customFormat="false" ht="15" hidden="false" customHeight="false" outlineLevel="0" collapsed="false">
      <c r="A554" s="0" t="s">
        <v>588</v>
      </c>
      <c r="B554" s="0" t="s">
        <v>3013</v>
      </c>
      <c r="C554" s="0" t="s">
        <v>3033</v>
      </c>
      <c r="D554" s="0" t="n">
        <v>24.9139433952085</v>
      </c>
      <c r="E554" s="0" t="n">
        <v>0.232254380629676</v>
      </c>
      <c r="F554" s="0" t="n">
        <v>5.06250040955859</v>
      </c>
      <c r="G554" s="0" t="n">
        <v>0.18648310387985</v>
      </c>
      <c r="H554" s="0" t="n">
        <v>0.145181476846058</v>
      </c>
      <c r="I554" s="0" t="n">
        <v>0.225941422594142</v>
      </c>
      <c r="J554" s="0" t="n">
        <v>0.177854116809191</v>
      </c>
      <c r="K554" s="0" t="n">
        <v>0.667715717403612</v>
      </c>
      <c r="L554" s="1" t="b">
        <f aca="false">FALSE()</f>
        <v>0</v>
      </c>
      <c r="N554" s="0" t="n">
        <v>27.1288919500876</v>
      </c>
      <c r="O554" s="0" t="n">
        <v>0</v>
      </c>
      <c r="P554" s="0" t="n">
        <v>0</v>
      </c>
      <c r="Q554" s="0" t="n">
        <v>0</v>
      </c>
      <c r="R554" s="0" t="n">
        <v>4.31117844249643</v>
      </c>
      <c r="S554" s="0" t="n">
        <v>2.83968368080521</v>
      </c>
      <c r="T554" s="0" t="n">
        <v>0.161754133716746</v>
      </c>
      <c r="U554" s="0" t="n">
        <v>0.0878661087866109</v>
      </c>
      <c r="V554" s="0" t="n">
        <v>0.447698744769875</v>
      </c>
      <c r="W554" s="0" t="n">
        <v>0.142259414225941</v>
      </c>
      <c r="X554" s="0" t="n">
        <v>0.232254380629676</v>
      </c>
      <c r="Y554" s="0" t="n">
        <v>5.06250040955859</v>
      </c>
      <c r="Z554" s="0" t="n">
        <v>0.177854116809191</v>
      </c>
      <c r="AA554" s="0" t="n">
        <v>0</v>
      </c>
    </row>
    <row r="555" customFormat="false" ht="15" hidden="false" customHeight="false" outlineLevel="0" collapsed="false">
      <c r="A555" s="0" t="s">
        <v>589</v>
      </c>
      <c r="B555" s="0" t="s">
        <v>3013</v>
      </c>
      <c r="C555" s="0" t="s">
        <v>3036</v>
      </c>
      <c r="D555" s="0" t="n">
        <v>1.41665386785501</v>
      </c>
      <c r="E555" s="0" t="n">
        <v>0.331567244657798</v>
      </c>
      <c r="F555" s="0" t="n">
        <v>6.7064832606323</v>
      </c>
      <c r="G555" s="0" t="n">
        <v>0.74342928660826</v>
      </c>
      <c r="H555" s="0" t="n">
        <v>0.377972465581977</v>
      </c>
      <c r="I555" s="0" t="n">
        <v>0.121803812180381</v>
      </c>
      <c r="J555" s="0" t="n">
        <v>0.472921463312171</v>
      </c>
      <c r="K555" s="0" t="n">
        <v>0.667715717403612</v>
      </c>
      <c r="L555" s="1" t="b">
        <f aca="false">FALSE()</f>
        <v>0</v>
      </c>
      <c r="N555" s="0" t="n">
        <v>2.2149485548789</v>
      </c>
      <c r="O555" s="0" t="n">
        <v>0</v>
      </c>
      <c r="P555" s="0" t="n">
        <v>0</v>
      </c>
      <c r="Q555" s="0" t="n">
        <v>0</v>
      </c>
      <c r="R555" s="0" t="n">
        <v>2.26897606932939</v>
      </c>
      <c r="S555" s="0" t="n">
        <v>1.19279982650184</v>
      </c>
      <c r="T555" s="0" t="n">
        <v>0.195185426154842</v>
      </c>
      <c r="U555" s="0" t="n">
        <v>0.0111576011157601</v>
      </c>
      <c r="V555" s="0" t="n">
        <v>0.0669456066945607</v>
      </c>
      <c r="W555" s="0" t="n">
        <v>0.287308228730823</v>
      </c>
      <c r="X555" s="0" t="n">
        <v>0.331567244657798</v>
      </c>
      <c r="Y555" s="0" t="n">
        <v>6.7064832606323</v>
      </c>
      <c r="Z555" s="0" t="n">
        <v>0.472921463312171</v>
      </c>
      <c r="AA555" s="0" t="n">
        <v>0</v>
      </c>
    </row>
    <row r="556" customFormat="false" ht="15" hidden="false" customHeight="false" outlineLevel="0" collapsed="false">
      <c r="A556" s="0" t="s">
        <v>590</v>
      </c>
      <c r="B556" s="0" t="s">
        <v>3013</v>
      </c>
      <c r="C556" s="0" t="s">
        <v>3033</v>
      </c>
      <c r="D556" s="0" t="n">
        <v>16.823885916612</v>
      </c>
      <c r="E556" s="0" t="n">
        <v>0.31783901271506</v>
      </c>
      <c r="F556" s="0" t="n">
        <v>6.76685979162669</v>
      </c>
      <c r="G556" s="0" t="n">
        <v>0.658322903629537</v>
      </c>
      <c r="H556" s="0" t="n">
        <v>0.387984981226533</v>
      </c>
      <c r="I556" s="0" t="n">
        <v>0.0874012087401209</v>
      </c>
      <c r="J556" s="0" t="n">
        <v>0.436003395690452</v>
      </c>
      <c r="K556" s="0" t="n">
        <v>0.667715717403612</v>
      </c>
      <c r="L556" s="1" t="b">
        <f aca="false">FALSE()</f>
        <v>0</v>
      </c>
      <c r="N556" s="0" t="n">
        <v>0.798294687024281</v>
      </c>
      <c r="O556" s="0" t="n">
        <v>0</v>
      </c>
      <c r="P556" s="0" t="n">
        <v>0</v>
      </c>
      <c r="Q556" s="0" t="n">
        <v>0</v>
      </c>
      <c r="R556" s="0" t="n">
        <v>4.81863944530379</v>
      </c>
      <c r="S556" s="0" t="n">
        <v>1.53380859796933</v>
      </c>
      <c r="T556" s="0" t="n">
        <v>0.0648088139987001</v>
      </c>
      <c r="U556" s="0" t="n">
        <v>0.118549511854951</v>
      </c>
      <c r="V556" s="0" t="n">
        <v>0.140864714086471</v>
      </c>
      <c r="W556" s="0" t="n">
        <v>0.00278940027894003</v>
      </c>
      <c r="X556" s="0" t="n">
        <v>0.31783901271506</v>
      </c>
      <c r="Y556" s="0" t="n">
        <v>6.76685979162669</v>
      </c>
      <c r="Z556" s="0" t="n">
        <v>0.436003395690452</v>
      </c>
      <c r="AA556" s="0" t="n">
        <v>0</v>
      </c>
    </row>
    <row r="557" customFormat="false" ht="15" hidden="false" customHeight="false" outlineLevel="0" collapsed="false">
      <c r="A557" s="0" t="s">
        <v>591</v>
      </c>
      <c r="B557" s="0" t="s">
        <v>3013</v>
      </c>
      <c r="C557" s="0" t="s">
        <v>3033</v>
      </c>
      <c r="D557" s="0" t="n">
        <v>21.5278392975687</v>
      </c>
      <c r="E557" s="0" t="n">
        <v>0.245844228142851</v>
      </c>
      <c r="F557" s="0" t="n">
        <v>4.31305122229947</v>
      </c>
      <c r="G557" s="0" t="n">
        <v>0.246558197747184</v>
      </c>
      <c r="H557" s="0" t="n">
        <v>0.0750938673341677</v>
      </c>
      <c r="I557" s="0" t="n">
        <v>0.211064621106462</v>
      </c>
      <c r="J557" s="0" t="n">
        <v>0.170873750253833</v>
      </c>
      <c r="K557" s="0" t="n">
        <v>0.667715717403612</v>
      </c>
      <c r="L557" s="1" t="b">
        <f aca="false">FALSE()</f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5.6605528737199</v>
      </c>
      <c r="S557" s="0" t="n">
        <v>1.46353772394652</v>
      </c>
      <c r="T557" s="0" t="n">
        <v>0.201867272268486</v>
      </c>
      <c r="U557" s="0" t="n">
        <v>0.186889818688982</v>
      </c>
      <c r="V557" s="0" t="n">
        <v>0.124128312412831</v>
      </c>
      <c r="W557" s="0" t="n">
        <v>0.322175732217573</v>
      </c>
      <c r="X557" s="0" t="n">
        <v>0.245844228142851</v>
      </c>
      <c r="Y557" s="0" t="n">
        <v>4.31305122229947</v>
      </c>
      <c r="Z557" s="0" t="n">
        <v>0.170873750253833</v>
      </c>
      <c r="AA557" s="0" t="n">
        <v>0</v>
      </c>
    </row>
    <row r="558" customFormat="false" ht="15" hidden="false" customHeight="false" outlineLevel="0" collapsed="false">
      <c r="A558" s="0" t="s">
        <v>592</v>
      </c>
      <c r="B558" s="0" t="s">
        <v>3013</v>
      </c>
      <c r="C558" s="0" t="s">
        <v>3033</v>
      </c>
      <c r="D558" s="0" t="n">
        <v>38.976552829731</v>
      </c>
      <c r="E558" s="0" t="n">
        <v>0.38066136087603</v>
      </c>
      <c r="F558" s="0" t="n">
        <v>8.10739371647611</v>
      </c>
      <c r="G558" s="0" t="n">
        <v>0.901126408010013</v>
      </c>
      <c r="H558" s="0" t="n">
        <v>0.555694618272841</v>
      </c>
      <c r="I558" s="0" t="n">
        <v>0.293816829381683</v>
      </c>
      <c r="J558" s="0" t="n">
        <v>0.641491776389478</v>
      </c>
      <c r="K558" s="0" t="n">
        <v>0.667715717403612</v>
      </c>
      <c r="L558" s="1" t="b">
        <f aca="false">FALSE()</f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7.08806119624941</v>
      </c>
      <c r="S558" s="0" t="n">
        <v>3.51978171896316</v>
      </c>
      <c r="T558" s="0" t="n">
        <v>0.109140518417464</v>
      </c>
      <c r="U558" s="0" t="n">
        <v>0.323570432357043</v>
      </c>
      <c r="V558" s="0" t="n">
        <v>0.528591352859135</v>
      </c>
      <c r="W558" s="0" t="n">
        <v>0.0292887029288703</v>
      </c>
      <c r="X558" s="0" t="n">
        <v>0.38066136087603</v>
      </c>
      <c r="Y558" s="0" t="n">
        <v>8.1073937164761</v>
      </c>
      <c r="Z558" s="0" t="n">
        <v>0.641491776389478</v>
      </c>
      <c r="AA558" s="0" t="n">
        <v>0</v>
      </c>
    </row>
    <row r="559" customFormat="false" ht="15" hidden="false" customHeight="false" outlineLevel="0" collapsed="false">
      <c r="A559" s="0" t="s">
        <v>593</v>
      </c>
      <c r="B559" s="0" t="s">
        <v>3013</v>
      </c>
      <c r="C559" s="0" t="s">
        <v>3034</v>
      </c>
      <c r="D559" s="0" t="n">
        <v>51.5611579335974</v>
      </c>
      <c r="E559" s="0" t="n">
        <v>0.40916179869531</v>
      </c>
      <c r="F559" s="0" t="n">
        <v>14.3180957176924</v>
      </c>
      <c r="G559" s="0" t="n">
        <v>0.956195244055069</v>
      </c>
      <c r="H559" s="0" t="n">
        <v>0.97747183979975</v>
      </c>
      <c r="I559" s="0" t="n">
        <v>0.415155741515574</v>
      </c>
      <c r="J559" s="0" t="n">
        <v>0.856497981845042</v>
      </c>
      <c r="K559" s="0" t="n">
        <v>0.667715717403612</v>
      </c>
      <c r="L559" s="1" t="b">
        <f aca="false">TRUE()</f>
        <v>1</v>
      </c>
      <c r="M559" s="0" t="s">
        <v>3035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6.01115336773293</v>
      </c>
      <c r="S559" s="0" t="n">
        <v>5.52291421856638</v>
      </c>
      <c r="T559" s="0" t="n">
        <v>0.195848021934973</v>
      </c>
      <c r="U559" s="0" t="n">
        <v>0.228730822873082</v>
      </c>
      <c r="V559" s="0" t="n">
        <v>0.721059972105997</v>
      </c>
      <c r="W559" s="0" t="n">
        <v>0.295676429567643</v>
      </c>
      <c r="X559" s="0" t="n">
        <v>0.40916179869531</v>
      </c>
      <c r="Y559" s="0" t="n">
        <v>14.3180957176924</v>
      </c>
      <c r="Z559" s="0" t="n">
        <v>0.856497981845042</v>
      </c>
      <c r="AA559" s="0" t="n">
        <v>0</v>
      </c>
    </row>
    <row r="560" customFormat="false" ht="15" hidden="false" customHeight="false" outlineLevel="0" collapsed="false">
      <c r="A560" s="0" t="s">
        <v>594</v>
      </c>
      <c r="B560" s="0" t="s">
        <v>3013</v>
      </c>
      <c r="C560" s="0" t="s">
        <v>3036</v>
      </c>
      <c r="D560" s="0" t="n">
        <v>7.99069777003608</v>
      </c>
      <c r="E560" s="0" t="n">
        <v>0.354016691214155</v>
      </c>
      <c r="F560" s="0" t="n">
        <v>7.30012093106734</v>
      </c>
      <c r="G560" s="0" t="n">
        <v>0.829787234042553</v>
      </c>
      <c r="H560" s="0" t="n">
        <v>0.450563204005006</v>
      </c>
      <c r="I560" s="0" t="n">
        <v>0.0264993026499303</v>
      </c>
      <c r="J560" s="0" t="n">
        <v>0.51744003574901</v>
      </c>
      <c r="K560" s="0" t="n">
        <v>0.667715717403612</v>
      </c>
      <c r="L560" s="1" t="b">
        <f aca="false">FALSE()</f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1.65407078635342</v>
      </c>
      <c r="S560" s="0" t="n">
        <v>0.887949260042281</v>
      </c>
      <c r="T560" s="0" t="n">
        <v>0.12684989429176</v>
      </c>
      <c r="U560" s="0" t="n">
        <v>0.00278940027894003</v>
      </c>
      <c r="V560" s="0" t="n">
        <v>0.0181311018131102</v>
      </c>
      <c r="W560" s="0" t="n">
        <v>0.0585774058577406</v>
      </c>
      <c r="X560" s="0" t="n">
        <v>0.354016691214155</v>
      </c>
      <c r="Y560" s="0" t="n">
        <v>7.30012093106734</v>
      </c>
      <c r="Z560" s="0" t="n">
        <v>0.51744003574901</v>
      </c>
      <c r="AA560" s="0" t="n">
        <v>0</v>
      </c>
    </row>
    <row r="561" customFormat="false" ht="15" hidden="false" customHeight="false" outlineLevel="0" collapsed="false">
      <c r="A561" s="0" t="s">
        <v>595</v>
      </c>
      <c r="B561" s="0" t="s">
        <v>3013</v>
      </c>
      <c r="C561" s="0" t="s">
        <v>3033</v>
      </c>
      <c r="D561" s="0" t="n">
        <v>11.1574604748941</v>
      </c>
      <c r="E561" s="0" t="n">
        <v>0.252298758803904</v>
      </c>
      <c r="F561" s="0" t="n">
        <v>4.91591123435627</v>
      </c>
      <c r="G561" s="0" t="n">
        <v>0.281602002503129</v>
      </c>
      <c r="H561" s="0" t="n">
        <v>0.130162703379224</v>
      </c>
      <c r="I561" s="0" t="n">
        <v>0.319386331938633</v>
      </c>
      <c r="J561" s="0" t="n">
        <v>0.228583148740668</v>
      </c>
      <c r="K561" s="0" t="n">
        <v>0.667715717403612</v>
      </c>
      <c r="L561" s="1" t="b">
        <f aca="false">FALSE()</f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4.21504613899833</v>
      </c>
      <c r="S561" s="0" t="n">
        <v>3.27678363932141</v>
      </c>
      <c r="T561" s="0" t="n">
        <v>0.209156402509878</v>
      </c>
      <c r="U561" s="0" t="n">
        <v>0.0836820083682008</v>
      </c>
      <c r="V561" s="0" t="n">
        <v>0.506276150627615</v>
      </c>
      <c r="W561" s="0" t="n">
        <v>0.368200836820084</v>
      </c>
      <c r="X561" s="0" t="n">
        <v>0.252298758803904</v>
      </c>
      <c r="Y561" s="0" t="n">
        <v>4.91591123435627</v>
      </c>
      <c r="Z561" s="0" t="n">
        <v>0.228583148740668</v>
      </c>
      <c r="AA561" s="0" t="n">
        <v>2.77555756156289E-017</v>
      </c>
    </row>
    <row r="562" customFormat="false" ht="15" hidden="false" customHeight="false" outlineLevel="0" collapsed="false">
      <c r="A562" s="0" t="s">
        <v>596</v>
      </c>
      <c r="B562" s="0" t="s">
        <v>3013</v>
      </c>
      <c r="C562" s="0" t="s">
        <v>3033</v>
      </c>
      <c r="D562" s="0" t="n">
        <v>-38.6321614897364</v>
      </c>
      <c r="E562" s="0" t="n">
        <v>0.368435498290368</v>
      </c>
      <c r="F562" s="0" t="n">
        <v>10.974492091803</v>
      </c>
      <c r="G562" s="0" t="n">
        <v>0.867334167709637</v>
      </c>
      <c r="H562" s="0" t="n">
        <v>0.877346683354193</v>
      </c>
      <c r="I562" s="0" t="n">
        <v>0.0939098093909809</v>
      </c>
      <c r="J562" s="0" t="n">
        <v>0.716654302303728</v>
      </c>
      <c r="K562" s="0" t="n">
        <v>0.667715717403612</v>
      </c>
      <c r="L562" s="1" t="b">
        <f aca="false">TRUE()</f>
        <v>1</v>
      </c>
      <c r="M562" s="0" t="s">
        <v>3035</v>
      </c>
      <c r="N562" s="0" t="n">
        <v>0</v>
      </c>
      <c r="O562" s="0" t="n">
        <v>0</v>
      </c>
      <c r="P562" s="0" t="n">
        <v>1</v>
      </c>
      <c r="Q562" s="0" t="n">
        <v>38.6321614897364</v>
      </c>
      <c r="R562" s="0" t="n">
        <v>2.97304374705866</v>
      </c>
      <c r="S562" s="0" t="n">
        <v>1.04465917994254</v>
      </c>
      <c r="T562" s="0" t="n">
        <v>0.182815356489942</v>
      </c>
      <c r="U562" s="0" t="n">
        <v>0.0251046025104603</v>
      </c>
      <c r="V562" s="0" t="n">
        <v>0.0320781032078103</v>
      </c>
      <c r="W562" s="0" t="n">
        <v>0.224546722454672</v>
      </c>
      <c r="X562" s="0" t="n">
        <v>0.368435498290368</v>
      </c>
      <c r="Y562" s="0" t="n">
        <v>10.974492091803</v>
      </c>
      <c r="Z562" s="0" t="n">
        <v>0.716654302303728</v>
      </c>
      <c r="AA562" s="0" t="n">
        <v>0</v>
      </c>
    </row>
    <row r="563" customFormat="false" ht="15" hidden="false" customHeight="false" outlineLevel="0" collapsed="false">
      <c r="A563" s="0" t="s">
        <v>597</v>
      </c>
      <c r="B563" s="0" t="s">
        <v>3013</v>
      </c>
      <c r="C563" s="0" t="s">
        <v>3033</v>
      </c>
      <c r="D563" s="0" t="n">
        <v>34.4843511096038</v>
      </c>
      <c r="E563" s="0" t="n">
        <v>0.253241365336587</v>
      </c>
      <c r="F563" s="0" t="n">
        <v>7.11064428743102</v>
      </c>
      <c r="G563" s="0" t="n">
        <v>0.289111389236546</v>
      </c>
      <c r="H563" s="0" t="n">
        <v>0.430538172715895</v>
      </c>
      <c r="I563" s="0" t="n">
        <v>0.416085541608554</v>
      </c>
      <c r="J563" s="0" t="n">
        <v>0.371076933102687</v>
      </c>
      <c r="K563" s="0" t="n">
        <v>0.667715717403612</v>
      </c>
      <c r="L563" s="1" t="b">
        <f aca="false">FALSE()</f>
        <v>0</v>
      </c>
      <c r="N563" s="0" t="n">
        <v>38.6321614897361</v>
      </c>
      <c r="O563" s="0" t="n">
        <v>1</v>
      </c>
      <c r="P563" s="0" t="n">
        <v>0</v>
      </c>
      <c r="Q563" s="0" t="n">
        <v>0</v>
      </c>
      <c r="R563" s="0" t="n">
        <v>8.05041062885954</v>
      </c>
      <c r="S563" s="0" t="n">
        <v>5.63130865946519</v>
      </c>
      <c r="T563" s="0" t="n">
        <v>0.159376660173539</v>
      </c>
      <c r="U563" s="0" t="n">
        <v>0.389121338912134</v>
      </c>
      <c r="V563" s="0" t="n">
        <v>0.728033472803347</v>
      </c>
      <c r="W563" s="0" t="n">
        <v>0.131101813110181</v>
      </c>
      <c r="X563" s="0" t="n">
        <v>0.253241365336587</v>
      </c>
      <c r="Y563" s="0" t="n">
        <v>7.11064428743102</v>
      </c>
      <c r="Z563" s="0" t="n">
        <v>0.371076933102687</v>
      </c>
      <c r="AA563" s="0" t="n">
        <v>5.55111512312578E-017</v>
      </c>
    </row>
    <row r="564" customFormat="false" ht="15" hidden="false" customHeight="false" outlineLevel="0" collapsed="false">
      <c r="A564" s="0" t="s">
        <v>598</v>
      </c>
      <c r="B564" s="0" t="s">
        <v>3013</v>
      </c>
      <c r="C564" s="0" t="s">
        <v>3033</v>
      </c>
      <c r="D564" s="0" t="n">
        <v>37.7459687326598</v>
      </c>
      <c r="E564" s="0" t="n">
        <v>0.262224615196274</v>
      </c>
      <c r="F564" s="0" t="n">
        <v>6.18390395190822</v>
      </c>
      <c r="G564" s="0" t="n">
        <v>0.350438047559449</v>
      </c>
      <c r="H564" s="0" t="n">
        <v>0.292866082603254</v>
      </c>
      <c r="I564" s="0" t="n">
        <v>0.189214318921432</v>
      </c>
      <c r="J564" s="0" t="n">
        <v>0.295164515849368</v>
      </c>
      <c r="K564" s="0" t="n">
        <v>0.667715717403612</v>
      </c>
      <c r="L564" s="1" t="b">
        <f aca="false">FALSE()</f>
        <v>0</v>
      </c>
      <c r="N564" s="0" t="n">
        <v>4.14781038013189</v>
      </c>
      <c r="O564" s="0" t="n">
        <v>0</v>
      </c>
      <c r="P564" s="0" t="n">
        <v>0</v>
      </c>
      <c r="Q564" s="0" t="n">
        <v>0</v>
      </c>
      <c r="R564" s="0" t="n">
        <v>4.68617116674147</v>
      </c>
      <c r="S564" s="0" t="n">
        <v>2.09258084971464</v>
      </c>
      <c r="T564" s="0" t="n">
        <v>0.169097442401186</v>
      </c>
      <c r="U564" s="0" t="n">
        <v>0.112970711297071</v>
      </c>
      <c r="V564" s="0" t="n">
        <v>0.294281729428173</v>
      </c>
      <c r="W564" s="0" t="n">
        <v>0.160390516039052</v>
      </c>
      <c r="X564" s="0" t="n">
        <v>0.262224615196274</v>
      </c>
      <c r="Y564" s="0" t="n">
        <v>6.18390395190822</v>
      </c>
      <c r="Z564" s="0" t="n">
        <v>0.295164515849368</v>
      </c>
      <c r="AA564" s="0" t="n">
        <v>0</v>
      </c>
    </row>
    <row r="565" customFormat="false" ht="15" hidden="false" customHeight="false" outlineLevel="0" collapsed="false">
      <c r="A565" s="0" t="s">
        <v>599</v>
      </c>
      <c r="B565" s="0" t="s">
        <v>3013</v>
      </c>
      <c r="C565" s="0" t="s">
        <v>3037</v>
      </c>
      <c r="D565" s="0" t="n">
        <v>36.5197882863194</v>
      </c>
      <c r="E565" s="0" t="n">
        <v>0.319907446071141</v>
      </c>
      <c r="F565" s="0" t="n">
        <v>8.59046571587597</v>
      </c>
      <c r="G565" s="0" t="n">
        <v>0.669586983729662</v>
      </c>
      <c r="H565" s="0" t="n">
        <v>0.618272841051314</v>
      </c>
      <c r="I565" s="0" t="n">
        <v>0.312877731287773</v>
      </c>
      <c r="J565" s="0" t="n">
        <v>0.577719476169945</v>
      </c>
      <c r="K565" s="0" t="n">
        <v>0.667715717403612</v>
      </c>
      <c r="L565" s="1" t="b">
        <f aca="false">FALSE()</f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3.76142170166718</v>
      </c>
      <c r="S565" s="0" t="n">
        <v>2.19810040705564</v>
      </c>
      <c r="T565" s="0" t="n">
        <v>0.244233378561731</v>
      </c>
      <c r="U565" s="0" t="n">
        <v>0.0613668061366806</v>
      </c>
      <c r="V565" s="0" t="n">
        <v>0.313807531380753</v>
      </c>
      <c r="W565" s="0" t="n">
        <v>0.563458856345886</v>
      </c>
      <c r="X565" s="0" t="n">
        <v>0.319907446071141</v>
      </c>
      <c r="Y565" s="0" t="n">
        <v>8.59046571587597</v>
      </c>
      <c r="Z565" s="0" t="n">
        <v>0.577719476169945</v>
      </c>
      <c r="AA565" s="0" t="n">
        <v>0</v>
      </c>
    </row>
    <row r="566" customFormat="false" ht="15" hidden="false" customHeight="false" outlineLevel="0" collapsed="false">
      <c r="A566" s="0" t="s">
        <v>600</v>
      </c>
      <c r="B566" s="0" t="s">
        <v>3013</v>
      </c>
      <c r="C566" s="0" t="s">
        <v>3036</v>
      </c>
      <c r="D566" s="0" t="n">
        <v>-39.5511183298673</v>
      </c>
      <c r="E566" s="0" t="n">
        <v>0.333852092926823</v>
      </c>
      <c r="F566" s="0" t="n">
        <v>9.64433970751536</v>
      </c>
      <c r="G566" s="0" t="n">
        <v>0.753441802252816</v>
      </c>
      <c r="H566" s="0" t="n">
        <v>0.740926157697121</v>
      </c>
      <c r="I566" s="0" t="n">
        <v>0.602045560204556</v>
      </c>
      <c r="J566" s="0" t="n">
        <v>0.718156296020886</v>
      </c>
      <c r="K566" s="0" t="n">
        <v>0.667715717403612</v>
      </c>
      <c r="L566" s="1" t="b">
        <f aca="false">TRUE()</f>
        <v>1</v>
      </c>
      <c r="M566" s="0" t="s">
        <v>3035</v>
      </c>
      <c r="N566" s="0" t="n">
        <v>0</v>
      </c>
      <c r="O566" s="0" t="n">
        <v>0</v>
      </c>
      <c r="P566" s="0" t="n">
        <v>1</v>
      </c>
      <c r="Q566" s="0" t="n">
        <v>39.5511183298673</v>
      </c>
      <c r="R566" s="0" t="n">
        <v>8.29516979175751</v>
      </c>
      <c r="S566" s="0" t="n">
        <v>6.85185185185187</v>
      </c>
      <c r="T566" s="0" t="n">
        <v>0.259259259259266</v>
      </c>
      <c r="U566" s="0" t="n">
        <v>0.400278940027894</v>
      </c>
      <c r="V566" s="0" t="n">
        <v>0.779637377963738</v>
      </c>
      <c r="W566" s="0" t="n">
        <v>0.626220362622036</v>
      </c>
      <c r="X566" s="0" t="n">
        <v>0.333852092926823</v>
      </c>
      <c r="Y566" s="0" t="n">
        <v>9.64433970751536</v>
      </c>
      <c r="Z566" s="0" t="n">
        <v>0.718156296020886</v>
      </c>
      <c r="AA566" s="0" t="n">
        <v>0</v>
      </c>
    </row>
    <row r="567" customFormat="false" ht="15" hidden="false" customHeight="false" outlineLevel="0" collapsed="false">
      <c r="A567" s="0" t="s">
        <v>601</v>
      </c>
      <c r="B567" s="0" t="s">
        <v>3013</v>
      </c>
      <c r="C567" s="0" t="s">
        <v>3036</v>
      </c>
      <c r="D567" s="0" t="n">
        <v>26.2553711649196</v>
      </c>
      <c r="E567" s="0" t="n">
        <v>0.283929943099584</v>
      </c>
      <c r="F567" s="0" t="n">
        <v>6.87505985352206</v>
      </c>
      <c r="G567" s="0" t="n">
        <v>0.481852315394243</v>
      </c>
      <c r="H567" s="0" t="n">
        <v>0.405506883604506</v>
      </c>
      <c r="I567" s="0" t="n">
        <v>0.0260344026034403</v>
      </c>
      <c r="J567" s="0" t="n">
        <v>0.360150560120187</v>
      </c>
      <c r="K567" s="0" t="n">
        <v>0.667715717403612</v>
      </c>
      <c r="L567" s="1" t="b">
        <f aca="false">FALSE()</f>
        <v>0</v>
      </c>
      <c r="N567" s="0" t="n">
        <v>39.5511183298677</v>
      </c>
      <c r="O567" s="0" t="n">
        <v>1</v>
      </c>
      <c r="P567" s="0" t="n">
        <v>0</v>
      </c>
      <c r="Q567" s="0" t="n">
        <v>0</v>
      </c>
      <c r="R567" s="0" t="n">
        <v>2.51601577465731</v>
      </c>
      <c r="S567" s="0" t="n">
        <v>1.11373607829903</v>
      </c>
      <c r="T567" s="0" t="n">
        <v>0.101248734390814</v>
      </c>
      <c r="U567" s="0" t="n">
        <v>0.0125523012552301</v>
      </c>
      <c r="V567" s="0" t="n">
        <v>0.0446304044630404</v>
      </c>
      <c r="W567" s="0" t="n">
        <v>0.0209205020920502</v>
      </c>
      <c r="X567" s="0" t="n">
        <v>0.283929943099584</v>
      </c>
      <c r="Y567" s="0" t="n">
        <v>6.87505985352206</v>
      </c>
      <c r="Z567" s="0" t="n">
        <v>0.360150560120187</v>
      </c>
      <c r="AA567" s="0" t="n">
        <v>0</v>
      </c>
    </row>
    <row r="568" customFormat="false" ht="15" hidden="false" customHeight="false" outlineLevel="0" collapsed="false">
      <c r="A568" s="0" t="s">
        <v>602</v>
      </c>
      <c r="B568" s="0" t="s">
        <v>3013</v>
      </c>
      <c r="C568" s="0" t="s">
        <v>3038</v>
      </c>
      <c r="D568" s="0" t="n">
        <v>-6.85446570112322</v>
      </c>
      <c r="E568" s="0" t="n">
        <v>0.256631621839676</v>
      </c>
      <c r="F568" s="0" t="n">
        <v>5.32194207579145</v>
      </c>
      <c r="G568" s="0" t="n">
        <v>0.305381727158949</v>
      </c>
      <c r="H568" s="0" t="n">
        <v>0.177722152690864</v>
      </c>
      <c r="I568" s="0" t="n">
        <v>0.819618781961878</v>
      </c>
      <c r="J568" s="0" t="n">
        <v>0.357165308332301</v>
      </c>
      <c r="K568" s="0" t="n">
        <v>0.667715717403612</v>
      </c>
      <c r="L568" s="1" t="b">
        <f aca="false">FALSE()</f>
        <v>0</v>
      </c>
      <c r="N568" s="0" t="n">
        <v>13.2957471649479</v>
      </c>
      <c r="O568" s="0" t="n">
        <v>0</v>
      </c>
      <c r="P568" s="0" t="n">
        <v>1</v>
      </c>
      <c r="Q568" s="0" t="n">
        <v>6.85446570112322</v>
      </c>
      <c r="R568" s="0" t="n">
        <v>25.5966184283917</v>
      </c>
      <c r="S568" s="0" t="n">
        <v>27.9315263908702</v>
      </c>
      <c r="T568" s="0" t="n">
        <v>0.256776034236806</v>
      </c>
      <c r="U568" s="0" t="n">
        <v>0.864714086471409</v>
      </c>
      <c r="V568" s="0" t="n">
        <v>0.98186889818689</v>
      </c>
      <c r="W568" s="0" t="n">
        <v>0.612273361227336</v>
      </c>
      <c r="X568" s="0" t="n">
        <v>0.256631621839677</v>
      </c>
      <c r="Y568" s="0" t="n">
        <v>5.32194207579145</v>
      </c>
      <c r="Z568" s="0" t="n">
        <v>0.357165308332301</v>
      </c>
      <c r="AA568" s="0" t="n">
        <v>0</v>
      </c>
    </row>
    <row r="569" customFormat="false" ht="15" hidden="false" customHeight="false" outlineLevel="0" collapsed="false">
      <c r="A569" s="0" t="s">
        <v>603</v>
      </c>
      <c r="B569" s="0" t="s">
        <v>3013</v>
      </c>
      <c r="C569" s="0" t="s">
        <v>3034</v>
      </c>
      <c r="D569" s="0" t="n">
        <v>37.8763873494428</v>
      </c>
      <c r="E569" s="0" t="n">
        <v>0.433760423275682</v>
      </c>
      <c r="F569" s="0" t="n">
        <v>14.5056068104871</v>
      </c>
      <c r="G569" s="0" t="n">
        <v>0.973717146433041</v>
      </c>
      <c r="H569" s="0" t="n">
        <v>0.981226533166458</v>
      </c>
      <c r="I569" s="0" t="n">
        <v>0.118549511854951</v>
      </c>
      <c r="J569" s="0" t="n">
        <v>0.80568737421079</v>
      </c>
      <c r="K569" s="0" t="n">
        <v>0.667715717403612</v>
      </c>
      <c r="L569" s="1" t="b">
        <f aca="false">TRUE()</f>
        <v>1</v>
      </c>
      <c r="M569" s="0" t="s">
        <v>3035</v>
      </c>
      <c r="N569" s="0" t="n">
        <v>20.1502128660713</v>
      </c>
      <c r="O569" s="0" t="n">
        <v>1</v>
      </c>
      <c r="P569" s="0" t="n">
        <v>0</v>
      </c>
      <c r="Q569" s="0" t="n">
        <v>0</v>
      </c>
      <c r="R569" s="0" t="n">
        <v>5.11676910277282</v>
      </c>
      <c r="S569" s="0" t="n">
        <v>1.16071428571427</v>
      </c>
      <c r="T569" s="0" t="n">
        <v>0.165816326530614</v>
      </c>
      <c r="U569" s="0" t="n">
        <v>0.140864714086471</v>
      </c>
      <c r="V569" s="0" t="n">
        <v>0.0585774058577406</v>
      </c>
      <c r="W569" s="0" t="n">
        <v>0.156206415620642</v>
      </c>
      <c r="X569" s="0" t="n">
        <v>0.433760423275682</v>
      </c>
      <c r="Y569" s="0" t="n">
        <v>14.5056068104871</v>
      </c>
      <c r="Z569" s="0" t="n">
        <v>0.80568737421079</v>
      </c>
      <c r="AA569" s="0" t="n">
        <v>0</v>
      </c>
    </row>
    <row r="570" customFormat="false" ht="15" hidden="false" customHeight="false" outlineLevel="0" collapsed="false">
      <c r="A570" s="0" t="s">
        <v>604</v>
      </c>
      <c r="B570" s="0" t="s">
        <v>3013</v>
      </c>
      <c r="C570" s="0" t="s">
        <v>3036</v>
      </c>
      <c r="D570" s="0" t="n">
        <v>21.3851955739801</v>
      </c>
      <c r="E570" s="0" t="n">
        <v>0.322704570993154</v>
      </c>
      <c r="F570" s="0" t="n">
        <v>5.64979396742359</v>
      </c>
      <c r="G570" s="0" t="n">
        <v>0.687108886107635</v>
      </c>
      <c r="H570" s="0" t="n">
        <v>0.221526908635795</v>
      </c>
      <c r="I570" s="0" t="n">
        <v>0.461180846118085</v>
      </c>
      <c r="J570" s="0" t="n">
        <v>0.455690487120989</v>
      </c>
      <c r="K570" s="0" t="n">
        <v>0.667715717403612</v>
      </c>
      <c r="L570" s="1" t="b">
        <f aca="false">FALSE()</f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14.7600732969525</v>
      </c>
      <c r="S570" s="0" t="n">
        <v>2.13770491803278</v>
      </c>
      <c r="T570" s="0" t="n">
        <v>0.209836065573773</v>
      </c>
      <c r="U570" s="0" t="n">
        <v>0.702928870292887</v>
      </c>
      <c r="V570" s="0" t="n">
        <v>0.304044630404463</v>
      </c>
      <c r="W570" s="0" t="n">
        <v>0.376569037656904</v>
      </c>
      <c r="X570" s="0" t="n">
        <v>0.322704570993154</v>
      </c>
      <c r="Y570" s="0" t="n">
        <v>5.64979396742359</v>
      </c>
      <c r="Z570" s="0" t="n">
        <v>0.455690487120989</v>
      </c>
      <c r="AA570" s="0" t="n">
        <v>5.55111512312578E-017</v>
      </c>
    </row>
    <row r="571" customFormat="false" ht="15" hidden="false" customHeight="false" outlineLevel="0" collapsed="false">
      <c r="A571" s="0" t="s">
        <v>605</v>
      </c>
      <c r="B571" s="0" t="s">
        <v>3013</v>
      </c>
      <c r="C571" s="0" t="s">
        <v>3033</v>
      </c>
      <c r="D571" s="0" t="n">
        <v>11.1287858652988</v>
      </c>
      <c r="E571" s="0" t="n">
        <v>0.304845307173613</v>
      </c>
      <c r="F571" s="0" t="n">
        <v>8.82375131886948</v>
      </c>
      <c r="G571" s="0" t="n">
        <v>0.590738423028786</v>
      </c>
      <c r="H571" s="0" t="n">
        <v>0.655819774718398</v>
      </c>
      <c r="I571" s="0" t="n">
        <v>0.429102742910274</v>
      </c>
      <c r="J571" s="0" t="n">
        <v>0.584443827680929</v>
      </c>
      <c r="K571" s="0" t="n">
        <v>0.667715717403612</v>
      </c>
      <c r="L571" s="1" t="b">
        <f aca="false">FALSE()</f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6.23255832536039</v>
      </c>
      <c r="S571" s="0" t="n">
        <v>3.89689466206616</v>
      </c>
      <c r="T571" s="0" t="n">
        <v>0.223259590014212</v>
      </c>
      <c r="U571" s="0" t="n">
        <v>0.242677824267782</v>
      </c>
      <c r="V571" s="0" t="n">
        <v>0.582984658298466</v>
      </c>
      <c r="W571" s="0" t="n">
        <v>0.461645746164575</v>
      </c>
      <c r="X571" s="0" t="n">
        <v>0.304845307173613</v>
      </c>
      <c r="Y571" s="0" t="n">
        <v>8.82375131886948</v>
      </c>
      <c r="Z571" s="0" t="n">
        <v>0.584443827680929</v>
      </c>
      <c r="AA571" s="0" t="n">
        <v>0</v>
      </c>
    </row>
    <row r="572" customFormat="false" ht="15" hidden="false" customHeight="false" outlineLevel="0" collapsed="false">
      <c r="A572" s="0" t="s">
        <v>606</v>
      </c>
      <c r="B572" s="0" t="s">
        <v>3013</v>
      </c>
      <c r="C572" s="0" t="s">
        <v>3033</v>
      </c>
      <c r="D572" s="0" t="n">
        <v>57.9515661287279</v>
      </c>
      <c r="E572" s="0" t="n">
        <v>0.299677431130877</v>
      </c>
      <c r="F572" s="0" t="n">
        <v>10.140429396238</v>
      </c>
      <c r="G572" s="0" t="n">
        <v>0.565707133917397</v>
      </c>
      <c r="H572" s="0" t="n">
        <v>0.804755944931164</v>
      </c>
      <c r="I572" s="0" t="n">
        <v>0.600185960018596</v>
      </c>
      <c r="J572" s="0" t="n">
        <v>0.668222423543144</v>
      </c>
      <c r="K572" s="0" t="n">
        <v>0.667715717403612</v>
      </c>
      <c r="L572" s="1" t="b">
        <f aca="false">TRUE()</f>
        <v>1</v>
      </c>
      <c r="M572" s="0" t="s">
        <v>3035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6.68315844072936</v>
      </c>
      <c r="S572" s="0" t="n">
        <v>5.57355800388854</v>
      </c>
      <c r="T572" s="0" t="n">
        <v>0.324044069993519</v>
      </c>
      <c r="U572" s="0" t="n">
        <v>0.288702928870293</v>
      </c>
      <c r="V572" s="0" t="n">
        <v>0.725244072524407</v>
      </c>
      <c r="W572" s="0" t="n">
        <v>0.786610878661088</v>
      </c>
      <c r="X572" s="0" t="n">
        <v>0.299677431130877</v>
      </c>
      <c r="Y572" s="0" t="n">
        <v>10.140429396238</v>
      </c>
      <c r="Z572" s="0" t="n">
        <v>0.668222423543144</v>
      </c>
      <c r="AA572" s="0" t="n">
        <v>0</v>
      </c>
    </row>
    <row r="573" customFormat="false" ht="15" hidden="false" customHeight="false" outlineLevel="0" collapsed="false">
      <c r="A573" s="0" t="s">
        <v>607</v>
      </c>
      <c r="B573" s="0" t="s">
        <v>33</v>
      </c>
      <c r="C573" s="0" t="s">
        <v>33</v>
      </c>
      <c r="D573" s="0" t="n">
        <v>5.28609849015674</v>
      </c>
      <c r="E573" s="0" t="n">
        <v>0.305813615668182</v>
      </c>
      <c r="F573" s="0" t="n">
        <v>8.05934092753751</v>
      </c>
      <c r="G573" s="0" t="n">
        <v>0.595744680851064</v>
      </c>
      <c r="H573" s="0" t="n">
        <v>0.550688360450563</v>
      </c>
      <c r="I573" s="0" t="n">
        <v>0.5</v>
      </c>
      <c r="J573" s="0" t="n">
        <v>0.558573216520651</v>
      </c>
      <c r="K573" s="0" t="n">
        <v>0.667715717403612</v>
      </c>
      <c r="L573" s="1" t="b">
        <f aca="false">FALSE()</f>
        <v>0</v>
      </c>
      <c r="N573" s="0" t="n">
        <v>0</v>
      </c>
      <c r="O573" s="0" t="n">
        <v>0</v>
      </c>
      <c r="P573" s="0" t="n">
        <v>0</v>
      </c>
      <c r="Q573" s="0" t="n">
        <v>0</v>
      </c>
      <c r="U573" s="0" t="n">
        <v>0.5</v>
      </c>
      <c r="V573" s="0" t="n">
        <v>0.5</v>
      </c>
      <c r="W573" s="0" t="n">
        <v>0.5</v>
      </c>
      <c r="X573" s="0" t="n">
        <v>0.305813615668182</v>
      </c>
      <c r="Y573" s="0" t="n">
        <v>8.05934092753751</v>
      </c>
      <c r="Z573" s="0" t="n">
        <v>0.558573216520651</v>
      </c>
      <c r="AA573" s="0" t="n">
        <v>0</v>
      </c>
    </row>
    <row r="574" customFormat="false" ht="15" hidden="false" customHeight="false" outlineLevel="0" collapsed="false">
      <c r="A574" s="0" t="s">
        <v>608</v>
      </c>
      <c r="B574" s="0" t="s">
        <v>3013</v>
      </c>
      <c r="C574" s="0" t="s">
        <v>3033</v>
      </c>
      <c r="D574" s="0" t="n">
        <v>32.7738467504786</v>
      </c>
      <c r="E574" s="0" t="n">
        <v>0.210658281739452</v>
      </c>
      <c r="F574" s="0" t="n">
        <v>4.79762548095653</v>
      </c>
      <c r="G574" s="0" t="n">
        <v>0.122653316645807</v>
      </c>
      <c r="H574" s="0" t="n">
        <v>0.113892365456821</v>
      </c>
      <c r="I574" s="0" t="n">
        <v>0.544862854486285</v>
      </c>
      <c r="J574" s="0" t="n">
        <v>0.203590843738308</v>
      </c>
      <c r="K574" s="0" t="n">
        <v>0.667715717403612</v>
      </c>
      <c r="L574" s="1" t="b">
        <f aca="false">FALSE()</f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11.8043160798321</v>
      </c>
      <c r="S574" s="0" t="n">
        <v>5.25246662797447</v>
      </c>
      <c r="T574" s="0" t="n">
        <v>0.203134068485205</v>
      </c>
      <c r="U574" s="0" t="n">
        <v>0.595536959553696</v>
      </c>
      <c r="V574" s="0" t="n">
        <v>0.705718270571827</v>
      </c>
      <c r="W574" s="0" t="n">
        <v>0.333333333333333</v>
      </c>
      <c r="X574" s="0" t="n">
        <v>0.210658281739452</v>
      </c>
      <c r="Y574" s="0" t="n">
        <v>4.79762548095652</v>
      </c>
      <c r="Z574" s="0" t="n">
        <v>0.203590843738308</v>
      </c>
      <c r="AA574" s="0" t="n">
        <v>-2.77555756156289E-017</v>
      </c>
    </row>
    <row r="575" customFormat="false" ht="15" hidden="false" customHeight="false" outlineLevel="0" collapsed="false">
      <c r="A575" s="0" t="s">
        <v>609</v>
      </c>
      <c r="B575" s="0" t="s">
        <v>3013</v>
      </c>
      <c r="C575" s="0" t="s">
        <v>3034</v>
      </c>
      <c r="D575" s="0" t="n">
        <v>-8.09483709831099</v>
      </c>
      <c r="E575" s="0" t="n">
        <v>0.320680728033762</v>
      </c>
      <c r="F575" s="0" t="n">
        <v>8.81221879446804</v>
      </c>
      <c r="G575" s="0" t="n">
        <v>0.67459324155194</v>
      </c>
      <c r="H575" s="0" t="n">
        <v>0.654568210262829</v>
      </c>
      <c r="I575" s="0" t="n">
        <v>0.326359832635983</v>
      </c>
      <c r="J575" s="0" t="n">
        <v>0.596936547253104</v>
      </c>
      <c r="K575" s="0" t="n">
        <v>0.667715717403612</v>
      </c>
      <c r="L575" s="1" t="b">
        <f aca="false">FALSE()</f>
        <v>0</v>
      </c>
      <c r="N575" s="0" t="n">
        <v>0</v>
      </c>
      <c r="O575" s="0" t="n">
        <v>0</v>
      </c>
      <c r="P575" s="0" t="n">
        <v>1</v>
      </c>
      <c r="Q575" s="0" t="n">
        <v>8.09483709831099</v>
      </c>
      <c r="R575" s="0" t="n">
        <v>5.59889969449305</v>
      </c>
      <c r="S575" s="0" t="n">
        <v>2.33870967741936</v>
      </c>
      <c r="T575" s="0" t="n">
        <v>0.221774193548386</v>
      </c>
      <c r="U575" s="0" t="n">
        <v>0.178521617852162</v>
      </c>
      <c r="V575" s="0" t="n">
        <v>0.350069735006974</v>
      </c>
      <c r="W575" s="0" t="n">
        <v>0.450488145048815</v>
      </c>
      <c r="X575" s="0" t="n">
        <v>0.320680728033762</v>
      </c>
      <c r="Y575" s="0" t="n">
        <v>8.81221879446804</v>
      </c>
      <c r="Z575" s="0" t="n">
        <v>0.596936547253104</v>
      </c>
      <c r="AA575" s="0" t="n">
        <v>0</v>
      </c>
    </row>
    <row r="576" customFormat="false" ht="15" hidden="false" customHeight="false" outlineLevel="0" collapsed="false">
      <c r="A576" s="0" t="s">
        <v>610</v>
      </c>
      <c r="B576" s="0" t="s">
        <v>3013</v>
      </c>
      <c r="C576" s="0" t="s">
        <v>3033</v>
      </c>
      <c r="D576" s="0" t="n">
        <v>30.0620090533326</v>
      </c>
      <c r="E576" s="0" t="n">
        <v>0.31368453287891</v>
      </c>
      <c r="F576" s="0" t="n">
        <v>10.4181668262354</v>
      </c>
      <c r="G576" s="0" t="n">
        <v>0.634543178973717</v>
      </c>
      <c r="H576" s="0" t="n">
        <v>0.831038798498123</v>
      </c>
      <c r="I576" s="0" t="n">
        <v>0.439330543933054</v>
      </c>
      <c r="J576" s="0" t="n">
        <v>0.674098899775347</v>
      </c>
      <c r="K576" s="0" t="n">
        <v>0.667715717403612</v>
      </c>
      <c r="L576" s="1" t="b">
        <f aca="false">TRUE()</f>
        <v>1</v>
      </c>
      <c r="M576" s="0" t="s">
        <v>3035</v>
      </c>
      <c r="N576" s="0" t="n">
        <v>8.09483709831056</v>
      </c>
      <c r="O576" s="0" t="n">
        <v>1</v>
      </c>
      <c r="P576" s="0" t="n">
        <v>0</v>
      </c>
      <c r="Q576" s="0" t="n">
        <v>0</v>
      </c>
      <c r="R576" s="0" t="n">
        <v>7.92903108466195</v>
      </c>
      <c r="S576" s="0" t="n">
        <v>3.49260767088064</v>
      </c>
      <c r="T576" s="0" t="n">
        <v>0.214270409256482</v>
      </c>
      <c r="U576" s="0" t="n">
        <v>0.382147838214784</v>
      </c>
      <c r="V576" s="0" t="n">
        <v>0.527196652719665</v>
      </c>
      <c r="W576" s="0" t="n">
        <v>0.408647140864714</v>
      </c>
      <c r="X576" s="0" t="n">
        <v>0.31368453287891</v>
      </c>
      <c r="Y576" s="0" t="n">
        <v>10.4181668262354</v>
      </c>
      <c r="Z576" s="0" t="n">
        <v>0.674098899775347</v>
      </c>
      <c r="AA576" s="0" t="n">
        <v>0</v>
      </c>
    </row>
    <row r="577" customFormat="false" ht="15" hidden="false" customHeight="false" outlineLevel="0" collapsed="false">
      <c r="A577" s="0" t="s">
        <v>611</v>
      </c>
      <c r="B577" s="0" t="s">
        <v>3013</v>
      </c>
      <c r="C577" s="0" t="s">
        <v>3038</v>
      </c>
      <c r="D577" s="0" t="n">
        <v>34.4336956246791</v>
      </c>
      <c r="E577" s="0" t="n">
        <v>0.24160795801632</v>
      </c>
      <c r="F577" s="0" t="n">
        <v>8.21464731682195</v>
      </c>
      <c r="G577" s="0" t="n">
        <v>0.23153942428035</v>
      </c>
      <c r="H577" s="0" t="n">
        <v>0.566958698372966</v>
      </c>
      <c r="I577" s="0" t="n">
        <v>0.755462575546258</v>
      </c>
      <c r="J577" s="0" t="n">
        <v>0.470491764170578</v>
      </c>
      <c r="K577" s="0" t="n">
        <v>0.667715717403612</v>
      </c>
      <c r="L577" s="1" t="b">
        <f aca="false">FALSE()</f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23.452167180448</v>
      </c>
      <c r="S577" s="0" t="n">
        <v>16.9425511197663</v>
      </c>
      <c r="T577" s="0" t="n">
        <v>0.227198961376173</v>
      </c>
      <c r="U577" s="0" t="n">
        <v>0.838214783821478</v>
      </c>
      <c r="V577" s="0" t="n">
        <v>0.94560669456067</v>
      </c>
      <c r="W577" s="0" t="n">
        <v>0.482566248256625</v>
      </c>
      <c r="X577" s="0" t="n">
        <v>0.24160795801632</v>
      </c>
      <c r="Y577" s="0" t="n">
        <v>8.21464731682195</v>
      </c>
      <c r="Z577" s="0" t="n">
        <v>0.470491764170578</v>
      </c>
      <c r="AA577" s="0" t="n">
        <v>5.55111512312578E-017</v>
      </c>
    </row>
    <row r="578" customFormat="false" ht="15" hidden="false" customHeight="false" outlineLevel="0" collapsed="false">
      <c r="A578" s="0" t="s">
        <v>612</v>
      </c>
      <c r="B578" s="0" t="s">
        <v>3013</v>
      </c>
      <c r="C578" s="0" t="s">
        <v>3034</v>
      </c>
      <c r="D578" s="0" t="n">
        <v>27.2076330656666</v>
      </c>
      <c r="E578" s="0" t="n">
        <v>0.364651769206375</v>
      </c>
      <c r="F578" s="0" t="n">
        <v>11.6871367739383</v>
      </c>
      <c r="G578" s="0" t="n">
        <v>0.858573216520651</v>
      </c>
      <c r="H578" s="0" t="n">
        <v>0.909887359198999</v>
      </c>
      <c r="I578" s="0" t="n">
        <v>0.464435146443515</v>
      </c>
      <c r="J578" s="0" t="n">
        <v>0.800271259576563</v>
      </c>
      <c r="K578" s="0" t="n">
        <v>0.667715717403612</v>
      </c>
      <c r="L578" s="1" t="b">
        <f aca="false">TRUE()</f>
        <v>1</v>
      </c>
      <c r="M578" s="0" t="s">
        <v>3035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8.43041395812128</v>
      </c>
      <c r="S578" s="0" t="n">
        <v>3.1157756641522</v>
      </c>
      <c r="T578" s="0" t="n">
        <v>0.229583469990166</v>
      </c>
      <c r="U578" s="0" t="n">
        <v>0.412831241283124</v>
      </c>
      <c r="V578" s="0" t="n">
        <v>0.479776847977685</v>
      </c>
      <c r="W578" s="0" t="n">
        <v>0.500697350069735</v>
      </c>
      <c r="X578" s="0" t="n">
        <v>0.364651769206375</v>
      </c>
      <c r="Y578" s="0" t="n">
        <v>11.6871367739383</v>
      </c>
      <c r="Z578" s="0" t="n">
        <v>0.800271259576563</v>
      </c>
      <c r="AA578" s="0" t="n">
        <v>0</v>
      </c>
    </row>
    <row r="579" customFormat="false" ht="15" hidden="false" customHeight="false" outlineLevel="0" collapsed="false">
      <c r="A579" s="0" t="s">
        <v>613</v>
      </c>
      <c r="B579" s="0" t="s">
        <v>3013</v>
      </c>
      <c r="C579" s="0" t="s">
        <v>3038</v>
      </c>
      <c r="D579" s="0" t="n">
        <v>16.738601091517</v>
      </c>
      <c r="E579" s="0" t="n">
        <v>0.232320779320899</v>
      </c>
      <c r="F579" s="0" t="n">
        <v>4.66360901498353</v>
      </c>
      <c r="G579" s="0" t="n">
        <v>0.187734668335419</v>
      </c>
      <c r="H579" s="0" t="n">
        <v>0.100125156445557</v>
      </c>
      <c r="I579" s="0" t="n">
        <v>0.680613668061367</v>
      </c>
      <c r="J579" s="0" t="n">
        <v>0.251266663524664</v>
      </c>
      <c r="K579" s="0" t="n">
        <v>0.667715717403612</v>
      </c>
      <c r="L579" s="1" t="b">
        <f aca="false">FALSE()</f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9.11493005059298</v>
      </c>
      <c r="S579" s="0" t="n">
        <v>9.22459893048128</v>
      </c>
      <c r="T579" s="0" t="n">
        <v>0.29411764705883</v>
      </c>
      <c r="U579" s="0" t="n">
        <v>0.453277545327755</v>
      </c>
      <c r="V579" s="0" t="n">
        <v>0.859135285913529</v>
      </c>
      <c r="W579" s="0" t="n">
        <v>0.729428172942817</v>
      </c>
      <c r="X579" s="0" t="n">
        <v>0.232320779320899</v>
      </c>
      <c r="Y579" s="0" t="n">
        <v>4.66360901498353</v>
      </c>
      <c r="Z579" s="0" t="n">
        <v>0.251266663524664</v>
      </c>
      <c r="AA579" s="0" t="n">
        <v>-5.55111512312578E-017</v>
      </c>
    </row>
    <row r="580" customFormat="false" ht="15" hidden="false" customHeight="false" outlineLevel="0" collapsed="false">
      <c r="A580" s="0" t="s">
        <v>614</v>
      </c>
      <c r="B580" s="0" t="s">
        <v>3013</v>
      </c>
      <c r="C580" s="0" t="s">
        <v>3038</v>
      </c>
      <c r="D580" s="0" t="n">
        <v>48.368908031087</v>
      </c>
      <c r="E580" s="0" t="n">
        <v>0.185434214151252</v>
      </c>
      <c r="F580" s="0" t="n">
        <v>5.98212985491167</v>
      </c>
      <c r="G580" s="0" t="n">
        <v>0.0738423028785983</v>
      </c>
      <c r="H580" s="0" t="n">
        <v>0.262828535669587</v>
      </c>
      <c r="I580" s="0" t="n">
        <v>0.877731287773129</v>
      </c>
      <c r="J580" s="0" t="n">
        <v>0.3102145929739</v>
      </c>
      <c r="K580" s="0" t="n">
        <v>0.667715717403612</v>
      </c>
      <c r="L580" s="1" t="b">
        <f aca="false">FALSE()</f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19.1802303685618</v>
      </c>
      <c r="S580" s="0" t="n">
        <v>20.0700525394046</v>
      </c>
      <c r="T580" s="0" t="n">
        <v>0.420315236427317</v>
      </c>
      <c r="U580" s="0" t="n">
        <v>0.776847977684798</v>
      </c>
      <c r="V580" s="0" t="n">
        <v>0.95955369595537</v>
      </c>
      <c r="W580" s="0" t="n">
        <v>0.896792189679219</v>
      </c>
      <c r="X580" s="0" t="n">
        <v>0.185434214151252</v>
      </c>
      <c r="Y580" s="0" t="n">
        <v>5.98212985491167</v>
      </c>
      <c r="Z580" s="0" t="n">
        <v>0.3102145929739</v>
      </c>
      <c r="AA580" s="0" t="n">
        <v>-5.55111512312578E-017</v>
      </c>
    </row>
    <row r="581" customFormat="false" ht="15" hidden="false" customHeight="false" outlineLevel="0" collapsed="false">
      <c r="A581" s="0" t="s">
        <v>615</v>
      </c>
      <c r="B581" s="0" t="s">
        <v>3013</v>
      </c>
      <c r="C581" s="0" t="s">
        <v>3038</v>
      </c>
      <c r="D581" s="0" t="n">
        <v>-36.932595819258</v>
      </c>
      <c r="E581" s="0" t="n">
        <v>0.344153513750945</v>
      </c>
      <c r="F581" s="0" t="n">
        <v>12.2520201248542</v>
      </c>
      <c r="G581" s="0" t="n">
        <v>0.799749687108886</v>
      </c>
      <c r="H581" s="0" t="n">
        <v>0.93116395494368</v>
      </c>
      <c r="I581" s="0" t="n">
        <v>0.726173872617387</v>
      </c>
      <c r="J581" s="0" t="n">
        <v>0.837600231344504</v>
      </c>
      <c r="K581" s="0" t="n">
        <v>0.667715717403612</v>
      </c>
      <c r="L581" s="1" t="b">
        <f aca="false">TRUE()</f>
        <v>1</v>
      </c>
      <c r="M581" s="0" t="s">
        <v>3035</v>
      </c>
      <c r="N581" s="0" t="n">
        <v>0</v>
      </c>
      <c r="O581" s="0" t="n">
        <v>0</v>
      </c>
      <c r="P581" s="0" t="n">
        <v>1</v>
      </c>
      <c r="Q581" s="0" t="n">
        <v>36.932595819258</v>
      </c>
      <c r="R581" s="0" t="n">
        <v>28.4990892682328</v>
      </c>
      <c r="S581" s="0" t="n">
        <v>8.29028290282904</v>
      </c>
      <c r="T581" s="0" t="n">
        <v>0.221402214022142</v>
      </c>
      <c r="U581" s="0" t="n">
        <v>0.899581589958159</v>
      </c>
      <c r="V581" s="0" t="n">
        <v>0.832635983263598</v>
      </c>
      <c r="W581" s="0" t="n">
        <v>0.446304044630405</v>
      </c>
      <c r="X581" s="0" t="n">
        <v>0.344153513750946</v>
      </c>
      <c r="Y581" s="0" t="n">
        <v>12.2520201248542</v>
      </c>
      <c r="Z581" s="0" t="n">
        <v>0.837600231344504</v>
      </c>
      <c r="AA581" s="0" t="n">
        <v>0</v>
      </c>
    </row>
    <row r="582" customFormat="false" ht="15" hidden="false" customHeight="false" outlineLevel="0" collapsed="false">
      <c r="A582" s="0" t="s">
        <v>616</v>
      </c>
      <c r="B582" s="0" t="s">
        <v>3013</v>
      </c>
      <c r="C582" s="0" t="s">
        <v>3038</v>
      </c>
      <c r="D582" s="0" t="n">
        <v>26.0564688366833</v>
      </c>
      <c r="E582" s="0" t="n">
        <v>0.284154589387689</v>
      </c>
      <c r="F582" s="0" t="n">
        <v>9.96231323250056</v>
      </c>
      <c r="G582" s="0" t="n">
        <v>0.483103879849812</v>
      </c>
      <c r="H582" s="0" t="n">
        <v>0.783479349186483</v>
      </c>
      <c r="I582" s="0" t="n">
        <v>0.699674569967457</v>
      </c>
      <c r="J582" s="0" t="n">
        <v>0.64656820560801</v>
      </c>
      <c r="K582" s="0" t="n">
        <v>0.667715717403612</v>
      </c>
      <c r="L582" s="1" t="b">
        <f aca="false">FALSE()</f>
        <v>0</v>
      </c>
      <c r="N582" s="0" t="n">
        <v>36.9325958192576</v>
      </c>
      <c r="O582" s="0" t="n">
        <v>1</v>
      </c>
      <c r="P582" s="0" t="n">
        <v>0</v>
      </c>
      <c r="Q582" s="0" t="n">
        <v>0</v>
      </c>
      <c r="R582" s="0" t="n">
        <v>20.815369551103</v>
      </c>
      <c r="S582" s="0" t="n">
        <v>13.1601731601732</v>
      </c>
      <c r="T582" s="0" t="n">
        <v>0.210265924551637</v>
      </c>
      <c r="U582" s="0" t="n">
        <v>0.807531380753138</v>
      </c>
      <c r="V582" s="0" t="n">
        <v>0.912133891213389</v>
      </c>
      <c r="W582" s="0" t="n">
        <v>0.379358437935844</v>
      </c>
      <c r="X582" s="0" t="n">
        <v>0.284154589387689</v>
      </c>
      <c r="Y582" s="0" t="n">
        <v>9.96231323250056</v>
      </c>
      <c r="Z582" s="0" t="n">
        <v>0.64656820560801</v>
      </c>
      <c r="AA582" s="0" t="n">
        <v>0</v>
      </c>
    </row>
    <row r="583" customFormat="false" ht="15" hidden="false" customHeight="false" outlineLevel="0" collapsed="false">
      <c r="A583" s="0" t="s">
        <v>617</v>
      </c>
      <c r="B583" s="0" t="s">
        <v>3013</v>
      </c>
      <c r="C583" s="0" t="s">
        <v>3036</v>
      </c>
      <c r="D583" s="0" t="n">
        <v>20.144997161001</v>
      </c>
      <c r="E583" s="0" t="n">
        <v>0.394951853062478</v>
      </c>
      <c r="F583" s="0" t="n">
        <v>10.0565949760874</v>
      </c>
      <c r="G583" s="0" t="n">
        <v>0.93116395494368</v>
      </c>
      <c r="H583" s="0" t="n">
        <v>0.794743429286608</v>
      </c>
      <c r="I583" s="0" t="n">
        <v>0.463040446304045</v>
      </c>
      <c r="J583" s="0" t="n">
        <v>0.782971042952924</v>
      </c>
      <c r="K583" s="0" t="n">
        <v>0.667715717403612</v>
      </c>
      <c r="L583" s="1" t="b">
        <f aca="false">TRUE()</f>
        <v>1</v>
      </c>
      <c r="M583" s="0" t="s">
        <v>3035</v>
      </c>
      <c r="N583" s="0" t="n">
        <v>10.8761269825745</v>
      </c>
      <c r="O583" s="0" t="n">
        <v>0</v>
      </c>
      <c r="P583" s="0" t="n">
        <v>0</v>
      </c>
      <c r="Q583" s="0" t="n">
        <v>0</v>
      </c>
      <c r="R583" s="0" t="n">
        <v>10.0927751003605</v>
      </c>
      <c r="S583" s="0" t="n">
        <v>1.53016866631893</v>
      </c>
      <c r="T583" s="0" t="n">
        <v>0.295600765084341</v>
      </c>
      <c r="U583" s="0" t="n">
        <v>0.511854951185495</v>
      </c>
      <c r="V583" s="0" t="n">
        <v>0.139470013947001</v>
      </c>
      <c r="W583" s="0" t="n">
        <v>0.737796373779637</v>
      </c>
      <c r="X583" s="0" t="n">
        <v>0.394951853062478</v>
      </c>
      <c r="Y583" s="0" t="n">
        <v>10.0565949760875</v>
      </c>
      <c r="Z583" s="0" t="n">
        <v>0.782971042952924</v>
      </c>
      <c r="AA583" s="0" t="n">
        <v>0</v>
      </c>
    </row>
    <row r="584" customFormat="false" ht="15" hidden="false" customHeight="false" outlineLevel="0" collapsed="false">
      <c r="A584" s="0" t="s">
        <v>618</v>
      </c>
      <c r="B584" s="0" t="s">
        <v>3013</v>
      </c>
      <c r="C584" s="0" t="s">
        <v>3036</v>
      </c>
      <c r="D584" s="0" t="n">
        <v>-46.8394484598736</v>
      </c>
      <c r="E584" s="0" t="n">
        <v>0.318425981591724</v>
      </c>
      <c r="F584" s="0" t="n">
        <v>6.88902687255351</v>
      </c>
      <c r="G584" s="0" t="n">
        <v>0.660826032540676</v>
      </c>
      <c r="H584" s="0" t="n">
        <v>0.406758448060075</v>
      </c>
      <c r="I584" s="0" t="n">
        <v>0.52742910274291</v>
      </c>
      <c r="J584" s="0" t="n">
        <v>0.532519612788883</v>
      </c>
      <c r="K584" s="0" t="n">
        <v>0.667715717403612</v>
      </c>
      <c r="L584" s="1" t="b">
        <f aca="false">FALSE()</f>
        <v>0</v>
      </c>
      <c r="N584" s="0" t="n">
        <v>0</v>
      </c>
      <c r="O584" s="0" t="n">
        <v>0</v>
      </c>
      <c r="P584" s="0" t="n">
        <v>1</v>
      </c>
      <c r="Q584" s="0" t="n">
        <v>46.8394484598736</v>
      </c>
      <c r="R584" s="0" t="n">
        <v>6.93983835703963</v>
      </c>
      <c r="S584" s="0" t="n">
        <v>4.26737160120846</v>
      </c>
      <c r="T584" s="0" t="n">
        <v>0.264350453172212</v>
      </c>
      <c r="U584" s="0" t="n">
        <v>0.306834030683403</v>
      </c>
      <c r="V584" s="0" t="n">
        <v>0.624825662482566</v>
      </c>
      <c r="W584" s="0" t="n">
        <v>0.650627615062762</v>
      </c>
      <c r="X584" s="0" t="n">
        <v>0.318425981591724</v>
      </c>
      <c r="Y584" s="0" t="n">
        <v>6.88902687255351</v>
      </c>
      <c r="Z584" s="0" t="n">
        <v>0.532519612788883</v>
      </c>
      <c r="AA584" s="0" t="n">
        <v>0</v>
      </c>
    </row>
    <row r="585" customFormat="false" ht="15" hidden="false" customHeight="false" outlineLevel="0" collapsed="false">
      <c r="A585" s="0" t="s">
        <v>619</v>
      </c>
      <c r="B585" s="0" t="s">
        <v>3013</v>
      </c>
      <c r="C585" s="0" t="s">
        <v>3038</v>
      </c>
      <c r="D585" s="0" t="n">
        <v>29.5697692621691</v>
      </c>
      <c r="E585" s="0" t="n">
        <v>0.17649286549324</v>
      </c>
      <c r="F585" s="0" t="n">
        <v>4.85226181329689</v>
      </c>
      <c r="G585" s="0" t="n">
        <v>0.0575719649561952</v>
      </c>
      <c r="H585" s="0" t="n">
        <v>0.117647058823529</v>
      </c>
      <c r="I585" s="0" t="n">
        <v>0.817759181775918</v>
      </c>
      <c r="J585" s="0" t="n">
        <v>0.233639445867074</v>
      </c>
      <c r="K585" s="0" t="n">
        <v>0.667715717403612</v>
      </c>
      <c r="L585" s="1" t="b">
        <f aca="false">FALSE()</f>
        <v>0</v>
      </c>
      <c r="N585" s="0" t="n">
        <v>46.8394484598739</v>
      </c>
      <c r="O585" s="0" t="n">
        <v>1</v>
      </c>
      <c r="P585" s="0" t="n">
        <v>0</v>
      </c>
      <c r="Q585" s="0" t="n">
        <v>0</v>
      </c>
      <c r="R585" s="0" t="n">
        <v>37.8072225260611</v>
      </c>
      <c r="S585" s="0" t="n">
        <v>4.84764542936288</v>
      </c>
      <c r="T585" s="0" t="n">
        <v>0.346260387811627</v>
      </c>
      <c r="U585" s="0" t="n">
        <v>0.944211994421199</v>
      </c>
      <c r="V585" s="0" t="n">
        <v>0.680613668061367</v>
      </c>
      <c r="W585" s="0" t="n">
        <v>0.828451882845188</v>
      </c>
      <c r="X585" s="0" t="n">
        <v>0.17649286549324</v>
      </c>
      <c r="Y585" s="0" t="n">
        <v>4.85226181329689</v>
      </c>
      <c r="Z585" s="0" t="n">
        <v>0.233639445867074</v>
      </c>
      <c r="AA585" s="0" t="n">
        <v>0</v>
      </c>
    </row>
    <row r="586" customFormat="false" ht="15" hidden="false" customHeight="false" outlineLevel="0" collapsed="false">
      <c r="A586" s="0" t="s">
        <v>620</v>
      </c>
      <c r="B586" s="0" t="s">
        <v>3013</v>
      </c>
      <c r="C586" s="0" t="s">
        <v>3036</v>
      </c>
      <c r="D586" s="0" t="n">
        <v>4.50074625013835</v>
      </c>
      <c r="E586" s="0" t="n">
        <v>0.337610193872116</v>
      </c>
      <c r="F586" s="0" t="n">
        <v>8.29789505077339</v>
      </c>
      <c r="G586" s="0" t="n">
        <v>0.773466833541927</v>
      </c>
      <c r="H586" s="0" t="n">
        <v>0.578222778473091</v>
      </c>
      <c r="I586" s="0" t="n">
        <v>0.417015341701534</v>
      </c>
      <c r="J586" s="0" t="n">
        <v>0.624078913146314</v>
      </c>
      <c r="K586" s="0" t="n">
        <v>0.667715717403612</v>
      </c>
      <c r="L586" s="1" t="b">
        <f aca="false">FALSE()</f>
        <v>0</v>
      </c>
      <c r="N586" s="0" t="n">
        <v>17.2696791977051</v>
      </c>
      <c r="O586" s="0" t="n">
        <v>0</v>
      </c>
      <c r="P586" s="0" t="n">
        <v>0</v>
      </c>
      <c r="Q586" s="0" t="n">
        <v>0</v>
      </c>
      <c r="R586" s="0" t="n">
        <v>9.7698221514975</v>
      </c>
      <c r="S586" s="0" t="n">
        <v>1.65420348968954</v>
      </c>
      <c r="T586" s="0" t="n">
        <v>0.24926353954226</v>
      </c>
      <c r="U586" s="0" t="n">
        <v>0.490934449093445</v>
      </c>
      <c r="V586" s="0" t="n">
        <v>0.175732217573222</v>
      </c>
      <c r="W586" s="0" t="n">
        <v>0.584379358437936</v>
      </c>
      <c r="X586" s="0" t="n">
        <v>0.337610193872116</v>
      </c>
      <c r="Y586" s="0" t="n">
        <v>8.29789505077339</v>
      </c>
      <c r="Z586" s="0" t="n">
        <v>0.624078913146314</v>
      </c>
      <c r="AA586" s="0" t="n">
        <v>0</v>
      </c>
    </row>
    <row r="587" customFormat="false" ht="15" hidden="false" customHeight="false" outlineLevel="0" collapsed="false">
      <c r="A587" s="0" t="s">
        <v>621</v>
      </c>
      <c r="B587" s="0" t="s">
        <v>3013</v>
      </c>
      <c r="C587" s="0" t="s">
        <v>3038</v>
      </c>
      <c r="D587" s="0" t="n">
        <v>53.0063874167721</v>
      </c>
      <c r="E587" s="0" t="n">
        <v>0.179164629399556</v>
      </c>
      <c r="F587" s="0" t="n">
        <v>8.22151313528183</v>
      </c>
      <c r="G587" s="0" t="n">
        <v>0.065081351689612</v>
      </c>
      <c r="H587" s="0" t="n">
        <v>0.569461827284105</v>
      </c>
      <c r="I587" s="0" t="n">
        <v>0.902370990237099</v>
      </c>
      <c r="J587" s="0" t="n">
        <v>0.434291469636907</v>
      </c>
      <c r="K587" s="0" t="n">
        <v>0.667715717403612</v>
      </c>
      <c r="L587" s="1" t="b">
        <f aca="false">FALSE()</f>
        <v>0</v>
      </c>
      <c r="N587" s="0" t="n">
        <v>12.768932947567</v>
      </c>
      <c r="O587" s="0" t="n">
        <v>0</v>
      </c>
      <c r="P587" s="0" t="n">
        <v>0</v>
      </c>
      <c r="Q587" s="0" t="n">
        <v>0</v>
      </c>
      <c r="R587" s="0" t="n">
        <v>29.9362476652053</v>
      </c>
      <c r="S587" s="0" t="n">
        <v>21.9360086767896</v>
      </c>
      <c r="T587" s="0" t="n">
        <v>0.352494577006511</v>
      </c>
      <c r="U587" s="0" t="n">
        <v>0.903765690376569</v>
      </c>
      <c r="V587" s="0" t="n">
        <v>0.96931659693166</v>
      </c>
      <c r="W587" s="0" t="n">
        <v>0.834030683403068</v>
      </c>
      <c r="X587" s="0" t="n">
        <v>0.179164629399556</v>
      </c>
      <c r="Y587" s="0" t="n">
        <v>8.22151313528183</v>
      </c>
      <c r="Z587" s="0" t="n">
        <v>0.434291469636907</v>
      </c>
      <c r="AA587" s="0" t="n">
        <v>0</v>
      </c>
    </row>
    <row r="588" customFormat="false" ht="15" hidden="false" customHeight="false" outlineLevel="0" collapsed="false">
      <c r="A588" s="0" t="s">
        <v>622</v>
      </c>
      <c r="B588" s="0" t="s">
        <v>3013</v>
      </c>
      <c r="C588" s="0" t="s">
        <v>3038</v>
      </c>
      <c r="D588" s="0" t="n">
        <v>78.2461937567087</v>
      </c>
      <c r="E588" s="0" t="n">
        <v>0.229942043455658</v>
      </c>
      <c r="F588" s="0" t="n">
        <v>10.4943452561144</v>
      </c>
      <c r="G588" s="0" t="n">
        <v>0.175219023779725</v>
      </c>
      <c r="H588" s="0" t="n">
        <v>0.842302878598248</v>
      </c>
      <c r="I588" s="0" t="n">
        <v>0.94374709437471</v>
      </c>
      <c r="J588" s="0" t="n">
        <v>0.595758179826131</v>
      </c>
      <c r="K588" s="0" t="n">
        <v>0.667715717403612</v>
      </c>
      <c r="L588" s="1" t="b">
        <f aca="false">FALSE()</f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79.3288840642082</v>
      </c>
      <c r="S588" s="0" t="n">
        <v>24.1748024174802</v>
      </c>
      <c r="T588" s="0" t="n">
        <v>0.371920037192009</v>
      </c>
      <c r="U588" s="0" t="n">
        <v>0.99860529986053</v>
      </c>
      <c r="V588" s="0" t="n">
        <v>0.97629009762901</v>
      </c>
      <c r="W588" s="0" t="n">
        <v>0.856345885634589</v>
      </c>
      <c r="X588" s="0" t="n">
        <v>0.229942043455658</v>
      </c>
      <c r="Y588" s="0" t="n">
        <v>10.4943452561144</v>
      </c>
      <c r="Z588" s="0" t="n">
        <v>0.595758179826131</v>
      </c>
      <c r="AA588" s="0" t="n">
        <v>0</v>
      </c>
    </row>
    <row r="589" customFormat="false" ht="15" hidden="false" customHeight="false" outlineLevel="0" collapsed="false">
      <c r="A589" s="0" t="s">
        <v>623</v>
      </c>
      <c r="B589" s="0" t="s">
        <v>3013</v>
      </c>
      <c r="C589" s="0" t="s">
        <v>3034</v>
      </c>
      <c r="D589" s="0" t="n">
        <v>-41.4899704822595</v>
      </c>
      <c r="E589" s="0" t="n">
        <v>0.324143401165182</v>
      </c>
      <c r="F589" s="0" t="n">
        <v>12.6143059228409</v>
      </c>
      <c r="G589" s="0" t="n">
        <v>0.700876095118899</v>
      </c>
      <c r="H589" s="0" t="n">
        <v>0.944931163954944</v>
      </c>
      <c r="I589" s="0" t="n">
        <v>0.314737331473733</v>
      </c>
      <c r="J589" s="0" t="n">
        <v>0.721270369924284</v>
      </c>
      <c r="K589" s="0" t="n">
        <v>0.667715717403612</v>
      </c>
      <c r="L589" s="1" t="b">
        <f aca="false">TRUE()</f>
        <v>1</v>
      </c>
      <c r="M589" s="0" t="s">
        <v>3035</v>
      </c>
      <c r="N589" s="0" t="n">
        <v>0</v>
      </c>
      <c r="O589" s="0" t="n">
        <v>0</v>
      </c>
      <c r="P589" s="0" t="n">
        <v>1</v>
      </c>
      <c r="Q589" s="0" t="n">
        <v>41.4899704822595</v>
      </c>
      <c r="R589" s="0" t="n">
        <v>5.02394819000718</v>
      </c>
      <c r="S589" s="0" t="n">
        <v>2.39881904293271</v>
      </c>
      <c r="T589" s="0" t="n">
        <v>0.221429450116867</v>
      </c>
      <c r="U589" s="0" t="n">
        <v>0.128312412831241</v>
      </c>
      <c r="V589" s="0" t="n">
        <v>0.368200836820084</v>
      </c>
      <c r="W589" s="0" t="n">
        <v>0.447698744769875</v>
      </c>
      <c r="X589" s="0" t="n">
        <v>0.324143401165182</v>
      </c>
      <c r="Y589" s="0" t="n">
        <v>12.6143059228409</v>
      </c>
      <c r="Z589" s="0" t="n">
        <v>0.721270369924284</v>
      </c>
      <c r="AA589" s="0" t="n">
        <v>0</v>
      </c>
    </row>
    <row r="590" customFormat="false" ht="15" hidden="false" customHeight="false" outlineLevel="0" collapsed="false">
      <c r="A590" s="0" t="s">
        <v>624</v>
      </c>
      <c r="B590" s="0" t="s">
        <v>3013</v>
      </c>
      <c r="C590" s="0" t="s">
        <v>3033</v>
      </c>
      <c r="D590" s="0" t="n">
        <v>47.9997450654315</v>
      </c>
      <c r="E590" s="0" t="n">
        <v>0.308505656106124</v>
      </c>
      <c r="F590" s="0" t="n">
        <v>8.0140535292255</v>
      </c>
      <c r="G590" s="0" t="n">
        <v>0.608260325406759</v>
      </c>
      <c r="H590" s="0" t="n">
        <v>0.545682102628285</v>
      </c>
      <c r="I590" s="0" t="n">
        <v>0.167828916782892</v>
      </c>
      <c r="J590" s="0" t="n">
        <v>0.495142754570596</v>
      </c>
      <c r="K590" s="0" t="n">
        <v>0.667715717403612</v>
      </c>
      <c r="L590" s="1" t="b">
        <f aca="false">FALSE()</f>
        <v>0</v>
      </c>
      <c r="N590" s="0" t="n">
        <v>41.4899704822592</v>
      </c>
      <c r="O590" s="0" t="n">
        <v>1</v>
      </c>
      <c r="P590" s="0" t="n">
        <v>0</v>
      </c>
      <c r="Q590" s="0" t="n">
        <v>0</v>
      </c>
      <c r="R590" s="0" t="n">
        <v>6.09257408156877</v>
      </c>
      <c r="S590" s="0" t="n">
        <v>1.34704873867255</v>
      </c>
      <c r="T590" s="0" t="n">
        <v>0.171442566740139</v>
      </c>
      <c r="U590" s="0" t="n">
        <v>0.231520223152022</v>
      </c>
      <c r="V590" s="0" t="n">
        <v>0.096234309623431</v>
      </c>
      <c r="W590" s="0" t="n">
        <v>0.175732217573222</v>
      </c>
      <c r="X590" s="0" t="n">
        <v>0.308505656106124</v>
      </c>
      <c r="Y590" s="0" t="n">
        <v>8.0140535292255</v>
      </c>
      <c r="Z590" s="0" t="n">
        <v>0.495142754570596</v>
      </c>
      <c r="AA590" s="0" t="n">
        <v>-5.55111512312578E-017</v>
      </c>
    </row>
    <row r="591" customFormat="false" ht="15" hidden="false" customHeight="false" outlineLevel="0" collapsed="false">
      <c r="A591" s="0" t="s">
        <v>625</v>
      </c>
      <c r="B591" s="0" t="s">
        <v>3013</v>
      </c>
      <c r="C591" s="0" t="s">
        <v>3038</v>
      </c>
      <c r="D591" s="0" t="n">
        <v>-48.625349694146</v>
      </c>
      <c r="E591" s="0" t="n">
        <v>0.32030153683058</v>
      </c>
      <c r="F591" s="0" t="n">
        <v>9.86475236587999</v>
      </c>
      <c r="G591" s="0" t="n">
        <v>0.670838548185232</v>
      </c>
      <c r="H591" s="0" t="n">
        <v>0.779724655819775</v>
      </c>
      <c r="I591" s="0" t="n">
        <v>0.661552766155277</v>
      </c>
      <c r="J591" s="0" t="n">
        <v>0.712535834833058</v>
      </c>
      <c r="K591" s="0" t="n">
        <v>0.667715717403612</v>
      </c>
      <c r="L591" s="1" t="b">
        <f aca="false">TRUE()</f>
        <v>1</v>
      </c>
      <c r="M591" s="0" t="s">
        <v>3035</v>
      </c>
      <c r="N591" s="0" t="n">
        <v>0</v>
      </c>
      <c r="O591" s="0" t="n">
        <v>0</v>
      </c>
      <c r="P591" s="0" t="n">
        <v>1</v>
      </c>
      <c r="Q591" s="0" t="n">
        <v>48.625349694146</v>
      </c>
      <c r="R591" s="0" t="n">
        <v>7.38195553965415</v>
      </c>
      <c r="S591" s="0" t="n">
        <v>7.3877695298692</v>
      </c>
      <c r="T591" s="0" t="n">
        <v>0.353481795687522</v>
      </c>
      <c r="U591" s="0" t="n">
        <v>0.347280334728034</v>
      </c>
      <c r="V591" s="0" t="n">
        <v>0.799163179916318</v>
      </c>
      <c r="W591" s="0" t="n">
        <v>0.838214783821478</v>
      </c>
      <c r="X591" s="0" t="n">
        <v>0.32030153683058</v>
      </c>
      <c r="Y591" s="0" t="n">
        <v>9.86475236587999</v>
      </c>
      <c r="Z591" s="0" t="n">
        <v>0.712535834833058</v>
      </c>
      <c r="AA591" s="0" t="n">
        <v>0</v>
      </c>
    </row>
    <row r="592" customFormat="false" ht="15" hidden="false" customHeight="false" outlineLevel="0" collapsed="false">
      <c r="A592" s="0" t="s">
        <v>626</v>
      </c>
      <c r="B592" s="0" t="s">
        <v>3013</v>
      </c>
      <c r="C592" s="0" t="s">
        <v>3036</v>
      </c>
      <c r="D592" s="0" t="n">
        <v>13.4775967827312</v>
      </c>
      <c r="E592" s="0" t="n">
        <v>0.296214807161767</v>
      </c>
      <c r="F592" s="0" t="n">
        <v>6.46000665284529</v>
      </c>
      <c r="G592" s="0" t="n">
        <v>0.553191489361702</v>
      </c>
      <c r="H592" s="0" t="n">
        <v>0.335419274092616</v>
      </c>
      <c r="I592" s="0" t="n">
        <v>0.214318921431892</v>
      </c>
      <c r="J592" s="0" t="n">
        <v>0.398308089668106</v>
      </c>
      <c r="K592" s="0" t="n">
        <v>0.667715717403612</v>
      </c>
      <c r="L592" s="1" t="b">
        <f aca="false">FALSE()</f>
        <v>0</v>
      </c>
      <c r="N592" s="0" t="n">
        <v>48.6253496941463</v>
      </c>
      <c r="O592" s="0" t="n">
        <v>1</v>
      </c>
      <c r="P592" s="0" t="n">
        <v>0</v>
      </c>
      <c r="Q592" s="0" t="n">
        <v>0</v>
      </c>
      <c r="R592" s="0" t="n">
        <v>3.67869194756969</v>
      </c>
      <c r="S592" s="0" t="n">
        <v>1.75524134568502</v>
      </c>
      <c r="T592" s="0" t="n">
        <v>0.211279050869487</v>
      </c>
      <c r="U592" s="0" t="n">
        <v>0.0529986052998605</v>
      </c>
      <c r="V592" s="0" t="n">
        <v>0.203626220362622</v>
      </c>
      <c r="W592" s="0" t="n">
        <v>0.386331938633194</v>
      </c>
      <c r="X592" s="0" t="n">
        <v>0.296214807161767</v>
      </c>
      <c r="Y592" s="0" t="n">
        <v>6.46000665284529</v>
      </c>
      <c r="Z592" s="0" t="n">
        <v>0.398308089668106</v>
      </c>
      <c r="AA592" s="0" t="n">
        <v>-5.55111512312578E-017</v>
      </c>
    </row>
    <row r="593" customFormat="false" ht="15" hidden="false" customHeight="false" outlineLevel="0" collapsed="false">
      <c r="A593" s="0" t="s">
        <v>627</v>
      </c>
      <c r="B593" s="0" t="s">
        <v>3013</v>
      </c>
      <c r="C593" s="0" t="s">
        <v>3038</v>
      </c>
      <c r="D593" s="0" t="n">
        <v>-37.1142518967116</v>
      </c>
      <c r="E593" s="0" t="n">
        <v>0.285948105550682</v>
      </c>
      <c r="F593" s="0" t="n">
        <v>8.3167295863499</v>
      </c>
      <c r="G593" s="0" t="n">
        <v>0.498122653316646</v>
      </c>
      <c r="H593" s="0" t="n">
        <v>0.5819774718398</v>
      </c>
      <c r="I593" s="0" t="n">
        <v>0.680613668061367</v>
      </c>
      <c r="J593" s="0" t="n">
        <v>0.568162783674852</v>
      </c>
      <c r="K593" s="0" t="n">
        <v>0.667715717403612</v>
      </c>
      <c r="L593" s="1" t="b">
        <f aca="false">FALSE()</f>
        <v>0</v>
      </c>
      <c r="N593" s="0" t="n">
        <v>35.1477529114154</v>
      </c>
      <c r="O593" s="0" t="n">
        <v>0</v>
      </c>
      <c r="P593" s="0" t="n">
        <v>1</v>
      </c>
      <c r="Q593" s="0" t="n">
        <v>37.1142518967116</v>
      </c>
      <c r="R593" s="0" t="n">
        <v>8.99861748513183</v>
      </c>
      <c r="S593" s="0" t="n">
        <v>10.5980317940954</v>
      </c>
      <c r="T593" s="0" t="n">
        <v>0.283875851627544</v>
      </c>
      <c r="U593" s="0" t="n">
        <v>0.444909344490934</v>
      </c>
      <c r="V593" s="0" t="n">
        <v>0.891213389121339</v>
      </c>
      <c r="W593" s="0" t="n">
        <v>0.705718270571827</v>
      </c>
      <c r="X593" s="0" t="n">
        <v>0.285948105550682</v>
      </c>
      <c r="Y593" s="0" t="n">
        <v>8.3167295863499</v>
      </c>
      <c r="Z593" s="0" t="n">
        <v>0.568162783674852</v>
      </c>
      <c r="AA593" s="0" t="n">
        <v>0</v>
      </c>
    </row>
    <row r="594" customFormat="false" ht="15" hidden="false" customHeight="false" outlineLevel="0" collapsed="false">
      <c r="A594" s="0" t="s">
        <v>628</v>
      </c>
      <c r="B594" s="0" t="s">
        <v>3013</v>
      </c>
      <c r="C594" s="0" t="s">
        <v>3038</v>
      </c>
      <c r="D594" s="0" t="n">
        <v>-39.2688907859038</v>
      </c>
      <c r="E594" s="0" t="n">
        <v>0.279943621943466</v>
      </c>
      <c r="F594" s="0" t="n">
        <v>11.0398812239685</v>
      </c>
      <c r="G594" s="0" t="n">
        <v>0.461827284105131</v>
      </c>
      <c r="H594" s="0" t="n">
        <v>0.882352941176471</v>
      </c>
      <c r="I594" s="0" t="n">
        <v>0.786610878661088</v>
      </c>
      <c r="J594" s="0" t="n">
        <v>0.694994265844859</v>
      </c>
      <c r="K594" s="0" t="n">
        <v>0.667715717403612</v>
      </c>
      <c r="L594" s="1" t="b">
        <f aca="false">TRUE()</f>
        <v>1</v>
      </c>
      <c r="M594" s="0" t="s">
        <v>3035</v>
      </c>
      <c r="N594" s="0" t="n">
        <v>72.2620048081271</v>
      </c>
      <c r="O594" s="0" t="n">
        <v>1</v>
      </c>
      <c r="P594" s="0" t="n">
        <v>1</v>
      </c>
      <c r="Q594" s="0" t="n">
        <v>39.2688907859038</v>
      </c>
      <c r="R594" s="0" t="n">
        <v>12.6394112770505</v>
      </c>
      <c r="S594" s="0" t="n">
        <v>11.910013233348</v>
      </c>
      <c r="T594" s="0" t="n">
        <v>0.352889280988089</v>
      </c>
      <c r="U594" s="0" t="n">
        <v>0.619246861924686</v>
      </c>
      <c r="V594" s="0" t="n">
        <v>0.903765690376569</v>
      </c>
      <c r="W594" s="0" t="n">
        <v>0.836820083682008</v>
      </c>
      <c r="X594" s="0" t="n">
        <v>0.279943621943466</v>
      </c>
      <c r="Y594" s="0" t="n">
        <v>11.0398812239685</v>
      </c>
      <c r="Z594" s="0" t="n">
        <v>0.694994265844859</v>
      </c>
      <c r="AA594" s="0" t="n">
        <v>0</v>
      </c>
    </row>
    <row r="595" customFormat="false" ht="15" hidden="false" customHeight="false" outlineLevel="0" collapsed="false">
      <c r="A595" s="0" t="s">
        <v>629</v>
      </c>
      <c r="B595" s="0" t="s">
        <v>3013</v>
      </c>
      <c r="C595" s="0" t="s">
        <v>3038</v>
      </c>
      <c r="D595" s="0" t="n">
        <v>38.1371782673783</v>
      </c>
      <c r="E595" s="0" t="n">
        <v>0.190266332104502</v>
      </c>
      <c r="F595" s="0" t="n">
        <v>4.98806495113199</v>
      </c>
      <c r="G595" s="0" t="n">
        <v>0.0888610763454318</v>
      </c>
      <c r="H595" s="0" t="n">
        <v>0.135168961201502</v>
      </c>
      <c r="I595" s="0" t="n">
        <v>0.459786145978615</v>
      </c>
      <c r="J595" s="0" t="n">
        <v>0.181569244214496</v>
      </c>
      <c r="K595" s="0" t="n">
        <v>0.667715717403612</v>
      </c>
      <c r="L595" s="1" t="b">
        <f aca="false">FALSE()</f>
        <v>0</v>
      </c>
      <c r="N595" s="0" t="n">
        <v>111.530895594031</v>
      </c>
      <c r="O595" s="0" t="n">
        <v>2</v>
      </c>
      <c r="P595" s="0" t="n">
        <v>0</v>
      </c>
      <c r="Q595" s="0" t="n">
        <v>0</v>
      </c>
      <c r="R595" s="0" t="n">
        <v>8.64347973944147</v>
      </c>
      <c r="S595" s="0" t="n">
        <v>5.8379413015738</v>
      </c>
      <c r="T595" s="0" t="n">
        <v>0.180774138664397</v>
      </c>
      <c r="U595" s="0" t="n">
        <v>0.430962343096234</v>
      </c>
      <c r="V595" s="0" t="n">
        <v>0.739191073919107</v>
      </c>
      <c r="W595" s="0" t="n">
        <v>0.209205020920502</v>
      </c>
      <c r="X595" s="0" t="n">
        <v>0.190266332104502</v>
      </c>
      <c r="Y595" s="0" t="n">
        <v>4.98806495113199</v>
      </c>
      <c r="Z595" s="0" t="n">
        <v>0.181569244214496</v>
      </c>
      <c r="AA595" s="0" t="n">
        <v>-2.77555756156289E-017</v>
      </c>
    </row>
    <row r="596" customFormat="false" ht="15" hidden="false" customHeight="false" outlineLevel="0" collapsed="false">
      <c r="A596" s="0" t="s">
        <v>630</v>
      </c>
      <c r="B596" s="0" t="s">
        <v>3013</v>
      </c>
      <c r="C596" s="0" t="s">
        <v>3033</v>
      </c>
      <c r="D596" s="0" t="n">
        <v>45.6378609721457</v>
      </c>
      <c r="E596" s="0" t="n">
        <v>0.277524281403548</v>
      </c>
      <c r="F596" s="0" t="n">
        <v>5.5936381205069</v>
      </c>
      <c r="G596" s="0" t="n">
        <v>0.448060075093867</v>
      </c>
      <c r="H596" s="0" t="n">
        <v>0.216520650813517</v>
      </c>
      <c r="I596" s="0" t="n">
        <v>0.258484425848443</v>
      </c>
      <c r="J596" s="0" t="n">
        <v>0.317529175532642</v>
      </c>
      <c r="K596" s="0" t="n">
        <v>0.667715717403612</v>
      </c>
      <c r="L596" s="1" t="b">
        <f aca="false">FALSE()</f>
        <v>0</v>
      </c>
      <c r="N596" s="0" t="n">
        <v>73.3937173266522</v>
      </c>
      <c r="O596" s="0" t="n">
        <v>0</v>
      </c>
      <c r="P596" s="0" t="n">
        <v>0</v>
      </c>
      <c r="Q596" s="0" t="n">
        <v>0</v>
      </c>
      <c r="R596" s="0" t="n">
        <v>4.31851589031287</v>
      </c>
      <c r="S596" s="0" t="n">
        <v>1.76036342986937</v>
      </c>
      <c r="T596" s="0" t="n">
        <v>0.227143668370239</v>
      </c>
      <c r="U596" s="0" t="n">
        <v>0.0892608089260809</v>
      </c>
      <c r="V596" s="0" t="n">
        <v>0.205020920502092</v>
      </c>
      <c r="W596" s="0" t="n">
        <v>0.481171548117155</v>
      </c>
      <c r="X596" s="0" t="n">
        <v>0.277524281403548</v>
      </c>
      <c r="Y596" s="0" t="n">
        <v>5.5936381205069</v>
      </c>
      <c r="Z596" s="0" t="n">
        <v>0.317529175532642</v>
      </c>
      <c r="AA596" s="0" t="n">
        <v>0</v>
      </c>
    </row>
    <row r="597" customFormat="false" ht="15" hidden="false" customHeight="false" outlineLevel="0" collapsed="false">
      <c r="A597" s="0" t="s">
        <v>631</v>
      </c>
      <c r="B597" s="0" t="s">
        <v>3013</v>
      </c>
      <c r="C597" s="0" t="s">
        <v>3033</v>
      </c>
      <c r="D597" s="0" t="n">
        <v>31.5028468188726</v>
      </c>
      <c r="E597" s="0" t="n">
        <v>0.256784077912289</v>
      </c>
      <c r="F597" s="0" t="n">
        <v>5.40747201692128</v>
      </c>
      <c r="G597" s="0" t="n">
        <v>0.306633291614518</v>
      </c>
      <c r="H597" s="0" t="n">
        <v>0.187734668335419</v>
      </c>
      <c r="I597" s="0" t="n">
        <v>0.325894932589493</v>
      </c>
      <c r="J597" s="0" t="n">
        <v>0.262926170497874</v>
      </c>
      <c r="K597" s="0" t="n">
        <v>0.667715717403612</v>
      </c>
      <c r="L597" s="1" t="b">
        <f aca="false">FALSE()</f>
        <v>0</v>
      </c>
      <c r="N597" s="0" t="n">
        <v>27.7558563545063</v>
      </c>
      <c r="O597" s="0" t="n">
        <v>0</v>
      </c>
      <c r="P597" s="0" t="n">
        <v>0</v>
      </c>
      <c r="Q597" s="0" t="n">
        <v>0</v>
      </c>
      <c r="R597" s="0" t="n">
        <v>4.00126740652966</v>
      </c>
      <c r="S597" s="0" t="n">
        <v>2.21507681314755</v>
      </c>
      <c r="T597" s="0" t="n">
        <v>0.250089317613429</v>
      </c>
      <c r="U597" s="0" t="n">
        <v>0.0739191073919107</v>
      </c>
      <c r="V597" s="0" t="n">
        <v>0.316596931659693</v>
      </c>
      <c r="W597" s="0" t="n">
        <v>0.587168758716876</v>
      </c>
      <c r="X597" s="0" t="n">
        <v>0.256784077912289</v>
      </c>
      <c r="Y597" s="0" t="n">
        <v>5.40747201692128</v>
      </c>
      <c r="Z597" s="0" t="n">
        <v>0.262926170497874</v>
      </c>
      <c r="AA597" s="0" t="n">
        <v>5.55111512312578E-017</v>
      </c>
    </row>
    <row r="598" customFormat="false" ht="15" hidden="false" customHeight="false" outlineLevel="0" collapsed="false">
      <c r="A598" s="0" t="s">
        <v>632</v>
      </c>
      <c r="B598" s="0" t="s">
        <v>3013</v>
      </c>
      <c r="C598" s="0" t="s">
        <v>3033</v>
      </c>
      <c r="D598" s="0" t="n">
        <v>47.424794166995</v>
      </c>
      <c r="E598" s="0" t="n">
        <v>0.273339586456175</v>
      </c>
      <c r="F598" s="0" t="n">
        <v>7.17518663801186</v>
      </c>
      <c r="G598" s="0" t="n">
        <v>0.411764705882353</v>
      </c>
      <c r="H598" s="0" t="n">
        <v>0.439299123904881</v>
      </c>
      <c r="I598" s="0" t="n">
        <v>0.393305439330544</v>
      </c>
      <c r="J598" s="0" t="n">
        <v>0.419086619781003</v>
      </c>
      <c r="K598" s="0" t="n">
        <v>0.667715717403612</v>
      </c>
      <c r="L598" s="1" t="b">
        <f aca="false">FALSE()</f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3.04858840194881</v>
      </c>
      <c r="S598" s="0" t="n">
        <v>3.87558627499383</v>
      </c>
      <c r="T598" s="0" t="n">
        <v>0.246852628980499</v>
      </c>
      <c r="U598" s="0" t="n">
        <v>0.0278940027894003</v>
      </c>
      <c r="V598" s="0" t="n">
        <v>0.581589958158996</v>
      </c>
      <c r="W598" s="0" t="n">
        <v>0.570432357043236</v>
      </c>
      <c r="X598" s="0" t="n">
        <v>0.273339586456175</v>
      </c>
      <c r="Y598" s="0" t="n">
        <v>7.17518663801186</v>
      </c>
      <c r="Z598" s="0" t="n">
        <v>0.419086619781003</v>
      </c>
      <c r="AA598" s="0" t="n">
        <v>0</v>
      </c>
    </row>
    <row r="599" customFormat="false" ht="15" hidden="false" customHeight="false" outlineLevel="0" collapsed="false">
      <c r="A599" s="0" t="s">
        <v>633</v>
      </c>
      <c r="B599" s="0" t="s">
        <v>3013</v>
      </c>
      <c r="C599" s="0" t="s">
        <v>3038</v>
      </c>
      <c r="D599" s="0" t="n">
        <v>-36.8020016177112</v>
      </c>
      <c r="E599" s="0" t="n">
        <v>0.205467388853517</v>
      </c>
      <c r="F599" s="0" t="n">
        <v>5.3533626699974</v>
      </c>
      <c r="G599" s="0" t="n">
        <v>0.112640801001252</v>
      </c>
      <c r="H599" s="0" t="n">
        <v>0.183979974968711</v>
      </c>
      <c r="I599" s="0" t="n">
        <v>0.681543468154347</v>
      </c>
      <c r="J599" s="0" t="n">
        <v>0.254957004018854</v>
      </c>
      <c r="K599" s="0" t="n">
        <v>0.667715717403612</v>
      </c>
      <c r="L599" s="1" t="b">
        <f aca="false">FALSE()</f>
        <v>0</v>
      </c>
      <c r="N599" s="0" t="n">
        <v>0</v>
      </c>
      <c r="O599" s="0" t="n">
        <v>0</v>
      </c>
      <c r="P599" s="0" t="n">
        <v>1</v>
      </c>
      <c r="Q599" s="0" t="n">
        <v>36.8020016177112</v>
      </c>
      <c r="R599" s="0" t="n">
        <v>30.6855415029595</v>
      </c>
      <c r="S599" s="0" t="n">
        <v>3.69447295118019</v>
      </c>
      <c r="T599" s="0" t="n">
        <v>0.249230318135169</v>
      </c>
      <c r="U599" s="0" t="n">
        <v>0.905160390516039</v>
      </c>
      <c r="V599" s="0" t="n">
        <v>0.556485355648536</v>
      </c>
      <c r="W599" s="0" t="n">
        <v>0.582984658298466</v>
      </c>
      <c r="X599" s="0" t="n">
        <v>0.205467388853517</v>
      </c>
      <c r="Y599" s="0" t="n">
        <v>5.3533626699974</v>
      </c>
      <c r="Z599" s="0" t="n">
        <v>0.254957004018854</v>
      </c>
      <c r="AA599" s="0" t="n">
        <v>5.55111512312578E-017</v>
      </c>
    </row>
    <row r="600" customFormat="false" ht="15" hidden="false" customHeight="false" outlineLevel="0" collapsed="false">
      <c r="A600" s="0" t="s">
        <v>634</v>
      </c>
      <c r="B600" s="0" t="s">
        <v>3013</v>
      </c>
      <c r="C600" s="0" t="s">
        <v>3033</v>
      </c>
      <c r="D600" s="0" t="n">
        <v>-35.6776288613803</v>
      </c>
      <c r="E600" s="0" t="n">
        <v>0.346976155656259</v>
      </c>
      <c r="F600" s="0" t="n">
        <v>9.57390753664111</v>
      </c>
      <c r="G600" s="0" t="n">
        <v>0.806007509386733</v>
      </c>
      <c r="H600" s="0" t="n">
        <v>0.733416770963705</v>
      </c>
      <c r="I600" s="0" t="n">
        <v>0.193398419339842</v>
      </c>
      <c r="J600" s="0" t="n">
        <v>0.654449396008144</v>
      </c>
      <c r="K600" s="0" t="n">
        <v>0.667715717403612</v>
      </c>
      <c r="L600" s="1" t="b">
        <f aca="false">FALSE()</f>
        <v>0</v>
      </c>
      <c r="N600" s="0" t="n">
        <v>36.8020016177115</v>
      </c>
      <c r="O600" s="0" t="n">
        <v>1</v>
      </c>
      <c r="P600" s="0" t="n">
        <v>1</v>
      </c>
      <c r="Q600" s="0" t="n">
        <v>35.6776288613803</v>
      </c>
      <c r="R600" s="0" t="n">
        <v>5.93482666037895</v>
      </c>
      <c r="S600" s="0" t="n">
        <v>2.31562252180807</v>
      </c>
      <c r="T600" s="0" t="n">
        <v>0.0951625693893681</v>
      </c>
      <c r="U600" s="0" t="n">
        <v>0.221757322175732</v>
      </c>
      <c r="V600" s="0" t="n">
        <v>0.343096234309623</v>
      </c>
      <c r="W600" s="0" t="n">
        <v>0.0153417015341702</v>
      </c>
      <c r="X600" s="0" t="n">
        <v>0.346976155656259</v>
      </c>
      <c r="Y600" s="0" t="n">
        <v>9.57390753664111</v>
      </c>
      <c r="Z600" s="0" t="n">
        <v>0.654449396008144</v>
      </c>
      <c r="AA600" s="0" t="n">
        <v>0</v>
      </c>
    </row>
    <row r="601" customFormat="false" ht="15" hidden="false" customHeight="false" outlineLevel="0" collapsed="false">
      <c r="A601" s="0" t="s">
        <v>635</v>
      </c>
      <c r="B601" s="0" t="s">
        <v>3013</v>
      </c>
      <c r="C601" s="0" t="s">
        <v>3033</v>
      </c>
      <c r="D601" s="0" t="n">
        <v>36.3470333306188</v>
      </c>
      <c r="E601" s="0" t="n">
        <v>0.312822610976818</v>
      </c>
      <c r="F601" s="0" t="n">
        <v>7.57087889552273</v>
      </c>
      <c r="G601" s="0" t="n">
        <v>0.62828535669587</v>
      </c>
      <c r="H601" s="0" t="n">
        <v>0.493116395494368</v>
      </c>
      <c r="I601" s="0" t="n">
        <v>0.277080427708043</v>
      </c>
      <c r="J601" s="0" t="n">
        <v>0.503976786417704</v>
      </c>
      <c r="K601" s="0" t="n">
        <v>0.667715717403612</v>
      </c>
      <c r="L601" s="1" t="b">
        <f aca="false">FALSE()</f>
        <v>0</v>
      </c>
      <c r="N601" s="0" t="n">
        <v>72.4796304790916</v>
      </c>
      <c r="O601" s="0" t="n">
        <v>2</v>
      </c>
      <c r="P601" s="0" t="n">
        <v>0</v>
      </c>
      <c r="Q601" s="0" t="n">
        <v>0</v>
      </c>
      <c r="R601" s="0" t="n">
        <v>6.31480647277888</v>
      </c>
      <c r="S601" s="0" t="n">
        <v>3.66252452583387</v>
      </c>
      <c r="T601" s="0" t="n">
        <v>0.109003706126014</v>
      </c>
      <c r="U601" s="0" t="n">
        <v>0.251046025104603</v>
      </c>
      <c r="V601" s="0" t="n">
        <v>0.553695955369596</v>
      </c>
      <c r="W601" s="0" t="n">
        <v>0.0264993026499303</v>
      </c>
      <c r="X601" s="0" t="n">
        <v>0.312822610976818</v>
      </c>
      <c r="Y601" s="0" t="n">
        <v>7.57087889552273</v>
      </c>
      <c r="Z601" s="0" t="n">
        <v>0.503976786417704</v>
      </c>
      <c r="AA601" s="0" t="n">
        <v>0</v>
      </c>
    </row>
    <row r="602" customFormat="false" ht="15" hidden="false" customHeight="false" outlineLevel="0" collapsed="false">
      <c r="A602" s="0" t="s">
        <v>636</v>
      </c>
      <c r="B602" s="0" t="s">
        <v>3013</v>
      </c>
      <c r="C602" s="0" t="s">
        <v>3038</v>
      </c>
      <c r="D602" s="0" t="n">
        <v>73.6154487988212</v>
      </c>
      <c r="E602" s="0" t="n">
        <v>0.136444372575304</v>
      </c>
      <c r="F602" s="0" t="n">
        <v>2.58106095529167</v>
      </c>
      <c r="G602" s="0" t="n">
        <v>0.0112640801001252</v>
      </c>
      <c r="H602" s="0" t="n">
        <v>0.0187734668335419</v>
      </c>
      <c r="I602" s="0" t="n">
        <v>0.98326359832636</v>
      </c>
      <c r="J602" s="0" t="n">
        <v>0.208667738438739</v>
      </c>
      <c r="K602" s="0" t="n">
        <v>0.667715717403612</v>
      </c>
      <c r="L602" s="1" t="b">
        <f aca="false">FALSE()</f>
        <v>0</v>
      </c>
      <c r="N602" s="0" t="n">
        <v>36.132597148473</v>
      </c>
      <c r="O602" s="0" t="n">
        <v>0</v>
      </c>
      <c r="P602" s="0" t="n">
        <v>0</v>
      </c>
      <c r="Q602" s="0" t="n">
        <v>0</v>
      </c>
      <c r="R602" s="0" t="n">
        <v>44.6899866889778</v>
      </c>
      <c r="S602" s="0" t="n">
        <v>38.4299640841457</v>
      </c>
      <c r="T602" s="0" t="n">
        <v>0.667008722421753</v>
      </c>
      <c r="U602" s="0" t="n">
        <v>0.96792189679219</v>
      </c>
      <c r="V602" s="0" t="n">
        <v>0.99721059972106</v>
      </c>
      <c r="W602" s="0" t="n">
        <v>0.98465829846583</v>
      </c>
      <c r="X602" s="0" t="n">
        <v>0.136444372575304</v>
      </c>
      <c r="Y602" s="0" t="n">
        <v>2.58106095529167</v>
      </c>
      <c r="Z602" s="0" t="n">
        <v>0.208667738438739</v>
      </c>
      <c r="AA602" s="0" t="n">
        <v>2.77555756156289E-017</v>
      </c>
    </row>
    <row r="603" customFormat="false" ht="15" hidden="false" customHeight="false" outlineLevel="0" collapsed="false">
      <c r="A603" s="0" t="s">
        <v>637</v>
      </c>
      <c r="B603" s="0" t="s">
        <v>3013</v>
      </c>
      <c r="C603" s="0" t="s">
        <v>3033</v>
      </c>
      <c r="D603" s="0" t="n">
        <v>40.2406870232691</v>
      </c>
      <c r="E603" s="0" t="n">
        <v>0.288914033772655</v>
      </c>
      <c r="F603" s="0" t="n">
        <v>8.9836039855336</v>
      </c>
      <c r="G603" s="0" t="n">
        <v>0.518147684605757</v>
      </c>
      <c r="H603" s="0" t="n">
        <v>0.679599499374218</v>
      </c>
      <c r="I603" s="0" t="n">
        <v>0.658763365876337</v>
      </c>
      <c r="J603" s="0" t="n">
        <v>0.610851546767257</v>
      </c>
      <c r="K603" s="0" t="n">
        <v>0.667715717403612</v>
      </c>
      <c r="L603" s="1" t="b">
        <f aca="false">FALSE()</f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7.36486727502131</v>
      </c>
      <c r="S603" s="0" t="n">
        <v>8.39506172839505</v>
      </c>
      <c r="T603" s="0" t="n">
        <v>0.329218106995878</v>
      </c>
      <c r="U603" s="0" t="n">
        <v>0.343096234309623</v>
      </c>
      <c r="V603" s="0" t="n">
        <v>0.836820083682008</v>
      </c>
      <c r="W603" s="0" t="n">
        <v>0.796373779637378</v>
      </c>
      <c r="X603" s="0" t="n">
        <v>0.288914033772655</v>
      </c>
      <c r="Y603" s="0" t="n">
        <v>8.9836039855336</v>
      </c>
      <c r="Z603" s="0" t="n">
        <v>0.610851546767257</v>
      </c>
      <c r="AA603" s="0" t="n">
        <v>0</v>
      </c>
    </row>
    <row r="604" customFormat="false" ht="15" hidden="false" customHeight="false" outlineLevel="0" collapsed="false">
      <c r="A604" s="0" t="s">
        <v>638</v>
      </c>
      <c r="B604" s="0" t="s">
        <v>3013</v>
      </c>
      <c r="C604" s="0" t="s">
        <v>3034</v>
      </c>
      <c r="D604" s="0" t="n">
        <v>15.8513317936139</v>
      </c>
      <c r="E604" s="0" t="n">
        <v>0.401011718522691</v>
      </c>
      <c r="F604" s="0" t="n">
        <v>10.6871984944256</v>
      </c>
      <c r="G604" s="0" t="n">
        <v>0.949937421777222</v>
      </c>
      <c r="H604" s="0" t="n">
        <v>0.857321652065081</v>
      </c>
      <c r="I604" s="0" t="n">
        <v>0.363086936308694</v>
      </c>
      <c r="J604" s="0" t="n">
        <v>0.79552101679866</v>
      </c>
      <c r="K604" s="0" t="n">
        <v>0.667715717403612</v>
      </c>
      <c r="L604" s="1" t="b">
        <f aca="false">TRUE()</f>
        <v>1</v>
      </c>
      <c r="M604" s="0" t="s">
        <v>3035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11.2134880445354</v>
      </c>
      <c r="S604" s="0" t="n">
        <v>1.97690692792164</v>
      </c>
      <c r="T604" s="0" t="n">
        <v>0.192442267319798</v>
      </c>
      <c r="U604" s="0" t="n">
        <v>0.555090655509066</v>
      </c>
      <c r="V604" s="0" t="n">
        <v>0.262203626220363</v>
      </c>
      <c r="W604" s="0" t="n">
        <v>0.271966527196653</v>
      </c>
      <c r="X604" s="0" t="n">
        <v>0.401011718522691</v>
      </c>
      <c r="Y604" s="0" t="n">
        <v>10.6871984944256</v>
      </c>
      <c r="Z604" s="0" t="n">
        <v>0.79552101679866</v>
      </c>
      <c r="AA604" s="0" t="n">
        <v>0</v>
      </c>
    </row>
    <row r="605" customFormat="false" ht="15" hidden="false" customHeight="false" outlineLevel="0" collapsed="false">
      <c r="A605" s="0" t="s">
        <v>639</v>
      </c>
      <c r="B605" s="0" t="s">
        <v>3013</v>
      </c>
      <c r="C605" s="0" t="s">
        <v>3034</v>
      </c>
      <c r="D605" s="0" t="n">
        <v>6.04434316489764</v>
      </c>
      <c r="E605" s="0" t="n">
        <v>0.370619237987546</v>
      </c>
      <c r="F605" s="0" t="n">
        <v>10.4950459482727</v>
      </c>
      <c r="G605" s="0" t="n">
        <v>0.876095118898623</v>
      </c>
      <c r="H605" s="0" t="n">
        <v>0.843554443053817</v>
      </c>
      <c r="I605" s="0" t="n">
        <v>0.231055323105532</v>
      </c>
      <c r="J605" s="0" t="n">
        <v>0.734070889402083</v>
      </c>
      <c r="K605" s="0" t="n">
        <v>0.667715717403612</v>
      </c>
      <c r="L605" s="1" t="b">
        <f aca="false">TRUE()</f>
        <v>1</v>
      </c>
      <c r="M605" s="0" t="s">
        <v>3035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5.71430990184085</v>
      </c>
      <c r="S605" s="0" t="n">
        <v>0.49408858302452</v>
      </c>
      <c r="T605" s="0" t="n">
        <v>0.229398270689951</v>
      </c>
      <c r="U605" s="0" t="n">
        <v>0.193863319386332</v>
      </c>
      <c r="V605" s="0" t="n">
        <v>0.00139470013947001</v>
      </c>
      <c r="W605" s="0" t="n">
        <v>0.497907949790795</v>
      </c>
      <c r="X605" s="0" t="n">
        <v>0.370619237987546</v>
      </c>
      <c r="Y605" s="0" t="n">
        <v>10.4950459482727</v>
      </c>
      <c r="Z605" s="0" t="n">
        <v>0.734070889402083</v>
      </c>
      <c r="AA605" s="0" t="n">
        <v>0</v>
      </c>
    </row>
    <row r="606" customFormat="false" ht="15" hidden="false" customHeight="false" outlineLevel="0" collapsed="false">
      <c r="A606" s="0" t="s">
        <v>640</v>
      </c>
      <c r="B606" s="0" t="s">
        <v>33</v>
      </c>
      <c r="C606" s="0" t="s">
        <v>33</v>
      </c>
      <c r="D606" s="0" t="n">
        <v>-39.8465847302933</v>
      </c>
      <c r="E606" s="0" t="n">
        <v>0.363892870376613</v>
      </c>
      <c r="F606" s="0" t="n">
        <v>11.977709160149</v>
      </c>
      <c r="G606" s="0" t="n">
        <v>0.856070087609512</v>
      </c>
      <c r="H606" s="0" t="n">
        <v>0.918648310387985</v>
      </c>
      <c r="I606" s="0" t="n">
        <v>0.5</v>
      </c>
      <c r="J606" s="0" t="n">
        <v>0.809887359198999</v>
      </c>
      <c r="K606" s="0" t="n">
        <v>0.667715717403612</v>
      </c>
      <c r="L606" s="1" t="b">
        <f aca="false">TRUE()</f>
        <v>1</v>
      </c>
      <c r="M606" s="0" t="s">
        <v>3035</v>
      </c>
      <c r="N606" s="0" t="n">
        <v>0</v>
      </c>
      <c r="O606" s="0" t="n">
        <v>0</v>
      </c>
      <c r="P606" s="0" t="n">
        <v>1</v>
      </c>
      <c r="Q606" s="0" t="n">
        <v>39.8465847302933</v>
      </c>
      <c r="U606" s="0" t="n">
        <v>0.5</v>
      </c>
      <c r="V606" s="0" t="n">
        <v>0.5</v>
      </c>
      <c r="W606" s="0" t="n">
        <v>0.5</v>
      </c>
      <c r="X606" s="0" t="n">
        <v>0.363892870376613</v>
      </c>
      <c r="Y606" s="0" t="n">
        <v>11.977709160149</v>
      </c>
      <c r="Z606" s="0" t="n">
        <v>0.809887359198999</v>
      </c>
      <c r="AA606" s="0" t="n">
        <v>0</v>
      </c>
    </row>
    <row r="607" customFormat="false" ht="15" hidden="false" customHeight="false" outlineLevel="0" collapsed="false">
      <c r="A607" s="0" t="s">
        <v>641</v>
      </c>
      <c r="B607" s="0" t="s">
        <v>3013</v>
      </c>
      <c r="C607" s="0" t="s">
        <v>3038</v>
      </c>
      <c r="D607" s="0" t="n">
        <v>-2.00868488762257</v>
      </c>
      <c r="E607" s="0" t="n">
        <v>0.37622631178241</v>
      </c>
      <c r="F607" s="0" t="n">
        <v>15.3670229183305</v>
      </c>
      <c r="G607" s="0" t="n">
        <v>0.891113892365457</v>
      </c>
      <c r="H607" s="0" t="n">
        <v>0.987484355444305</v>
      </c>
      <c r="I607" s="0" t="n">
        <v>0.665736866573687</v>
      </c>
      <c r="J607" s="0" t="n">
        <v>0.884586672438642</v>
      </c>
      <c r="K607" s="0" t="n">
        <v>0.667715717403612</v>
      </c>
      <c r="L607" s="1" t="b">
        <f aca="false">TRUE()</f>
        <v>1</v>
      </c>
      <c r="M607" s="0" t="s">
        <v>3035</v>
      </c>
      <c r="N607" s="0" t="n">
        <v>39.8465847302932</v>
      </c>
      <c r="O607" s="0" t="n">
        <v>1</v>
      </c>
      <c r="P607" s="0" t="n">
        <v>1</v>
      </c>
      <c r="Q607" s="0" t="n">
        <v>2.00868488762257</v>
      </c>
      <c r="R607" s="0" t="n">
        <v>7.91990185203645</v>
      </c>
      <c r="S607" s="0" t="n">
        <v>7.05039297272307</v>
      </c>
      <c r="T607" s="0" t="n">
        <v>0.346740638002774</v>
      </c>
      <c r="U607" s="0" t="n">
        <v>0.379358437935844</v>
      </c>
      <c r="V607" s="0" t="n">
        <v>0.788005578800558</v>
      </c>
      <c r="W607" s="0" t="n">
        <v>0.829846582984658</v>
      </c>
      <c r="X607" s="0" t="n">
        <v>0.37622631178241</v>
      </c>
      <c r="Y607" s="0" t="n">
        <v>15.3670229183305</v>
      </c>
      <c r="Z607" s="0" t="n">
        <v>0.884586672438642</v>
      </c>
      <c r="AA607" s="0" t="n">
        <v>0</v>
      </c>
    </row>
    <row r="608" customFormat="false" ht="15" hidden="false" customHeight="false" outlineLevel="0" collapsed="false">
      <c r="A608" s="0" t="s">
        <v>642</v>
      </c>
      <c r="B608" s="0" t="s">
        <v>3013</v>
      </c>
      <c r="C608" s="0" t="s">
        <v>3034</v>
      </c>
      <c r="D608" s="0" t="n">
        <v>-39.6942016471255</v>
      </c>
      <c r="E608" s="0" t="n">
        <v>0.392165459017131</v>
      </c>
      <c r="F608" s="0" t="n">
        <v>12.4302512793872</v>
      </c>
      <c r="G608" s="0" t="n">
        <v>0.927409261576971</v>
      </c>
      <c r="H608" s="0" t="n">
        <v>0.941176470588235</v>
      </c>
      <c r="I608" s="0" t="n">
        <v>0.431892143189214</v>
      </c>
      <c r="J608" s="0" t="n">
        <v>0.833812721503926</v>
      </c>
      <c r="K608" s="0" t="n">
        <v>0.667715717403612</v>
      </c>
      <c r="L608" s="1" t="b">
        <f aca="false">TRUE()</f>
        <v>1</v>
      </c>
      <c r="M608" s="0" t="s">
        <v>3035</v>
      </c>
      <c r="N608" s="0" t="n">
        <v>41.8552696179158</v>
      </c>
      <c r="O608" s="0" t="n">
        <v>2</v>
      </c>
      <c r="P608" s="0" t="n">
        <v>1</v>
      </c>
      <c r="Q608" s="0" t="n">
        <v>39.6942016471255</v>
      </c>
      <c r="R608" s="0" t="n">
        <v>15.3867850459827</v>
      </c>
      <c r="S608" s="0" t="n">
        <v>2.7753432661408</v>
      </c>
      <c r="T608" s="0" t="n">
        <v>0.160677768039726</v>
      </c>
      <c r="U608" s="0" t="n">
        <v>0.714086471408647</v>
      </c>
      <c r="V608" s="0" t="n">
        <v>0.442119944211994</v>
      </c>
      <c r="W608" s="0" t="n">
        <v>0.139470013947001</v>
      </c>
      <c r="X608" s="0" t="n">
        <v>0.392165459017131</v>
      </c>
      <c r="Y608" s="0" t="n">
        <v>12.4302512793872</v>
      </c>
      <c r="Z608" s="0" t="n">
        <v>0.833812721503926</v>
      </c>
      <c r="AA608" s="0" t="n">
        <v>0</v>
      </c>
    </row>
    <row r="609" customFormat="false" ht="15" hidden="false" customHeight="false" outlineLevel="0" collapsed="false">
      <c r="A609" s="0" t="s">
        <v>643</v>
      </c>
      <c r="B609" s="0" t="s">
        <v>33</v>
      </c>
      <c r="C609" s="0" t="s">
        <v>33</v>
      </c>
      <c r="D609" s="0" t="n">
        <v>-3.96471697100582</v>
      </c>
      <c r="E609" s="0" t="n">
        <v>0.343738964312967</v>
      </c>
      <c r="F609" s="0" t="n">
        <v>10.0656096874313</v>
      </c>
      <c r="G609" s="0" t="n">
        <v>0.797246558197747</v>
      </c>
      <c r="H609" s="0" t="n">
        <v>0.797246558197747</v>
      </c>
      <c r="I609" s="0" t="n">
        <v>0.5</v>
      </c>
      <c r="J609" s="0" t="n">
        <v>0.737797246558198</v>
      </c>
      <c r="K609" s="0" t="n">
        <v>0.667715717403612</v>
      </c>
      <c r="L609" s="1" t="b">
        <f aca="false">TRUE()</f>
        <v>1</v>
      </c>
      <c r="M609" s="0" t="s">
        <v>3035</v>
      </c>
      <c r="N609" s="0" t="n">
        <v>81.5494712650416</v>
      </c>
      <c r="O609" s="0" t="n">
        <v>3</v>
      </c>
      <c r="P609" s="0" t="n">
        <v>1</v>
      </c>
      <c r="Q609" s="0" t="n">
        <v>3.96471697100582</v>
      </c>
      <c r="U609" s="0" t="n">
        <v>0.5</v>
      </c>
      <c r="V609" s="0" t="n">
        <v>0.5</v>
      </c>
      <c r="W609" s="0" t="n">
        <v>0.5</v>
      </c>
      <c r="X609" s="0" t="n">
        <v>0.343738964312967</v>
      </c>
      <c r="Y609" s="0" t="n">
        <v>10.0656096874313</v>
      </c>
      <c r="Z609" s="0" t="n">
        <v>0.737797246558198</v>
      </c>
      <c r="AA609" s="0" t="n">
        <v>0</v>
      </c>
    </row>
    <row r="610" customFormat="false" ht="15" hidden="false" customHeight="false" outlineLevel="0" collapsed="false">
      <c r="A610" s="0" t="s">
        <v>644</v>
      </c>
      <c r="B610" s="0" t="s">
        <v>3013</v>
      </c>
      <c r="C610" s="0" t="s">
        <v>3033</v>
      </c>
      <c r="D610" s="0" t="n">
        <v>-40.8738961983742</v>
      </c>
      <c r="E610" s="0" t="n">
        <v>0.225371280622931</v>
      </c>
      <c r="F610" s="0" t="n">
        <v>6.79465563427668</v>
      </c>
      <c r="G610" s="0" t="n">
        <v>0.157697121401752</v>
      </c>
      <c r="H610" s="0" t="n">
        <v>0.394242803504381</v>
      </c>
      <c r="I610" s="0" t="n">
        <v>0.211529521152952</v>
      </c>
      <c r="J610" s="0" t="n">
        <v>0.263081874193044</v>
      </c>
      <c r="K610" s="0" t="n">
        <v>0.667715717403612</v>
      </c>
      <c r="L610" s="1" t="b">
        <f aca="false">FALSE()</f>
        <v>0</v>
      </c>
      <c r="N610" s="0" t="n">
        <v>85.5141882360476</v>
      </c>
      <c r="O610" s="0" t="n">
        <v>4</v>
      </c>
      <c r="P610" s="0" t="n">
        <v>1</v>
      </c>
      <c r="Q610" s="0" t="n">
        <v>40.8738961983742</v>
      </c>
      <c r="R610" s="0" t="n">
        <v>5.36427225059906</v>
      </c>
      <c r="S610" s="0" t="n">
        <v>1.89323843416371</v>
      </c>
      <c r="T610" s="0" t="n">
        <v>0.18505338078292</v>
      </c>
      <c r="U610" s="0" t="n">
        <v>0.157601115760112</v>
      </c>
      <c r="V610" s="0" t="n">
        <v>0.244072524407252</v>
      </c>
      <c r="W610" s="0" t="n">
        <v>0.232914923291492</v>
      </c>
      <c r="X610" s="0" t="n">
        <v>0.225371280622931</v>
      </c>
      <c r="Y610" s="0" t="n">
        <v>6.79465563427668</v>
      </c>
      <c r="Z610" s="0" t="n">
        <v>0.263081874193044</v>
      </c>
      <c r="AA610" s="0" t="n">
        <v>0</v>
      </c>
    </row>
    <row r="611" customFormat="false" ht="15" hidden="false" customHeight="false" outlineLevel="0" collapsed="false">
      <c r="A611" s="0" t="s">
        <v>645</v>
      </c>
      <c r="B611" s="0" t="s">
        <v>3013</v>
      </c>
      <c r="C611" s="0" t="s">
        <v>3033</v>
      </c>
      <c r="D611" s="0" t="n">
        <v>45.2399940085744</v>
      </c>
      <c r="E611" s="0" t="n">
        <v>0.217813484719795</v>
      </c>
      <c r="F611" s="0" t="n">
        <v>4.34700436418521</v>
      </c>
      <c r="G611" s="0" t="n">
        <v>0.13892365456821</v>
      </c>
      <c r="H611" s="0" t="n">
        <v>0.0763454317897372</v>
      </c>
      <c r="I611" s="0" t="n">
        <v>0.688981868898187</v>
      </c>
      <c r="J611" s="0" t="n">
        <v>0.223904008322816</v>
      </c>
      <c r="K611" s="0" t="n">
        <v>0.667715717403612</v>
      </c>
      <c r="L611" s="1" t="b">
        <f aca="false">FALSE()</f>
        <v>0</v>
      </c>
      <c r="N611" s="0" t="n">
        <v>126.388084434422</v>
      </c>
      <c r="O611" s="0" t="n">
        <v>5</v>
      </c>
      <c r="P611" s="0" t="n">
        <v>0</v>
      </c>
      <c r="Q611" s="0" t="n">
        <v>0</v>
      </c>
      <c r="R611" s="0" t="n">
        <v>20.1173439936593</v>
      </c>
      <c r="S611" s="0" t="n">
        <v>7.46899661781284</v>
      </c>
      <c r="T611" s="0" t="n">
        <v>0.225479143179259</v>
      </c>
      <c r="U611" s="0" t="n">
        <v>0.789400278940028</v>
      </c>
      <c r="V611" s="0" t="n">
        <v>0.806136680613668</v>
      </c>
      <c r="W611" s="0" t="n">
        <v>0.471408647140865</v>
      </c>
      <c r="X611" s="0" t="n">
        <v>0.217813484719795</v>
      </c>
      <c r="Y611" s="0" t="n">
        <v>4.34700436418521</v>
      </c>
      <c r="Z611" s="0" t="n">
        <v>0.223904008322816</v>
      </c>
      <c r="AA611" s="0" t="n">
        <v>-2.77555756156289E-017</v>
      </c>
    </row>
    <row r="612" customFormat="false" ht="15" hidden="false" customHeight="false" outlineLevel="0" collapsed="false">
      <c r="A612" s="0" t="s">
        <v>646</v>
      </c>
      <c r="B612" s="0" t="s">
        <v>3013</v>
      </c>
      <c r="C612" s="0" t="s">
        <v>3034</v>
      </c>
      <c r="D612" s="0" t="n">
        <v>45.0920195928209</v>
      </c>
      <c r="E612" s="0" t="n">
        <v>0.275501218111599</v>
      </c>
      <c r="F612" s="0" t="n">
        <v>6.87339820156312</v>
      </c>
      <c r="G612" s="0" t="n">
        <v>0.429286608260325</v>
      </c>
      <c r="H612" s="0" t="n">
        <v>0.404255319148936</v>
      </c>
      <c r="I612" s="0" t="n">
        <v>0.527661552766155</v>
      </c>
      <c r="J612" s="0" t="n">
        <v>0.438949081516936</v>
      </c>
      <c r="K612" s="0" t="n">
        <v>0.667715717403612</v>
      </c>
      <c r="L612" s="1" t="b">
        <f aca="false">FALSE()</f>
        <v>0</v>
      </c>
      <c r="N612" s="0" t="n">
        <v>81.1480904258478</v>
      </c>
      <c r="O612" s="0" t="n">
        <v>0</v>
      </c>
      <c r="P612" s="0" t="n">
        <v>0</v>
      </c>
      <c r="Q612" s="0" t="n">
        <v>0</v>
      </c>
      <c r="R612" s="0" t="n">
        <v>7.05098487380556</v>
      </c>
      <c r="S612" s="0" t="n">
        <v>4.24100614214683</v>
      </c>
      <c r="T612" s="0" t="n">
        <v>0.263234863995314</v>
      </c>
      <c r="U612" s="0" t="n">
        <v>0.319386331938633</v>
      </c>
      <c r="V612" s="0" t="n">
        <v>0.616457461645746</v>
      </c>
      <c r="W612" s="0" t="n">
        <v>0.647140864714087</v>
      </c>
      <c r="X612" s="0" t="n">
        <v>0.275501218111599</v>
      </c>
      <c r="Y612" s="0" t="n">
        <v>6.87339820156312</v>
      </c>
      <c r="Z612" s="0" t="n">
        <v>0.438949081516936</v>
      </c>
      <c r="AA612" s="0" t="n">
        <v>5.55111512312578E-017</v>
      </c>
    </row>
    <row r="613" customFormat="false" ht="15" hidden="false" customHeight="false" outlineLevel="0" collapsed="false">
      <c r="A613" s="0" t="s">
        <v>647</v>
      </c>
      <c r="B613" s="0" t="s">
        <v>33</v>
      </c>
      <c r="C613" s="0" t="s">
        <v>33</v>
      </c>
      <c r="D613" s="0" t="n">
        <v>-37.8160769371905</v>
      </c>
      <c r="E613" s="0" t="n">
        <v>0.319340623291671</v>
      </c>
      <c r="F613" s="0" t="n">
        <v>8.83207872854841</v>
      </c>
      <c r="G613" s="0" t="n">
        <v>0.664580725907384</v>
      </c>
      <c r="H613" s="0" t="n">
        <v>0.657071339173967</v>
      </c>
      <c r="I613" s="0" t="n">
        <v>0.5</v>
      </c>
      <c r="J613" s="0" t="n">
        <v>0.628660826032541</v>
      </c>
      <c r="K613" s="0" t="n">
        <v>0.667715717403612</v>
      </c>
      <c r="L613" s="1" t="b">
        <f aca="false">FALSE()</f>
        <v>0</v>
      </c>
      <c r="N613" s="0" t="n">
        <v>36.0560708330268</v>
      </c>
      <c r="O613" s="0" t="n">
        <v>0</v>
      </c>
      <c r="P613" s="0" t="n">
        <v>1</v>
      </c>
      <c r="Q613" s="0" t="n">
        <v>37.8160769371905</v>
      </c>
      <c r="U613" s="0" t="n">
        <v>0.5</v>
      </c>
      <c r="V613" s="0" t="n">
        <v>0.5</v>
      </c>
      <c r="W613" s="0" t="n">
        <v>0.5</v>
      </c>
      <c r="X613" s="0" t="n">
        <v>0.319340623291671</v>
      </c>
      <c r="Y613" s="0" t="n">
        <v>8.83207872854841</v>
      </c>
      <c r="Z613" s="0" t="n">
        <v>0.628660826032541</v>
      </c>
      <c r="AA613" s="0" t="n">
        <v>0</v>
      </c>
    </row>
    <row r="614" customFormat="false" ht="15" hidden="false" customHeight="false" outlineLevel="0" collapsed="false">
      <c r="A614" s="0" t="s">
        <v>648</v>
      </c>
      <c r="B614" s="0" t="s">
        <v>3013</v>
      </c>
      <c r="C614" s="0" t="s">
        <v>3036</v>
      </c>
      <c r="D614" s="0" t="n">
        <v>34.0918667991836</v>
      </c>
      <c r="E614" s="0" t="n">
        <v>0.256489487671996</v>
      </c>
      <c r="F614" s="0" t="n">
        <v>5.314660899162</v>
      </c>
      <c r="G614" s="0" t="n">
        <v>0.304130162703379</v>
      </c>
      <c r="H614" s="0" t="n">
        <v>0.176470588235294</v>
      </c>
      <c r="I614" s="0" t="n">
        <v>0.334263133426313</v>
      </c>
      <c r="J614" s="0" t="n">
        <v>0.259092927060732</v>
      </c>
      <c r="K614" s="0" t="n">
        <v>0.667715717403612</v>
      </c>
      <c r="L614" s="1" t="b">
        <f aca="false">FALSE()</f>
        <v>0</v>
      </c>
      <c r="N614" s="0" t="n">
        <v>73.8721477702175</v>
      </c>
      <c r="O614" s="0" t="n">
        <v>1</v>
      </c>
      <c r="P614" s="0" t="n">
        <v>0</v>
      </c>
      <c r="Q614" s="0" t="n">
        <v>0</v>
      </c>
      <c r="R614" s="0" t="n">
        <v>4.26486077814386</v>
      </c>
      <c r="S614" s="0" t="n">
        <v>2.16689098250337</v>
      </c>
      <c r="T614" s="0" t="n">
        <v>0.255720053835798</v>
      </c>
      <c r="U614" s="0" t="n">
        <v>0.0864714086471409</v>
      </c>
      <c r="V614" s="0" t="n">
        <v>0.306834030683403</v>
      </c>
      <c r="W614" s="0" t="n">
        <v>0.609483960948396</v>
      </c>
      <c r="X614" s="0" t="n">
        <v>0.256489487671996</v>
      </c>
      <c r="Y614" s="0" t="n">
        <v>5.314660899162</v>
      </c>
      <c r="Z614" s="0" t="n">
        <v>0.259092927060732</v>
      </c>
      <c r="AA614" s="0" t="n">
        <v>-5.55111512312578E-017</v>
      </c>
    </row>
    <row r="615" customFormat="false" ht="15" hidden="false" customHeight="false" outlineLevel="0" collapsed="false">
      <c r="A615" s="0" t="s">
        <v>649</v>
      </c>
      <c r="B615" s="0" t="s">
        <v>3013</v>
      </c>
      <c r="C615" s="0" t="s">
        <v>3033</v>
      </c>
      <c r="D615" s="0" t="n">
        <v>-42.9371134986594</v>
      </c>
      <c r="E615" s="0" t="n">
        <v>0.309644334203848</v>
      </c>
      <c r="F615" s="0" t="n">
        <v>7.87055180909218</v>
      </c>
      <c r="G615" s="0" t="n">
        <v>0.615769712140175</v>
      </c>
      <c r="H615" s="0" t="n">
        <v>0.524405506883605</v>
      </c>
      <c r="I615" s="0" t="n">
        <v>0.237099023709902</v>
      </c>
      <c r="J615" s="0" t="n">
        <v>0.503489892351492</v>
      </c>
      <c r="K615" s="0" t="n">
        <v>0.667715717403612</v>
      </c>
      <c r="L615" s="1" t="b">
        <f aca="false">FALSE()</f>
        <v>0</v>
      </c>
      <c r="N615" s="0" t="n">
        <v>39.7802809710338</v>
      </c>
      <c r="O615" s="0" t="n">
        <v>0</v>
      </c>
      <c r="P615" s="0" t="n">
        <v>1</v>
      </c>
      <c r="Q615" s="0" t="n">
        <v>42.9371134986594</v>
      </c>
      <c r="R615" s="0" t="n">
        <v>5.75819038124439</v>
      </c>
      <c r="S615" s="0" t="n">
        <v>1.59083678014636</v>
      </c>
      <c r="T615" s="0" t="n">
        <v>0.206808781419028</v>
      </c>
      <c r="U615" s="0" t="n">
        <v>0.200836820083682</v>
      </c>
      <c r="V615" s="0" t="n">
        <v>0.154811715481172</v>
      </c>
      <c r="W615" s="0" t="n">
        <v>0.355648535564854</v>
      </c>
      <c r="X615" s="0" t="n">
        <v>0.309644334203848</v>
      </c>
      <c r="Y615" s="0" t="n">
        <v>7.87055180909218</v>
      </c>
      <c r="Z615" s="0" t="n">
        <v>0.503489892351492</v>
      </c>
      <c r="AA615" s="0" t="n">
        <v>0</v>
      </c>
    </row>
    <row r="616" customFormat="false" ht="15" hidden="false" customHeight="false" outlineLevel="0" collapsed="false">
      <c r="A616" s="0" t="s">
        <v>650</v>
      </c>
      <c r="B616" s="0" t="s">
        <v>3013</v>
      </c>
      <c r="C616" s="0" t="s">
        <v>3033</v>
      </c>
      <c r="D616" s="0" t="n">
        <v>-34.8445183979509</v>
      </c>
      <c r="E616" s="0" t="n">
        <v>0.236093435909586</v>
      </c>
      <c r="F616" s="0" t="n">
        <v>5.09086993187387</v>
      </c>
      <c r="G616" s="0" t="n">
        <v>0.205256570713392</v>
      </c>
      <c r="H616" s="0" t="n">
        <v>0.146433041301627</v>
      </c>
      <c r="I616" s="0" t="n">
        <v>0.351464435146444</v>
      </c>
      <c r="J616" s="0" t="n">
        <v>0.210968731835296</v>
      </c>
      <c r="K616" s="0" t="n">
        <v>0.667715717403612</v>
      </c>
      <c r="L616" s="1" t="b">
        <f aca="false">FALSE()</f>
        <v>0</v>
      </c>
      <c r="N616" s="0" t="n">
        <v>82.7173944696933</v>
      </c>
      <c r="O616" s="0" t="n">
        <v>1</v>
      </c>
      <c r="P616" s="0" t="n">
        <v>1</v>
      </c>
      <c r="Q616" s="0" t="n">
        <v>34.8445183979509</v>
      </c>
      <c r="R616" s="0" t="n">
        <v>4.78759329394844</v>
      </c>
      <c r="S616" s="0" t="n">
        <v>2.00115451221861</v>
      </c>
      <c r="T616" s="0" t="n">
        <v>0.269386184337113</v>
      </c>
      <c r="U616" s="0" t="n">
        <v>0.117154811715481</v>
      </c>
      <c r="V616" s="0" t="n">
        <v>0.270571827057183</v>
      </c>
      <c r="W616" s="0" t="n">
        <v>0.666666666666667</v>
      </c>
      <c r="X616" s="0" t="n">
        <v>0.236093435909586</v>
      </c>
      <c r="Y616" s="0" t="n">
        <v>5.09086993187387</v>
      </c>
      <c r="Z616" s="0" t="n">
        <v>0.210968731835296</v>
      </c>
      <c r="AA616" s="0" t="n">
        <v>-2.77555756156289E-017</v>
      </c>
    </row>
    <row r="617" customFormat="false" ht="15" hidden="false" customHeight="false" outlineLevel="0" collapsed="false">
      <c r="A617" s="0" t="s">
        <v>651</v>
      </c>
      <c r="B617" s="0" t="s">
        <v>33</v>
      </c>
      <c r="C617" s="0" t="s">
        <v>33</v>
      </c>
      <c r="D617" s="0" t="n">
        <v>65.5283909291259</v>
      </c>
      <c r="E617" s="0" t="n">
        <v>0.338651567663849</v>
      </c>
      <c r="F617" s="0" t="n">
        <v>10.2143076882047</v>
      </c>
      <c r="G617" s="0" t="n">
        <v>0.780976220275344</v>
      </c>
      <c r="H617" s="0" t="n">
        <v>0.812265331664581</v>
      </c>
      <c r="I617" s="0" t="n">
        <v>0.5</v>
      </c>
      <c r="J617" s="0" t="n">
        <v>0.73729662077597</v>
      </c>
      <c r="K617" s="0" t="n">
        <v>0.667715717403612</v>
      </c>
      <c r="L617" s="1" t="b">
        <f aca="false">TRUE()</f>
        <v>1</v>
      </c>
      <c r="M617" s="0" t="s">
        <v>3035</v>
      </c>
      <c r="N617" s="0" t="n">
        <v>117.561912867644</v>
      </c>
      <c r="O617" s="0" t="n">
        <v>2</v>
      </c>
      <c r="P617" s="0" t="n">
        <v>0</v>
      </c>
      <c r="Q617" s="0" t="n">
        <v>0</v>
      </c>
      <c r="U617" s="0" t="n">
        <v>0.5</v>
      </c>
      <c r="V617" s="0" t="n">
        <v>0.5</v>
      </c>
      <c r="W617" s="0" t="n">
        <v>0.5</v>
      </c>
      <c r="X617" s="0" t="n">
        <v>0.338651567663849</v>
      </c>
      <c r="Y617" s="0" t="n">
        <v>10.2143076882047</v>
      </c>
      <c r="Z617" s="0" t="n">
        <v>0.73729662077597</v>
      </c>
      <c r="AA617" s="0" t="n">
        <v>0</v>
      </c>
    </row>
    <row r="618" customFormat="false" ht="15" hidden="false" customHeight="false" outlineLevel="0" collapsed="false">
      <c r="A618" s="0" t="s">
        <v>652</v>
      </c>
      <c r="B618" s="0" t="s">
        <v>33</v>
      </c>
      <c r="C618" s="0" t="s">
        <v>33</v>
      </c>
      <c r="D618" s="0" t="n">
        <v>-8.89215396862985</v>
      </c>
      <c r="E618" s="0" t="n">
        <v>0.345287398815038</v>
      </c>
      <c r="F618" s="0" t="n">
        <v>9.8483134582146</v>
      </c>
      <c r="G618" s="0" t="n">
        <v>0.803504380475595</v>
      </c>
      <c r="H618" s="0" t="n">
        <v>0.774718397997497</v>
      </c>
      <c r="I618" s="0" t="n">
        <v>0.5</v>
      </c>
      <c r="J618" s="0" t="n">
        <v>0.731289111389237</v>
      </c>
      <c r="K618" s="0" t="n">
        <v>0.667715717403612</v>
      </c>
      <c r="L618" s="1" t="b">
        <f aca="false">TRUE()</f>
        <v>1</v>
      </c>
      <c r="M618" s="0" t="s">
        <v>3035</v>
      </c>
      <c r="N618" s="0" t="n">
        <v>52.0335219385188</v>
      </c>
      <c r="O618" s="0" t="n">
        <v>0</v>
      </c>
      <c r="P618" s="0" t="n">
        <v>1</v>
      </c>
      <c r="Q618" s="0" t="n">
        <v>8.89215396862985</v>
      </c>
      <c r="U618" s="0" t="n">
        <v>0.5</v>
      </c>
      <c r="V618" s="0" t="n">
        <v>0.5</v>
      </c>
      <c r="W618" s="0" t="n">
        <v>0.5</v>
      </c>
      <c r="X618" s="0" t="n">
        <v>0.345287398815038</v>
      </c>
      <c r="Y618" s="0" t="n">
        <v>9.8483134582146</v>
      </c>
      <c r="Z618" s="0" t="n">
        <v>0.731289111389237</v>
      </c>
      <c r="AA618" s="0" t="n">
        <v>0</v>
      </c>
    </row>
    <row r="619" customFormat="false" ht="15" hidden="false" customHeight="false" outlineLevel="0" collapsed="false">
      <c r="A619" s="0" t="s">
        <v>653</v>
      </c>
      <c r="B619" s="0" t="s">
        <v>3013</v>
      </c>
      <c r="C619" s="0" t="s">
        <v>3038</v>
      </c>
      <c r="D619" s="0" t="n">
        <v>2.22997460978896</v>
      </c>
      <c r="E619" s="0" t="n">
        <v>0.229539026539636</v>
      </c>
      <c r="F619" s="0" t="n">
        <v>6.97140185646468</v>
      </c>
      <c r="G619" s="0" t="n">
        <v>0.170212765957447</v>
      </c>
      <c r="H619" s="0" t="n">
        <v>0.411764705882353</v>
      </c>
      <c r="I619" s="0" t="n">
        <v>0.599256159925616</v>
      </c>
      <c r="J619" s="0" t="n">
        <v>0.352642220721043</v>
      </c>
      <c r="K619" s="0" t="n">
        <v>0.667715717403612</v>
      </c>
      <c r="L619" s="1" t="b">
        <f aca="false">FALSE()</f>
        <v>0</v>
      </c>
      <c r="N619" s="0" t="n">
        <v>60.9256759071486</v>
      </c>
      <c r="O619" s="0" t="n">
        <v>1</v>
      </c>
      <c r="P619" s="0" t="n">
        <v>0</v>
      </c>
      <c r="Q619" s="0" t="n">
        <v>0</v>
      </c>
      <c r="R619" s="0" t="n">
        <v>8.61252445763616</v>
      </c>
      <c r="S619" s="0" t="n">
        <v>4.40487347703842</v>
      </c>
      <c r="T619" s="0" t="n">
        <v>0.294550810014726</v>
      </c>
      <c r="U619" s="0" t="n">
        <v>0.428172942817294</v>
      </c>
      <c r="V619" s="0" t="n">
        <v>0.637377963737796</v>
      </c>
      <c r="W619" s="0" t="n">
        <v>0.732217573221757</v>
      </c>
      <c r="X619" s="0" t="n">
        <v>0.229539026539636</v>
      </c>
      <c r="Y619" s="0" t="n">
        <v>6.97140185646468</v>
      </c>
      <c r="Z619" s="0" t="n">
        <v>0.352642220721043</v>
      </c>
      <c r="AA619" s="0" t="n">
        <v>0</v>
      </c>
    </row>
    <row r="620" customFormat="false" ht="15" hidden="false" customHeight="false" outlineLevel="0" collapsed="false">
      <c r="A620" s="0" t="s">
        <v>654</v>
      </c>
      <c r="B620" s="0" t="s">
        <v>3013</v>
      </c>
      <c r="C620" s="0" t="s">
        <v>3038</v>
      </c>
      <c r="D620" s="0" t="n">
        <v>33.2420481650209</v>
      </c>
      <c r="E620" s="0" t="n">
        <v>0.231710960763304</v>
      </c>
      <c r="F620" s="0" t="n">
        <v>4.78399669037246</v>
      </c>
      <c r="G620" s="0" t="n">
        <v>0.183979974968711</v>
      </c>
      <c r="H620" s="0" t="n">
        <v>0.111389236545682</v>
      </c>
      <c r="I620" s="0" t="n">
        <v>0.642026964202696</v>
      </c>
      <c r="J620" s="0" t="n">
        <v>0.246553077446297</v>
      </c>
      <c r="K620" s="0" t="n">
        <v>0.667715717403612</v>
      </c>
      <c r="L620" s="1" t="b">
        <f aca="false">FALSE()</f>
        <v>0</v>
      </c>
      <c r="N620" s="0" t="n">
        <v>58.6957012973599</v>
      </c>
      <c r="O620" s="0" t="n">
        <v>0</v>
      </c>
      <c r="P620" s="0" t="n">
        <v>0</v>
      </c>
      <c r="Q620" s="0" t="n">
        <v>0</v>
      </c>
      <c r="R620" s="0" t="n">
        <v>36.9686571973497</v>
      </c>
      <c r="S620" s="0" t="n">
        <v>7.57314974182443</v>
      </c>
      <c r="T620" s="0" t="n">
        <v>0.172117039586917</v>
      </c>
      <c r="U620" s="0" t="n">
        <v>0.937238493723849</v>
      </c>
      <c r="V620" s="0" t="n">
        <v>0.810320781032078</v>
      </c>
      <c r="W620" s="0" t="n">
        <v>0.178521617852162</v>
      </c>
      <c r="X620" s="0" t="n">
        <v>0.231710960763304</v>
      </c>
      <c r="Y620" s="0" t="n">
        <v>4.78399669037246</v>
      </c>
      <c r="Z620" s="0" t="n">
        <v>0.246553077446297</v>
      </c>
      <c r="AA620" s="0" t="n">
        <v>-2.77555756156289E-017</v>
      </c>
    </row>
    <row r="621" customFormat="false" ht="15" hidden="false" customHeight="false" outlineLevel="0" collapsed="false">
      <c r="A621" s="0" t="s">
        <v>655</v>
      </c>
      <c r="B621" s="0" t="s">
        <v>3013</v>
      </c>
      <c r="C621" s="0" t="s">
        <v>3034</v>
      </c>
      <c r="D621" s="0" t="n">
        <v>-34.1565189056964</v>
      </c>
      <c r="E621" s="0" t="n">
        <v>0.343229539431005</v>
      </c>
      <c r="F621" s="0" t="n">
        <v>11.5345447970676</v>
      </c>
      <c r="G621" s="0" t="n">
        <v>0.795994993742178</v>
      </c>
      <c r="H621" s="0" t="n">
        <v>0.903629536921151</v>
      </c>
      <c r="I621" s="0" t="n">
        <v>0.476057647605765</v>
      </c>
      <c r="J621" s="0" t="n">
        <v>0.775061341786485</v>
      </c>
      <c r="K621" s="0" t="n">
        <v>0.667715717403612</v>
      </c>
      <c r="L621" s="1" t="b">
        <f aca="false">TRUE()</f>
        <v>1</v>
      </c>
      <c r="M621" s="0" t="s">
        <v>3035</v>
      </c>
      <c r="N621" s="0" t="n">
        <v>25.4536531323392</v>
      </c>
      <c r="O621" s="0" t="n">
        <v>0</v>
      </c>
      <c r="P621" s="0" t="n">
        <v>1</v>
      </c>
      <c r="Q621" s="0" t="n">
        <v>34.1565189056964</v>
      </c>
      <c r="R621" s="0" t="n">
        <v>15.8536398952696</v>
      </c>
      <c r="S621" s="0" t="n">
        <v>2.0676979629346</v>
      </c>
      <c r="T621" s="0" t="n">
        <v>0.214427936896918</v>
      </c>
      <c r="U621" s="0" t="n">
        <v>0.726638772663877</v>
      </c>
      <c r="V621" s="0" t="n">
        <v>0.291492329149233</v>
      </c>
      <c r="W621" s="0" t="n">
        <v>0.410041841004184</v>
      </c>
      <c r="X621" s="0" t="n">
        <v>0.343229539431005</v>
      </c>
      <c r="Y621" s="0" t="n">
        <v>11.5345447970676</v>
      </c>
      <c r="Z621" s="0" t="n">
        <v>0.775061341786485</v>
      </c>
      <c r="AA621" s="0" t="n">
        <v>0</v>
      </c>
    </row>
    <row r="622" customFormat="false" ht="15" hidden="false" customHeight="false" outlineLevel="0" collapsed="false">
      <c r="A622" s="0" t="s">
        <v>656</v>
      </c>
      <c r="B622" s="0" t="s">
        <v>3013</v>
      </c>
      <c r="C622" s="0" t="s">
        <v>3034</v>
      </c>
      <c r="D622" s="0" t="n">
        <v>-37.1176569670967</v>
      </c>
      <c r="E622" s="0" t="n">
        <v>0.390072246256145</v>
      </c>
      <c r="F622" s="0" t="n">
        <v>13.3273762290898</v>
      </c>
      <c r="G622" s="0" t="n">
        <v>0.923654568210263</v>
      </c>
      <c r="H622" s="0" t="n">
        <v>0.961201501877347</v>
      </c>
      <c r="I622" s="0" t="n">
        <v>0.384937238493724</v>
      </c>
      <c r="J622" s="0" t="n">
        <v>0.830929875733789</v>
      </c>
      <c r="K622" s="0" t="n">
        <v>0.667715717403612</v>
      </c>
      <c r="L622" s="1" t="b">
        <f aca="false">TRUE()</f>
        <v>1</v>
      </c>
      <c r="M622" s="0" t="s">
        <v>3035</v>
      </c>
      <c r="N622" s="0" t="n">
        <v>59.6101720380357</v>
      </c>
      <c r="O622" s="0" t="n">
        <v>1</v>
      </c>
      <c r="P622" s="0" t="n">
        <v>1</v>
      </c>
      <c r="Q622" s="0" t="n">
        <v>37.1176569670967</v>
      </c>
      <c r="R622" s="0" t="n">
        <v>6.33483966564133</v>
      </c>
      <c r="S622" s="0" t="n">
        <v>2.7962962962963</v>
      </c>
      <c r="T622" s="0" t="n">
        <v>0.22222222222222</v>
      </c>
      <c r="U622" s="0" t="n">
        <v>0.255230125523013</v>
      </c>
      <c r="V622" s="0" t="n">
        <v>0.444909344490934</v>
      </c>
      <c r="W622" s="0" t="n">
        <v>0.454672245467225</v>
      </c>
      <c r="X622" s="0" t="n">
        <v>0.390072246256145</v>
      </c>
      <c r="Y622" s="0" t="n">
        <v>13.3273762290898</v>
      </c>
      <c r="Z622" s="0" t="n">
        <v>0.830929875733789</v>
      </c>
      <c r="AA622" s="0" t="n">
        <v>0</v>
      </c>
    </row>
    <row r="623" customFormat="false" ht="15" hidden="false" customHeight="false" outlineLevel="0" collapsed="false">
      <c r="A623" s="0" t="s">
        <v>657</v>
      </c>
      <c r="B623" s="0" t="s">
        <v>3013</v>
      </c>
      <c r="C623" s="0" t="s">
        <v>3038</v>
      </c>
      <c r="D623" s="0" t="n">
        <v>105.539789250024</v>
      </c>
      <c r="E623" s="0" t="n">
        <v>0.3198541462206</v>
      </c>
      <c r="F623" s="0" t="n">
        <v>14.1714003703494</v>
      </c>
      <c r="G623" s="0" t="n">
        <v>0.668335419274093</v>
      </c>
      <c r="H623" s="0" t="n">
        <v>0.974968710888611</v>
      </c>
      <c r="I623" s="0" t="n">
        <v>0.810785681078568</v>
      </c>
      <c r="J623" s="0" t="n">
        <v>0.819478788280795</v>
      </c>
      <c r="K623" s="0" t="n">
        <v>0.667715717403612</v>
      </c>
      <c r="L623" s="1" t="b">
        <f aca="false">TRUE()</f>
        <v>1</v>
      </c>
      <c r="M623" s="0" t="s">
        <v>3035</v>
      </c>
      <c r="N623" s="0" t="n">
        <v>96.7278290051327</v>
      </c>
      <c r="O623" s="0" t="n">
        <v>2</v>
      </c>
      <c r="P623" s="0" t="n">
        <v>0</v>
      </c>
      <c r="Q623" s="0" t="n">
        <v>0</v>
      </c>
      <c r="R623" s="0" t="n">
        <v>14.2882155726415</v>
      </c>
      <c r="S623" s="0" t="n">
        <v>17.3503229184849</v>
      </c>
      <c r="T623" s="0" t="n">
        <v>0.331646011520341</v>
      </c>
      <c r="U623" s="0" t="n">
        <v>0.683403068340307</v>
      </c>
      <c r="V623" s="0" t="n">
        <v>0.95118549511855</v>
      </c>
      <c r="W623" s="0" t="n">
        <v>0.797768479776848</v>
      </c>
      <c r="X623" s="0" t="n">
        <v>0.3198541462206</v>
      </c>
      <c r="Y623" s="0" t="n">
        <v>14.1714003703494</v>
      </c>
      <c r="Z623" s="0" t="n">
        <v>0.819478788280795</v>
      </c>
      <c r="AA623" s="0" t="n">
        <v>0</v>
      </c>
    </row>
    <row r="624" customFormat="false" ht="15" hidden="false" customHeight="false" outlineLevel="0" collapsed="false">
      <c r="A624" s="0" t="s">
        <v>658</v>
      </c>
      <c r="B624" s="0" t="s">
        <v>3013</v>
      </c>
      <c r="C624" s="0" t="s">
        <v>3038</v>
      </c>
      <c r="D624" s="0" t="n">
        <v>52.2408199180894</v>
      </c>
      <c r="E624" s="0" t="n">
        <v>0.326247319357169</v>
      </c>
      <c r="F624" s="0" t="n">
        <v>13.320169373769</v>
      </c>
      <c r="G624" s="0" t="n">
        <v>0.713391739674593</v>
      </c>
      <c r="H624" s="0" t="n">
        <v>0.959949937421777</v>
      </c>
      <c r="I624" s="0" t="n">
        <v>0.649000464900047</v>
      </c>
      <c r="J624" s="0" t="n">
        <v>0.799136763818558</v>
      </c>
      <c r="K624" s="0" t="n">
        <v>0.667715717403612</v>
      </c>
      <c r="L624" s="1" t="b">
        <f aca="false">TRUE()</f>
        <v>1</v>
      </c>
      <c r="M624" s="0" t="s">
        <v>3035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27.0100650512032</v>
      </c>
      <c r="S624" s="0" t="n">
        <v>2.93396599446423</v>
      </c>
      <c r="T624" s="0" t="n">
        <v>0.253064452352703</v>
      </c>
      <c r="U624" s="0" t="n">
        <v>0.882845188284519</v>
      </c>
      <c r="V624" s="0" t="n">
        <v>0.461645746164575</v>
      </c>
      <c r="W624" s="0" t="n">
        <v>0.602510460251046</v>
      </c>
      <c r="X624" s="0" t="n">
        <v>0.326247319357169</v>
      </c>
      <c r="Y624" s="0" t="n">
        <v>13.320169373769</v>
      </c>
      <c r="Z624" s="0" t="n">
        <v>0.799136763818558</v>
      </c>
      <c r="AA624" s="0" t="n">
        <v>0</v>
      </c>
    </row>
    <row r="625" customFormat="false" ht="15" hidden="false" customHeight="false" outlineLevel="0" collapsed="false">
      <c r="A625" s="0" t="s">
        <v>659</v>
      </c>
      <c r="B625" s="0" t="s">
        <v>3013</v>
      </c>
      <c r="C625" s="0" t="s">
        <v>3036</v>
      </c>
      <c r="D625" s="0" t="n">
        <v>-13.8822940722439</v>
      </c>
      <c r="E625" s="0" t="n">
        <v>0.323028499392759</v>
      </c>
      <c r="F625" s="0" t="n">
        <v>5.94781904690308</v>
      </c>
      <c r="G625" s="0" t="n">
        <v>0.690863579474343</v>
      </c>
      <c r="H625" s="0" t="n">
        <v>0.257822277847309</v>
      </c>
      <c r="I625" s="0" t="n">
        <v>0.547652254765226</v>
      </c>
      <c r="J625" s="0" t="n">
        <v>0.489004793881706</v>
      </c>
      <c r="K625" s="0" t="n">
        <v>0.667715717403612</v>
      </c>
      <c r="L625" s="1" t="b">
        <f aca="false">FALSE()</f>
        <v>0</v>
      </c>
      <c r="N625" s="0" t="n">
        <v>0</v>
      </c>
      <c r="O625" s="0" t="n">
        <v>0</v>
      </c>
      <c r="P625" s="0" t="n">
        <v>1</v>
      </c>
      <c r="Q625" s="0" t="n">
        <v>13.8822940722439</v>
      </c>
      <c r="R625" s="0" t="n">
        <v>14.5996570036907</v>
      </c>
      <c r="S625" s="0" t="n">
        <v>3.1309192200557</v>
      </c>
      <c r="T625" s="0" t="n">
        <v>0.222841225626741</v>
      </c>
      <c r="U625" s="0" t="n">
        <v>0.698744769874477</v>
      </c>
      <c r="V625" s="0" t="n">
        <v>0.483960948396095</v>
      </c>
      <c r="W625" s="0" t="n">
        <v>0.460251046025105</v>
      </c>
      <c r="X625" s="0" t="n">
        <v>0.323028499392759</v>
      </c>
      <c r="Y625" s="0" t="n">
        <v>5.94781904690308</v>
      </c>
      <c r="Z625" s="0" t="n">
        <v>0.489004793881706</v>
      </c>
      <c r="AA625" s="0" t="n">
        <v>0</v>
      </c>
    </row>
    <row r="626" customFormat="false" ht="15" hidden="false" customHeight="false" outlineLevel="0" collapsed="false">
      <c r="A626" s="0" t="s">
        <v>660</v>
      </c>
      <c r="B626" s="0" t="s">
        <v>3013</v>
      </c>
      <c r="C626" s="0" t="s">
        <v>3034</v>
      </c>
      <c r="D626" s="0" t="n">
        <v>60.5169884694741</v>
      </c>
      <c r="E626" s="0" t="n">
        <v>0.371247482687596</v>
      </c>
      <c r="F626" s="0" t="n">
        <v>12.2377452309879</v>
      </c>
      <c r="G626" s="0" t="n">
        <v>0.878598247809762</v>
      </c>
      <c r="H626" s="0" t="n">
        <v>0.92991239048811</v>
      </c>
      <c r="I626" s="0" t="n">
        <v>0.372849837284984</v>
      </c>
      <c r="J626" s="0" t="n">
        <v>0.797974222776146</v>
      </c>
      <c r="K626" s="0" t="n">
        <v>0.667715717403612</v>
      </c>
      <c r="L626" s="1" t="b">
        <f aca="false">TRUE()</f>
        <v>1</v>
      </c>
      <c r="M626" s="0" t="s">
        <v>3035</v>
      </c>
      <c r="N626" s="0" t="n">
        <v>13.8822940722439</v>
      </c>
      <c r="O626" s="0" t="n">
        <v>1</v>
      </c>
      <c r="P626" s="0" t="n">
        <v>0</v>
      </c>
      <c r="Q626" s="0" t="n">
        <v>0</v>
      </c>
      <c r="R626" s="0" t="n">
        <v>11.4105189657298</v>
      </c>
      <c r="S626" s="0" t="n">
        <v>2.56198347107438</v>
      </c>
      <c r="T626" s="0" t="n">
        <v>0.165289256198347</v>
      </c>
      <c r="U626" s="0" t="n">
        <v>0.567642956764296</v>
      </c>
      <c r="V626" s="0" t="n">
        <v>0.398884239888424</v>
      </c>
      <c r="W626" s="0" t="n">
        <v>0.152022315202232</v>
      </c>
      <c r="X626" s="0" t="n">
        <v>0.371247482687596</v>
      </c>
      <c r="Y626" s="0" t="n">
        <v>12.2377452309879</v>
      </c>
      <c r="Z626" s="0" t="n">
        <v>0.797974222776146</v>
      </c>
      <c r="AA626" s="0" t="n">
        <v>0</v>
      </c>
    </row>
    <row r="627" customFormat="false" ht="15" hidden="false" customHeight="false" outlineLevel="0" collapsed="false">
      <c r="A627" s="0" t="s">
        <v>661</v>
      </c>
      <c r="B627" s="0" t="s">
        <v>3013</v>
      </c>
      <c r="C627" s="0" t="s">
        <v>3036</v>
      </c>
      <c r="D627" s="0" t="n">
        <v>8.54703588981114</v>
      </c>
      <c r="E627" s="0" t="n">
        <v>0.30135157608458</v>
      </c>
      <c r="F627" s="0" t="n">
        <v>6.83976750269369</v>
      </c>
      <c r="G627" s="0" t="n">
        <v>0.576971214017522</v>
      </c>
      <c r="H627" s="0" t="n">
        <v>0.400500625782228</v>
      </c>
      <c r="I627" s="0" t="n">
        <v>0.318688981868898</v>
      </c>
      <c r="J627" s="0" t="n">
        <v>0.45472653229368</v>
      </c>
      <c r="K627" s="0" t="n">
        <v>0.667715717403612</v>
      </c>
      <c r="L627" s="1" t="b">
        <f aca="false">FALSE()</f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3.11656369371821</v>
      </c>
      <c r="S627" s="0" t="n">
        <v>2.61780104712042</v>
      </c>
      <c r="T627" s="0" t="n">
        <v>0.232693426410707</v>
      </c>
      <c r="U627" s="0" t="n">
        <v>0.0320781032078103</v>
      </c>
      <c r="V627" s="0" t="n">
        <v>0.411436541143654</v>
      </c>
      <c r="W627" s="0" t="n">
        <v>0.51255230125523</v>
      </c>
      <c r="X627" s="0" t="n">
        <v>0.30135157608458</v>
      </c>
      <c r="Y627" s="0" t="n">
        <v>6.83976750269369</v>
      </c>
      <c r="Z627" s="0" t="n">
        <v>0.45472653229368</v>
      </c>
      <c r="AA627" s="0" t="n">
        <v>5.55111512312578E-017</v>
      </c>
    </row>
    <row r="628" customFormat="false" ht="15" hidden="false" customHeight="false" outlineLevel="0" collapsed="false">
      <c r="A628" s="0" t="s">
        <v>662</v>
      </c>
      <c r="B628" s="0" t="s">
        <v>3013</v>
      </c>
      <c r="C628" s="0" t="s">
        <v>3034</v>
      </c>
      <c r="D628" s="0" t="n">
        <v>37.0663663710912</v>
      </c>
      <c r="E628" s="0" t="n">
        <v>0.340697199593438</v>
      </c>
      <c r="F628" s="0" t="n">
        <v>12.1350782099342</v>
      </c>
      <c r="G628" s="0" t="n">
        <v>0.788485607008761</v>
      </c>
      <c r="H628" s="0" t="n">
        <v>0.923654568210263</v>
      </c>
      <c r="I628" s="0" t="n">
        <v>0.53951650395165</v>
      </c>
      <c r="J628" s="0" t="n">
        <v>0.79275937087794</v>
      </c>
      <c r="K628" s="0" t="n">
        <v>0.667715717403612</v>
      </c>
      <c r="L628" s="1" t="b">
        <f aca="false">TRUE()</f>
        <v>1</v>
      </c>
      <c r="M628" s="0" t="s">
        <v>3035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4.58097775375811</v>
      </c>
      <c r="S628" s="0" t="n">
        <v>9.25226586102719</v>
      </c>
      <c r="T628" s="0" t="n">
        <v>0.264350453172212</v>
      </c>
      <c r="U628" s="0" t="n">
        <v>0.105997210599721</v>
      </c>
      <c r="V628" s="0" t="n">
        <v>0.861924686192469</v>
      </c>
      <c r="W628" s="0" t="n">
        <v>0.650627615062762</v>
      </c>
      <c r="X628" s="0" t="n">
        <v>0.340697199593438</v>
      </c>
      <c r="Y628" s="0" t="n">
        <v>12.1350782099342</v>
      </c>
      <c r="Z628" s="0" t="n">
        <v>0.79275937087794</v>
      </c>
      <c r="AA628" s="0" t="n">
        <v>0</v>
      </c>
    </row>
    <row r="629" customFormat="false" ht="15" hidden="false" customHeight="false" outlineLevel="0" collapsed="false">
      <c r="A629" s="0" t="s">
        <v>663</v>
      </c>
      <c r="B629" s="0" t="s">
        <v>3013</v>
      </c>
      <c r="C629" s="0" t="s">
        <v>3038</v>
      </c>
      <c r="D629" s="0" t="n">
        <v>36.2331903537179</v>
      </c>
      <c r="E629" s="0" t="n">
        <v>0.261973529611001</v>
      </c>
      <c r="F629" s="0" t="n">
        <v>8.61186778121528</v>
      </c>
      <c r="G629" s="0" t="n">
        <v>0.346683354192741</v>
      </c>
      <c r="H629" s="0" t="n">
        <v>0.624530663329161</v>
      </c>
      <c r="I629" s="0" t="n">
        <v>0.634123663412366</v>
      </c>
      <c r="J629" s="0" t="n">
        <v>0.515310339691234</v>
      </c>
      <c r="K629" s="0" t="n">
        <v>0.667715717403612</v>
      </c>
      <c r="L629" s="1" t="b">
        <f aca="false">FALSE()</f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13.9917191003883</v>
      </c>
      <c r="S629" s="0" t="n">
        <v>5.21909744931327</v>
      </c>
      <c r="T629" s="0" t="n">
        <v>0.235448005232172</v>
      </c>
      <c r="U629" s="0" t="n">
        <v>0.676429567642957</v>
      </c>
      <c r="V629" s="0" t="n">
        <v>0.701534170153417</v>
      </c>
      <c r="W629" s="0" t="n">
        <v>0.524407252440725</v>
      </c>
      <c r="X629" s="0" t="n">
        <v>0.261973529611001</v>
      </c>
      <c r="Y629" s="0" t="n">
        <v>8.61186778121528</v>
      </c>
      <c r="Z629" s="0" t="n">
        <v>0.515310339691234</v>
      </c>
      <c r="AA629" s="0" t="n">
        <v>0</v>
      </c>
    </row>
    <row r="630" customFormat="false" ht="15" hidden="false" customHeight="false" outlineLevel="0" collapsed="false">
      <c r="A630" s="0" t="s">
        <v>664</v>
      </c>
      <c r="B630" s="0" t="s">
        <v>3013</v>
      </c>
      <c r="C630" s="0" t="s">
        <v>3033</v>
      </c>
      <c r="D630" s="0" t="n">
        <v>54.8033726098851</v>
      </c>
      <c r="E630" s="0" t="n">
        <v>0.309122496090293</v>
      </c>
      <c r="F630" s="0" t="n">
        <v>8.15624048153247</v>
      </c>
      <c r="G630" s="0" t="n">
        <v>0.612015018773467</v>
      </c>
      <c r="H630" s="0" t="n">
        <v>0.55819774718398</v>
      </c>
      <c r="I630" s="0" t="n">
        <v>0.279404927940493</v>
      </c>
      <c r="J630" s="0" t="n">
        <v>0.523966091971077</v>
      </c>
      <c r="K630" s="0" t="n">
        <v>0.667715717403612</v>
      </c>
      <c r="L630" s="1" t="b">
        <f aca="false">FALSE()</f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4.55771934291872</v>
      </c>
      <c r="S630" s="0" t="n">
        <v>1.62615841930407</v>
      </c>
      <c r="T630" s="0" t="n">
        <v>0.244798041615663</v>
      </c>
      <c r="U630" s="0" t="n">
        <v>0.103207810320781</v>
      </c>
      <c r="V630" s="0" t="n">
        <v>0.170153417015342</v>
      </c>
      <c r="W630" s="0" t="n">
        <v>0.564853556485356</v>
      </c>
      <c r="X630" s="0" t="n">
        <v>0.309122496090293</v>
      </c>
      <c r="Y630" s="0" t="n">
        <v>8.15624048153247</v>
      </c>
      <c r="Z630" s="0" t="n">
        <v>0.523966091971077</v>
      </c>
      <c r="AA630" s="0" t="n">
        <v>0</v>
      </c>
    </row>
    <row r="631" customFormat="false" ht="15" hidden="false" customHeight="false" outlineLevel="0" collapsed="false">
      <c r="A631" s="0" t="s">
        <v>665</v>
      </c>
      <c r="B631" s="0" t="s">
        <v>3013</v>
      </c>
      <c r="C631" s="0" t="s">
        <v>3033</v>
      </c>
      <c r="D631" s="0" t="n">
        <v>-37.8658806833105</v>
      </c>
      <c r="E631" s="0" t="n">
        <v>0.301084997699433</v>
      </c>
      <c r="F631" s="0" t="n">
        <v>8.95386707983108</v>
      </c>
      <c r="G631" s="0" t="n">
        <v>0.574468085106383</v>
      </c>
      <c r="H631" s="0" t="n">
        <v>0.67459324155194</v>
      </c>
      <c r="I631" s="0" t="n">
        <v>0.314272431427243</v>
      </c>
      <c r="J631" s="0" t="n">
        <v>0.562479016948778</v>
      </c>
      <c r="K631" s="0" t="n">
        <v>0.667715717403612</v>
      </c>
      <c r="L631" s="1" t="b">
        <f aca="false">FALSE()</f>
        <v>0</v>
      </c>
      <c r="N631" s="0" t="n">
        <v>0</v>
      </c>
      <c r="O631" s="0" t="n">
        <v>0</v>
      </c>
      <c r="P631" s="0" t="n">
        <v>1</v>
      </c>
      <c r="Q631" s="0" t="n">
        <v>37.8658806833105</v>
      </c>
      <c r="R631" s="0" t="n">
        <v>7.08384061142088</v>
      </c>
      <c r="S631" s="0" t="n">
        <v>2.03989120580236</v>
      </c>
      <c r="T631" s="0" t="n">
        <v>0.203989120580231</v>
      </c>
      <c r="U631" s="0" t="n">
        <v>0.322175732217573</v>
      </c>
      <c r="V631" s="0" t="n">
        <v>0.281729428172943</v>
      </c>
      <c r="W631" s="0" t="n">
        <v>0.338912133891213</v>
      </c>
      <c r="X631" s="0" t="n">
        <v>0.301084997699433</v>
      </c>
      <c r="Y631" s="0" t="n">
        <v>8.95386707983108</v>
      </c>
      <c r="Z631" s="0" t="n">
        <v>0.562479016948778</v>
      </c>
      <c r="AA631" s="0" t="n">
        <v>0</v>
      </c>
    </row>
    <row r="632" customFormat="false" ht="15" hidden="false" customHeight="false" outlineLevel="0" collapsed="false">
      <c r="A632" s="0" t="s">
        <v>666</v>
      </c>
      <c r="B632" s="0" t="s">
        <v>3013</v>
      </c>
      <c r="C632" s="0" t="s">
        <v>3033</v>
      </c>
      <c r="D632" s="0" t="n">
        <v>35.7960081501801</v>
      </c>
      <c r="E632" s="0" t="n">
        <v>0.267185487624263</v>
      </c>
      <c r="F632" s="0" t="n">
        <v>9.85366923443789</v>
      </c>
      <c r="G632" s="0" t="n">
        <v>0.380475594493116</v>
      </c>
      <c r="H632" s="0" t="n">
        <v>0.775969962453066</v>
      </c>
      <c r="I632" s="0" t="n">
        <v>0.730357973035797</v>
      </c>
      <c r="J632" s="0" t="n">
        <v>0.608649817385633</v>
      </c>
      <c r="K632" s="0" t="n">
        <v>0.667715717403612</v>
      </c>
      <c r="L632" s="1" t="b">
        <f aca="false">FALSE()</f>
        <v>0</v>
      </c>
      <c r="N632" s="0" t="n">
        <v>37.86588068331</v>
      </c>
      <c r="O632" s="0" t="n">
        <v>1</v>
      </c>
      <c r="P632" s="0" t="n">
        <v>0</v>
      </c>
      <c r="Q632" s="0" t="n">
        <v>0</v>
      </c>
      <c r="R632" s="0" t="n">
        <v>12.9760971192634</v>
      </c>
      <c r="S632" s="0" t="n">
        <v>8.49176172370089</v>
      </c>
      <c r="T632" s="0" t="n">
        <v>0.285171102661599</v>
      </c>
      <c r="U632" s="0" t="n">
        <v>0.640167364016736</v>
      </c>
      <c r="V632" s="0" t="n">
        <v>0.838214783821478</v>
      </c>
      <c r="W632" s="0" t="n">
        <v>0.712691771269177</v>
      </c>
      <c r="X632" s="0" t="n">
        <v>0.267185487624263</v>
      </c>
      <c r="Y632" s="0" t="n">
        <v>9.85366923443789</v>
      </c>
      <c r="Z632" s="0" t="n">
        <v>0.608649817385633</v>
      </c>
      <c r="AA632" s="0" t="n">
        <v>0</v>
      </c>
    </row>
    <row r="633" customFormat="false" ht="15" hidden="false" customHeight="false" outlineLevel="0" collapsed="false">
      <c r="A633" s="0" t="s">
        <v>667</v>
      </c>
      <c r="B633" s="0" t="s">
        <v>3013</v>
      </c>
      <c r="C633" s="0" t="s">
        <v>3037</v>
      </c>
      <c r="D633" s="0" t="n">
        <v>-38.5857755033494</v>
      </c>
      <c r="E633" s="0" t="n">
        <v>0.249378907062428</v>
      </c>
      <c r="F633" s="0" t="n">
        <v>8.5544271148537</v>
      </c>
      <c r="G633" s="0" t="n">
        <v>0.260325406758448</v>
      </c>
      <c r="H633" s="0" t="n">
        <v>0.613266583229036</v>
      </c>
      <c r="I633" s="0" t="n">
        <v>0.298000929800093</v>
      </c>
      <c r="J633" s="0" t="n">
        <v>0.409036981955012</v>
      </c>
      <c r="K633" s="0" t="n">
        <v>0.667715717403612</v>
      </c>
      <c r="L633" s="1" t="b">
        <f aca="false">FALSE()</f>
        <v>0</v>
      </c>
      <c r="N633" s="0" t="n">
        <v>2.06987253312946</v>
      </c>
      <c r="O633" s="0" t="n">
        <v>0</v>
      </c>
      <c r="P633" s="0" t="n">
        <v>1</v>
      </c>
      <c r="Q633" s="0" t="n">
        <v>38.5857755033494</v>
      </c>
      <c r="R633" s="0" t="n">
        <v>7.60735665967822</v>
      </c>
      <c r="S633" s="0" t="n">
        <v>1.41352949661041</v>
      </c>
      <c r="T633" s="0" t="n">
        <v>0.216356555603643</v>
      </c>
      <c r="U633" s="0" t="n">
        <v>0.361227336122734</v>
      </c>
      <c r="V633" s="0" t="n">
        <v>0.110181311018131</v>
      </c>
      <c r="W633" s="0" t="n">
        <v>0.422594142259414</v>
      </c>
      <c r="X633" s="0" t="n">
        <v>0.249378907062428</v>
      </c>
      <c r="Y633" s="0" t="n">
        <v>8.5544271148537</v>
      </c>
      <c r="Z633" s="0" t="n">
        <v>0.409036981955012</v>
      </c>
      <c r="AA633" s="0" t="n">
        <v>0</v>
      </c>
    </row>
    <row r="634" customFormat="false" ht="15" hidden="false" customHeight="false" outlineLevel="0" collapsed="false">
      <c r="A634" s="0" t="s">
        <v>668</v>
      </c>
      <c r="B634" s="0" t="s">
        <v>3013</v>
      </c>
      <c r="C634" s="0" t="s">
        <v>3034</v>
      </c>
      <c r="D634" s="0" t="n">
        <v>-5.42311885837483</v>
      </c>
      <c r="E634" s="0" t="n">
        <v>0.327519855579232</v>
      </c>
      <c r="F634" s="0" t="n">
        <v>9.1085723172858</v>
      </c>
      <c r="G634" s="0" t="n">
        <v>0.718397997496871</v>
      </c>
      <c r="H634" s="0" t="n">
        <v>0.689612015018773</v>
      </c>
      <c r="I634" s="0" t="n">
        <v>0.469549046954905</v>
      </c>
      <c r="J634" s="0" t="n">
        <v>0.657113814397239</v>
      </c>
      <c r="K634" s="0" t="n">
        <v>0.667715717403612</v>
      </c>
      <c r="L634" s="1" t="b">
        <f aca="false">FALSE()</f>
        <v>0</v>
      </c>
      <c r="N634" s="0" t="n">
        <v>40.6556480364798</v>
      </c>
      <c r="O634" s="0" t="n">
        <v>1</v>
      </c>
      <c r="P634" s="0" t="n">
        <v>1</v>
      </c>
      <c r="Q634" s="0" t="n">
        <v>5.42311885837483</v>
      </c>
      <c r="R634" s="0" t="n">
        <v>27.0676757379778</v>
      </c>
      <c r="S634" s="0" t="n">
        <v>3.25978647686834</v>
      </c>
      <c r="T634" s="0" t="n">
        <v>0.0996441281138692</v>
      </c>
      <c r="U634" s="0" t="n">
        <v>0.884239888423989</v>
      </c>
      <c r="V634" s="0" t="n">
        <v>0.504881450488145</v>
      </c>
      <c r="W634" s="0" t="n">
        <v>0.0195258019525802</v>
      </c>
      <c r="X634" s="0" t="n">
        <v>0.327519855579232</v>
      </c>
      <c r="Y634" s="0" t="n">
        <v>9.1085723172858</v>
      </c>
      <c r="Z634" s="0" t="n">
        <v>0.657113814397239</v>
      </c>
      <c r="AA634" s="0" t="n">
        <v>0</v>
      </c>
    </row>
    <row r="635" customFormat="false" ht="15" hidden="false" customHeight="false" outlineLevel="0" collapsed="false">
      <c r="A635" s="0" t="s">
        <v>669</v>
      </c>
      <c r="B635" s="0" t="s">
        <v>3013</v>
      </c>
      <c r="C635" s="0" t="s">
        <v>3038</v>
      </c>
      <c r="D635" s="0" t="n">
        <v>44.8822929743627</v>
      </c>
      <c r="E635" s="0" t="n">
        <v>0.238956912212954</v>
      </c>
      <c r="F635" s="0" t="n">
        <v>6.19406928382214</v>
      </c>
      <c r="G635" s="0" t="n">
        <v>0.220275344180225</v>
      </c>
      <c r="H635" s="0" t="n">
        <v>0.294117647058824</v>
      </c>
      <c r="I635" s="0" t="n">
        <v>0.691306369130637</v>
      </c>
      <c r="J635" s="0" t="n">
        <v>0.344018470321747</v>
      </c>
      <c r="K635" s="0" t="n">
        <v>0.667715717403612</v>
      </c>
      <c r="L635" s="1" t="b">
        <f aca="false">FALSE()</f>
        <v>0</v>
      </c>
      <c r="N635" s="0" t="n">
        <v>46.0787668948542</v>
      </c>
      <c r="O635" s="0" t="n">
        <v>2</v>
      </c>
      <c r="P635" s="0" t="n">
        <v>0</v>
      </c>
      <c r="Q635" s="0" t="n">
        <v>0</v>
      </c>
      <c r="R635" s="0" t="n">
        <v>15.6906611187155</v>
      </c>
      <c r="S635" s="0" t="n">
        <v>6.75586389164189</v>
      </c>
      <c r="T635" s="0" t="n">
        <v>0.247770069375619</v>
      </c>
      <c r="U635" s="0" t="n">
        <v>0.722454672245467</v>
      </c>
      <c r="V635" s="0" t="n">
        <v>0.775453277545328</v>
      </c>
      <c r="W635" s="0" t="n">
        <v>0.576011157601116</v>
      </c>
      <c r="X635" s="0" t="n">
        <v>0.238956912212954</v>
      </c>
      <c r="Y635" s="0" t="n">
        <v>6.19406928382214</v>
      </c>
      <c r="Z635" s="0" t="n">
        <v>0.344018470321747</v>
      </c>
      <c r="AA635" s="0" t="n">
        <v>0</v>
      </c>
    </row>
    <row r="636" customFormat="false" ht="15" hidden="false" customHeight="false" outlineLevel="0" collapsed="false">
      <c r="A636" s="0" t="s">
        <v>670</v>
      </c>
      <c r="B636" s="0" t="s">
        <v>3013</v>
      </c>
      <c r="C636" s="0" t="s">
        <v>3038</v>
      </c>
      <c r="D636" s="0" t="n">
        <v>4.88056155639421</v>
      </c>
      <c r="E636" s="0" t="n">
        <v>0.353565652836291</v>
      </c>
      <c r="F636" s="0" t="n">
        <v>10.2155526348487</v>
      </c>
      <c r="G636" s="0" t="n">
        <v>0.827284105131414</v>
      </c>
      <c r="H636" s="0" t="n">
        <v>0.81476846057572</v>
      </c>
      <c r="I636" s="0" t="n">
        <v>0.520223152022315</v>
      </c>
      <c r="J636" s="0" t="n">
        <v>0.760865656687317</v>
      </c>
      <c r="K636" s="0" t="n">
        <v>0.667715717403612</v>
      </c>
      <c r="L636" s="1" t="b">
        <f aca="false">TRUE()</f>
        <v>1</v>
      </c>
      <c r="M636" s="0" t="s">
        <v>3035</v>
      </c>
      <c r="N636" s="0" t="n">
        <v>1.19647392049228</v>
      </c>
      <c r="O636" s="0" t="n">
        <v>0</v>
      </c>
      <c r="P636" s="0" t="n">
        <v>0</v>
      </c>
      <c r="Q636" s="0" t="n">
        <v>0</v>
      </c>
      <c r="R636" s="0" t="n">
        <v>11.5264824762465</v>
      </c>
      <c r="S636" s="0" t="n">
        <v>7.62312633832978</v>
      </c>
      <c r="T636" s="0" t="n">
        <v>0.171306209850103</v>
      </c>
      <c r="U636" s="0" t="n">
        <v>0.573221757322176</v>
      </c>
      <c r="V636" s="0" t="n">
        <v>0.814504881450488</v>
      </c>
      <c r="W636" s="0" t="n">
        <v>0.172942817294282</v>
      </c>
      <c r="X636" s="0" t="n">
        <v>0.353565652836291</v>
      </c>
      <c r="Y636" s="0" t="n">
        <v>10.2155526348487</v>
      </c>
      <c r="Z636" s="0" t="n">
        <v>0.760865656687317</v>
      </c>
      <c r="AA636" s="0" t="n">
        <v>0</v>
      </c>
    </row>
    <row r="637" customFormat="false" ht="15" hidden="false" customHeight="false" outlineLevel="0" collapsed="false">
      <c r="A637" s="0" t="s">
        <v>671</v>
      </c>
      <c r="B637" s="0" t="s">
        <v>3013</v>
      </c>
      <c r="C637" s="0" t="s">
        <v>3038</v>
      </c>
      <c r="D637" s="0" t="n">
        <v>58.8501858845</v>
      </c>
      <c r="E637" s="0" t="n">
        <v>0.348750784559693</v>
      </c>
      <c r="F637" s="0" t="n">
        <v>11.5829322933715</v>
      </c>
      <c r="G637" s="0" t="n">
        <v>0.811013767209011</v>
      </c>
      <c r="H637" s="0" t="n">
        <v>0.90613266583229</v>
      </c>
      <c r="I637" s="0" t="n">
        <v>0.752208275220828</v>
      </c>
      <c r="J637" s="0" t="n">
        <v>0.837300228260686</v>
      </c>
      <c r="K637" s="0" t="n">
        <v>0.667715717403612</v>
      </c>
      <c r="L637" s="1" t="b">
        <f aca="false">TRUE()</f>
        <v>1</v>
      </c>
      <c r="M637" s="0" t="s">
        <v>3035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15.3890208954053</v>
      </c>
      <c r="S637" s="0" t="n">
        <v>8.97832817337461</v>
      </c>
      <c r="T637" s="0" t="n">
        <v>0.278637770897826</v>
      </c>
      <c r="U637" s="0" t="n">
        <v>0.715481171548117</v>
      </c>
      <c r="V637" s="0" t="n">
        <v>0.846582984658299</v>
      </c>
      <c r="W637" s="0" t="n">
        <v>0.694560669456067</v>
      </c>
      <c r="X637" s="0" t="n">
        <v>0.348750784559693</v>
      </c>
      <c r="Y637" s="0" t="n">
        <v>11.5829322933715</v>
      </c>
      <c r="Z637" s="0" t="n">
        <v>0.837300228260686</v>
      </c>
      <c r="AA637" s="0" t="n">
        <v>0</v>
      </c>
    </row>
    <row r="638" customFormat="false" ht="15" hidden="false" customHeight="false" outlineLevel="0" collapsed="false">
      <c r="A638" s="0" t="s">
        <v>672</v>
      </c>
      <c r="B638" s="0" t="s">
        <v>3013</v>
      </c>
      <c r="C638" s="0" t="s">
        <v>3033</v>
      </c>
      <c r="D638" s="0" t="n">
        <v>41.8209726827224</v>
      </c>
      <c r="E638" s="0" t="n">
        <v>0.298862141235274</v>
      </c>
      <c r="F638" s="0" t="n">
        <v>7.59290230934554</v>
      </c>
      <c r="G638" s="0" t="n">
        <v>0.561952440550688</v>
      </c>
      <c r="H638" s="0" t="n">
        <v>0.496871088861076</v>
      </c>
      <c r="I638" s="0" t="n">
        <v>0.464435146443515</v>
      </c>
      <c r="J638" s="0" t="n">
        <v>0.516416441053409</v>
      </c>
      <c r="K638" s="0" t="n">
        <v>0.667715717403612</v>
      </c>
      <c r="L638" s="1" t="b">
        <f aca="false">FALSE()</f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17.3785322197537</v>
      </c>
      <c r="S638" s="0" t="n">
        <v>1.86832740213523</v>
      </c>
      <c r="T638" s="0" t="n">
        <v>0.213523131672586</v>
      </c>
      <c r="U638" s="0" t="n">
        <v>0.753138075313808</v>
      </c>
      <c r="V638" s="0" t="n">
        <v>0.241283124128312</v>
      </c>
      <c r="W638" s="0" t="n">
        <v>0.398884239888424</v>
      </c>
      <c r="X638" s="0" t="n">
        <v>0.298862141235274</v>
      </c>
      <c r="Y638" s="0" t="n">
        <v>7.59290230934554</v>
      </c>
      <c r="Z638" s="0" t="n">
        <v>0.516416441053409</v>
      </c>
      <c r="AA638" s="0" t="n">
        <v>0</v>
      </c>
    </row>
    <row r="639" customFormat="false" ht="15" hidden="false" customHeight="false" outlineLevel="0" collapsed="false">
      <c r="A639" s="0" t="s">
        <v>673</v>
      </c>
      <c r="B639" s="0" t="s">
        <v>3013</v>
      </c>
      <c r="C639" s="0" t="s">
        <v>3038</v>
      </c>
      <c r="D639" s="0" t="n">
        <v>35.6886069972927</v>
      </c>
      <c r="E639" s="0" t="n">
        <v>0.217500768982154</v>
      </c>
      <c r="F639" s="0" t="n">
        <v>5.77081916089044</v>
      </c>
      <c r="G639" s="0" t="n">
        <v>0.136420525657071</v>
      </c>
      <c r="H639" s="0" t="n">
        <v>0.236545682102628</v>
      </c>
      <c r="I639" s="0" t="n">
        <v>0.609948860994886</v>
      </c>
      <c r="J639" s="0" t="n">
        <v>0.271176255302857</v>
      </c>
      <c r="K639" s="0" t="n">
        <v>0.667715717403612</v>
      </c>
      <c r="L639" s="1" t="b">
        <f aca="false">FALSE()</f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54.0983094557152</v>
      </c>
      <c r="S639" s="0" t="n">
        <v>2.97638304755744</v>
      </c>
      <c r="T639" s="0" t="n">
        <v>0.210287932707854</v>
      </c>
      <c r="U639" s="0" t="n">
        <v>0.98186889818689</v>
      </c>
      <c r="V639" s="0" t="n">
        <v>0.467224546722455</v>
      </c>
      <c r="W639" s="0" t="n">
        <v>0.380753138075314</v>
      </c>
      <c r="X639" s="0" t="n">
        <v>0.217500768982154</v>
      </c>
      <c r="Y639" s="0" t="n">
        <v>5.77081916089044</v>
      </c>
      <c r="Z639" s="0" t="n">
        <v>0.271176255302857</v>
      </c>
      <c r="AA639" s="0" t="n">
        <v>5.55111512312578E-017</v>
      </c>
    </row>
    <row r="640" customFormat="false" ht="15" hidden="false" customHeight="false" outlineLevel="0" collapsed="false">
      <c r="A640" s="0" t="s">
        <v>674</v>
      </c>
      <c r="B640" s="0" t="s">
        <v>33</v>
      </c>
      <c r="C640" s="0" t="s">
        <v>33</v>
      </c>
      <c r="D640" s="0" t="n">
        <v>-41.7408155180056</v>
      </c>
      <c r="E640" s="0" t="n">
        <v>0.382066684616658</v>
      </c>
      <c r="F640" s="0" t="n">
        <v>11.2363638768397</v>
      </c>
      <c r="G640" s="0" t="n">
        <v>0.90738423028786</v>
      </c>
      <c r="H640" s="0" t="n">
        <v>0.893617021276596</v>
      </c>
      <c r="I640" s="0" t="n">
        <v>0.5</v>
      </c>
      <c r="J640" s="0" t="n">
        <v>0.820400500625782</v>
      </c>
      <c r="K640" s="0" t="n">
        <v>0.667715717403612</v>
      </c>
      <c r="L640" s="1" t="b">
        <f aca="false">TRUE()</f>
        <v>1</v>
      </c>
      <c r="M640" s="0" t="s">
        <v>3035</v>
      </c>
      <c r="N640" s="0" t="n">
        <v>0</v>
      </c>
      <c r="O640" s="0" t="n">
        <v>0</v>
      </c>
      <c r="P640" s="0" t="n">
        <v>1</v>
      </c>
      <c r="Q640" s="0" t="n">
        <v>41.7408155180056</v>
      </c>
      <c r="U640" s="0" t="n">
        <v>0.5</v>
      </c>
      <c r="V640" s="0" t="n">
        <v>0.5</v>
      </c>
      <c r="W640" s="0" t="n">
        <v>0.5</v>
      </c>
      <c r="X640" s="0" t="n">
        <v>0.382066684616658</v>
      </c>
      <c r="Y640" s="0" t="n">
        <v>11.2363638768397</v>
      </c>
      <c r="Z640" s="0" t="n">
        <v>0.820400500625782</v>
      </c>
      <c r="AA640" s="0" t="n">
        <v>0</v>
      </c>
    </row>
    <row r="641" customFormat="false" ht="15" hidden="false" customHeight="false" outlineLevel="0" collapsed="false">
      <c r="A641" s="0" t="s">
        <v>675</v>
      </c>
      <c r="B641" s="0" t="s">
        <v>3013</v>
      </c>
      <c r="C641" s="0" t="s">
        <v>3036</v>
      </c>
      <c r="D641" s="0" t="n">
        <v>13.5169210350927</v>
      </c>
      <c r="E641" s="0" t="n">
        <v>0.240582061248729</v>
      </c>
      <c r="F641" s="0" t="n">
        <v>5.49621621794254</v>
      </c>
      <c r="G641" s="0" t="n">
        <v>0.229036295369212</v>
      </c>
      <c r="H641" s="0" t="n">
        <v>0.198998748435544</v>
      </c>
      <c r="I641" s="0" t="n">
        <v>0.508600650860065</v>
      </c>
      <c r="J641" s="0" t="n">
        <v>0.272934147693915</v>
      </c>
      <c r="K641" s="0" t="n">
        <v>0.667715717403612</v>
      </c>
      <c r="L641" s="1" t="b">
        <f aca="false">FALSE()</f>
        <v>0</v>
      </c>
      <c r="N641" s="0" t="n">
        <v>41.7408155180056</v>
      </c>
      <c r="O641" s="0" t="n">
        <v>1</v>
      </c>
      <c r="P641" s="0" t="n">
        <v>0</v>
      </c>
      <c r="Q641" s="0" t="n">
        <v>0</v>
      </c>
      <c r="R641" s="0" t="n">
        <v>16.8663924955614</v>
      </c>
      <c r="S641" s="0" t="n">
        <v>3.48393254852054</v>
      </c>
      <c r="T641" s="0" t="n">
        <v>0.190900413617561</v>
      </c>
      <c r="U641" s="0" t="n">
        <v>0.741980474198048</v>
      </c>
      <c r="V641" s="0" t="n">
        <v>0.524407252440725</v>
      </c>
      <c r="W641" s="0" t="n">
        <v>0.259414225941423</v>
      </c>
      <c r="X641" s="0" t="n">
        <v>0.240582061248729</v>
      </c>
      <c r="Y641" s="0" t="n">
        <v>5.49621621794254</v>
      </c>
      <c r="Z641" s="0" t="n">
        <v>0.272934147693915</v>
      </c>
      <c r="AA641" s="0" t="n">
        <v>5.55111512312578E-017</v>
      </c>
    </row>
    <row r="642" customFormat="false" ht="15" hidden="false" customHeight="false" outlineLevel="0" collapsed="false">
      <c r="A642" s="0" t="s">
        <v>676</v>
      </c>
      <c r="B642" s="0" t="s">
        <v>3013</v>
      </c>
      <c r="C642" s="0" t="s">
        <v>3033</v>
      </c>
      <c r="D642" s="0" t="n">
        <v>-14.5707948014949</v>
      </c>
      <c r="E642" s="0" t="n">
        <v>0.253523982281565</v>
      </c>
      <c r="F642" s="0" t="n">
        <v>5.00121405300873</v>
      </c>
      <c r="G642" s="0" t="n">
        <v>0.290362953692115</v>
      </c>
      <c r="H642" s="0" t="n">
        <v>0.136420525657071</v>
      </c>
      <c r="I642" s="0" t="n">
        <v>0.400278940027894</v>
      </c>
      <c r="J642" s="0" t="n">
        <v>0.250769179745253</v>
      </c>
      <c r="K642" s="0" t="n">
        <v>0.667715717403612</v>
      </c>
      <c r="L642" s="1" t="b">
        <f aca="false">FALSE()</f>
        <v>0</v>
      </c>
      <c r="N642" s="0" t="n">
        <v>28.2238944829132</v>
      </c>
      <c r="O642" s="0" t="n">
        <v>0</v>
      </c>
      <c r="P642" s="0" t="n">
        <v>1</v>
      </c>
      <c r="Q642" s="0" t="n">
        <v>14.5707948014949</v>
      </c>
      <c r="R642" s="0" t="n">
        <v>10.8653281777164</v>
      </c>
      <c r="S642" s="0" t="n">
        <v>2.57764631312064</v>
      </c>
      <c r="T642" s="0" t="n">
        <v>0.190154236213813</v>
      </c>
      <c r="U642" s="0" t="n">
        <v>0.541143654114365</v>
      </c>
      <c r="V642" s="0" t="n">
        <v>0.405857740585774</v>
      </c>
      <c r="W642" s="0" t="n">
        <v>0.253835425383543</v>
      </c>
      <c r="X642" s="0" t="n">
        <v>0.253523982281565</v>
      </c>
      <c r="Y642" s="0" t="n">
        <v>5.00121405300873</v>
      </c>
      <c r="Z642" s="0" t="n">
        <v>0.250769179745253</v>
      </c>
      <c r="AA642" s="0" t="n">
        <v>0</v>
      </c>
    </row>
    <row r="643" customFormat="false" ht="15" hidden="false" customHeight="false" outlineLevel="0" collapsed="false">
      <c r="A643" s="0" t="s">
        <v>677</v>
      </c>
      <c r="B643" s="0" t="s">
        <v>33</v>
      </c>
      <c r="C643" s="0" t="s">
        <v>33</v>
      </c>
      <c r="D643" s="0" t="n">
        <v>27.6836017863291</v>
      </c>
      <c r="E643" s="0" t="n">
        <v>0.330250430574183</v>
      </c>
      <c r="F643" s="0" t="n">
        <v>9.76355287494625</v>
      </c>
      <c r="G643" s="0" t="n">
        <v>0.734668335419274</v>
      </c>
      <c r="H643" s="0" t="n">
        <v>0.762202753441802</v>
      </c>
      <c r="I643" s="0" t="n">
        <v>0.5</v>
      </c>
      <c r="J643" s="0" t="n">
        <v>0.698748435544431</v>
      </c>
      <c r="K643" s="0" t="n">
        <v>0.667715717403612</v>
      </c>
      <c r="L643" s="1" t="b">
        <f aca="false">TRUE()</f>
        <v>1</v>
      </c>
      <c r="M643" s="0" t="s">
        <v>3035</v>
      </c>
      <c r="N643" s="0" t="n">
        <v>42.7946892844084</v>
      </c>
      <c r="O643" s="0" t="n">
        <v>1</v>
      </c>
      <c r="P643" s="0" t="n">
        <v>0</v>
      </c>
      <c r="Q643" s="0" t="n">
        <v>0</v>
      </c>
      <c r="U643" s="0" t="n">
        <v>0.5</v>
      </c>
      <c r="V643" s="0" t="n">
        <v>0.5</v>
      </c>
      <c r="W643" s="0" t="n">
        <v>0.5</v>
      </c>
      <c r="X643" s="0" t="n">
        <v>0.330250430574183</v>
      </c>
      <c r="Y643" s="0" t="n">
        <v>9.76355287494625</v>
      </c>
      <c r="Z643" s="0" t="n">
        <v>0.698748435544431</v>
      </c>
      <c r="AA643" s="0" t="n">
        <v>0</v>
      </c>
    </row>
    <row r="644" customFormat="false" ht="15" hidden="false" customHeight="false" outlineLevel="0" collapsed="false">
      <c r="A644" s="0" t="s">
        <v>678</v>
      </c>
      <c r="B644" s="0" t="s">
        <v>33</v>
      </c>
      <c r="C644" s="0" t="s">
        <v>33</v>
      </c>
      <c r="D644" s="0" t="n">
        <v>25.8646907105428</v>
      </c>
      <c r="E644" s="0" t="n">
        <v>0.323756772408577</v>
      </c>
      <c r="F644" s="0" t="n">
        <v>9.48125448463402</v>
      </c>
      <c r="G644" s="0" t="n">
        <v>0.695869837296621</v>
      </c>
      <c r="H644" s="0" t="n">
        <v>0.727158948685857</v>
      </c>
      <c r="I644" s="0" t="n">
        <v>0.5</v>
      </c>
      <c r="J644" s="0" t="n">
        <v>0.669211514392991</v>
      </c>
      <c r="K644" s="0" t="n">
        <v>0.667715717403612</v>
      </c>
      <c r="L644" s="1" t="b">
        <f aca="false">TRUE()</f>
        <v>1</v>
      </c>
      <c r="M644" s="0" t="s">
        <v>3035</v>
      </c>
      <c r="N644" s="0" t="n">
        <v>15.1110874980786</v>
      </c>
      <c r="O644" s="0" t="n">
        <v>0</v>
      </c>
      <c r="P644" s="0" t="n">
        <v>0</v>
      </c>
      <c r="Q644" s="0" t="n">
        <v>0</v>
      </c>
      <c r="U644" s="0" t="n">
        <v>0.5</v>
      </c>
      <c r="V644" s="0" t="n">
        <v>0.5</v>
      </c>
      <c r="W644" s="0" t="n">
        <v>0.5</v>
      </c>
      <c r="X644" s="0" t="n">
        <v>0.323756772408577</v>
      </c>
      <c r="Y644" s="0" t="n">
        <v>9.48125448463402</v>
      </c>
      <c r="Z644" s="0" t="n">
        <v>0.669211514392991</v>
      </c>
      <c r="AA644" s="0" t="n">
        <v>0</v>
      </c>
    </row>
    <row r="645" customFormat="false" ht="15" hidden="false" customHeight="false" outlineLevel="0" collapsed="false">
      <c r="A645" s="0" t="s">
        <v>679</v>
      </c>
      <c r="B645" s="0" t="s">
        <v>3013</v>
      </c>
      <c r="C645" s="0" t="s">
        <v>3033</v>
      </c>
      <c r="D645" s="0" t="n">
        <v>-34.2444554990783</v>
      </c>
      <c r="E645" s="0" t="n">
        <v>0.235051923210364</v>
      </c>
      <c r="F645" s="0" t="n">
        <v>6.63903965605423</v>
      </c>
      <c r="G645" s="0" t="n">
        <v>0.201501877346683</v>
      </c>
      <c r="H645" s="0" t="n">
        <v>0.367959949937422</v>
      </c>
      <c r="I645" s="0" t="n">
        <v>0.500697350069735</v>
      </c>
      <c r="J645" s="0" t="n">
        <v>0.327924200927589</v>
      </c>
      <c r="K645" s="0" t="n">
        <v>0.667715717403612</v>
      </c>
      <c r="L645" s="1" t="b">
        <f aca="false">FALSE()</f>
        <v>0</v>
      </c>
      <c r="N645" s="0" t="n">
        <v>0</v>
      </c>
      <c r="O645" s="0" t="n">
        <v>0</v>
      </c>
      <c r="P645" s="0" t="n">
        <v>1</v>
      </c>
      <c r="Q645" s="0" t="n">
        <v>34.2444554990783</v>
      </c>
      <c r="R645" s="0" t="n">
        <v>14.3061832295316</v>
      </c>
      <c r="S645" s="0" t="n">
        <v>4.02806064720525</v>
      </c>
      <c r="T645" s="0" t="n">
        <v>0.181036433582261</v>
      </c>
      <c r="U645" s="0" t="n">
        <v>0.686192468619247</v>
      </c>
      <c r="V645" s="0" t="n">
        <v>0.602510460251046</v>
      </c>
      <c r="W645" s="0" t="n">
        <v>0.213389121338912</v>
      </c>
      <c r="X645" s="0" t="n">
        <v>0.235051923210364</v>
      </c>
      <c r="Y645" s="0" t="n">
        <v>6.63903965605423</v>
      </c>
      <c r="Z645" s="0" t="n">
        <v>0.327924200927589</v>
      </c>
      <c r="AA645" s="0" t="n">
        <v>-5.55111512312578E-017</v>
      </c>
    </row>
    <row r="646" customFormat="false" ht="15" hidden="false" customHeight="false" outlineLevel="0" collapsed="false">
      <c r="A646" s="0" t="s">
        <v>680</v>
      </c>
      <c r="B646" s="0" t="s">
        <v>3013</v>
      </c>
      <c r="C646" s="0" t="s">
        <v>3033</v>
      </c>
      <c r="D646" s="0" t="n">
        <v>-21.1195681509174</v>
      </c>
      <c r="E646" s="0" t="n">
        <v>0.267362112435424</v>
      </c>
      <c r="F646" s="0" t="n">
        <v>7.63436761437522</v>
      </c>
      <c r="G646" s="0" t="n">
        <v>0.381727158948686</v>
      </c>
      <c r="H646" s="0" t="n">
        <v>0.500625782227785</v>
      </c>
      <c r="I646" s="0" t="n">
        <v>0.497907949790795</v>
      </c>
      <c r="J646" s="0" t="n">
        <v>0.452522766428747</v>
      </c>
      <c r="K646" s="0" t="n">
        <v>0.667715717403612</v>
      </c>
      <c r="L646" s="1" t="b">
        <f aca="false">FALSE()</f>
        <v>0</v>
      </c>
      <c r="N646" s="0" t="n">
        <v>34.244455499078</v>
      </c>
      <c r="O646" s="0" t="n">
        <v>1</v>
      </c>
      <c r="P646" s="0" t="n">
        <v>1</v>
      </c>
      <c r="Q646" s="0" t="n">
        <v>21.1195681509174</v>
      </c>
      <c r="R646" s="0" t="n">
        <v>11.1602024124364</v>
      </c>
      <c r="S646" s="0" t="n">
        <v>2.27855311876958</v>
      </c>
      <c r="T646" s="0" t="n">
        <v>0.256337225861571</v>
      </c>
      <c r="U646" s="0" t="n">
        <v>0.549511854951186</v>
      </c>
      <c r="V646" s="0" t="n">
        <v>0.333333333333333</v>
      </c>
      <c r="W646" s="0" t="n">
        <v>0.610878661087866</v>
      </c>
      <c r="X646" s="0" t="n">
        <v>0.267362112435424</v>
      </c>
      <c r="Y646" s="0" t="n">
        <v>7.63436761437522</v>
      </c>
      <c r="Z646" s="0" t="n">
        <v>0.452522766428747</v>
      </c>
      <c r="AA646" s="0" t="n">
        <v>5.55111512312578E-017</v>
      </c>
    </row>
    <row r="647" customFormat="false" ht="15" hidden="false" customHeight="false" outlineLevel="0" collapsed="false">
      <c r="A647" s="0" t="s">
        <v>681</v>
      </c>
      <c r="B647" s="0" t="s">
        <v>33</v>
      </c>
      <c r="C647" s="0" t="s">
        <v>33</v>
      </c>
      <c r="D647" s="0" t="n">
        <v>3.03372338726348</v>
      </c>
      <c r="E647" s="0" t="n">
        <v>0.323060037077205</v>
      </c>
      <c r="F647" s="0" t="n">
        <v>8.9610943862398</v>
      </c>
      <c r="G647" s="0" t="n">
        <v>0.692115143929912</v>
      </c>
      <c r="H647" s="0" t="n">
        <v>0.677096370463079</v>
      </c>
      <c r="I647" s="0" t="n">
        <v>0.5</v>
      </c>
      <c r="J647" s="0" t="n">
        <v>0.647684605757196</v>
      </c>
      <c r="K647" s="0" t="n">
        <v>0.667715717403612</v>
      </c>
      <c r="L647" s="1" t="b">
        <f aca="false">FALSE()</f>
        <v>0</v>
      </c>
      <c r="N647" s="0" t="n">
        <v>55.3640236499959</v>
      </c>
      <c r="O647" s="0" t="n">
        <v>2</v>
      </c>
      <c r="P647" s="0" t="n">
        <v>0</v>
      </c>
      <c r="Q647" s="0" t="n">
        <v>0</v>
      </c>
      <c r="U647" s="0" t="n">
        <v>0.5</v>
      </c>
      <c r="V647" s="0" t="n">
        <v>0.5</v>
      </c>
      <c r="W647" s="0" t="n">
        <v>0.5</v>
      </c>
      <c r="X647" s="0" t="n">
        <v>0.323060037077205</v>
      </c>
      <c r="Y647" s="0" t="n">
        <v>8.9610943862398</v>
      </c>
      <c r="Z647" s="0" t="n">
        <v>0.647684605757196</v>
      </c>
      <c r="AA647" s="0" t="n">
        <v>0</v>
      </c>
    </row>
    <row r="648" customFormat="false" ht="15" hidden="false" customHeight="false" outlineLevel="0" collapsed="false">
      <c r="A648" s="0" t="s">
        <v>682</v>
      </c>
      <c r="B648" s="0" t="s">
        <v>3013</v>
      </c>
      <c r="C648" s="0" t="s">
        <v>3033</v>
      </c>
      <c r="D648" s="0" t="n">
        <v>-34.9980492483628</v>
      </c>
      <c r="E648" s="0" t="n">
        <v>0.246266084643636</v>
      </c>
      <c r="F648" s="0" t="n">
        <v>6.72678856309474</v>
      </c>
      <c r="G648" s="0" t="n">
        <v>0.249061326658323</v>
      </c>
      <c r="H648" s="0" t="n">
        <v>0.380475594493116</v>
      </c>
      <c r="I648" s="0" t="n">
        <v>0.546722454672246</v>
      </c>
      <c r="J648" s="0" t="n">
        <v>0.361159259395025</v>
      </c>
      <c r="K648" s="0" t="n">
        <v>0.667715717403612</v>
      </c>
      <c r="L648" s="1" t="b">
        <f aca="false">FALSE()</f>
        <v>0</v>
      </c>
      <c r="N648" s="0" t="n">
        <v>52.3303002627326</v>
      </c>
      <c r="O648" s="0" t="n">
        <v>0</v>
      </c>
      <c r="P648" s="0" t="n">
        <v>1</v>
      </c>
      <c r="Q648" s="0" t="n">
        <v>34.9980492483628</v>
      </c>
      <c r="R648" s="0" t="n">
        <v>11.1838748086406</v>
      </c>
      <c r="S648" s="0" t="n">
        <v>3.55125100887812</v>
      </c>
      <c r="T648" s="0" t="n">
        <v>0.242130750605325</v>
      </c>
      <c r="U648" s="0" t="n">
        <v>0.552301255230126</v>
      </c>
      <c r="V648" s="0" t="n">
        <v>0.534170153417015</v>
      </c>
      <c r="W648" s="0" t="n">
        <v>0.553695955369596</v>
      </c>
      <c r="X648" s="0" t="n">
        <v>0.246266084643636</v>
      </c>
      <c r="Y648" s="0" t="n">
        <v>6.72678856309474</v>
      </c>
      <c r="Z648" s="0" t="n">
        <v>0.361159259395025</v>
      </c>
      <c r="AA648" s="0" t="n">
        <v>0</v>
      </c>
    </row>
    <row r="649" customFormat="false" ht="15" hidden="false" customHeight="false" outlineLevel="0" collapsed="false">
      <c r="A649" s="0" t="s">
        <v>683</v>
      </c>
      <c r="B649" s="0" t="s">
        <v>3013</v>
      </c>
      <c r="C649" s="0" t="s">
        <v>3033</v>
      </c>
      <c r="D649" s="0" t="n">
        <v>52.4258546348617</v>
      </c>
      <c r="E649" s="0" t="n">
        <v>0.221208937964772</v>
      </c>
      <c r="F649" s="0" t="n">
        <v>6.46123377357322</v>
      </c>
      <c r="G649" s="0" t="n">
        <v>0.147684605757197</v>
      </c>
      <c r="H649" s="0" t="n">
        <v>0.336670838548185</v>
      </c>
      <c r="I649" s="0" t="n">
        <v>0.589958158995816</v>
      </c>
      <c r="J649" s="0" t="n">
        <v>0.311733809521316</v>
      </c>
      <c r="K649" s="0" t="n">
        <v>0.667715717403612</v>
      </c>
      <c r="L649" s="1" t="b">
        <f aca="false">FALSE()</f>
        <v>0</v>
      </c>
      <c r="N649" s="0" t="n">
        <v>87.3283495110954</v>
      </c>
      <c r="O649" s="0" t="n">
        <v>1</v>
      </c>
      <c r="P649" s="0" t="n">
        <v>0</v>
      </c>
      <c r="Q649" s="0" t="n">
        <v>0</v>
      </c>
      <c r="R649" s="0" t="n">
        <v>12.8647016589356</v>
      </c>
      <c r="S649" s="0" t="n">
        <v>4.27319864115859</v>
      </c>
      <c r="T649" s="0" t="n">
        <v>0.232433398891474</v>
      </c>
      <c r="U649" s="0" t="n">
        <v>0.634588563458856</v>
      </c>
      <c r="V649" s="0" t="n">
        <v>0.627615062761506</v>
      </c>
      <c r="W649" s="0" t="n">
        <v>0.507670850767085</v>
      </c>
      <c r="X649" s="0" t="n">
        <v>0.221208937964772</v>
      </c>
      <c r="Y649" s="0" t="n">
        <v>6.46123377357322</v>
      </c>
      <c r="Z649" s="0" t="n">
        <v>0.311733809521316</v>
      </c>
      <c r="AA649" s="0" t="n">
        <v>0</v>
      </c>
    </row>
    <row r="650" customFormat="false" ht="15" hidden="false" customHeight="false" outlineLevel="0" collapsed="false">
      <c r="A650" s="0" t="s">
        <v>684</v>
      </c>
      <c r="B650" s="0" t="s">
        <v>3013</v>
      </c>
      <c r="C650" s="0" t="s">
        <v>3036</v>
      </c>
      <c r="D650" s="0" t="n">
        <v>-4.731694601038</v>
      </c>
      <c r="E650" s="0" t="n">
        <v>0.290262387720243</v>
      </c>
      <c r="F650" s="0" t="n">
        <v>5.79258721027604</v>
      </c>
      <c r="G650" s="0" t="n">
        <v>0.525657071339174</v>
      </c>
      <c r="H650" s="0" t="n">
        <v>0.237797246558198</v>
      </c>
      <c r="I650" s="0" t="n">
        <v>0.426313342631334</v>
      </c>
      <c r="J650" s="0" t="n">
        <v>0.390644395685216</v>
      </c>
      <c r="K650" s="0" t="n">
        <v>0.667715717403612</v>
      </c>
      <c r="L650" s="1" t="b">
        <f aca="false">FALSE()</f>
        <v>0</v>
      </c>
      <c r="N650" s="0" t="n">
        <v>34.9024948762344</v>
      </c>
      <c r="O650" s="0" t="n">
        <v>0</v>
      </c>
      <c r="P650" s="0" t="n">
        <v>1</v>
      </c>
      <c r="Q650" s="0" t="n">
        <v>4.731694601038</v>
      </c>
      <c r="R650" s="0" t="n">
        <v>8.60839402813671</v>
      </c>
      <c r="S650" s="0" t="n">
        <v>1.89825360668185</v>
      </c>
      <c r="T650" s="0" t="n">
        <v>0.253100480890914</v>
      </c>
      <c r="U650" s="0" t="n">
        <v>0.426778242677824</v>
      </c>
      <c r="V650" s="0" t="n">
        <v>0.248256624825663</v>
      </c>
      <c r="W650" s="0" t="n">
        <v>0.603905160390516</v>
      </c>
      <c r="X650" s="0" t="n">
        <v>0.290262387720243</v>
      </c>
      <c r="Y650" s="0" t="n">
        <v>5.79258721027604</v>
      </c>
      <c r="Z650" s="0" t="n">
        <v>0.390644395685216</v>
      </c>
      <c r="AA650" s="0" t="n">
        <v>5.55111512312578E-017</v>
      </c>
    </row>
    <row r="651" customFormat="false" ht="15" hidden="false" customHeight="false" outlineLevel="0" collapsed="false">
      <c r="A651" s="0" t="s">
        <v>685</v>
      </c>
      <c r="B651" s="0" t="s">
        <v>3013</v>
      </c>
      <c r="C651" s="0" t="s">
        <v>3033</v>
      </c>
      <c r="D651" s="0" t="n">
        <v>-39.503842228204</v>
      </c>
      <c r="E651" s="0" t="n">
        <v>0.271786963613947</v>
      </c>
      <c r="F651" s="0" t="n">
        <v>7.94177018051669</v>
      </c>
      <c r="G651" s="0" t="n">
        <v>0.401752190237797</v>
      </c>
      <c r="H651" s="0" t="n">
        <v>0.530663329161452</v>
      </c>
      <c r="I651" s="0" t="n">
        <v>0.591817759181776</v>
      </c>
      <c r="J651" s="0" t="n">
        <v>0.491329759596055</v>
      </c>
      <c r="K651" s="0" t="n">
        <v>0.667715717403612</v>
      </c>
      <c r="L651" s="1" t="b">
        <f aca="false">FALSE()</f>
        <v>0</v>
      </c>
      <c r="N651" s="0" t="n">
        <v>39.6341894772722</v>
      </c>
      <c r="O651" s="0" t="n">
        <v>1</v>
      </c>
      <c r="P651" s="0" t="n">
        <v>1</v>
      </c>
      <c r="Q651" s="0" t="n">
        <v>39.503842228204</v>
      </c>
      <c r="R651" s="0" t="n">
        <v>6.22365072531046</v>
      </c>
      <c r="S651" s="0" t="n">
        <v>9.24040720438529</v>
      </c>
      <c r="T651" s="0" t="n">
        <v>0.274079874706344</v>
      </c>
      <c r="U651" s="0" t="n">
        <v>0.241283124128312</v>
      </c>
      <c r="V651" s="0" t="n">
        <v>0.860529986052999</v>
      </c>
      <c r="W651" s="0" t="n">
        <v>0.673640167364017</v>
      </c>
      <c r="X651" s="0" t="n">
        <v>0.271786963613947</v>
      </c>
      <c r="Y651" s="0" t="n">
        <v>7.94177018051669</v>
      </c>
      <c r="Z651" s="0" t="n">
        <v>0.491329759596055</v>
      </c>
      <c r="AA651" s="0" t="n">
        <v>5.55111512312578E-017</v>
      </c>
    </row>
    <row r="652" customFormat="false" ht="15" hidden="false" customHeight="false" outlineLevel="0" collapsed="false">
      <c r="A652" s="0" t="s">
        <v>686</v>
      </c>
      <c r="B652" s="0" t="s">
        <v>3013</v>
      </c>
      <c r="C652" s="0" t="s">
        <v>3038</v>
      </c>
      <c r="D652" s="0" t="n">
        <v>27.2658193367664</v>
      </c>
      <c r="E652" s="0" t="n">
        <v>0.218278686672157</v>
      </c>
      <c r="F652" s="0" t="n">
        <v>5.54024307604288</v>
      </c>
      <c r="G652" s="0" t="n">
        <v>0.142678347934919</v>
      </c>
      <c r="H652" s="0" t="n">
        <v>0.206508135168961</v>
      </c>
      <c r="I652" s="0" t="n">
        <v>0.504416550441655</v>
      </c>
      <c r="J652" s="0" t="n">
        <v>0.240557903329883</v>
      </c>
      <c r="K652" s="0" t="n">
        <v>0.667715717403612</v>
      </c>
      <c r="L652" s="1" t="b">
        <f aca="false">FALSE()</f>
        <v>0</v>
      </c>
      <c r="N652" s="0" t="n">
        <v>79.1380317054754</v>
      </c>
      <c r="O652" s="0" t="n">
        <v>2</v>
      </c>
      <c r="P652" s="0" t="n">
        <v>0</v>
      </c>
      <c r="Q652" s="0" t="n">
        <v>0</v>
      </c>
      <c r="R652" s="0" t="n">
        <v>12.2136243190594</v>
      </c>
      <c r="S652" s="0" t="n">
        <v>5.79755076732289</v>
      </c>
      <c r="T652" s="0" t="n">
        <v>0.170516199038903</v>
      </c>
      <c r="U652" s="0" t="n">
        <v>0.608089260808926</v>
      </c>
      <c r="V652" s="0" t="n">
        <v>0.736401673640167</v>
      </c>
      <c r="W652" s="0" t="n">
        <v>0.168758716875872</v>
      </c>
      <c r="X652" s="0" t="n">
        <v>0.218278686672157</v>
      </c>
      <c r="Y652" s="0" t="n">
        <v>5.54024307604288</v>
      </c>
      <c r="Z652" s="0" t="n">
        <v>0.240557903329883</v>
      </c>
      <c r="AA652" s="0" t="n">
        <v>-2.77555756156289E-017</v>
      </c>
    </row>
    <row r="653" customFormat="false" ht="15" hidden="false" customHeight="false" outlineLevel="0" collapsed="false">
      <c r="A653" s="0" t="s">
        <v>687</v>
      </c>
      <c r="B653" s="0" t="s">
        <v>33</v>
      </c>
      <c r="C653" s="0" t="s">
        <v>33</v>
      </c>
      <c r="D653" s="0" t="n">
        <v>1.49983757643486</v>
      </c>
      <c r="E653" s="0" t="n">
        <v>0.32951313549132</v>
      </c>
      <c r="F653" s="0" t="n">
        <v>9.58541499028995</v>
      </c>
      <c r="G653" s="0" t="n">
        <v>0.730913642052566</v>
      </c>
      <c r="H653" s="0" t="n">
        <v>0.737171464330413</v>
      </c>
      <c r="I653" s="0" t="n">
        <v>0.5</v>
      </c>
      <c r="J653" s="0" t="n">
        <v>0.687234042553191</v>
      </c>
      <c r="K653" s="0" t="n">
        <v>0.667715717403612</v>
      </c>
      <c r="L653" s="1" t="b">
        <f aca="false">TRUE()</f>
        <v>1</v>
      </c>
      <c r="M653" s="0" t="s">
        <v>3035</v>
      </c>
      <c r="N653" s="0" t="n">
        <v>51.8722123687094</v>
      </c>
      <c r="O653" s="0" t="n">
        <v>0</v>
      </c>
      <c r="P653" s="0" t="n">
        <v>0</v>
      </c>
      <c r="Q653" s="0" t="n">
        <v>0</v>
      </c>
      <c r="U653" s="0" t="n">
        <v>0.5</v>
      </c>
      <c r="V653" s="0" t="n">
        <v>0.5</v>
      </c>
      <c r="W653" s="0" t="n">
        <v>0.5</v>
      </c>
      <c r="X653" s="0" t="n">
        <v>0.32951313549132</v>
      </c>
      <c r="Y653" s="0" t="n">
        <v>9.58541499028995</v>
      </c>
      <c r="Z653" s="0" t="n">
        <v>0.687234042553191</v>
      </c>
      <c r="AA653" s="0" t="n">
        <v>0</v>
      </c>
    </row>
    <row r="654" customFormat="false" ht="15" hidden="false" customHeight="false" outlineLevel="0" collapsed="false">
      <c r="A654" s="0" t="s">
        <v>688</v>
      </c>
      <c r="B654" s="0" t="s">
        <v>3013</v>
      </c>
      <c r="C654" s="0" t="s">
        <v>3038</v>
      </c>
      <c r="D654" s="0" t="n">
        <v>21.7883609728593</v>
      </c>
      <c r="E654" s="0" t="n">
        <v>0.230893766312796</v>
      </c>
      <c r="F654" s="0" t="n">
        <v>5.41330348740684</v>
      </c>
      <c r="G654" s="0" t="n">
        <v>0.176470588235294</v>
      </c>
      <c r="H654" s="0" t="n">
        <v>0.188986232790989</v>
      </c>
      <c r="I654" s="0" t="n">
        <v>0.744304974430497</v>
      </c>
      <c r="J654" s="0" t="n">
        <v>0.295043723296613</v>
      </c>
      <c r="K654" s="0" t="n">
        <v>0.667715717403612</v>
      </c>
      <c r="L654" s="1" t="b">
        <f aca="false">FALSE()</f>
        <v>0</v>
      </c>
      <c r="N654" s="0" t="n">
        <v>50.3723747922741</v>
      </c>
      <c r="O654" s="0" t="n">
        <v>0</v>
      </c>
      <c r="P654" s="0" t="n">
        <v>0</v>
      </c>
      <c r="Q654" s="0" t="n">
        <v>0</v>
      </c>
      <c r="R654" s="0" t="n">
        <v>13.3778109585865</v>
      </c>
      <c r="S654" s="0" t="n">
        <v>19.0107050572167</v>
      </c>
      <c r="T654" s="0" t="n">
        <v>0.258397932816539</v>
      </c>
      <c r="U654" s="0" t="n">
        <v>0.655509065550907</v>
      </c>
      <c r="V654" s="0" t="n">
        <v>0.95676429567643</v>
      </c>
      <c r="W654" s="0" t="n">
        <v>0.620641562064156</v>
      </c>
      <c r="X654" s="0" t="n">
        <v>0.230893766312796</v>
      </c>
      <c r="Y654" s="0" t="n">
        <v>5.41330348740684</v>
      </c>
      <c r="Z654" s="0" t="n">
        <v>0.295043723296613</v>
      </c>
      <c r="AA654" s="0" t="n">
        <v>-5.55111512312578E-017</v>
      </c>
    </row>
    <row r="655" customFormat="false" ht="15" hidden="false" customHeight="false" outlineLevel="0" collapsed="false">
      <c r="A655" s="0" t="s">
        <v>689</v>
      </c>
      <c r="B655" s="0" t="s">
        <v>3013</v>
      </c>
      <c r="C655" s="0" t="s">
        <v>3033</v>
      </c>
      <c r="D655" s="0" t="n">
        <v>26.9165549257809</v>
      </c>
      <c r="E655" s="0" t="n">
        <v>0.217958698476249</v>
      </c>
      <c r="F655" s="0" t="n">
        <v>4.78134123611144</v>
      </c>
      <c r="G655" s="0" t="n">
        <v>0.141426783479349</v>
      </c>
      <c r="H655" s="0" t="n">
        <v>0.110137672090113</v>
      </c>
      <c r="I655" s="0" t="n">
        <v>0.447698744769874</v>
      </c>
      <c r="J655" s="0" t="n">
        <v>0.19016553118176</v>
      </c>
      <c r="K655" s="0" t="n">
        <v>0.667715717403612</v>
      </c>
      <c r="L655" s="1" t="b">
        <f aca="false">FALSE()</f>
        <v>0</v>
      </c>
      <c r="N655" s="0" t="n">
        <v>28.5840138194144</v>
      </c>
      <c r="O655" s="0" t="n">
        <v>0</v>
      </c>
      <c r="P655" s="0" t="n">
        <v>0</v>
      </c>
      <c r="Q655" s="0" t="n">
        <v>0</v>
      </c>
      <c r="R655" s="0" t="n">
        <v>9.39446808694893</v>
      </c>
      <c r="S655" s="0" t="n">
        <v>2.91217257318952</v>
      </c>
      <c r="T655" s="0" t="n">
        <v>0.215716486902924</v>
      </c>
      <c r="U655" s="0" t="n">
        <v>0.467224546722455</v>
      </c>
      <c r="V655" s="0" t="n">
        <v>0.460251046025105</v>
      </c>
      <c r="W655" s="0" t="n">
        <v>0.415620641562064</v>
      </c>
      <c r="X655" s="0" t="n">
        <v>0.217958698476249</v>
      </c>
      <c r="Y655" s="0" t="n">
        <v>4.78134123611144</v>
      </c>
      <c r="Z655" s="0" t="n">
        <v>0.19016553118176</v>
      </c>
      <c r="AA655" s="0" t="n">
        <v>2.77555756156289E-017</v>
      </c>
    </row>
    <row r="656" customFormat="false" ht="15" hidden="false" customHeight="false" outlineLevel="0" collapsed="false">
      <c r="A656" s="0" t="s">
        <v>690</v>
      </c>
      <c r="B656" s="0" t="s">
        <v>3013</v>
      </c>
      <c r="C656" s="0" t="s">
        <v>3036</v>
      </c>
      <c r="D656" s="0" t="n">
        <v>-2.11520696759343</v>
      </c>
      <c r="E656" s="0" t="n">
        <v>0.504375634512641</v>
      </c>
      <c r="F656" s="0" t="n">
        <v>10.4828317284356</v>
      </c>
      <c r="G656" s="0" t="n">
        <v>0.996245306633292</v>
      </c>
      <c r="H656" s="0" t="n">
        <v>0.839799749687109</v>
      </c>
      <c r="I656" s="0" t="n">
        <v>0.5</v>
      </c>
      <c r="J656" s="0" t="n">
        <v>0.83441802252816</v>
      </c>
      <c r="K656" s="0" t="n">
        <v>0.667715717403612</v>
      </c>
      <c r="L656" s="1" t="b">
        <f aca="false">TRUE()</f>
        <v>1</v>
      </c>
      <c r="M656" s="0" t="s">
        <v>3039</v>
      </c>
      <c r="N656" s="0" t="n">
        <v>1.66745889363301</v>
      </c>
      <c r="O656" s="0" t="n">
        <v>0</v>
      </c>
      <c r="P656" s="0" t="n">
        <v>1</v>
      </c>
      <c r="Q656" s="0" t="n">
        <v>2.11520696759343</v>
      </c>
      <c r="U656" s="0" t="n">
        <v>0.5</v>
      </c>
      <c r="V656" s="0" t="n">
        <v>0.5</v>
      </c>
      <c r="W656" s="0" t="n">
        <v>0.5</v>
      </c>
      <c r="X656" s="0" t="n">
        <v>0.504375634512641</v>
      </c>
      <c r="Y656" s="0" t="n">
        <v>10.4828317284356</v>
      </c>
      <c r="Z656" s="0" t="n">
        <v>0.83441802252816</v>
      </c>
      <c r="AA656" s="0" t="n">
        <v>0</v>
      </c>
    </row>
    <row r="657" customFormat="false" ht="15" hidden="false" customHeight="false" outlineLevel="0" collapsed="false">
      <c r="A657" s="0" t="s">
        <v>691</v>
      </c>
      <c r="B657" s="0" t="s">
        <v>33</v>
      </c>
      <c r="C657" s="0" t="s">
        <v>33</v>
      </c>
      <c r="D657" s="0" t="n">
        <v>-39.2014904645742</v>
      </c>
      <c r="E657" s="0" t="n">
        <v>0.42427974127883</v>
      </c>
      <c r="F657" s="0" t="n">
        <v>14.8233544688521</v>
      </c>
      <c r="G657" s="0" t="n">
        <v>0.967459324155194</v>
      </c>
      <c r="H657" s="0" t="n">
        <v>0.982478097622028</v>
      </c>
      <c r="I657" s="0" t="n">
        <v>0.5</v>
      </c>
      <c r="J657" s="0" t="n">
        <v>0.879974968710889</v>
      </c>
      <c r="K657" s="0" t="n">
        <v>0.667715717403612</v>
      </c>
      <c r="L657" s="1" t="b">
        <f aca="false">TRUE()</f>
        <v>1</v>
      </c>
      <c r="M657" s="0" t="s">
        <v>3035</v>
      </c>
      <c r="N657" s="0" t="n">
        <v>3.78266586122663</v>
      </c>
      <c r="O657" s="0" t="n">
        <v>1</v>
      </c>
      <c r="P657" s="0" t="n">
        <v>1</v>
      </c>
      <c r="Q657" s="0" t="n">
        <v>39.2014904645742</v>
      </c>
      <c r="U657" s="0" t="n">
        <v>0.5</v>
      </c>
      <c r="V657" s="0" t="n">
        <v>0.5</v>
      </c>
      <c r="W657" s="0" t="n">
        <v>0.5</v>
      </c>
      <c r="X657" s="0" t="n">
        <v>0.42427974127883</v>
      </c>
      <c r="Y657" s="0" t="n">
        <v>14.8233544688521</v>
      </c>
      <c r="Z657" s="0" t="n">
        <v>0.879974968710889</v>
      </c>
      <c r="AA657" s="0" t="n">
        <v>0</v>
      </c>
    </row>
    <row r="658" customFormat="false" ht="15" hidden="false" customHeight="false" outlineLevel="0" collapsed="false">
      <c r="A658" s="0" t="s">
        <v>692</v>
      </c>
      <c r="B658" s="0" t="s">
        <v>3013</v>
      </c>
      <c r="C658" s="0" t="s">
        <v>3038</v>
      </c>
      <c r="D658" s="0" t="n">
        <v>118.526587623017</v>
      </c>
      <c r="E658" s="0" t="n">
        <v>0.212937274661312</v>
      </c>
      <c r="F658" s="0" t="n">
        <v>7.96965333759145</v>
      </c>
      <c r="G658" s="0" t="n">
        <v>0.127659574468085</v>
      </c>
      <c r="H658" s="0" t="n">
        <v>0.540675844806008</v>
      </c>
      <c r="I658" s="0" t="n">
        <v>0.906555090655509</v>
      </c>
      <c r="J658" s="0" t="n">
        <v>0.448645185840739</v>
      </c>
      <c r="K658" s="0" t="n">
        <v>0.667715717403612</v>
      </c>
      <c r="L658" s="1" t="b">
        <f aca="false">FALSE()</f>
        <v>0</v>
      </c>
      <c r="N658" s="0" t="n">
        <v>42.9841563258015</v>
      </c>
      <c r="O658" s="0" t="n">
        <v>2</v>
      </c>
      <c r="P658" s="0" t="n">
        <v>0</v>
      </c>
      <c r="Q658" s="0" t="n">
        <v>0</v>
      </c>
      <c r="R658" s="0" t="n">
        <v>51.6683934121685</v>
      </c>
      <c r="S658" s="0" t="n">
        <v>16.5228931652289</v>
      </c>
      <c r="T658" s="0" t="n">
        <v>0.33178500331785</v>
      </c>
      <c r="U658" s="0" t="n">
        <v>0.97629009762901</v>
      </c>
      <c r="V658" s="0" t="n">
        <v>0.944211994421199</v>
      </c>
      <c r="W658" s="0" t="n">
        <v>0.799163179916318</v>
      </c>
      <c r="X658" s="0" t="n">
        <v>0.212937274661312</v>
      </c>
      <c r="Y658" s="0" t="n">
        <v>7.96965333759145</v>
      </c>
      <c r="Z658" s="0" t="n">
        <v>0.448645185840739</v>
      </c>
      <c r="AA658" s="0" t="n">
        <v>-5.55111512312578E-017</v>
      </c>
    </row>
    <row r="659" customFormat="false" ht="15" hidden="false" customHeight="false" outlineLevel="0" collapsed="false">
      <c r="A659" s="0" t="s">
        <v>693</v>
      </c>
      <c r="B659" s="0" t="s">
        <v>33</v>
      </c>
      <c r="C659" s="0" t="s">
        <v>33</v>
      </c>
      <c r="D659" s="0" t="n">
        <v>-38.349550357148</v>
      </c>
      <c r="E659" s="0" t="n">
        <v>0.389282818152885</v>
      </c>
      <c r="F659" s="0" t="n">
        <v>11.2507205924122</v>
      </c>
      <c r="G659" s="0" t="n">
        <v>0.921151439299124</v>
      </c>
      <c r="H659" s="0" t="n">
        <v>0.897371714643304</v>
      </c>
      <c r="I659" s="0" t="n">
        <v>0.5</v>
      </c>
      <c r="J659" s="0" t="n">
        <v>0.827409261576971</v>
      </c>
      <c r="K659" s="0" t="n">
        <v>0.667715717403612</v>
      </c>
      <c r="L659" s="1" t="b">
        <f aca="false">TRUE()</f>
        <v>1</v>
      </c>
      <c r="M659" s="0" t="s">
        <v>3035</v>
      </c>
      <c r="N659" s="0" t="n">
        <v>0</v>
      </c>
      <c r="O659" s="0" t="n">
        <v>0</v>
      </c>
      <c r="P659" s="0" t="n">
        <v>1</v>
      </c>
      <c r="Q659" s="0" t="n">
        <v>38.349550357148</v>
      </c>
      <c r="U659" s="0" t="n">
        <v>0.5</v>
      </c>
      <c r="V659" s="0" t="n">
        <v>0.5</v>
      </c>
      <c r="W659" s="0" t="n">
        <v>0.5</v>
      </c>
      <c r="X659" s="0" t="n">
        <v>0.389282818152885</v>
      </c>
      <c r="Y659" s="0" t="n">
        <v>11.2507205924122</v>
      </c>
      <c r="Z659" s="0" t="n">
        <v>0.827409261576971</v>
      </c>
      <c r="AA659" s="0" t="n">
        <v>0</v>
      </c>
    </row>
    <row r="660" customFormat="false" ht="15" hidden="false" customHeight="false" outlineLevel="0" collapsed="false">
      <c r="A660" s="0" t="s">
        <v>694</v>
      </c>
      <c r="B660" s="0" t="s">
        <v>33</v>
      </c>
      <c r="C660" s="0" t="s">
        <v>33</v>
      </c>
      <c r="D660" s="0" t="n">
        <v>-43.6678167917337</v>
      </c>
      <c r="E660" s="0" t="n">
        <v>0.342216526839848</v>
      </c>
      <c r="F660" s="0" t="n">
        <v>10.1814402888046</v>
      </c>
      <c r="G660" s="0" t="n">
        <v>0.792240300375469</v>
      </c>
      <c r="H660" s="0" t="n">
        <v>0.808510638297872</v>
      </c>
      <c r="I660" s="0" t="n">
        <v>0.5</v>
      </c>
      <c r="J660" s="0" t="n">
        <v>0.740300375469337</v>
      </c>
      <c r="K660" s="0" t="n">
        <v>0.667715717403612</v>
      </c>
      <c r="L660" s="1" t="b">
        <f aca="false">TRUE()</f>
        <v>1</v>
      </c>
      <c r="M660" s="0" t="s">
        <v>3035</v>
      </c>
      <c r="N660" s="0" t="n">
        <v>38.3495503571485</v>
      </c>
      <c r="O660" s="0" t="n">
        <v>1</v>
      </c>
      <c r="P660" s="0" t="n">
        <v>1</v>
      </c>
      <c r="Q660" s="0" t="n">
        <v>43.6678167917337</v>
      </c>
      <c r="U660" s="0" t="n">
        <v>0.5</v>
      </c>
      <c r="V660" s="0" t="n">
        <v>0.5</v>
      </c>
      <c r="W660" s="0" t="n">
        <v>0.5</v>
      </c>
      <c r="X660" s="0" t="n">
        <v>0.342216526839848</v>
      </c>
      <c r="Y660" s="0" t="n">
        <v>10.1814402888046</v>
      </c>
      <c r="Z660" s="0" t="n">
        <v>0.740300375469337</v>
      </c>
      <c r="AA660" s="0" t="n">
        <v>0</v>
      </c>
    </row>
    <row r="661" customFormat="false" ht="15" hidden="false" customHeight="false" outlineLevel="0" collapsed="false">
      <c r="A661" s="0" t="s">
        <v>695</v>
      </c>
      <c r="B661" s="0" t="s">
        <v>3013</v>
      </c>
      <c r="C661" s="0" t="s">
        <v>3036</v>
      </c>
      <c r="D661" s="0" t="n">
        <v>45.1234959488205</v>
      </c>
      <c r="E661" s="0" t="n">
        <v>0.309380552495655</v>
      </c>
      <c r="F661" s="0" t="n">
        <v>7.48126339477232</v>
      </c>
      <c r="G661" s="0" t="n">
        <v>0.613266583229036</v>
      </c>
      <c r="H661" s="0" t="n">
        <v>0.480600750938673</v>
      </c>
      <c r="I661" s="0" t="n">
        <v>0.400743840074384</v>
      </c>
      <c r="J661" s="0" t="n">
        <v>0.517695701681961</v>
      </c>
      <c r="K661" s="0" t="n">
        <v>0.667715717403612</v>
      </c>
      <c r="L661" s="1" t="b">
        <f aca="false">FALSE()</f>
        <v>0</v>
      </c>
      <c r="N661" s="0" t="n">
        <v>82.0173671488828</v>
      </c>
      <c r="O661" s="0" t="n">
        <v>2</v>
      </c>
      <c r="P661" s="0" t="n">
        <v>0</v>
      </c>
      <c r="Q661" s="0" t="n">
        <v>0</v>
      </c>
      <c r="R661" s="0" t="n">
        <v>9.30764479022443</v>
      </c>
      <c r="S661" s="0" t="n">
        <v>2.80036133694671</v>
      </c>
      <c r="T661" s="0" t="n">
        <v>0.19572417946401</v>
      </c>
      <c r="U661" s="0" t="n">
        <v>0.461645746164575</v>
      </c>
      <c r="V661" s="0" t="n">
        <v>0.446304044630405</v>
      </c>
      <c r="W661" s="0" t="n">
        <v>0.294281729428173</v>
      </c>
      <c r="X661" s="0" t="n">
        <v>0.309380552495655</v>
      </c>
      <c r="Y661" s="0" t="n">
        <v>7.48126339477232</v>
      </c>
      <c r="Z661" s="0" t="n">
        <v>0.517695701681961</v>
      </c>
      <c r="AA661" s="0" t="n">
        <v>0</v>
      </c>
    </row>
    <row r="662" customFormat="false" ht="15" hidden="false" customHeight="false" outlineLevel="0" collapsed="false">
      <c r="A662" s="0" t="s">
        <v>696</v>
      </c>
      <c r="B662" s="0" t="s">
        <v>33</v>
      </c>
      <c r="C662" s="0" t="s">
        <v>33</v>
      </c>
      <c r="D662" s="0" t="n">
        <v>-14.0096852398788</v>
      </c>
      <c r="E662" s="0" t="n">
        <v>0.333524656764855</v>
      </c>
      <c r="F662" s="0" t="n">
        <v>9.84354639671724</v>
      </c>
      <c r="G662" s="0" t="n">
        <v>0.750938673341677</v>
      </c>
      <c r="H662" s="0" t="n">
        <v>0.773466833541927</v>
      </c>
      <c r="I662" s="0" t="n">
        <v>0.5</v>
      </c>
      <c r="J662" s="0" t="n">
        <v>0.709762202753442</v>
      </c>
      <c r="K662" s="0" t="n">
        <v>0.667715717403612</v>
      </c>
      <c r="L662" s="1" t="b">
        <f aca="false">TRUE()</f>
        <v>1</v>
      </c>
      <c r="M662" s="0" t="s">
        <v>3035</v>
      </c>
      <c r="N662" s="0" t="n">
        <v>36.8938712000618</v>
      </c>
      <c r="O662" s="0" t="n">
        <v>0</v>
      </c>
      <c r="P662" s="0" t="n">
        <v>1</v>
      </c>
      <c r="Q662" s="0" t="n">
        <v>14.0096852398788</v>
      </c>
      <c r="U662" s="0" t="n">
        <v>0.5</v>
      </c>
      <c r="V662" s="0" t="n">
        <v>0.5</v>
      </c>
      <c r="W662" s="0" t="n">
        <v>0.5</v>
      </c>
      <c r="X662" s="0" t="n">
        <v>0.333524656764855</v>
      </c>
      <c r="Y662" s="0" t="n">
        <v>9.84354639671724</v>
      </c>
      <c r="Z662" s="0" t="n">
        <v>0.709762202753442</v>
      </c>
      <c r="AA662" s="0" t="n">
        <v>0</v>
      </c>
    </row>
    <row r="663" customFormat="false" ht="15" hidden="false" customHeight="false" outlineLevel="0" collapsed="false">
      <c r="A663" s="0" t="s">
        <v>697</v>
      </c>
      <c r="B663" s="0" t="s">
        <v>3013</v>
      </c>
      <c r="C663" s="0" t="s">
        <v>3034</v>
      </c>
      <c r="D663" s="0" t="n">
        <v>34.5584491315828</v>
      </c>
      <c r="E663" s="0" t="n">
        <v>0.267408063842263</v>
      </c>
      <c r="F663" s="0" t="n">
        <v>10.6166705689695</v>
      </c>
      <c r="G663" s="0" t="n">
        <v>0.382978723404255</v>
      </c>
      <c r="H663" s="0" t="n">
        <v>0.851063829787234</v>
      </c>
      <c r="I663" s="0" t="n">
        <v>0.522082752208275</v>
      </c>
      <c r="J663" s="0" t="n">
        <v>0.598033571718251</v>
      </c>
      <c r="K663" s="0" t="n">
        <v>0.667715717403612</v>
      </c>
      <c r="L663" s="1" t="b">
        <f aca="false">FALSE()</f>
        <v>0</v>
      </c>
      <c r="N663" s="0" t="n">
        <v>50.9035564399401</v>
      </c>
      <c r="O663" s="0" t="n">
        <v>1</v>
      </c>
      <c r="P663" s="0" t="n">
        <v>0</v>
      </c>
      <c r="Q663" s="0" t="n">
        <v>0</v>
      </c>
      <c r="R663" s="0" t="n">
        <v>26.8922791726159</v>
      </c>
      <c r="S663" s="0" t="n">
        <v>3.19909672563043</v>
      </c>
      <c r="T663" s="0" t="n">
        <v>0.175636682975792</v>
      </c>
      <c r="U663" s="0" t="n">
        <v>0.880055788005579</v>
      </c>
      <c r="V663" s="0" t="n">
        <v>0.493723849372385</v>
      </c>
      <c r="W663" s="0" t="n">
        <v>0.192468619246862</v>
      </c>
      <c r="X663" s="0" t="n">
        <v>0.267408063842263</v>
      </c>
      <c r="Y663" s="0" t="n">
        <v>10.6166705689695</v>
      </c>
      <c r="Z663" s="0" t="n">
        <v>0.598033571718251</v>
      </c>
      <c r="AA663" s="0" t="n">
        <v>0</v>
      </c>
    </row>
    <row r="664" customFormat="false" ht="15" hidden="false" customHeight="false" outlineLevel="0" collapsed="false">
      <c r="A664" s="0" t="s">
        <v>698</v>
      </c>
      <c r="B664" s="0" t="s">
        <v>3013</v>
      </c>
      <c r="C664" s="0" t="s">
        <v>3036</v>
      </c>
      <c r="D664" s="0" t="n">
        <v>10.3999848209329</v>
      </c>
      <c r="E664" s="0" t="n">
        <v>0.33824347674173</v>
      </c>
      <c r="F664" s="0" t="n">
        <v>3.93534782303204</v>
      </c>
      <c r="G664" s="0" t="n">
        <v>0.778473091364205</v>
      </c>
      <c r="H664" s="0" t="n">
        <v>0.048811013767209</v>
      </c>
      <c r="I664" s="0" t="n">
        <v>0.512784751278475</v>
      </c>
      <c r="J664" s="0" t="n">
        <v>0.433470592308261</v>
      </c>
      <c r="K664" s="0" t="n">
        <v>0.667715717403612</v>
      </c>
      <c r="L664" s="1" t="b">
        <f aca="false">FALSE()</f>
        <v>0</v>
      </c>
      <c r="N664" s="0" t="n">
        <v>16.3451073083579</v>
      </c>
      <c r="O664" s="0" t="n">
        <v>0</v>
      </c>
      <c r="P664" s="0" t="n">
        <v>0</v>
      </c>
      <c r="Q664" s="0" t="n">
        <v>0</v>
      </c>
      <c r="R664" s="0" t="n">
        <v>8.86803259002067</v>
      </c>
      <c r="S664" s="0" t="n">
        <v>3.86826973340304</v>
      </c>
      <c r="T664" s="0" t="n">
        <v>0.235232618923159</v>
      </c>
      <c r="U664" s="0" t="n">
        <v>0.436541143654114</v>
      </c>
      <c r="V664" s="0" t="n">
        <v>0.578800557880056</v>
      </c>
      <c r="W664" s="0" t="n">
        <v>0.523012552301255</v>
      </c>
      <c r="X664" s="0" t="n">
        <v>0.33824347674173</v>
      </c>
      <c r="Y664" s="0" t="n">
        <v>3.93534782303204</v>
      </c>
      <c r="Z664" s="0" t="n">
        <v>0.433470592308261</v>
      </c>
      <c r="AA664" s="0" t="n">
        <v>0</v>
      </c>
    </row>
    <row r="665" customFormat="false" ht="15" hidden="false" customHeight="false" outlineLevel="0" collapsed="false">
      <c r="A665" s="0" t="s">
        <v>699</v>
      </c>
      <c r="B665" s="0" t="s">
        <v>3013</v>
      </c>
      <c r="C665" s="0" t="s">
        <v>3036</v>
      </c>
      <c r="D665" s="0" t="n">
        <v>13.4917794079967</v>
      </c>
      <c r="E665" s="0" t="n">
        <v>0.34779485037058</v>
      </c>
      <c r="F665" s="0" t="n">
        <v>7.92404175245121</v>
      </c>
      <c r="G665" s="0" t="n">
        <v>0.808510638297872</v>
      </c>
      <c r="H665" s="0" t="n">
        <v>0.526908635794744</v>
      </c>
      <c r="I665" s="0" t="n">
        <v>0.472803347280335</v>
      </c>
      <c r="J665" s="0" t="n">
        <v>0.628728379093113</v>
      </c>
      <c r="K665" s="0" t="n">
        <v>0.667715717403612</v>
      </c>
      <c r="L665" s="1" t="b">
        <f aca="false">FALSE()</f>
        <v>0</v>
      </c>
      <c r="N665" s="0" t="n">
        <v>5.94512248742467</v>
      </c>
      <c r="O665" s="0" t="n">
        <v>0</v>
      </c>
      <c r="P665" s="0" t="n">
        <v>0</v>
      </c>
      <c r="Q665" s="0" t="n">
        <v>0</v>
      </c>
      <c r="R665" s="0" t="n">
        <v>16.6214987985206</v>
      </c>
      <c r="S665" s="0" t="n">
        <v>3.86309414571482</v>
      </c>
      <c r="T665" s="0" t="n">
        <v>0.146815929528346</v>
      </c>
      <c r="U665" s="0" t="n">
        <v>0.739191073919107</v>
      </c>
      <c r="V665" s="0" t="n">
        <v>0.577405857740586</v>
      </c>
      <c r="W665" s="0" t="n">
        <v>0.101813110181311</v>
      </c>
      <c r="X665" s="0" t="n">
        <v>0.34779485037058</v>
      </c>
      <c r="Y665" s="0" t="n">
        <v>7.92404175245121</v>
      </c>
      <c r="Z665" s="0" t="n">
        <v>0.628728379093113</v>
      </c>
      <c r="AA665" s="0" t="n">
        <v>0</v>
      </c>
    </row>
    <row r="666" customFormat="false" ht="15" hidden="false" customHeight="false" outlineLevel="0" collapsed="false">
      <c r="A666" s="0" t="s">
        <v>700</v>
      </c>
      <c r="B666" s="0" t="s">
        <v>3013</v>
      </c>
      <c r="C666" s="0" t="s">
        <v>3034</v>
      </c>
      <c r="D666" s="0" t="n">
        <v>76.9606252295128</v>
      </c>
      <c r="E666" s="0" t="n">
        <v>0.376841155117635</v>
      </c>
      <c r="F666" s="0" t="n">
        <v>9.90520659520962</v>
      </c>
      <c r="G666" s="0" t="n">
        <v>0.892365456821026</v>
      </c>
      <c r="H666" s="0" t="n">
        <v>0.782227784730914</v>
      </c>
      <c r="I666" s="0" t="n">
        <v>0.289632728963273</v>
      </c>
      <c r="J666" s="0" t="n">
        <v>0.727763842413431</v>
      </c>
      <c r="K666" s="0" t="n">
        <v>0.667715717403612</v>
      </c>
      <c r="L666" s="1" t="b">
        <f aca="false">TRUE()</f>
        <v>1</v>
      </c>
      <c r="M666" s="0" t="s">
        <v>3035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7.97410950704494</v>
      </c>
      <c r="S666" s="0" t="n">
        <v>1.15956033337361</v>
      </c>
      <c r="T666" s="0" t="n">
        <v>0.217417562507551</v>
      </c>
      <c r="U666" s="0" t="n">
        <v>0.386331938633194</v>
      </c>
      <c r="V666" s="0" t="n">
        <v>0.0571827057182706</v>
      </c>
      <c r="W666" s="0" t="n">
        <v>0.425383542538354</v>
      </c>
      <c r="X666" s="0" t="n">
        <v>0.376841155117635</v>
      </c>
      <c r="Y666" s="0" t="n">
        <v>9.90520659520962</v>
      </c>
      <c r="Z666" s="0" t="n">
        <v>0.727763842413431</v>
      </c>
      <c r="AA666" s="0" t="n">
        <v>0</v>
      </c>
    </row>
    <row r="667" customFormat="false" ht="15" hidden="false" customHeight="false" outlineLevel="0" collapsed="false">
      <c r="A667" s="0" t="s">
        <v>701</v>
      </c>
      <c r="B667" s="0" t="s">
        <v>33</v>
      </c>
      <c r="C667" s="0" t="s">
        <v>33</v>
      </c>
      <c r="D667" s="0" t="n">
        <v>40.4104074239265</v>
      </c>
      <c r="E667" s="0" t="n">
        <v>0.411498659064835</v>
      </c>
      <c r="F667" s="0" t="n">
        <v>12.4633982762479</v>
      </c>
      <c r="G667" s="0" t="n">
        <v>0.958698372966208</v>
      </c>
      <c r="H667" s="0" t="n">
        <v>0.942428035043805</v>
      </c>
      <c r="I667" s="0" t="n">
        <v>0.5</v>
      </c>
      <c r="J667" s="0" t="n">
        <v>0.860450563204005</v>
      </c>
      <c r="K667" s="0" t="n">
        <v>0.667715717403612</v>
      </c>
      <c r="L667" s="1" t="b">
        <f aca="false">TRUE()</f>
        <v>1</v>
      </c>
      <c r="M667" s="0" t="s">
        <v>3035</v>
      </c>
      <c r="N667" s="0" t="n">
        <v>0</v>
      </c>
      <c r="O667" s="0" t="n">
        <v>0</v>
      </c>
      <c r="P667" s="0" t="n">
        <v>0</v>
      </c>
      <c r="Q667" s="0" t="n">
        <v>0</v>
      </c>
      <c r="U667" s="0" t="n">
        <v>0.5</v>
      </c>
      <c r="V667" s="0" t="n">
        <v>0.5</v>
      </c>
      <c r="W667" s="0" t="n">
        <v>0.5</v>
      </c>
      <c r="X667" s="0" t="n">
        <v>0.411498659064835</v>
      </c>
      <c r="Y667" s="0" t="n">
        <v>12.4633982762479</v>
      </c>
      <c r="Z667" s="0" t="n">
        <v>0.860450563204005</v>
      </c>
      <c r="AA667" s="0" t="n">
        <v>0</v>
      </c>
    </row>
    <row r="668" customFormat="false" ht="15" hidden="false" customHeight="false" outlineLevel="0" collapsed="false">
      <c r="A668" s="0" t="s">
        <v>702</v>
      </c>
      <c r="B668" s="0" t="s">
        <v>3013</v>
      </c>
      <c r="C668" s="0" t="s">
        <v>3036</v>
      </c>
      <c r="D668" s="0" t="n">
        <v>-42.2620925984109</v>
      </c>
      <c r="E668" s="0" t="n">
        <v>0.330238168230481</v>
      </c>
      <c r="F668" s="0" t="n">
        <v>8.57556420814458</v>
      </c>
      <c r="G668" s="0" t="n">
        <v>0.733416770963705</v>
      </c>
      <c r="H668" s="0" t="n">
        <v>0.617021276595745</v>
      </c>
      <c r="I668" s="0" t="n">
        <v>0.709437470943747</v>
      </c>
      <c r="J668" s="0" t="n">
        <v>0.682062713212529</v>
      </c>
      <c r="K668" s="0" t="n">
        <v>0.667715717403612</v>
      </c>
      <c r="L668" s="1" t="b">
        <f aca="false">TRUE()</f>
        <v>1</v>
      </c>
      <c r="M668" s="0" t="s">
        <v>3035</v>
      </c>
      <c r="N668" s="0" t="n">
        <v>0</v>
      </c>
      <c r="O668" s="0" t="n">
        <v>0</v>
      </c>
      <c r="P668" s="0" t="n">
        <v>1</v>
      </c>
      <c r="Q668" s="0" t="n">
        <v>42.2620925984109</v>
      </c>
      <c r="R668" s="0" t="n">
        <v>11.2990216998115</v>
      </c>
      <c r="S668" s="0" t="n">
        <v>8.36614173228346</v>
      </c>
      <c r="T668" s="0" t="n">
        <v>0.295275590551183</v>
      </c>
      <c r="U668" s="0" t="n">
        <v>0.559274755927476</v>
      </c>
      <c r="V668" s="0" t="n">
        <v>0.834030683403068</v>
      </c>
      <c r="W668" s="0" t="n">
        <v>0.735006973500697</v>
      </c>
      <c r="X668" s="0" t="n">
        <v>0.330238168230481</v>
      </c>
      <c r="Y668" s="0" t="n">
        <v>8.57556420814458</v>
      </c>
      <c r="Z668" s="0" t="n">
        <v>0.682062713212529</v>
      </c>
      <c r="AA668" s="0" t="n">
        <v>0</v>
      </c>
    </row>
    <row r="669" customFormat="false" ht="15" hidden="false" customHeight="false" outlineLevel="0" collapsed="false">
      <c r="A669" s="0" t="s">
        <v>703</v>
      </c>
      <c r="B669" s="0" t="s">
        <v>3013</v>
      </c>
      <c r="C669" s="0" t="s">
        <v>3038</v>
      </c>
      <c r="D669" s="0" t="n">
        <v>29.7273346305034</v>
      </c>
      <c r="E669" s="0" t="n">
        <v>0.227193533458561</v>
      </c>
      <c r="F669" s="0" t="n">
        <v>6.05201391890511</v>
      </c>
      <c r="G669" s="0" t="n">
        <v>0.165206508135169</v>
      </c>
      <c r="H669" s="0" t="n">
        <v>0.272841051314143</v>
      </c>
      <c r="I669" s="0" t="n">
        <v>0.634123663412366</v>
      </c>
      <c r="J669" s="0" t="n">
        <v>0.302043756462198</v>
      </c>
      <c r="K669" s="0" t="n">
        <v>0.667715717403612</v>
      </c>
      <c r="L669" s="1" t="b">
        <f aca="false">FALSE()</f>
        <v>0</v>
      </c>
      <c r="N669" s="0" t="n">
        <v>42.2620925984102</v>
      </c>
      <c r="O669" s="0" t="n">
        <v>1</v>
      </c>
      <c r="P669" s="0" t="n">
        <v>0</v>
      </c>
      <c r="Q669" s="0" t="n">
        <v>0</v>
      </c>
      <c r="R669" s="0" t="n">
        <v>18.31395755236</v>
      </c>
      <c r="S669" s="0" t="n">
        <v>3.9843651494137</v>
      </c>
      <c r="T669" s="0" t="n">
        <v>0.239566258983725</v>
      </c>
      <c r="U669" s="0" t="n">
        <v>0.767085076708508</v>
      </c>
      <c r="V669" s="0" t="n">
        <v>0.595536959553696</v>
      </c>
      <c r="W669" s="0" t="n">
        <v>0.539748953974895</v>
      </c>
      <c r="X669" s="0" t="n">
        <v>0.227193533458561</v>
      </c>
      <c r="Y669" s="0" t="n">
        <v>6.05201391890511</v>
      </c>
      <c r="Z669" s="0" t="n">
        <v>0.302043756462198</v>
      </c>
      <c r="AA669" s="0" t="n">
        <v>5.55111512312578E-017</v>
      </c>
    </row>
    <row r="670" customFormat="false" ht="15" hidden="false" customHeight="false" outlineLevel="0" collapsed="false">
      <c r="A670" s="0" t="s">
        <v>704</v>
      </c>
      <c r="B670" s="0" t="s">
        <v>3013</v>
      </c>
      <c r="C670" s="0" t="s">
        <v>3033</v>
      </c>
      <c r="D670" s="0" t="n">
        <v>44.2840962549974</v>
      </c>
      <c r="E670" s="0" t="n">
        <v>0.337649835434897</v>
      </c>
      <c r="F670" s="0" t="n">
        <v>8.43178330324213</v>
      </c>
      <c r="G670" s="0" t="n">
        <v>0.774718397997497</v>
      </c>
      <c r="H670" s="0" t="n">
        <v>0.595744680851064</v>
      </c>
      <c r="I670" s="0" t="n">
        <v>0.412831241283124</v>
      </c>
      <c r="J670" s="0" t="n">
        <v>0.630751479796049</v>
      </c>
      <c r="K670" s="0" t="n">
        <v>0.667715717403612</v>
      </c>
      <c r="L670" s="1" t="b">
        <f aca="false">FALSE()</f>
        <v>0</v>
      </c>
      <c r="N670" s="0" t="n">
        <v>12.5347579679074</v>
      </c>
      <c r="O670" s="0" t="n">
        <v>0</v>
      </c>
      <c r="P670" s="0" t="n">
        <v>0</v>
      </c>
      <c r="Q670" s="0" t="n">
        <v>0</v>
      </c>
      <c r="R670" s="0" t="n">
        <v>6.88089451628741</v>
      </c>
      <c r="S670" s="0" t="n">
        <v>2.17798932640993</v>
      </c>
      <c r="T670" s="0" t="n">
        <v>0.259627866724355</v>
      </c>
      <c r="U670" s="0" t="n">
        <v>0.299860529986053</v>
      </c>
      <c r="V670" s="0" t="n">
        <v>0.309623430962343</v>
      </c>
      <c r="W670" s="0" t="n">
        <v>0.629009762900976</v>
      </c>
      <c r="X670" s="0" t="n">
        <v>0.337649835434897</v>
      </c>
      <c r="Y670" s="0" t="n">
        <v>8.43178330324213</v>
      </c>
      <c r="Z670" s="0" t="n">
        <v>0.630751479796049</v>
      </c>
      <c r="AA670" s="0" t="n">
        <v>0</v>
      </c>
    </row>
    <row r="671" customFormat="false" ht="15" hidden="false" customHeight="false" outlineLevel="0" collapsed="false">
      <c r="A671" s="0" t="s">
        <v>705</v>
      </c>
      <c r="B671" s="0" t="s">
        <v>3013</v>
      </c>
      <c r="C671" s="0" t="s">
        <v>3033</v>
      </c>
      <c r="D671" s="0" t="n">
        <v>-15.7238337065399</v>
      </c>
      <c r="E671" s="0" t="n">
        <v>0.263979504663708</v>
      </c>
      <c r="F671" s="0" t="n">
        <v>7.05651209446445</v>
      </c>
      <c r="G671" s="0" t="n">
        <v>0.359198998748436</v>
      </c>
      <c r="H671" s="0" t="n">
        <v>0.424280350438048</v>
      </c>
      <c r="I671" s="0" t="n">
        <v>0.377498837749884</v>
      </c>
      <c r="J671" s="0" t="n">
        <v>0.38889150722457</v>
      </c>
      <c r="K671" s="0" t="n">
        <v>0.667715717403612</v>
      </c>
      <c r="L671" s="1" t="b">
        <f aca="false">FALSE()</f>
        <v>0</v>
      </c>
      <c r="N671" s="0" t="n">
        <v>0</v>
      </c>
      <c r="O671" s="0" t="n">
        <v>0</v>
      </c>
      <c r="P671" s="0" t="n">
        <v>1</v>
      </c>
      <c r="Q671" s="0" t="n">
        <v>15.7238337065399</v>
      </c>
      <c r="R671" s="0" t="n">
        <v>6.20205908361722</v>
      </c>
      <c r="S671" s="0" t="n">
        <v>2.8823205434184</v>
      </c>
      <c r="T671" s="0" t="n">
        <v>0.220304754910969</v>
      </c>
      <c r="U671" s="0" t="n">
        <v>0.238493723849372</v>
      </c>
      <c r="V671" s="0" t="n">
        <v>0.454672245467225</v>
      </c>
      <c r="W671" s="0" t="n">
        <v>0.439330543933054</v>
      </c>
      <c r="X671" s="0" t="n">
        <v>0.263979504663708</v>
      </c>
      <c r="Y671" s="0" t="n">
        <v>7.05651209446445</v>
      </c>
      <c r="Z671" s="0" t="n">
        <v>0.38889150722457</v>
      </c>
      <c r="AA671" s="0" t="n">
        <v>-5.55111512312578E-017</v>
      </c>
    </row>
    <row r="672" customFormat="false" ht="15" hidden="false" customHeight="false" outlineLevel="0" collapsed="false">
      <c r="A672" s="0" t="s">
        <v>706</v>
      </c>
      <c r="B672" s="0" t="s">
        <v>3013</v>
      </c>
      <c r="C672" s="0" t="s">
        <v>3033</v>
      </c>
      <c r="D672" s="0" t="n">
        <v>-33.4635507142994</v>
      </c>
      <c r="E672" s="0" t="n">
        <v>0.257054632210327</v>
      </c>
      <c r="F672" s="0" t="n">
        <v>7.95454980933509</v>
      </c>
      <c r="G672" s="0" t="n">
        <v>0.312891113892366</v>
      </c>
      <c r="H672" s="0" t="n">
        <v>0.53566958698373</v>
      </c>
      <c r="I672" s="0" t="n">
        <v>0.593212459321246</v>
      </c>
      <c r="J672" s="0" t="n">
        <v>0.458066772214687</v>
      </c>
      <c r="K672" s="0" t="n">
        <v>0.667715717403612</v>
      </c>
      <c r="L672" s="1" t="b">
        <f aca="false">FALSE()</f>
        <v>0</v>
      </c>
      <c r="N672" s="0" t="n">
        <v>15.7238337065392</v>
      </c>
      <c r="O672" s="0" t="n">
        <v>1</v>
      </c>
      <c r="P672" s="0" t="n">
        <v>1</v>
      </c>
      <c r="Q672" s="0" t="n">
        <v>33.4635507142994</v>
      </c>
      <c r="R672" s="0" t="n">
        <v>13.430665202239</v>
      </c>
      <c r="S672" s="0" t="n">
        <v>2.85520054384772</v>
      </c>
      <c r="T672" s="0" t="n">
        <v>0.271923861318835</v>
      </c>
      <c r="U672" s="0" t="n">
        <v>0.659693165969317</v>
      </c>
      <c r="V672" s="0" t="n">
        <v>0.450488145048815</v>
      </c>
      <c r="W672" s="0" t="n">
        <v>0.669456066945607</v>
      </c>
      <c r="X672" s="0" t="n">
        <v>0.257054632210327</v>
      </c>
      <c r="Y672" s="0" t="n">
        <v>7.95454980933509</v>
      </c>
      <c r="Z672" s="0" t="n">
        <v>0.458066772214687</v>
      </c>
      <c r="AA672" s="0" t="n">
        <v>0</v>
      </c>
    </row>
    <row r="673" customFormat="false" ht="15" hidden="false" customHeight="false" outlineLevel="0" collapsed="false">
      <c r="A673" s="0" t="s">
        <v>707</v>
      </c>
      <c r="B673" s="0" t="s">
        <v>3013</v>
      </c>
      <c r="C673" s="0" t="s">
        <v>3033</v>
      </c>
      <c r="D673" s="0" t="n">
        <v>71.2559045018978</v>
      </c>
      <c r="E673" s="0" t="n">
        <v>0.291192130250117</v>
      </c>
      <c r="F673" s="0" t="n">
        <v>11.0006649639371</v>
      </c>
      <c r="G673" s="0" t="n">
        <v>0.529411764705882</v>
      </c>
      <c r="H673" s="0" t="n">
        <v>0.879849812265332</v>
      </c>
      <c r="I673" s="0" t="n">
        <v>0.659228265922827</v>
      </c>
      <c r="J673" s="0" t="n">
        <v>0.695550283973051</v>
      </c>
      <c r="K673" s="0" t="n">
        <v>0.667715717403612</v>
      </c>
      <c r="L673" s="1" t="b">
        <f aca="false">TRUE()</f>
        <v>1</v>
      </c>
      <c r="M673" s="0" t="s">
        <v>3035</v>
      </c>
      <c r="N673" s="0" t="n">
        <v>49.1873844208385</v>
      </c>
      <c r="O673" s="0" t="n">
        <v>2</v>
      </c>
      <c r="P673" s="0" t="n">
        <v>0</v>
      </c>
      <c r="Q673" s="0" t="n">
        <v>0</v>
      </c>
      <c r="R673" s="0" t="n">
        <v>9.40489703259313</v>
      </c>
      <c r="S673" s="0" t="n">
        <v>7.44845360824743</v>
      </c>
      <c r="T673" s="0" t="n">
        <v>0.283505154639174</v>
      </c>
      <c r="U673" s="0" t="n">
        <v>0.470013947001395</v>
      </c>
      <c r="V673" s="0" t="n">
        <v>0.803347280334728</v>
      </c>
      <c r="W673" s="0" t="n">
        <v>0.704323570432357</v>
      </c>
      <c r="X673" s="0" t="n">
        <v>0.291192130250117</v>
      </c>
      <c r="Y673" s="0" t="n">
        <v>11.0006649639371</v>
      </c>
      <c r="Z673" s="0" t="n">
        <v>0.695550283973051</v>
      </c>
      <c r="AA673" s="0" t="n">
        <v>0</v>
      </c>
    </row>
    <row r="674" customFormat="false" ht="15" hidden="false" customHeight="false" outlineLevel="0" collapsed="false">
      <c r="A674" s="0" t="s">
        <v>708</v>
      </c>
      <c r="B674" s="0" t="s">
        <v>3013</v>
      </c>
      <c r="C674" s="0" t="s">
        <v>3036</v>
      </c>
      <c r="D674" s="0" t="n">
        <v>-38.7929593009099</v>
      </c>
      <c r="E674" s="0" t="n">
        <v>0.246397710848327</v>
      </c>
      <c r="F674" s="0" t="n">
        <v>6.4918006011054</v>
      </c>
      <c r="G674" s="0" t="n">
        <v>0.250312891113892</v>
      </c>
      <c r="H674" s="0" t="n">
        <v>0.340425531914894</v>
      </c>
      <c r="I674" s="0" t="n">
        <v>0.262203626220363</v>
      </c>
      <c r="J674" s="0" t="n">
        <v>0.288736094455587</v>
      </c>
      <c r="K674" s="0" t="n">
        <v>0.667715717403612</v>
      </c>
      <c r="L674" s="1" t="b">
        <f aca="false">FALSE()</f>
        <v>0</v>
      </c>
      <c r="N674" s="0" t="n">
        <v>0</v>
      </c>
      <c r="O674" s="0" t="n">
        <v>0</v>
      </c>
      <c r="P674" s="0" t="n">
        <v>1</v>
      </c>
      <c r="Q674" s="0" t="n">
        <v>38.7929593009099</v>
      </c>
      <c r="R674" s="0" t="n">
        <v>9.55642755984404</v>
      </c>
      <c r="S674" s="0" t="n">
        <v>1.07554417413572</v>
      </c>
      <c r="T674" s="0" t="n">
        <v>0.192061459667093</v>
      </c>
      <c r="U674" s="0" t="n">
        <v>0.479776847977685</v>
      </c>
      <c r="V674" s="0" t="n">
        <v>0.0376569037656904</v>
      </c>
      <c r="W674" s="0" t="n">
        <v>0.269177126917713</v>
      </c>
      <c r="X674" s="0" t="n">
        <v>0.246397710848327</v>
      </c>
      <c r="Y674" s="0" t="n">
        <v>6.4918006011054</v>
      </c>
      <c r="Z674" s="0" t="n">
        <v>0.288736094455587</v>
      </c>
      <c r="AA674" s="0" t="n">
        <v>0</v>
      </c>
    </row>
    <row r="675" customFormat="false" ht="15" hidden="false" customHeight="false" outlineLevel="0" collapsed="false">
      <c r="A675" s="0" t="s">
        <v>709</v>
      </c>
      <c r="B675" s="0" t="s">
        <v>3013</v>
      </c>
      <c r="C675" s="0" t="s">
        <v>3036</v>
      </c>
      <c r="D675" s="0" t="n">
        <v>-35.3494572352569</v>
      </c>
      <c r="E675" s="0" t="n">
        <v>0.359227414692335</v>
      </c>
      <c r="F675" s="0" t="n">
        <v>10.095455569443</v>
      </c>
      <c r="G675" s="0" t="n">
        <v>0.846057571964956</v>
      </c>
      <c r="H675" s="0" t="n">
        <v>0.799749687108886</v>
      </c>
      <c r="I675" s="0" t="n">
        <v>0.220827522082752</v>
      </c>
      <c r="J675" s="0" t="n">
        <v>0.702488408046087</v>
      </c>
      <c r="K675" s="0" t="n">
        <v>0.667715717403612</v>
      </c>
      <c r="L675" s="1" t="b">
        <f aca="false">TRUE()</f>
        <v>1</v>
      </c>
      <c r="M675" s="0" t="s">
        <v>3035</v>
      </c>
      <c r="N675" s="0" t="n">
        <v>38.7929593009103</v>
      </c>
      <c r="O675" s="0" t="n">
        <v>1</v>
      </c>
      <c r="P675" s="0" t="n">
        <v>1</v>
      </c>
      <c r="Q675" s="0" t="n">
        <v>35.3494572352569</v>
      </c>
      <c r="R675" s="0" t="n">
        <v>7.1313567955632</v>
      </c>
      <c r="S675" s="0" t="n">
        <v>1.62373336588939</v>
      </c>
      <c r="T675" s="0" t="n">
        <v>0.170919301672572</v>
      </c>
      <c r="U675" s="0" t="n">
        <v>0.324965132496513</v>
      </c>
      <c r="V675" s="0" t="n">
        <v>0.167364016736402</v>
      </c>
      <c r="W675" s="0" t="n">
        <v>0.170153417015342</v>
      </c>
      <c r="X675" s="0" t="n">
        <v>0.359227414692335</v>
      </c>
      <c r="Y675" s="0" t="n">
        <v>10.095455569443</v>
      </c>
      <c r="Z675" s="0" t="n">
        <v>0.702488408046087</v>
      </c>
      <c r="AA675" s="0" t="n">
        <v>0</v>
      </c>
    </row>
    <row r="676" customFormat="false" ht="15" hidden="false" customHeight="false" outlineLevel="0" collapsed="false">
      <c r="A676" s="0" t="s">
        <v>710</v>
      </c>
      <c r="B676" s="0" t="s">
        <v>3013</v>
      </c>
      <c r="C676" s="0" t="s">
        <v>3038</v>
      </c>
      <c r="D676" s="0" t="n">
        <v>-42.7131791844163</v>
      </c>
      <c r="E676" s="0" t="n">
        <v>0.221782343219165</v>
      </c>
      <c r="F676" s="0" t="n">
        <v>6.37832823252279</v>
      </c>
      <c r="G676" s="0" t="n">
        <v>0.151439299123905</v>
      </c>
      <c r="H676" s="0" t="n">
        <v>0.324155193992491</v>
      </c>
      <c r="I676" s="0" t="n">
        <v>0.786145978614598</v>
      </c>
      <c r="J676" s="0" t="n">
        <v>0.347466992969478</v>
      </c>
      <c r="K676" s="0" t="n">
        <v>0.667715717403612</v>
      </c>
      <c r="L676" s="1" t="b">
        <f aca="false">FALSE()</f>
        <v>0</v>
      </c>
      <c r="N676" s="0" t="n">
        <v>74.1424165361677</v>
      </c>
      <c r="O676" s="0" t="n">
        <v>2</v>
      </c>
      <c r="P676" s="0" t="n">
        <v>1</v>
      </c>
      <c r="Q676" s="0" t="n">
        <v>42.7131791844163</v>
      </c>
      <c r="R676" s="0" t="n">
        <v>39.0463788440352</v>
      </c>
      <c r="S676" s="0" t="n">
        <v>8.59219317782207</v>
      </c>
      <c r="T676" s="0" t="n">
        <v>0.246161059664748</v>
      </c>
      <c r="U676" s="0" t="n">
        <v>0.947001394700139</v>
      </c>
      <c r="V676" s="0" t="n">
        <v>0.842398884239888</v>
      </c>
      <c r="W676" s="0" t="n">
        <v>0.569037656903766</v>
      </c>
      <c r="X676" s="0" t="n">
        <v>0.221782343219165</v>
      </c>
      <c r="Y676" s="0" t="n">
        <v>6.37832823252279</v>
      </c>
      <c r="Z676" s="0" t="n">
        <v>0.347466992969478</v>
      </c>
      <c r="AA676" s="0" t="n">
        <v>0</v>
      </c>
    </row>
    <row r="677" customFormat="false" ht="15" hidden="false" customHeight="false" outlineLevel="0" collapsed="false">
      <c r="A677" s="0" t="s">
        <v>711</v>
      </c>
      <c r="B677" s="0" t="s">
        <v>3013</v>
      </c>
      <c r="C677" s="0" t="s">
        <v>3038</v>
      </c>
      <c r="D677" s="0" t="n">
        <v>81.4502043895534</v>
      </c>
      <c r="E677" s="0" t="n">
        <v>0.208227552708624</v>
      </c>
      <c r="F677" s="0" t="n">
        <v>7.44084953880073</v>
      </c>
      <c r="G677" s="0" t="n">
        <v>0.118898623279099</v>
      </c>
      <c r="H677" s="0" t="n">
        <v>0.471839799749687</v>
      </c>
      <c r="I677" s="0" t="n">
        <v>0.838679683867968</v>
      </c>
      <c r="J677" s="0" t="n">
        <v>0.404031305985108</v>
      </c>
      <c r="K677" s="0" t="n">
        <v>0.667715717403612</v>
      </c>
      <c r="L677" s="1" t="b">
        <f aca="false">FALSE()</f>
        <v>0</v>
      </c>
      <c r="N677" s="0" t="n">
        <v>116.855595720585</v>
      </c>
      <c r="O677" s="0" t="n">
        <v>3</v>
      </c>
      <c r="P677" s="0" t="n">
        <v>0</v>
      </c>
      <c r="Q677" s="0" t="n">
        <v>0</v>
      </c>
      <c r="R677" s="0" t="n">
        <v>36.9857798137427</v>
      </c>
      <c r="S677" s="0" t="n">
        <v>14.2002037697402</v>
      </c>
      <c r="T677" s="0" t="n">
        <v>0.267447784004078</v>
      </c>
      <c r="U677" s="0" t="n">
        <v>0.938633193863319</v>
      </c>
      <c r="V677" s="0" t="n">
        <v>0.920502092050209</v>
      </c>
      <c r="W677" s="0" t="n">
        <v>0.656903765690377</v>
      </c>
      <c r="X677" s="0" t="n">
        <v>0.208227552708624</v>
      </c>
      <c r="Y677" s="0" t="n">
        <v>7.44084953880073</v>
      </c>
      <c r="Z677" s="0" t="n">
        <v>0.404031305985108</v>
      </c>
      <c r="AA677" s="0" t="n">
        <v>-5.55111512312578E-017</v>
      </c>
    </row>
    <row r="678" customFormat="false" ht="15" hidden="false" customHeight="false" outlineLevel="0" collapsed="false">
      <c r="A678" s="0" t="s">
        <v>712</v>
      </c>
      <c r="B678" s="0" t="s">
        <v>3013</v>
      </c>
      <c r="C678" s="0" t="s">
        <v>3038</v>
      </c>
      <c r="D678" s="0" t="n">
        <v>47.6131228466453</v>
      </c>
      <c r="E678" s="0" t="n">
        <v>0.16973420898195</v>
      </c>
      <c r="F678" s="0" t="n">
        <v>5.2951911969626</v>
      </c>
      <c r="G678" s="0" t="n">
        <v>0.0400500625782228</v>
      </c>
      <c r="H678" s="0" t="n">
        <v>0.168961201501877</v>
      </c>
      <c r="I678" s="0" t="n">
        <v>0.894467689446769</v>
      </c>
      <c r="J678" s="0" t="n">
        <v>0.262498043521394</v>
      </c>
      <c r="K678" s="0" t="n">
        <v>0.667715717403612</v>
      </c>
      <c r="L678" s="1" t="b">
        <f aca="false">FALSE()</f>
        <v>0</v>
      </c>
      <c r="N678" s="0" t="n">
        <v>35.4053913310308</v>
      </c>
      <c r="O678" s="0" t="n">
        <v>0</v>
      </c>
      <c r="P678" s="0" t="n">
        <v>0</v>
      </c>
      <c r="Q678" s="0" t="n">
        <v>0</v>
      </c>
      <c r="R678" s="0" t="n">
        <v>35.2651513630113</v>
      </c>
      <c r="S678" s="0" t="n">
        <v>17.8631051752922</v>
      </c>
      <c r="T678" s="0" t="n">
        <v>0.333889816360598</v>
      </c>
      <c r="U678" s="0" t="n">
        <v>0.927475592747559</v>
      </c>
      <c r="V678" s="0" t="n">
        <v>0.95258019525802</v>
      </c>
      <c r="W678" s="0" t="n">
        <v>0.803347280334728</v>
      </c>
      <c r="X678" s="0" t="n">
        <v>0.16973420898195</v>
      </c>
      <c r="Y678" s="0" t="n">
        <v>5.2951911969626</v>
      </c>
      <c r="Z678" s="0" t="n">
        <v>0.262498043521394</v>
      </c>
      <c r="AA678" s="0" t="n">
        <v>5.55111512312578E-017</v>
      </c>
    </row>
    <row r="679" customFormat="false" ht="15" hidden="false" customHeight="false" outlineLevel="0" collapsed="false">
      <c r="A679" s="0" t="s">
        <v>713</v>
      </c>
      <c r="B679" s="0" t="s">
        <v>3013</v>
      </c>
      <c r="C679" s="0" t="s">
        <v>3038</v>
      </c>
      <c r="D679" s="0" t="n">
        <v>52.8421067723564</v>
      </c>
      <c r="E679" s="0" t="n">
        <v>0.253529937330347</v>
      </c>
      <c r="F679" s="0" t="n">
        <v>6.97319535340457</v>
      </c>
      <c r="G679" s="0" t="n">
        <v>0.291614518147685</v>
      </c>
      <c r="H679" s="0" t="n">
        <v>0.413016270337922</v>
      </c>
      <c r="I679" s="0" t="n">
        <v>0.805671780567178</v>
      </c>
      <c r="J679" s="0" t="n">
        <v>0.442986671507679</v>
      </c>
      <c r="K679" s="0" t="n">
        <v>0.667715717403612</v>
      </c>
      <c r="L679" s="1" t="b">
        <f aca="false">FALSE()</f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60.7874937505332</v>
      </c>
      <c r="S679" s="0" t="n">
        <v>6.00641907381935</v>
      </c>
      <c r="T679" s="0" t="n">
        <v>0.275103163686386</v>
      </c>
      <c r="U679" s="0" t="n">
        <v>0.99302649930265</v>
      </c>
      <c r="V679" s="0" t="n">
        <v>0.743375174337517</v>
      </c>
      <c r="W679" s="0" t="n">
        <v>0.680613668061367</v>
      </c>
      <c r="X679" s="0" t="n">
        <v>0.253529937330347</v>
      </c>
      <c r="Y679" s="0" t="n">
        <v>6.97319535340456</v>
      </c>
      <c r="Z679" s="0" t="n">
        <v>0.442986671507679</v>
      </c>
      <c r="AA679" s="0" t="n">
        <v>-5.55111512312578E-017</v>
      </c>
    </row>
    <row r="680" customFormat="false" ht="15" hidden="false" customHeight="false" outlineLevel="0" collapsed="false">
      <c r="A680" s="0" t="s">
        <v>714</v>
      </c>
      <c r="B680" s="0" t="s">
        <v>3013</v>
      </c>
      <c r="C680" s="0" t="s">
        <v>3033</v>
      </c>
      <c r="D680" s="0" t="n">
        <v>72.4755691545219</v>
      </c>
      <c r="E680" s="0" t="n">
        <v>0.228382673645763</v>
      </c>
      <c r="F680" s="0" t="n">
        <v>8.51821775877639</v>
      </c>
      <c r="G680" s="0" t="n">
        <v>0.166458072590738</v>
      </c>
      <c r="H680" s="0" t="n">
        <v>0.607008760951189</v>
      </c>
      <c r="I680" s="0" t="n">
        <v>0.709437470943747</v>
      </c>
      <c r="J680" s="0" t="n">
        <v>0.45127422760552</v>
      </c>
      <c r="K680" s="0" t="n">
        <v>0.667715717403612</v>
      </c>
      <c r="L680" s="1" t="b">
        <f aca="false">FALSE()</f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32.7301159494663</v>
      </c>
      <c r="S680" s="0" t="n">
        <v>10.8970769403069</v>
      </c>
      <c r="T680" s="0" t="n">
        <v>0.201590323664465</v>
      </c>
      <c r="U680" s="0" t="n">
        <v>0.917712691771269</v>
      </c>
      <c r="V680" s="0" t="n">
        <v>0.892608089260809</v>
      </c>
      <c r="W680" s="0" t="n">
        <v>0.317991631799163</v>
      </c>
      <c r="X680" s="0" t="n">
        <v>0.228382673645763</v>
      </c>
      <c r="Y680" s="0" t="n">
        <v>8.51821775877639</v>
      </c>
      <c r="Z680" s="0" t="n">
        <v>0.45127422760552</v>
      </c>
      <c r="AA680" s="0" t="n">
        <v>0</v>
      </c>
    </row>
    <row r="681" customFormat="false" ht="15" hidden="false" customHeight="false" outlineLevel="0" collapsed="false">
      <c r="A681" s="0" t="s">
        <v>715</v>
      </c>
      <c r="B681" s="0" t="s">
        <v>3013</v>
      </c>
      <c r="C681" s="0" t="s">
        <v>3033</v>
      </c>
      <c r="D681" s="0" t="n">
        <v>54.5991345258673</v>
      </c>
      <c r="E681" s="0" t="n">
        <v>0.231348759053593</v>
      </c>
      <c r="F681" s="0" t="n">
        <v>4.58662113972872</v>
      </c>
      <c r="G681" s="0" t="n">
        <v>0.178973717146433</v>
      </c>
      <c r="H681" s="0" t="n">
        <v>0.0913642052565707</v>
      </c>
      <c r="I681" s="0" t="n">
        <v>0.580660158066016</v>
      </c>
      <c r="J681" s="0" t="n">
        <v>0.224267200574405</v>
      </c>
      <c r="K681" s="0" t="n">
        <v>0.667715717403612</v>
      </c>
      <c r="L681" s="1" t="b">
        <f aca="false">FALSE()</f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6.4018014466039</v>
      </c>
      <c r="S681" s="0" t="n">
        <v>10.1815147089506</v>
      </c>
      <c r="T681" s="0" t="n">
        <v>0.25036511579387</v>
      </c>
      <c r="U681" s="0" t="n">
        <v>0.264993026499303</v>
      </c>
      <c r="V681" s="0" t="n">
        <v>0.887029288702929</v>
      </c>
      <c r="W681" s="0" t="n">
        <v>0.589958158995816</v>
      </c>
      <c r="X681" s="0" t="n">
        <v>0.231348759053593</v>
      </c>
      <c r="Y681" s="0" t="n">
        <v>4.58662113972872</v>
      </c>
      <c r="Z681" s="0" t="n">
        <v>0.224267200574405</v>
      </c>
      <c r="AA681" s="0" t="n">
        <v>0</v>
      </c>
    </row>
    <row r="682" customFormat="false" ht="15" hidden="false" customHeight="false" outlineLevel="0" collapsed="false">
      <c r="A682" s="0" t="s">
        <v>716</v>
      </c>
      <c r="B682" s="0" t="s">
        <v>3013</v>
      </c>
      <c r="C682" s="0" t="s">
        <v>3034</v>
      </c>
      <c r="D682" s="0" t="n">
        <v>-37.3074762187602</v>
      </c>
      <c r="E682" s="0" t="n">
        <v>0.357330562747571</v>
      </c>
      <c r="F682" s="0" t="n">
        <v>10.7237354661435</v>
      </c>
      <c r="G682" s="0" t="n">
        <v>0.83729662077597</v>
      </c>
      <c r="H682" s="0" t="n">
        <v>0.858573216520651</v>
      </c>
      <c r="I682" s="0" t="n">
        <v>0.537889353788935</v>
      </c>
      <c r="J682" s="0" t="n">
        <v>0.785925805676435</v>
      </c>
      <c r="K682" s="0" t="n">
        <v>0.667715717403612</v>
      </c>
      <c r="L682" s="1" t="b">
        <f aca="false">TRUE()</f>
        <v>1</v>
      </c>
      <c r="M682" s="0" t="s">
        <v>3035</v>
      </c>
      <c r="N682" s="0" t="n">
        <v>0</v>
      </c>
      <c r="O682" s="0" t="n">
        <v>0</v>
      </c>
      <c r="P682" s="0" t="n">
        <v>1</v>
      </c>
      <c r="Q682" s="0" t="n">
        <v>37.3074762187602</v>
      </c>
      <c r="R682" s="0" t="n">
        <v>10.3638899403463</v>
      </c>
      <c r="S682" s="0" t="n">
        <v>9.6504005826657</v>
      </c>
      <c r="T682" s="0" t="n">
        <v>0.182083029861627</v>
      </c>
      <c r="U682" s="0" t="n">
        <v>0.523012552301255</v>
      </c>
      <c r="V682" s="0" t="n">
        <v>0.871687587168759</v>
      </c>
      <c r="W682" s="0" t="n">
        <v>0.218967921896792</v>
      </c>
      <c r="X682" s="0" t="n">
        <v>0.357330562747571</v>
      </c>
      <c r="Y682" s="0" t="n">
        <v>10.7237354661435</v>
      </c>
      <c r="Z682" s="0" t="n">
        <v>0.785925805676435</v>
      </c>
      <c r="AA682" s="0" t="n">
        <v>0</v>
      </c>
    </row>
    <row r="683" customFormat="false" ht="15" hidden="false" customHeight="false" outlineLevel="0" collapsed="false">
      <c r="A683" s="0" t="s">
        <v>717</v>
      </c>
      <c r="B683" s="0" t="s">
        <v>3013</v>
      </c>
      <c r="C683" s="0" t="s">
        <v>3033</v>
      </c>
      <c r="D683" s="0" t="n">
        <v>39.8506179981781</v>
      </c>
      <c r="E683" s="0" t="n">
        <v>0.302361070224927</v>
      </c>
      <c r="F683" s="0" t="n">
        <v>7.42121826723363</v>
      </c>
      <c r="G683" s="0" t="n">
        <v>0.579474342928661</v>
      </c>
      <c r="H683" s="0" t="n">
        <v>0.46558197747184</v>
      </c>
      <c r="I683" s="0" t="n">
        <v>0.361692236169224</v>
      </c>
      <c r="J683" s="0" t="n">
        <v>0.490360975394045</v>
      </c>
      <c r="K683" s="0" t="n">
        <v>0.667715717403612</v>
      </c>
      <c r="L683" s="1" t="b">
        <f aca="false">FALSE()</f>
        <v>0</v>
      </c>
      <c r="N683" s="0" t="n">
        <v>37.3074762187607</v>
      </c>
      <c r="O683" s="0" t="n">
        <v>1</v>
      </c>
      <c r="P683" s="0" t="n">
        <v>0</v>
      </c>
      <c r="Q683" s="0" t="n">
        <v>0</v>
      </c>
      <c r="R683" s="0" t="n">
        <v>5.94946733364258</v>
      </c>
      <c r="S683" s="0" t="n">
        <v>2.72215269086358</v>
      </c>
      <c r="T683" s="0" t="n">
        <v>0.219023779724661</v>
      </c>
      <c r="U683" s="0" t="n">
        <v>0.223152022315202</v>
      </c>
      <c r="V683" s="0" t="n">
        <v>0.428172942817294</v>
      </c>
      <c r="W683" s="0" t="n">
        <v>0.433751743375174</v>
      </c>
      <c r="X683" s="0" t="n">
        <v>0.302361070224927</v>
      </c>
      <c r="Y683" s="0" t="n">
        <v>7.42121826723363</v>
      </c>
      <c r="Z683" s="0" t="n">
        <v>0.490360975394045</v>
      </c>
      <c r="AA683" s="0" t="n">
        <v>0</v>
      </c>
    </row>
    <row r="684" customFormat="false" ht="15" hidden="false" customHeight="false" outlineLevel="0" collapsed="false">
      <c r="A684" s="0" t="s">
        <v>718</v>
      </c>
      <c r="B684" s="0" t="s">
        <v>3013</v>
      </c>
      <c r="C684" s="0" t="s">
        <v>3033</v>
      </c>
      <c r="D684" s="0" t="n">
        <v>47.6465478507115</v>
      </c>
      <c r="E684" s="0" t="n">
        <v>0.25680768683434</v>
      </c>
      <c r="F684" s="0" t="n">
        <v>6.04892133944276</v>
      </c>
      <c r="G684" s="0" t="n">
        <v>0.307884856070088</v>
      </c>
      <c r="H684" s="0" t="n">
        <v>0.271589486858573</v>
      </c>
      <c r="I684" s="0" t="n">
        <v>0.466759646675965</v>
      </c>
      <c r="J684" s="0" t="n">
        <v>0.325141666506657</v>
      </c>
      <c r="K684" s="0" t="n">
        <v>0.667715717403612</v>
      </c>
      <c r="L684" s="1" t="b">
        <f aca="false">FALSE()</f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9.72869088427517</v>
      </c>
      <c r="S684" s="0" t="n">
        <v>5.27673080737949</v>
      </c>
      <c r="T684" s="0" t="n">
        <v>0.178536004760956</v>
      </c>
      <c r="U684" s="0" t="n">
        <v>0.489539748953975</v>
      </c>
      <c r="V684" s="0" t="n">
        <v>0.707112970711297</v>
      </c>
      <c r="W684" s="0" t="n">
        <v>0.203626220362622</v>
      </c>
      <c r="X684" s="0" t="n">
        <v>0.25680768683434</v>
      </c>
      <c r="Y684" s="0" t="n">
        <v>6.04892133944276</v>
      </c>
      <c r="Z684" s="0" t="n">
        <v>0.325141666506657</v>
      </c>
      <c r="AA684" s="0" t="n">
        <v>-5.55111512312578E-017</v>
      </c>
    </row>
    <row r="685" customFormat="false" ht="15" hidden="false" customHeight="false" outlineLevel="0" collapsed="false">
      <c r="A685" s="0" t="s">
        <v>719</v>
      </c>
      <c r="B685" s="0" t="s">
        <v>3013</v>
      </c>
      <c r="C685" s="0" t="s">
        <v>3034</v>
      </c>
      <c r="D685" s="0" t="n">
        <v>-17.313971691366</v>
      </c>
      <c r="E685" s="0" t="n">
        <v>0.381748309657286</v>
      </c>
      <c r="F685" s="0" t="n">
        <v>13.5963264626207</v>
      </c>
      <c r="G685" s="0" t="n">
        <v>0.904881101376721</v>
      </c>
      <c r="H685" s="0" t="n">
        <v>0.964956195244055</v>
      </c>
      <c r="I685" s="0" t="n">
        <v>0.540678754067876</v>
      </c>
      <c r="J685" s="0" t="n">
        <v>0.856070669461886</v>
      </c>
      <c r="K685" s="0" t="n">
        <v>0.667715717403612</v>
      </c>
      <c r="L685" s="1" t="b">
        <f aca="false">TRUE()</f>
        <v>1</v>
      </c>
      <c r="M685" s="0" t="s">
        <v>3035</v>
      </c>
      <c r="N685" s="0" t="n">
        <v>0</v>
      </c>
      <c r="O685" s="0" t="n">
        <v>0</v>
      </c>
      <c r="P685" s="0" t="n">
        <v>1</v>
      </c>
      <c r="Q685" s="0" t="n">
        <v>17.313971691366</v>
      </c>
      <c r="R685" s="0" t="n">
        <v>6.17676301752951</v>
      </c>
      <c r="S685" s="0" t="n">
        <v>9.95754534928599</v>
      </c>
      <c r="T685" s="0" t="n">
        <v>0.231570822076427</v>
      </c>
      <c r="U685" s="0" t="n">
        <v>0.237099023709902</v>
      </c>
      <c r="V685" s="0" t="n">
        <v>0.878661087866109</v>
      </c>
      <c r="W685" s="0" t="n">
        <v>0.506276150627615</v>
      </c>
      <c r="X685" s="0" t="n">
        <v>0.381748309657286</v>
      </c>
      <c r="Y685" s="0" t="n">
        <v>13.5963264626207</v>
      </c>
      <c r="Z685" s="0" t="n">
        <v>0.856070669461886</v>
      </c>
      <c r="AA685" s="0" t="n">
        <v>0</v>
      </c>
    </row>
    <row r="686" customFormat="false" ht="15" hidden="false" customHeight="false" outlineLevel="0" collapsed="false">
      <c r="A686" s="0" t="s">
        <v>720</v>
      </c>
      <c r="B686" s="0" t="s">
        <v>3013</v>
      </c>
      <c r="C686" s="0" t="s">
        <v>3033</v>
      </c>
      <c r="D686" s="0" t="n">
        <v>30.9670785576605</v>
      </c>
      <c r="E686" s="0" t="n">
        <v>0.259080368611999</v>
      </c>
      <c r="F686" s="0" t="n">
        <v>6.55241932176703</v>
      </c>
      <c r="G686" s="0" t="n">
        <v>0.32540675844806</v>
      </c>
      <c r="H686" s="0" t="n">
        <v>0.351689612015019</v>
      </c>
      <c r="I686" s="0" t="n">
        <v>0.538819153881915</v>
      </c>
      <c r="J686" s="0" t="n">
        <v>0.378602378961615</v>
      </c>
      <c r="K686" s="0" t="n">
        <v>0.667715717403612</v>
      </c>
      <c r="L686" s="1" t="b">
        <f aca="false">FALSE()</f>
        <v>0</v>
      </c>
      <c r="N686" s="0" t="n">
        <v>17.3139716913665</v>
      </c>
      <c r="O686" s="0" t="n">
        <v>1</v>
      </c>
      <c r="P686" s="0" t="n">
        <v>0</v>
      </c>
      <c r="Q686" s="0" t="n">
        <v>0</v>
      </c>
      <c r="R686" s="0" t="n">
        <v>11.3929046617325</v>
      </c>
      <c r="S686" s="0" t="n">
        <v>5.12260257344016</v>
      </c>
      <c r="T686" s="0" t="n">
        <v>0.206360767176498</v>
      </c>
      <c r="U686" s="0" t="n">
        <v>0.566248256624826</v>
      </c>
      <c r="V686" s="0" t="n">
        <v>0.697350069735007</v>
      </c>
      <c r="W686" s="0" t="n">
        <v>0.352859135285914</v>
      </c>
      <c r="X686" s="0" t="n">
        <v>0.259080368611999</v>
      </c>
      <c r="Y686" s="0" t="n">
        <v>6.55241932176703</v>
      </c>
      <c r="Z686" s="0" t="n">
        <v>0.378602378961615</v>
      </c>
      <c r="AA686" s="0" t="n">
        <v>5.55111512312578E-017</v>
      </c>
    </row>
    <row r="687" customFormat="false" ht="15" hidden="false" customHeight="false" outlineLevel="0" collapsed="false">
      <c r="A687" s="0" t="s">
        <v>721</v>
      </c>
      <c r="B687" s="0" t="s">
        <v>3013</v>
      </c>
      <c r="C687" s="0" t="s">
        <v>3036</v>
      </c>
      <c r="D687" s="0" t="n">
        <v>50.2811123331294</v>
      </c>
      <c r="E687" s="0" t="n">
        <v>0.2650672529219</v>
      </c>
      <c r="F687" s="0" t="n">
        <v>4.11674662272448</v>
      </c>
      <c r="G687" s="0" t="n">
        <v>0.370463078848561</v>
      </c>
      <c r="H687" s="0" t="n">
        <v>0.0613266583229036</v>
      </c>
      <c r="I687" s="0" t="n">
        <v>0.535564853556485</v>
      </c>
      <c r="J687" s="0" t="n">
        <v>0.279828865579883</v>
      </c>
      <c r="K687" s="0" t="n">
        <v>0.667715717403612</v>
      </c>
      <c r="L687" s="1" t="b">
        <f aca="false">FALSE()</f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7.3753850532216</v>
      </c>
      <c r="S687" s="0" t="n">
        <v>7.08765315739869</v>
      </c>
      <c r="T687" s="0" t="n">
        <v>0.226201696512732</v>
      </c>
      <c r="U687" s="0" t="n">
        <v>0.344490934449094</v>
      </c>
      <c r="V687" s="0" t="n">
        <v>0.789400278940028</v>
      </c>
      <c r="W687" s="0" t="n">
        <v>0.472803347280335</v>
      </c>
      <c r="X687" s="0" t="n">
        <v>0.2650672529219</v>
      </c>
      <c r="Y687" s="0" t="n">
        <v>4.11674662272448</v>
      </c>
      <c r="Z687" s="0" t="n">
        <v>0.279828865579883</v>
      </c>
      <c r="AA687" s="0" t="n">
        <v>0</v>
      </c>
    </row>
    <row r="688" customFormat="false" ht="15" hidden="false" customHeight="false" outlineLevel="0" collapsed="false">
      <c r="A688" s="0" t="s">
        <v>722</v>
      </c>
      <c r="B688" s="0" t="s">
        <v>3013</v>
      </c>
      <c r="C688" s="0" t="s">
        <v>3033</v>
      </c>
      <c r="D688" s="0" t="n">
        <v>10.9921807874669</v>
      </c>
      <c r="E688" s="0" t="n">
        <v>0.292354846009273</v>
      </c>
      <c r="F688" s="0" t="n">
        <v>8.00218308109179</v>
      </c>
      <c r="G688" s="0" t="n">
        <v>0.538172715894869</v>
      </c>
      <c r="H688" s="0" t="n">
        <v>0.543178973717146</v>
      </c>
      <c r="I688" s="0" t="n">
        <v>0.572756857275686</v>
      </c>
      <c r="J688" s="0" t="n">
        <v>0.547092047299943</v>
      </c>
      <c r="K688" s="0" t="n">
        <v>0.667715717403612</v>
      </c>
      <c r="L688" s="1" t="b">
        <f aca="false">FALSE()</f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11.4850814836307</v>
      </c>
      <c r="S688" s="0" t="n">
        <v>6.90909090909092</v>
      </c>
      <c r="T688" s="0" t="n">
        <v>0.207792207792211</v>
      </c>
      <c r="U688" s="0" t="n">
        <v>0.571827057182706</v>
      </c>
      <c r="V688" s="0" t="n">
        <v>0.783821478382148</v>
      </c>
      <c r="W688" s="0" t="n">
        <v>0.362622036262204</v>
      </c>
      <c r="X688" s="0" t="n">
        <v>0.292354846009273</v>
      </c>
      <c r="Y688" s="0" t="n">
        <v>8.00218308109179</v>
      </c>
      <c r="Z688" s="0" t="n">
        <v>0.547092047299943</v>
      </c>
      <c r="AA688" s="0" t="n">
        <v>0</v>
      </c>
    </row>
    <row r="689" customFormat="false" ht="15" hidden="false" customHeight="false" outlineLevel="0" collapsed="false">
      <c r="A689" s="0" t="s">
        <v>723</v>
      </c>
      <c r="B689" s="0" t="s">
        <v>33</v>
      </c>
      <c r="C689" s="0" t="s">
        <v>33</v>
      </c>
      <c r="D689" s="0" t="n">
        <v>13.3975829478092</v>
      </c>
      <c r="E689" s="0" t="n">
        <v>0.351460392171585</v>
      </c>
      <c r="F689" s="0" t="n">
        <v>10.5876915043217</v>
      </c>
      <c r="G689" s="0" t="n">
        <v>0.821026282853567</v>
      </c>
      <c r="H689" s="0" t="n">
        <v>0.848560700876095</v>
      </c>
      <c r="I689" s="0" t="n">
        <v>0.5</v>
      </c>
      <c r="J689" s="0" t="n">
        <v>0.767834793491865</v>
      </c>
      <c r="K689" s="0" t="n">
        <v>0.667715717403612</v>
      </c>
      <c r="L689" s="1" t="b">
        <f aca="false">TRUE()</f>
        <v>1</v>
      </c>
      <c r="M689" s="0" t="s">
        <v>3035</v>
      </c>
      <c r="N689" s="0" t="n">
        <v>0</v>
      </c>
      <c r="O689" s="0" t="n">
        <v>0</v>
      </c>
      <c r="P689" s="0" t="n">
        <v>0</v>
      </c>
      <c r="Q689" s="0" t="n">
        <v>0</v>
      </c>
      <c r="U689" s="0" t="n">
        <v>0.5</v>
      </c>
      <c r="V689" s="0" t="n">
        <v>0.5</v>
      </c>
      <c r="W689" s="0" t="n">
        <v>0.5</v>
      </c>
      <c r="X689" s="0" t="n">
        <v>0.351460392171585</v>
      </c>
      <c r="Y689" s="0" t="n">
        <v>10.5876915043217</v>
      </c>
      <c r="Z689" s="0" t="n">
        <v>0.767834793491865</v>
      </c>
      <c r="AA689" s="0" t="n">
        <v>0</v>
      </c>
    </row>
    <row r="690" customFormat="false" ht="15" hidden="false" customHeight="false" outlineLevel="0" collapsed="false">
      <c r="A690" s="0" t="s">
        <v>724</v>
      </c>
      <c r="B690" s="0" t="s">
        <v>3013</v>
      </c>
      <c r="C690" s="0" t="s">
        <v>3034</v>
      </c>
      <c r="D690" s="0" t="n">
        <v>-44.2936509681363</v>
      </c>
      <c r="E690" s="0" t="n">
        <v>0.347334863441508</v>
      </c>
      <c r="F690" s="0" t="n">
        <v>11.8190163537978</v>
      </c>
      <c r="G690" s="0" t="n">
        <v>0.807259073842303</v>
      </c>
      <c r="H690" s="0" t="n">
        <v>0.912390488110138</v>
      </c>
      <c r="I690" s="0" t="n">
        <v>0.499767549976755</v>
      </c>
      <c r="J690" s="0" t="n">
        <v>0.787813334776327</v>
      </c>
      <c r="K690" s="0" t="n">
        <v>0.667715717403612</v>
      </c>
      <c r="L690" s="1" t="b">
        <f aca="false">TRUE()</f>
        <v>1</v>
      </c>
      <c r="M690" s="0" t="s">
        <v>3035</v>
      </c>
      <c r="N690" s="0" t="n">
        <v>0</v>
      </c>
      <c r="O690" s="0" t="n">
        <v>0</v>
      </c>
      <c r="P690" s="0" t="n">
        <v>1</v>
      </c>
      <c r="Q690" s="0" t="n">
        <v>44.2936509681363</v>
      </c>
      <c r="R690" s="0" t="n">
        <v>5.79825618431384</v>
      </c>
      <c r="S690" s="0" t="n">
        <v>7.80542986425339</v>
      </c>
      <c r="T690" s="0" t="n">
        <v>0.226244343891401</v>
      </c>
      <c r="U690" s="0" t="n">
        <v>0.207810320781032</v>
      </c>
      <c r="V690" s="0" t="n">
        <v>0.817294281729428</v>
      </c>
      <c r="W690" s="0" t="n">
        <v>0.474198047419805</v>
      </c>
      <c r="X690" s="0" t="n">
        <v>0.347334863441508</v>
      </c>
      <c r="Y690" s="0" t="n">
        <v>11.8190163537978</v>
      </c>
      <c r="Z690" s="0" t="n">
        <v>0.787813334776327</v>
      </c>
      <c r="AA690" s="0" t="n">
        <v>0</v>
      </c>
    </row>
    <row r="691" customFormat="false" ht="15" hidden="false" customHeight="false" outlineLevel="0" collapsed="false">
      <c r="A691" s="0" t="s">
        <v>725</v>
      </c>
      <c r="B691" s="0" t="s">
        <v>3013</v>
      </c>
      <c r="C691" s="0" t="s">
        <v>3036</v>
      </c>
      <c r="D691" s="0" t="n">
        <v>25.3690211888177</v>
      </c>
      <c r="E691" s="0" t="n">
        <v>0.245265469194749</v>
      </c>
      <c r="F691" s="0" t="n">
        <v>6.6105394108325</v>
      </c>
      <c r="G691" s="0" t="n">
        <v>0.245306633291615</v>
      </c>
      <c r="H691" s="0" t="n">
        <v>0.362953692115144</v>
      </c>
      <c r="I691" s="0" t="n">
        <v>0.145513714551372</v>
      </c>
      <c r="J691" s="0" t="n">
        <v>0.272406873072978</v>
      </c>
      <c r="K691" s="0" t="n">
        <v>0.667715717403612</v>
      </c>
      <c r="L691" s="1" t="b">
        <f aca="false">FALSE()</f>
        <v>0</v>
      </c>
      <c r="N691" s="0" t="n">
        <v>44.2936509681367</v>
      </c>
      <c r="O691" s="0" t="n">
        <v>1</v>
      </c>
      <c r="P691" s="0" t="n">
        <v>0</v>
      </c>
      <c r="Q691" s="0" t="n">
        <v>0</v>
      </c>
      <c r="R691" s="0" t="n">
        <v>6.16906759228682</v>
      </c>
      <c r="S691" s="0" t="n">
        <v>1.5904879555281</v>
      </c>
      <c r="T691" s="0" t="n">
        <v>0.123533045089563</v>
      </c>
      <c r="U691" s="0" t="n">
        <v>0.235704323570432</v>
      </c>
      <c r="V691" s="0" t="n">
        <v>0.153417015341702</v>
      </c>
      <c r="W691" s="0" t="n">
        <v>0.0474198047419805</v>
      </c>
      <c r="X691" s="0" t="n">
        <v>0.245265469194749</v>
      </c>
      <c r="Y691" s="0" t="n">
        <v>6.6105394108325</v>
      </c>
      <c r="Z691" s="0" t="n">
        <v>0.272406873072978</v>
      </c>
      <c r="AA691" s="0" t="n">
        <v>5.55111512312578E-017</v>
      </c>
    </row>
    <row r="692" customFormat="false" ht="15" hidden="false" customHeight="false" outlineLevel="0" collapsed="false">
      <c r="A692" s="0" t="s">
        <v>726</v>
      </c>
      <c r="B692" s="0" t="s">
        <v>3013</v>
      </c>
      <c r="C692" s="0" t="s">
        <v>3033</v>
      </c>
      <c r="D692" s="0" t="n">
        <v>47.0588253177228</v>
      </c>
      <c r="E692" s="0" t="n">
        <v>0.242288338544808</v>
      </c>
      <c r="F692" s="0" t="n">
        <v>5.56772983790861</v>
      </c>
      <c r="G692" s="0" t="n">
        <v>0.23279098873592</v>
      </c>
      <c r="H692" s="0" t="n">
        <v>0.211514392991239</v>
      </c>
      <c r="I692" s="0" t="n">
        <v>0.493723849372385</v>
      </c>
      <c r="J692" s="0" t="n">
        <v>0.276466922565341</v>
      </c>
      <c r="K692" s="0" t="n">
        <v>0.667715717403612</v>
      </c>
      <c r="L692" s="1" t="b">
        <f aca="false">FALSE()</f>
        <v>0</v>
      </c>
      <c r="N692" s="0" t="n">
        <v>18.9246297793197</v>
      </c>
      <c r="O692" s="0" t="n">
        <v>0</v>
      </c>
      <c r="P692" s="0" t="n">
        <v>0</v>
      </c>
      <c r="Q692" s="0" t="n">
        <v>0</v>
      </c>
      <c r="R692" s="0" t="n">
        <v>7.33142141363163</v>
      </c>
      <c r="S692" s="0" t="n">
        <v>5.37313432835821</v>
      </c>
      <c r="T692" s="0" t="n">
        <v>0.21890547263682</v>
      </c>
      <c r="U692" s="0" t="n">
        <v>0.338912133891213</v>
      </c>
      <c r="V692" s="0" t="n">
        <v>0.712691771269177</v>
      </c>
      <c r="W692" s="0" t="n">
        <v>0.429567642956764</v>
      </c>
      <c r="X692" s="0" t="n">
        <v>0.242288338544808</v>
      </c>
      <c r="Y692" s="0" t="n">
        <v>5.56772983790861</v>
      </c>
      <c r="Z692" s="0" t="n">
        <v>0.276466922565341</v>
      </c>
      <c r="AA692" s="0" t="n">
        <v>0</v>
      </c>
    </row>
    <row r="693" customFormat="false" ht="15" hidden="false" customHeight="false" outlineLevel="0" collapsed="false">
      <c r="A693" s="0" t="s">
        <v>727</v>
      </c>
      <c r="B693" s="0" t="s">
        <v>3013</v>
      </c>
      <c r="C693" s="0" t="s">
        <v>3036</v>
      </c>
      <c r="D693" s="0" t="n">
        <v>24.8227457753986</v>
      </c>
      <c r="E693" s="0" t="n">
        <v>0.254060397315033</v>
      </c>
      <c r="F693" s="0" t="n">
        <v>5.73978827910694</v>
      </c>
      <c r="G693" s="0" t="n">
        <v>0.295369211514393</v>
      </c>
      <c r="H693" s="0" t="n">
        <v>0.23153942428035</v>
      </c>
      <c r="I693" s="0" t="n">
        <v>0.130636913063691</v>
      </c>
      <c r="J693" s="0" t="n">
        <v>0.236890836930636</v>
      </c>
      <c r="K693" s="0" t="n">
        <v>0.667715717403612</v>
      </c>
      <c r="L693" s="1" t="b">
        <f aca="false">FALSE()</f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4.91261441479115</v>
      </c>
      <c r="S693" s="0" t="n">
        <v>1.5030380556444</v>
      </c>
      <c r="T693" s="0" t="n">
        <v>0.159897665494084</v>
      </c>
      <c r="U693" s="0" t="n">
        <v>0.125523012552301</v>
      </c>
      <c r="V693" s="0" t="n">
        <v>0.132496513249651</v>
      </c>
      <c r="W693" s="0" t="n">
        <v>0.133891213389121</v>
      </c>
      <c r="X693" s="0" t="n">
        <v>0.254060397315033</v>
      </c>
      <c r="Y693" s="0" t="n">
        <v>5.73978827910694</v>
      </c>
      <c r="Z693" s="0" t="n">
        <v>0.236890836930636</v>
      </c>
      <c r="AA693" s="0" t="n">
        <v>5.55111512312578E-017</v>
      </c>
    </row>
    <row r="694" customFormat="false" ht="15" hidden="false" customHeight="false" outlineLevel="0" collapsed="false">
      <c r="A694" s="0" t="s">
        <v>728</v>
      </c>
      <c r="B694" s="0" t="s">
        <v>3013</v>
      </c>
      <c r="C694" s="0" t="s">
        <v>3033</v>
      </c>
      <c r="D694" s="0" t="n">
        <v>9.64373114615544</v>
      </c>
      <c r="E694" s="0" t="n">
        <v>0.277667480707349</v>
      </c>
      <c r="F694" s="0" t="n">
        <v>6.05671731555936</v>
      </c>
      <c r="G694" s="0" t="n">
        <v>0.450563204005006</v>
      </c>
      <c r="H694" s="0" t="n">
        <v>0.274092615769712</v>
      </c>
      <c r="I694" s="0" t="n">
        <v>0.362622036262204</v>
      </c>
      <c r="J694" s="0" t="n">
        <v>0.362386735162328</v>
      </c>
      <c r="K694" s="0" t="n">
        <v>0.667715717403612</v>
      </c>
      <c r="L694" s="1" t="b">
        <f aca="false">FALSE()</f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8.29753138610151</v>
      </c>
      <c r="S694" s="0" t="n">
        <v>2.44873581524984</v>
      </c>
      <c r="T694" s="0" t="n">
        <v>0.199084212621928</v>
      </c>
      <c r="U694" s="0" t="n">
        <v>0.401673640167364</v>
      </c>
      <c r="V694" s="0" t="n">
        <v>0.376569037656904</v>
      </c>
      <c r="W694" s="0" t="n">
        <v>0.309623430962343</v>
      </c>
      <c r="X694" s="0" t="n">
        <v>0.277667480707349</v>
      </c>
      <c r="Y694" s="0" t="n">
        <v>6.05671731555936</v>
      </c>
      <c r="Z694" s="0" t="n">
        <v>0.362386735162328</v>
      </c>
      <c r="AA694" s="0" t="n">
        <v>-5.55111512312578E-017</v>
      </c>
    </row>
    <row r="695" customFormat="false" ht="15" hidden="false" customHeight="false" outlineLevel="0" collapsed="false">
      <c r="A695" s="0" t="s">
        <v>729</v>
      </c>
      <c r="B695" s="0" t="s">
        <v>3013</v>
      </c>
      <c r="C695" s="0" t="s">
        <v>3033</v>
      </c>
      <c r="D695" s="0" t="n">
        <v>41.7395977026985</v>
      </c>
      <c r="E695" s="0" t="n">
        <v>0.248286452346007</v>
      </c>
      <c r="F695" s="0" t="n">
        <v>5.14724845899183</v>
      </c>
      <c r="G695" s="0" t="n">
        <v>0.254067584480601</v>
      </c>
      <c r="H695" s="0" t="n">
        <v>0.152690863579474</v>
      </c>
      <c r="I695" s="0" t="n">
        <v>0.285913528591353</v>
      </c>
      <c r="J695" s="0" t="n">
        <v>0.219886084942301</v>
      </c>
      <c r="K695" s="0" t="n">
        <v>0.667715717403612</v>
      </c>
      <c r="L695" s="1" t="b">
        <f aca="false">FALSE()</f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5.14850084301732</v>
      </c>
      <c r="S695" s="0" t="n">
        <v>2.38204306000917</v>
      </c>
      <c r="T695" s="0" t="n">
        <v>0.206138341731563</v>
      </c>
      <c r="U695" s="0" t="n">
        <v>0.143654114365411</v>
      </c>
      <c r="V695" s="0" t="n">
        <v>0.364016736401674</v>
      </c>
      <c r="W695" s="0" t="n">
        <v>0.350069735006974</v>
      </c>
      <c r="X695" s="0" t="n">
        <v>0.248286452346007</v>
      </c>
      <c r="Y695" s="0" t="n">
        <v>5.14724845899183</v>
      </c>
      <c r="Z695" s="0" t="n">
        <v>0.219886084942301</v>
      </c>
      <c r="AA695" s="0" t="n">
        <v>0</v>
      </c>
    </row>
    <row r="696" customFormat="false" ht="15" hidden="false" customHeight="false" outlineLevel="0" collapsed="false">
      <c r="A696" s="0" t="s">
        <v>730</v>
      </c>
      <c r="B696" s="0" t="s">
        <v>3013</v>
      </c>
      <c r="C696" s="0" t="s">
        <v>3036</v>
      </c>
      <c r="D696" s="0" t="n">
        <v>3.5691091946709</v>
      </c>
      <c r="E696" s="0" t="n">
        <v>0.324922608369108</v>
      </c>
      <c r="F696" s="0" t="n">
        <v>5.85447425911946</v>
      </c>
      <c r="G696" s="0" t="n">
        <v>0.703379224030038</v>
      </c>
      <c r="H696" s="0" t="n">
        <v>0.246558197747184</v>
      </c>
      <c r="I696" s="0" t="n">
        <v>0.287308228730823</v>
      </c>
      <c r="J696" s="0" t="n">
        <v>0.437436614457053</v>
      </c>
      <c r="K696" s="0" t="n">
        <v>0.667715717403612</v>
      </c>
      <c r="L696" s="1" t="b">
        <f aca="false">FALSE()</f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4.83598450096732</v>
      </c>
      <c r="S696" s="0" t="n">
        <v>1.38979370249728</v>
      </c>
      <c r="T696" s="0" t="n">
        <v>0.260586319218239</v>
      </c>
      <c r="U696" s="0" t="n">
        <v>0.119944211994421</v>
      </c>
      <c r="V696" s="0" t="n">
        <v>0.104602510460251</v>
      </c>
      <c r="W696" s="0" t="n">
        <v>0.637377963737796</v>
      </c>
      <c r="X696" s="0" t="n">
        <v>0.324922608369108</v>
      </c>
      <c r="Y696" s="0" t="n">
        <v>5.85447425911946</v>
      </c>
      <c r="Z696" s="0" t="n">
        <v>0.437436614457053</v>
      </c>
      <c r="AA696" s="0" t="n">
        <v>0</v>
      </c>
    </row>
    <row r="697" customFormat="false" ht="15" hidden="false" customHeight="false" outlineLevel="0" collapsed="false">
      <c r="A697" s="0" t="s">
        <v>731</v>
      </c>
      <c r="B697" s="0" t="s">
        <v>3013</v>
      </c>
      <c r="C697" s="0" t="s">
        <v>3033</v>
      </c>
      <c r="D697" s="0" t="n">
        <v>32.736964709615</v>
      </c>
      <c r="E697" s="0" t="n">
        <v>0.271648531039677</v>
      </c>
      <c r="F697" s="0" t="n">
        <v>6.50062799870078</v>
      </c>
      <c r="G697" s="0" t="n">
        <v>0.399249061326658</v>
      </c>
      <c r="H697" s="0" t="n">
        <v>0.341677096370463</v>
      </c>
      <c r="I697" s="0" t="n">
        <v>0.206880520688052</v>
      </c>
      <c r="J697" s="0" t="n">
        <v>0.337746567216459</v>
      </c>
      <c r="K697" s="0" t="n">
        <v>0.667715717403612</v>
      </c>
      <c r="L697" s="1" t="b">
        <f aca="false">FALSE()</f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5.30690613335184</v>
      </c>
      <c r="S697" s="0" t="n">
        <v>2.32558139534883</v>
      </c>
      <c r="T697" s="0" t="n">
        <v>0.158562367864699</v>
      </c>
      <c r="U697" s="0" t="n">
        <v>0.147838214783822</v>
      </c>
      <c r="V697" s="0" t="n">
        <v>0.345885634588564</v>
      </c>
      <c r="W697" s="0" t="n">
        <v>0.126917712691771</v>
      </c>
      <c r="X697" s="0" t="n">
        <v>0.271648531039677</v>
      </c>
      <c r="Y697" s="0" t="n">
        <v>6.50062799870078</v>
      </c>
      <c r="Z697" s="0" t="n">
        <v>0.337746567216459</v>
      </c>
      <c r="AA697" s="0" t="n">
        <v>0</v>
      </c>
    </row>
    <row r="698" customFormat="false" ht="15" hidden="false" customHeight="false" outlineLevel="0" collapsed="false">
      <c r="A698" s="0" t="s">
        <v>732</v>
      </c>
      <c r="B698" s="0" t="s">
        <v>3013</v>
      </c>
      <c r="C698" s="0" t="s">
        <v>3034</v>
      </c>
      <c r="D698" s="0" t="n">
        <v>25.1612060429777</v>
      </c>
      <c r="E698" s="0" t="n">
        <v>0.315822881553462</v>
      </c>
      <c r="F698" s="0" t="n">
        <v>10.4746706226825</v>
      </c>
      <c r="G698" s="0" t="n">
        <v>0.643304130162703</v>
      </c>
      <c r="H698" s="0" t="n">
        <v>0.83729662077597</v>
      </c>
      <c r="I698" s="0" t="n">
        <v>0.372384937238494</v>
      </c>
      <c r="J698" s="0" t="n">
        <v>0.666717287823168</v>
      </c>
      <c r="K698" s="0" t="n">
        <v>0.667715717403612</v>
      </c>
      <c r="L698" s="1" t="b">
        <f aca="false">FALSE()</f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6.95993040069512</v>
      </c>
      <c r="S698" s="0" t="n">
        <v>2.59832710446697</v>
      </c>
      <c r="T698" s="0" t="n">
        <v>0.213561131873997</v>
      </c>
      <c r="U698" s="0" t="n">
        <v>0.308228730822873</v>
      </c>
      <c r="V698" s="0" t="n">
        <v>0.408647140864714</v>
      </c>
      <c r="W698" s="0" t="n">
        <v>0.400278940027894</v>
      </c>
      <c r="X698" s="0" t="n">
        <v>0.315822881553462</v>
      </c>
      <c r="Y698" s="0" t="n">
        <v>10.4746706226825</v>
      </c>
      <c r="Z698" s="0" t="n">
        <v>0.666717287823168</v>
      </c>
      <c r="AA698" s="0" t="n">
        <v>0</v>
      </c>
    </row>
    <row r="699" customFormat="false" ht="15" hidden="false" customHeight="false" outlineLevel="0" collapsed="false">
      <c r="A699" s="0" t="s">
        <v>733</v>
      </c>
      <c r="B699" s="0" t="s">
        <v>3013</v>
      </c>
      <c r="C699" s="0" t="s">
        <v>3036</v>
      </c>
      <c r="D699" s="0" t="n">
        <v>11.3073635188515</v>
      </c>
      <c r="E699" s="0" t="n">
        <v>0.340582773685599</v>
      </c>
      <c r="F699" s="0" t="n">
        <v>7.19177952868215</v>
      </c>
      <c r="G699" s="0" t="n">
        <v>0.785982478097622</v>
      </c>
      <c r="H699" s="0" t="n">
        <v>0.44305381727159</v>
      </c>
      <c r="I699" s="0" t="n">
        <v>0.169223616922362</v>
      </c>
      <c r="J699" s="0" t="n">
        <v>0.525459241532157</v>
      </c>
      <c r="K699" s="0" t="n">
        <v>0.667715717403612</v>
      </c>
      <c r="L699" s="1" t="b">
        <f aca="false">FALSE()</f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7.74444531160828</v>
      </c>
      <c r="S699" s="0" t="n">
        <v>0.817995910020455</v>
      </c>
      <c r="T699" s="0" t="n">
        <v>0.159054760281758</v>
      </c>
      <c r="U699" s="0" t="n">
        <v>0.369595536959554</v>
      </c>
      <c r="V699" s="0" t="n">
        <v>0.0097629009762901</v>
      </c>
      <c r="W699" s="0" t="n">
        <v>0.128312412831241</v>
      </c>
      <c r="X699" s="0" t="n">
        <v>0.340582773685599</v>
      </c>
      <c r="Y699" s="0" t="n">
        <v>7.19177952868215</v>
      </c>
      <c r="Z699" s="0" t="n">
        <v>0.525459241532157</v>
      </c>
      <c r="AA699" s="0" t="n">
        <v>0</v>
      </c>
    </row>
    <row r="700" customFormat="false" ht="15" hidden="false" customHeight="false" outlineLevel="0" collapsed="false">
      <c r="A700" s="0" t="s">
        <v>734</v>
      </c>
      <c r="B700" s="0" t="s">
        <v>3013</v>
      </c>
      <c r="C700" s="0" t="s">
        <v>3036</v>
      </c>
      <c r="D700" s="0" t="n">
        <v>19.3135880355622</v>
      </c>
      <c r="E700" s="0" t="n">
        <v>0.284817258537678</v>
      </c>
      <c r="F700" s="0" t="n">
        <v>5.58017622497951</v>
      </c>
      <c r="G700" s="0" t="n">
        <v>0.493116395494368</v>
      </c>
      <c r="H700" s="0" t="n">
        <v>0.212765957446809</v>
      </c>
      <c r="I700" s="0" t="n">
        <v>0.381218038121804</v>
      </c>
      <c r="J700" s="0" t="n">
        <v>0.358596548800831</v>
      </c>
      <c r="K700" s="0" t="n">
        <v>0.667715717403612</v>
      </c>
      <c r="L700" s="1" t="b">
        <f aca="false">FALSE()</f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11.0409040170658</v>
      </c>
      <c r="S700" s="0" t="n">
        <v>1.64688786631146</v>
      </c>
      <c r="T700" s="0" t="n">
        <v>0.217970452894165</v>
      </c>
      <c r="U700" s="0" t="n">
        <v>0.543933054393305</v>
      </c>
      <c r="V700" s="0" t="n">
        <v>0.172942817294282</v>
      </c>
      <c r="W700" s="0" t="n">
        <v>0.426778242677824</v>
      </c>
      <c r="X700" s="0" t="n">
        <v>0.284817258537678</v>
      </c>
      <c r="Y700" s="0" t="n">
        <v>5.58017622497951</v>
      </c>
      <c r="Z700" s="0" t="n">
        <v>0.358596548800831</v>
      </c>
      <c r="AA700" s="0" t="n">
        <v>-5.55111512312578E-017</v>
      </c>
    </row>
    <row r="701" customFormat="false" ht="15" hidden="false" customHeight="false" outlineLevel="0" collapsed="false">
      <c r="A701" s="0" t="s">
        <v>735</v>
      </c>
      <c r="B701" s="0" t="s">
        <v>3013</v>
      </c>
      <c r="C701" s="0" t="s">
        <v>3036</v>
      </c>
      <c r="D701" s="0" t="n">
        <v>-13.494697923803</v>
      </c>
      <c r="E701" s="0" t="n">
        <v>0.375872919023457</v>
      </c>
      <c r="F701" s="0" t="n">
        <v>9.31387648521249</v>
      </c>
      <c r="G701" s="0" t="n">
        <v>0.887359198998749</v>
      </c>
      <c r="H701" s="0" t="n">
        <v>0.714643304130163</v>
      </c>
      <c r="I701" s="0" t="n">
        <v>0.618781961878196</v>
      </c>
      <c r="J701" s="0" t="n">
        <v>0.764557393627204</v>
      </c>
      <c r="K701" s="0" t="n">
        <v>0.667715717403612</v>
      </c>
      <c r="L701" s="1" t="b">
        <f aca="false">TRUE()</f>
        <v>1</v>
      </c>
      <c r="M701" s="0" t="s">
        <v>3035</v>
      </c>
      <c r="N701" s="0" t="n">
        <v>0</v>
      </c>
      <c r="O701" s="0" t="n">
        <v>0</v>
      </c>
      <c r="P701" s="0" t="n">
        <v>1</v>
      </c>
      <c r="Q701" s="0" t="n">
        <v>13.494697923803</v>
      </c>
      <c r="R701" s="0" t="n">
        <v>11.9489340293066</v>
      </c>
      <c r="S701" s="0" t="n">
        <v>6.56238077069819</v>
      </c>
      <c r="T701" s="0" t="n">
        <v>0.228920259442959</v>
      </c>
      <c r="U701" s="0" t="n">
        <v>0.598326359832636</v>
      </c>
      <c r="V701" s="0" t="n">
        <v>0.764295676429568</v>
      </c>
      <c r="W701" s="0" t="n">
        <v>0.493723849372385</v>
      </c>
      <c r="X701" s="0" t="n">
        <v>0.375872919023457</v>
      </c>
      <c r="Y701" s="0" t="n">
        <v>9.31387648521249</v>
      </c>
      <c r="Z701" s="0" t="n">
        <v>0.764557393627204</v>
      </c>
      <c r="AA701" s="0" t="n">
        <v>0</v>
      </c>
    </row>
    <row r="702" customFormat="false" ht="15" hidden="false" customHeight="false" outlineLevel="0" collapsed="false">
      <c r="A702" s="0" t="s">
        <v>736</v>
      </c>
      <c r="B702" s="0" t="s">
        <v>3013</v>
      </c>
      <c r="C702" s="0" t="s">
        <v>3037</v>
      </c>
      <c r="D702" s="0" t="n">
        <v>6.00187389412688</v>
      </c>
      <c r="E702" s="0" t="n">
        <v>0.32857262387547</v>
      </c>
      <c r="F702" s="0" t="n">
        <v>9.65496034951167</v>
      </c>
      <c r="G702" s="0" t="n">
        <v>0.727158948685857</v>
      </c>
      <c r="H702" s="0" t="n">
        <v>0.742177722152691</v>
      </c>
      <c r="I702" s="0" t="n">
        <v>0.343561134356113</v>
      </c>
      <c r="J702" s="0" t="n">
        <v>0.656446895206642</v>
      </c>
      <c r="K702" s="0" t="n">
        <v>0.667715717403612</v>
      </c>
      <c r="L702" s="1" t="b">
        <f aca="false">FALSE()</f>
        <v>0</v>
      </c>
      <c r="N702" s="0" t="n">
        <v>13.494697923803</v>
      </c>
      <c r="O702" s="0" t="n">
        <v>1</v>
      </c>
      <c r="P702" s="0" t="n">
        <v>0</v>
      </c>
      <c r="Q702" s="0" t="n">
        <v>0</v>
      </c>
      <c r="R702" s="0" t="n">
        <v>6.26506708082372</v>
      </c>
      <c r="S702" s="0" t="n">
        <v>3.09571144561204</v>
      </c>
      <c r="T702" s="0" t="n">
        <v>0.198807157057659</v>
      </c>
      <c r="U702" s="0" t="n">
        <v>0.245467224546723</v>
      </c>
      <c r="V702" s="0" t="n">
        <v>0.478382147838215</v>
      </c>
      <c r="W702" s="0" t="n">
        <v>0.306834030683403</v>
      </c>
      <c r="X702" s="0" t="n">
        <v>0.32857262387547</v>
      </c>
      <c r="Y702" s="0" t="n">
        <v>9.65496034951166</v>
      </c>
      <c r="Z702" s="0" t="n">
        <v>0.656446895206642</v>
      </c>
      <c r="AA702" s="0" t="n">
        <v>0</v>
      </c>
    </row>
    <row r="703" customFormat="false" ht="15" hidden="false" customHeight="false" outlineLevel="0" collapsed="false">
      <c r="A703" s="0" t="s">
        <v>737</v>
      </c>
      <c r="B703" s="0" t="s">
        <v>3013</v>
      </c>
      <c r="C703" s="0" t="s">
        <v>3036</v>
      </c>
      <c r="D703" s="0" t="n">
        <v>18.1781067978194</v>
      </c>
      <c r="E703" s="0" t="n">
        <v>0.361954604068044</v>
      </c>
      <c r="F703" s="0" t="n">
        <v>8.34976485052764</v>
      </c>
      <c r="G703" s="0" t="n">
        <v>0.848560700876095</v>
      </c>
      <c r="H703" s="0" t="n">
        <v>0.588235294117647</v>
      </c>
      <c r="I703" s="0" t="n">
        <v>0.145048814504882</v>
      </c>
      <c r="J703" s="0" t="n">
        <v>0.603728160898473</v>
      </c>
      <c r="K703" s="0" t="n">
        <v>0.667715717403612</v>
      </c>
      <c r="L703" s="1" t="b">
        <f aca="false">FALSE()</f>
        <v>0</v>
      </c>
      <c r="N703" s="0" t="n">
        <v>7.49282402967583</v>
      </c>
      <c r="O703" s="0" t="n">
        <v>0</v>
      </c>
      <c r="P703" s="0" t="n">
        <v>0</v>
      </c>
      <c r="Q703" s="0" t="n">
        <v>0</v>
      </c>
      <c r="R703" s="0" t="n">
        <v>6.55596644164678</v>
      </c>
      <c r="S703" s="0" t="n">
        <v>0.974348777092868</v>
      </c>
      <c r="T703" s="0" t="n">
        <v>0.159077351362102</v>
      </c>
      <c r="U703" s="0" t="n">
        <v>0.278940027894003</v>
      </c>
      <c r="V703" s="0" t="n">
        <v>0.0264993026499303</v>
      </c>
      <c r="W703" s="0" t="n">
        <v>0.129707112970711</v>
      </c>
      <c r="X703" s="0" t="n">
        <v>0.361954604068044</v>
      </c>
      <c r="Y703" s="0" t="n">
        <v>8.34976485052764</v>
      </c>
      <c r="Z703" s="0" t="n">
        <v>0.603728160898473</v>
      </c>
      <c r="AA703" s="0" t="n">
        <v>0</v>
      </c>
    </row>
    <row r="704" customFormat="false" ht="15" hidden="false" customHeight="false" outlineLevel="0" collapsed="false">
      <c r="A704" s="0" t="s">
        <v>738</v>
      </c>
      <c r="B704" s="0" t="s">
        <v>3013</v>
      </c>
      <c r="C704" s="0" t="s">
        <v>3038</v>
      </c>
      <c r="D704" s="0" t="n">
        <v>35.1057622125464</v>
      </c>
      <c r="E704" s="0" t="n">
        <v>0.26209193734822</v>
      </c>
      <c r="F704" s="0" t="n">
        <v>10.3873069651484</v>
      </c>
      <c r="G704" s="0" t="n">
        <v>0.34918648310388</v>
      </c>
      <c r="H704" s="0" t="n">
        <v>0.827284105131414</v>
      </c>
      <c r="I704" s="0" t="n">
        <v>0.753602975360298</v>
      </c>
      <c r="J704" s="0" t="n">
        <v>0.621308830366177</v>
      </c>
      <c r="K704" s="0" t="n">
        <v>0.667715717403612</v>
      </c>
      <c r="L704" s="1" t="b">
        <f aca="false">FALSE()</f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25.2631494592762</v>
      </c>
      <c r="S704" s="0" t="n">
        <v>9.66508918820534</v>
      </c>
      <c r="T704" s="0" t="n">
        <v>0.236621769202758</v>
      </c>
      <c r="U704" s="0" t="n">
        <v>0.860529986052999</v>
      </c>
      <c r="V704" s="0" t="n">
        <v>0.873082287308229</v>
      </c>
      <c r="W704" s="0" t="n">
        <v>0.527196652719665</v>
      </c>
      <c r="X704" s="0" t="n">
        <v>0.26209193734822</v>
      </c>
      <c r="Y704" s="0" t="n">
        <v>10.3873069651484</v>
      </c>
      <c r="Z704" s="0" t="n">
        <v>0.621308830366177</v>
      </c>
      <c r="AA704" s="0" t="n">
        <v>0</v>
      </c>
    </row>
    <row r="705" customFormat="false" ht="15" hidden="false" customHeight="false" outlineLevel="0" collapsed="false">
      <c r="A705" s="0" t="s">
        <v>739</v>
      </c>
      <c r="B705" s="0" t="s">
        <v>3013</v>
      </c>
      <c r="C705" s="0" t="s">
        <v>3036</v>
      </c>
      <c r="D705" s="0" t="n">
        <v>27.0570704701063</v>
      </c>
      <c r="E705" s="0" t="n">
        <v>0.288588433746417</v>
      </c>
      <c r="F705" s="0" t="n">
        <v>5.90765968682509</v>
      </c>
      <c r="G705" s="0" t="n">
        <v>0.514392991239049</v>
      </c>
      <c r="H705" s="0" t="n">
        <v>0.250312891113892</v>
      </c>
      <c r="I705" s="0" t="n">
        <v>0.371455137145514</v>
      </c>
      <c r="J705" s="0" t="n">
        <v>0.380173380370279</v>
      </c>
      <c r="K705" s="0" t="n">
        <v>0.667715717403612</v>
      </c>
      <c r="L705" s="1" t="b">
        <f aca="false">FALSE()</f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6.533458925386</v>
      </c>
      <c r="S705" s="0" t="n">
        <v>1.54547757790728</v>
      </c>
      <c r="T705" s="0" t="n">
        <v>0.278692677983277</v>
      </c>
      <c r="U705" s="0" t="n">
        <v>0.274755927475593</v>
      </c>
      <c r="V705" s="0" t="n">
        <v>0.143654114365411</v>
      </c>
      <c r="W705" s="0" t="n">
        <v>0.695955369595537</v>
      </c>
      <c r="X705" s="0" t="n">
        <v>0.288588433746417</v>
      </c>
      <c r="Y705" s="0" t="n">
        <v>5.90765968682508</v>
      </c>
      <c r="Z705" s="0" t="n">
        <v>0.380173380370279</v>
      </c>
      <c r="AA705" s="0" t="n">
        <v>-5.55111512312578E-017</v>
      </c>
    </row>
    <row r="706" customFormat="false" ht="15" hidden="false" customHeight="false" outlineLevel="0" collapsed="false">
      <c r="A706" s="0" t="s">
        <v>740</v>
      </c>
      <c r="B706" s="0" t="s">
        <v>3013</v>
      </c>
      <c r="C706" s="0" t="s">
        <v>3036</v>
      </c>
      <c r="D706" s="0" t="n">
        <v>24.0265347701455</v>
      </c>
      <c r="E706" s="0" t="n">
        <v>0.23441054298342</v>
      </c>
      <c r="F706" s="0" t="n">
        <v>4.6554832761661</v>
      </c>
      <c r="G706" s="0" t="n">
        <v>0.197747183979975</v>
      </c>
      <c r="H706" s="0" t="n">
        <v>0.0988735919899875</v>
      </c>
      <c r="I706" s="0" t="n">
        <v>0.490004649000465</v>
      </c>
      <c r="J706" s="0" t="n">
        <v>0.216649240188078</v>
      </c>
      <c r="K706" s="0" t="n">
        <v>0.667715717403612</v>
      </c>
      <c r="L706" s="1" t="b">
        <f aca="false">FALSE()</f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13.6551693261359</v>
      </c>
      <c r="S706" s="0" t="n">
        <v>2.22433460076044</v>
      </c>
      <c r="T706" s="0" t="n">
        <v>0.228136882129286</v>
      </c>
      <c r="U706" s="0" t="n">
        <v>0.666666666666667</v>
      </c>
      <c r="V706" s="0" t="n">
        <v>0.317991631799163</v>
      </c>
      <c r="W706" s="0" t="n">
        <v>0.485355648535565</v>
      </c>
      <c r="X706" s="0" t="n">
        <v>0.23441054298342</v>
      </c>
      <c r="Y706" s="0" t="n">
        <v>4.6554832761661</v>
      </c>
      <c r="Z706" s="0" t="n">
        <v>0.216649240188078</v>
      </c>
      <c r="AA706" s="0" t="n">
        <v>-2.77555756156289E-017</v>
      </c>
    </row>
    <row r="707" customFormat="false" ht="15" hidden="false" customHeight="false" outlineLevel="0" collapsed="false">
      <c r="A707" s="0" t="s">
        <v>741</v>
      </c>
      <c r="B707" s="0" t="s">
        <v>3013</v>
      </c>
      <c r="C707" s="0" t="s">
        <v>3036</v>
      </c>
      <c r="D707" s="0" t="n">
        <v>12.8523305408262</v>
      </c>
      <c r="E707" s="0" t="n">
        <v>0.262717495070144</v>
      </c>
      <c r="F707" s="0" t="n">
        <v>5.10639890470905</v>
      </c>
      <c r="G707" s="0" t="n">
        <v>0.351689612015019</v>
      </c>
      <c r="H707" s="0" t="n">
        <v>0.148936170212766</v>
      </c>
      <c r="I707" s="0" t="n">
        <v>0.203626220362622</v>
      </c>
      <c r="J707" s="0" t="n">
        <v>0.240975556963638</v>
      </c>
      <c r="K707" s="0" t="n">
        <v>0.667715717403612</v>
      </c>
      <c r="L707" s="1" t="b">
        <f aca="false">FALSE()</f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2.53920776717606</v>
      </c>
      <c r="S707" s="0" t="n">
        <v>0.892414476945965</v>
      </c>
      <c r="T707" s="0" t="n">
        <v>0.247892910262767</v>
      </c>
      <c r="U707" s="0" t="n">
        <v>0.0139470013947001</v>
      </c>
      <c r="V707" s="0" t="n">
        <v>0.0195258019525802</v>
      </c>
      <c r="W707" s="0" t="n">
        <v>0.577405857740586</v>
      </c>
      <c r="X707" s="0" t="n">
        <v>0.262717495070144</v>
      </c>
      <c r="Y707" s="0" t="n">
        <v>5.10639890470905</v>
      </c>
      <c r="Z707" s="0" t="n">
        <v>0.240975556963638</v>
      </c>
      <c r="AA707" s="0" t="n">
        <v>0</v>
      </c>
    </row>
    <row r="708" customFormat="false" ht="15" hidden="false" customHeight="false" outlineLevel="0" collapsed="false">
      <c r="A708" s="0" t="s">
        <v>742</v>
      </c>
      <c r="B708" s="0" t="s">
        <v>3013</v>
      </c>
      <c r="C708" s="0" t="s">
        <v>3033</v>
      </c>
      <c r="D708" s="0" t="n">
        <v>7.69179471825402</v>
      </c>
      <c r="E708" s="0" t="n">
        <v>0.270356734162761</v>
      </c>
      <c r="F708" s="0" t="n">
        <v>8.27326109450557</v>
      </c>
      <c r="G708" s="0" t="n">
        <v>0.392991239048811</v>
      </c>
      <c r="H708" s="0" t="n">
        <v>0.576971214017522</v>
      </c>
      <c r="I708" s="0" t="n">
        <v>0.214318921431892</v>
      </c>
      <c r="J708" s="0" t="n">
        <v>0.430848765512912</v>
      </c>
      <c r="K708" s="0" t="n">
        <v>0.667715717403612</v>
      </c>
      <c r="L708" s="1" t="b">
        <f aca="false">FALSE()</f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5.69994990355477</v>
      </c>
      <c r="S708" s="0" t="n">
        <v>1.9299023957409</v>
      </c>
      <c r="T708" s="0" t="n">
        <v>0.177462289263528</v>
      </c>
      <c r="U708" s="0" t="n">
        <v>0.189679218967922</v>
      </c>
      <c r="V708" s="0" t="n">
        <v>0.253835425383543</v>
      </c>
      <c r="W708" s="0" t="n">
        <v>0.199442119944212</v>
      </c>
      <c r="X708" s="0" t="n">
        <v>0.270356734162761</v>
      </c>
      <c r="Y708" s="0" t="n">
        <v>8.27326109450557</v>
      </c>
      <c r="Z708" s="0" t="n">
        <v>0.430848765512912</v>
      </c>
      <c r="AA708" s="0" t="n">
        <v>0</v>
      </c>
    </row>
    <row r="709" customFormat="false" ht="15" hidden="false" customHeight="false" outlineLevel="0" collapsed="false">
      <c r="A709" s="0" t="s">
        <v>743</v>
      </c>
      <c r="B709" s="0" t="s">
        <v>3013</v>
      </c>
      <c r="C709" s="0" t="s">
        <v>3036</v>
      </c>
      <c r="D709" s="0" t="n">
        <v>10.9810959398159</v>
      </c>
      <c r="E709" s="0" t="n">
        <v>0.291980618739689</v>
      </c>
      <c r="F709" s="0" t="n">
        <v>7.52796290687344</v>
      </c>
      <c r="G709" s="0" t="n">
        <v>0.533166458072591</v>
      </c>
      <c r="H709" s="0" t="n">
        <v>0.485607008760951</v>
      </c>
      <c r="I709" s="0" t="n">
        <v>0.149697814969782</v>
      </c>
      <c r="J709" s="0" t="n">
        <v>0.437448949727373</v>
      </c>
      <c r="K709" s="0" t="n">
        <v>0.667715717403612</v>
      </c>
      <c r="L709" s="1" t="b">
        <f aca="false">FALSE()</f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5.64318331372278</v>
      </c>
      <c r="S709" s="0" t="n">
        <v>1.35889347245813</v>
      </c>
      <c r="T709" s="0" t="n">
        <v>0.169861684057265</v>
      </c>
      <c r="U709" s="0" t="n">
        <v>0.182705718270572</v>
      </c>
      <c r="V709" s="0" t="n">
        <v>0.101813110181311</v>
      </c>
      <c r="W709" s="0" t="n">
        <v>0.164574616457462</v>
      </c>
      <c r="X709" s="0" t="n">
        <v>0.291980618739689</v>
      </c>
      <c r="Y709" s="0" t="n">
        <v>7.52796290687344</v>
      </c>
      <c r="Z709" s="0" t="n">
        <v>0.437448949727373</v>
      </c>
      <c r="AA709" s="0" t="n">
        <v>5.55111512312578E-017</v>
      </c>
    </row>
    <row r="710" customFormat="false" ht="15" hidden="false" customHeight="false" outlineLevel="0" collapsed="false">
      <c r="A710" s="0" t="s">
        <v>744</v>
      </c>
      <c r="B710" s="0" t="s">
        <v>3013</v>
      </c>
      <c r="C710" s="0" t="s">
        <v>3036</v>
      </c>
      <c r="D710" s="0" t="n">
        <v>-39.4425653851407</v>
      </c>
      <c r="E710" s="0" t="n">
        <v>0.255826742974204</v>
      </c>
      <c r="F710" s="0" t="n">
        <v>4.42435218779488</v>
      </c>
      <c r="G710" s="0" t="n">
        <v>0.300375469336671</v>
      </c>
      <c r="H710" s="0" t="n">
        <v>0.0826032540675845</v>
      </c>
      <c r="I710" s="0" t="n">
        <v>0.302649930264993</v>
      </c>
      <c r="J710" s="0" t="n">
        <v>0.213721475414701</v>
      </c>
      <c r="K710" s="0" t="n">
        <v>0.667715717403612</v>
      </c>
      <c r="L710" s="1" t="b">
        <f aca="false">FALSE()</f>
        <v>0</v>
      </c>
      <c r="N710" s="0" t="n">
        <v>0</v>
      </c>
      <c r="O710" s="0" t="n">
        <v>0</v>
      </c>
      <c r="P710" s="0" t="n">
        <v>1</v>
      </c>
      <c r="Q710" s="0" t="n">
        <v>39.4425653851407</v>
      </c>
      <c r="R710" s="0" t="n">
        <v>5.61458147892323</v>
      </c>
      <c r="S710" s="0" t="n">
        <v>2.04419889502762</v>
      </c>
      <c r="T710" s="0" t="n">
        <v>0.220994475138125</v>
      </c>
      <c r="U710" s="0" t="n">
        <v>0.179916317991632</v>
      </c>
      <c r="V710" s="0" t="n">
        <v>0.283124128312413</v>
      </c>
      <c r="W710" s="0" t="n">
        <v>0.444909344490934</v>
      </c>
      <c r="X710" s="0" t="n">
        <v>0.255826742974204</v>
      </c>
      <c r="Y710" s="0" t="n">
        <v>4.42435218779488</v>
      </c>
      <c r="Z710" s="0" t="n">
        <v>0.213721475414701</v>
      </c>
      <c r="AA710" s="0" t="n">
        <v>2.77555756156289E-017</v>
      </c>
    </row>
    <row r="711" customFormat="false" ht="15" hidden="false" customHeight="false" outlineLevel="0" collapsed="false">
      <c r="A711" s="0" t="s">
        <v>745</v>
      </c>
      <c r="B711" s="0" t="s">
        <v>3013</v>
      </c>
      <c r="C711" s="0" t="s">
        <v>3038</v>
      </c>
      <c r="D711" s="0" t="n">
        <v>-6.83060535556575</v>
      </c>
      <c r="E711" s="0" t="n">
        <v>0.171345467869545</v>
      </c>
      <c r="F711" s="0" t="n">
        <v>3.99035189695822</v>
      </c>
      <c r="G711" s="0" t="n">
        <v>0.0425531914893617</v>
      </c>
      <c r="H711" s="0" t="n">
        <v>0.0513141426783479</v>
      </c>
      <c r="I711" s="0" t="n">
        <v>0.827057182705718</v>
      </c>
      <c r="J711" s="0" t="n">
        <v>0.202958370208228</v>
      </c>
      <c r="K711" s="0" t="n">
        <v>0.667715717403612</v>
      </c>
      <c r="L711" s="1" t="b">
        <f aca="false">FALSE()</f>
        <v>0</v>
      </c>
      <c r="N711" s="0" t="n">
        <v>39.4425653851413</v>
      </c>
      <c r="O711" s="0" t="n">
        <v>1</v>
      </c>
      <c r="P711" s="0" t="n">
        <v>1</v>
      </c>
      <c r="Q711" s="0" t="n">
        <v>6.83060535556575</v>
      </c>
      <c r="R711" s="0" t="n">
        <v>14.6807324993744</v>
      </c>
      <c r="S711" s="0" t="n">
        <v>18.3108341986847</v>
      </c>
      <c r="T711" s="0" t="n">
        <v>0.346140533056416</v>
      </c>
      <c r="U711" s="0" t="n">
        <v>0.700139470013947</v>
      </c>
      <c r="V711" s="0" t="n">
        <v>0.95397489539749</v>
      </c>
      <c r="W711" s="0" t="n">
        <v>0.827057182705718</v>
      </c>
      <c r="X711" s="0" t="n">
        <v>0.171345467869545</v>
      </c>
      <c r="Y711" s="0" t="n">
        <v>3.99035189695822</v>
      </c>
      <c r="Z711" s="0" t="n">
        <v>0.202958370208228</v>
      </c>
      <c r="AA711" s="0" t="n">
        <v>5.55111512312578E-017</v>
      </c>
    </row>
    <row r="712" customFormat="false" ht="15" hidden="false" customHeight="false" outlineLevel="0" collapsed="false">
      <c r="A712" s="0" t="s">
        <v>746</v>
      </c>
      <c r="B712" s="0" t="s">
        <v>3013</v>
      </c>
      <c r="C712" s="0" t="s">
        <v>3036</v>
      </c>
      <c r="D712" s="0" t="n">
        <v>0.690526592151045</v>
      </c>
      <c r="E712" s="0" t="n">
        <v>0.320393466017046</v>
      </c>
      <c r="F712" s="0" t="n">
        <v>6.73123913127871</v>
      </c>
      <c r="G712" s="0" t="n">
        <v>0.672090112640801</v>
      </c>
      <c r="H712" s="0" t="n">
        <v>0.381727158948686</v>
      </c>
      <c r="I712" s="0" t="n">
        <v>0.121803812180381</v>
      </c>
      <c r="J712" s="0" t="n">
        <v>0.445887671071871</v>
      </c>
      <c r="K712" s="0" t="n">
        <v>0.667715717403612</v>
      </c>
      <c r="L712" s="1" t="b">
        <f aca="false">FALSE()</f>
        <v>0</v>
      </c>
      <c r="N712" s="0" t="n">
        <v>46.2731707407074</v>
      </c>
      <c r="O712" s="0" t="n">
        <v>2</v>
      </c>
      <c r="P712" s="0" t="n">
        <v>0</v>
      </c>
      <c r="Q712" s="0" t="n">
        <v>0</v>
      </c>
      <c r="R712" s="0" t="n">
        <v>2.68957157046005</v>
      </c>
      <c r="S712" s="0" t="n">
        <v>2.02020202020202</v>
      </c>
      <c r="T712" s="0" t="n">
        <v>0.133409567371819</v>
      </c>
      <c r="U712" s="0" t="n">
        <v>0.0195258019525802</v>
      </c>
      <c r="V712" s="0" t="n">
        <v>0.273361227336123</v>
      </c>
      <c r="W712" s="0" t="n">
        <v>0.0725244072524407</v>
      </c>
      <c r="X712" s="0" t="n">
        <v>0.320393466017046</v>
      </c>
      <c r="Y712" s="0" t="n">
        <v>6.7312391312787</v>
      </c>
      <c r="Z712" s="0" t="n">
        <v>0.445887671071871</v>
      </c>
      <c r="AA712" s="0" t="n">
        <v>-5.55111512312578E-017</v>
      </c>
    </row>
    <row r="713" customFormat="false" ht="15" hidden="false" customHeight="false" outlineLevel="0" collapsed="false">
      <c r="A713" s="0" t="s">
        <v>747</v>
      </c>
      <c r="B713" s="0" t="s">
        <v>3013</v>
      </c>
      <c r="C713" s="0" t="s">
        <v>3036</v>
      </c>
      <c r="D713" s="0" t="n">
        <v>-4.69413114753077</v>
      </c>
      <c r="E713" s="0" t="n">
        <v>0.285048623124612</v>
      </c>
      <c r="F713" s="0" t="n">
        <v>4.59310180144413</v>
      </c>
      <c r="G713" s="0" t="n">
        <v>0.494367959949937</v>
      </c>
      <c r="H713" s="0" t="n">
        <v>0.0926157697121402</v>
      </c>
      <c r="I713" s="0" t="n">
        <v>0.137610413761041</v>
      </c>
      <c r="J713" s="0" t="n">
        <v>0.262315574617039</v>
      </c>
      <c r="K713" s="0" t="n">
        <v>0.667715717403612</v>
      </c>
      <c r="L713" s="1" t="b">
        <f aca="false">FALSE()</f>
        <v>0</v>
      </c>
      <c r="N713" s="0" t="n">
        <v>45.5826441485569</v>
      </c>
      <c r="O713" s="0" t="n">
        <v>0</v>
      </c>
      <c r="P713" s="0" t="n">
        <v>1</v>
      </c>
      <c r="Q713" s="0" t="n">
        <v>4.69413114753077</v>
      </c>
      <c r="R713" s="0" t="n">
        <v>3.93994290945499</v>
      </c>
      <c r="S713" s="0" t="n">
        <v>0.959821428571431</v>
      </c>
      <c r="T713" s="0" t="n">
        <v>0.200892857142858</v>
      </c>
      <c r="U713" s="0" t="n">
        <v>0.0725244072524407</v>
      </c>
      <c r="V713" s="0" t="n">
        <v>0.0237099023709902</v>
      </c>
      <c r="W713" s="0" t="n">
        <v>0.316596931659693</v>
      </c>
      <c r="X713" s="0" t="n">
        <v>0.285048623124612</v>
      </c>
      <c r="Y713" s="0" t="n">
        <v>4.59310180144413</v>
      </c>
      <c r="Z713" s="0" t="n">
        <v>0.262315574617039</v>
      </c>
      <c r="AA713" s="0" t="n">
        <v>-5.55111512312578E-017</v>
      </c>
    </row>
    <row r="714" customFormat="false" ht="15" hidden="false" customHeight="false" outlineLevel="0" collapsed="false">
      <c r="A714" s="0" t="s">
        <v>748</v>
      </c>
      <c r="B714" s="0" t="s">
        <v>3013</v>
      </c>
      <c r="C714" s="0" t="s">
        <v>3038</v>
      </c>
      <c r="D714" s="0" t="n">
        <v>22.1921309927897</v>
      </c>
      <c r="E714" s="0" t="n">
        <v>0.234286990702767</v>
      </c>
      <c r="F714" s="0" t="n">
        <v>5.96932509875213</v>
      </c>
      <c r="G714" s="0" t="n">
        <v>0.196495619524406</v>
      </c>
      <c r="H714" s="0" t="n">
        <v>0.261576971214018</v>
      </c>
      <c r="I714" s="0" t="n">
        <v>0.713156671315667</v>
      </c>
      <c r="J714" s="0" t="n">
        <v>0.325860370558503</v>
      </c>
      <c r="K714" s="0" t="n">
        <v>0.667715717403612</v>
      </c>
      <c r="L714" s="1" t="b">
        <f aca="false">FALSE()</f>
        <v>0</v>
      </c>
      <c r="N714" s="0" t="n">
        <v>50.2767752960881</v>
      </c>
      <c r="O714" s="0" t="n">
        <v>1</v>
      </c>
      <c r="P714" s="0" t="n">
        <v>0</v>
      </c>
      <c r="Q714" s="0" t="n">
        <v>0</v>
      </c>
      <c r="R714" s="0" t="n">
        <v>16.8945786053726</v>
      </c>
      <c r="S714" s="0" t="n">
        <v>6.0856498873028</v>
      </c>
      <c r="T714" s="0" t="n">
        <v>0.262960180315548</v>
      </c>
      <c r="U714" s="0" t="n">
        <v>0.744769874476987</v>
      </c>
      <c r="V714" s="0" t="n">
        <v>0.748953974895398</v>
      </c>
      <c r="W714" s="0" t="n">
        <v>0.645746164574616</v>
      </c>
      <c r="X714" s="0" t="n">
        <v>0.234286990702767</v>
      </c>
      <c r="Y714" s="0" t="n">
        <v>5.96932509875213</v>
      </c>
      <c r="Z714" s="0" t="n">
        <v>0.325860370558503</v>
      </c>
      <c r="AA714" s="0" t="n">
        <v>0</v>
      </c>
    </row>
    <row r="715" customFormat="false" ht="15" hidden="false" customHeight="false" outlineLevel="0" collapsed="false">
      <c r="A715" s="0" t="s">
        <v>749</v>
      </c>
      <c r="B715" s="0" t="s">
        <v>3013</v>
      </c>
      <c r="C715" s="0" t="s">
        <v>3036</v>
      </c>
      <c r="D715" s="0" t="n">
        <v>3.66044056138007</v>
      </c>
      <c r="E715" s="0" t="n">
        <v>0.31372166874923</v>
      </c>
      <c r="F715" s="0" t="n">
        <v>4.91366264171179</v>
      </c>
      <c r="G715" s="0" t="n">
        <v>0.637046307884856</v>
      </c>
      <c r="H715" s="0" t="n">
        <v>0.127659574468085</v>
      </c>
      <c r="I715" s="0" t="n">
        <v>0.238028823802882</v>
      </c>
      <c r="J715" s="0" t="n">
        <v>0.353488117701753</v>
      </c>
      <c r="K715" s="0" t="n">
        <v>0.667715717403612</v>
      </c>
      <c r="L715" s="1" t="b">
        <f aca="false">FALSE()</f>
        <v>0</v>
      </c>
      <c r="N715" s="0" t="n">
        <v>28.0846443032988</v>
      </c>
      <c r="O715" s="0" t="n">
        <v>0</v>
      </c>
      <c r="P715" s="0" t="n">
        <v>0</v>
      </c>
      <c r="Q715" s="0" t="n">
        <v>0</v>
      </c>
      <c r="R715" s="0" t="n">
        <v>7.39460271432193</v>
      </c>
      <c r="S715" s="0" t="n">
        <v>1.906941266209</v>
      </c>
      <c r="T715" s="0" t="n">
        <v>0.152555301296711</v>
      </c>
      <c r="U715" s="0" t="n">
        <v>0.350069735006974</v>
      </c>
      <c r="V715" s="0" t="n">
        <v>0.249651324965133</v>
      </c>
      <c r="W715" s="0" t="n">
        <v>0.114365411436541</v>
      </c>
      <c r="X715" s="0" t="n">
        <v>0.31372166874923</v>
      </c>
      <c r="Y715" s="0" t="n">
        <v>4.91366264171179</v>
      </c>
      <c r="Z715" s="0" t="n">
        <v>0.353488117701753</v>
      </c>
      <c r="AA715" s="0" t="n">
        <v>0</v>
      </c>
    </row>
    <row r="716" customFormat="false" ht="15" hidden="false" customHeight="false" outlineLevel="0" collapsed="false">
      <c r="A716" s="0" t="s">
        <v>750</v>
      </c>
      <c r="B716" s="0" t="s">
        <v>3013</v>
      </c>
      <c r="C716" s="0" t="s">
        <v>3036</v>
      </c>
      <c r="D716" s="0" t="n">
        <v>6.24959067080945</v>
      </c>
      <c r="E716" s="0" t="n">
        <v>0.330124675863383</v>
      </c>
      <c r="F716" s="0" t="n">
        <v>9.35248402033043</v>
      </c>
      <c r="G716" s="0" t="n">
        <v>0.732165206508135</v>
      </c>
      <c r="H716" s="0" t="n">
        <v>0.717146433041302</v>
      </c>
      <c r="I716" s="0" t="n">
        <v>0.105532310553231</v>
      </c>
      <c r="J716" s="0" t="n">
        <v>0.600831117930421</v>
      </c>
      <c r="K716" s="0" t="n">
        <v>0.667715717403612</v>
      </c>
      <c r="L716" s="1" t="b">
        <f aca="false">FALSE()</f>
        <v>0</v>
      </c>
      <c r="N716" s="0" t="n">
        <v>24.424203741919</v>
      </c>
      <c r="O716" s="0" t="n">
        <v>0</v>
      </c>
      <c r="P716" s="0" t="n">
        <v>0</v>
      </c>
      <c r="Q716" s="0" t="n">
        <v>0</v>
      </c>
      <c r="R716" s="0" t="n">
        <v>5.53319726901462</v>
      </c>
      <c r="S716" s="0" t="n">
        <v>1.00366724570545</v>
      </c>
      <c r="T716" s="0" t="n">
        <v>0.15441034549315</v>
      </c>
      <c r="U716" s="0" t="n">
        <v>0.171548117154812</v>
      </c>
      <c r="V716" s="0" t="n">
        <v>0.0278940027894003</v>
      </c>
      <c r="W716" s="0" t="n">
        <v>0.117154811715481</v>
      </c>
      <c r="X716" s="0" t="n">
        <v>0.330124675863384</v>
      </c>
      <c r="Y716" s="0" t="n">
        <v>9.35248402033043</v>
      </c>
      <c r="Z716" s="0" t="n">
        <v>0.600831117930421</v>
      </c>
      <c r="AA716" s="0" t="n">
        <v>0</v>
      </c>
    </row>
    <row r="717" customFormat="false" ht="15" hidden="false" customHeight="false" outlineLevel="0" collapsed="false">
      <c r="A717" s="0" t="s">
        <v>751</v>
      </c>
      <c r="B717" s="0" t="s">
        <v>3013</v>
      </c>
      <c r="C717" s="0" t="s">
        <v>3036</v>
      </c>
      <c r="D717" s="0" t="n">
        <v>9.68326747167893</v>
      </c>
      <c r="E717" s="0" t="n">
        <v>0.27845376319031</v>
      </c>
      <c r="F717" s="0" t="n">
        <v>4.9528091488097</v>
      </c>
      <c r="G717" s="0" t="n">
        <v>0.458072590738423</v>
      </c>
      <c r="H717" s="0" t="n">
        <v>0.133917396745932</v>
      </c>
      <c r="I717" s="0" t="n">
        <v>0.146908414690842</v>
      </c>
      <c r="J717" s="0" t="n">
        <v>0.266177677931911</v>
      </c>
      <c r="K717" s="0" t="n">
        <v>0.667715717403612</v>
      </c>
      <c r="L717" s="1" t="b">
        <f aca="false">FALSE()</f>
        <v>0</v>
      </c>
      <c r="N717" s="0" t="n">
        <v>18.174613071109</v>
      </c>
      <c r="O717" s="0" t="n">
        <v>0</v>
      </c>
      <c r="P717" s="0" t="n">
        <v>0</v>
      </c>
      <c r="Q717" s="0" t="n">
        <v>0</v>
      </c>
      <c r="R717" s="0" t="n">
        <v>3.72098732754359</v>
      </c>
      <c r="S717" s="0" t="n">
        <v>1.08492330714552</v>
      </c>
      <c r="T717" s="0" t="n">
        <v>0.205761316872432</v>
      </c>
      <c r="U717" s="0" t="n">
        <v>0.0585774058577406</v>
      </c>
      <c r="V717" s="0" t="n">
        <v>0.0390516039051604</v>
      </c>
      <c r="W717" s="0" t="n">
        <v>0.343096234309623</v>
      </c>
      <c r="X717" s="0" t="n">
        <v>0.27845376319031</v>
      </c>
      <c r="Y717" s="0" t="n">
        <v>4.9528091488097</v>
      </c>
      <c r="Z717" s="0" t="n">
        <v>0.266177677931911</v>
      </c>
      <c r="AA717" s="0" t="n">
        <v>0</v>
      </c>
    </row>
    <row r="718" customFormat="false" ht="15" hidden="false" customHeight="false" outlineLevel="0" collapsed="false">
      <c r="A718" s="0" t="s">
        <v>752</v>
      </c>
      <c r="B718" s="0" t="s">
        <v>3013</v>
      </c>
      <c r="C718" s="0" t="s">
        <v>3036</v>
      </c>
      <c r="D718" s="0" t="n">
        <v>8.67989070919365</v>
      </c>
      <c r="E718" s="0" t="n">
        <v>0.293219646353346</v>
      </c>
      <c r="F718" s="0" t="n">
        <v>6.22533436648295</v>
      </c>
      <c r="G718" s="0" t="n">
        <v>0.541927409261577</v>
      </c>
      <c r="H718" s="0" t="n">
        <v>0.296620775969962</v>
      </c>
      <c r="I718" s="0" t="n">
        <v>0.0920502092050209</v>
      </c>
      <c r="J718" s="0" t="n">
        <v>0.35382931593362</v>
      </c>
      <c r="K718" s="0" t="n">
        <v>0.667715717403612</v>
      </c>
      <c r="L718" s="1" t="b">
        <f aca="false">FALSE()</f>
        <v>0</v>
      </c>
      <c r="N718" s="0" t="n">
        <v>8.49134559943013</v>
      </c>
      <c r="O718" s="0" t="n">
        <v>0</v>
      </c>
      <c r="P718" s="0" t="n">
        <v>0</v>
      </c>
      <c r="Q718" s="0" t="n">
        <v>0</v>
      </c>
      <c r="R718" s="0" t="n">
        <v>5.75236732039752</v>
      </c>
      <c r="S718" s="0" t="n">
        <v>0.844887348353548</v>
      </c>
      <c r="T718" s="0" t="n">
        <v>0.129982668977468</v>
      </c>
      <c r="U718" s="0" t="n">
        <v>0.199442119944212</v>
      </c>
      <c r="V718" s="0" t="n">
        <v>0.0125523012552301</v>
      </c>
      <c r="W718" s="0" t="n">
        <v>0.0641562064156206</v>
      </c>
      <c r="X718" s="0" t="n">
        <v>0.293219646353346</v>
      </c>
      <c r="Y718" s="0" t="n">
        <v>6.22533436648295</v>
      </c>
      <c r="Z718" s="0" t="n">
        <v>0.35382931593362</v>
      </c>
      <c r="AA718" s="0" t="n">
        <v>0</v>
      </c>
    </row>
    <row r="719" customFormat="false" ht="15" hidden="false" customHeight="false" outlineLevel="0" collapsed="false">
      <c r="A719" s="0" t="s">
        <v>753</v>
      </c>
      <c r="B719" s="0" t="s">
        <v>3013</v>
      </c>
      <c r="C719" s="0" t="s">
        <v>3033</v>
      </c>
      <c r="D719" s="0" t="n">
        <v>12.1083836292873</v>
      </c>
      <c r="E719" s="0" t="n">
        <v>0.274637071650067</v>
      </c>
      <c r="F719" s="0" t="n">
        <v>8.90754064556726</v>
      </c>
      <c r="G719" s="0" t="n">
        <v>0.421777221526909</v>
      </c>
      <c r="H719" s="0" t="n">
        <v>0.664580725907384</v>
      </c>
      <c r="I719" s="0" t="n">
        <v>0.507205950720595</v>
      </c>
      <c r="J719" s="0" t="n">
        <v>0.535984369117836</v>
      </c>
      <c r="K719" s="0" t="n">
        <v>0.667715717403612</v>
      </c>
      <c r="L719" s="1" t="b">
        <f aca="false">FALSE()</f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11.6583803580536</v>
      </c>
      <c r="S719" s="0" t="n">
        <v>4.27690471454148</v>
      </c>
      <c r="T719" s="0" t="n">
        <v>0.198925800676348</v>
      </c>
      <c r="U719" s="0" t="n">
        <v>0.584379358437936</v>
      </c>
      <c r="V719" s="0" t="n">
        <v>0.629009762900976</v>
      </c>
      <c r="W719" s="0" t="n">
        <v>0.308228730822873</v>
      </c>
      <c r="X719" s="0" t="n">
        <v>0.274637071650067</v>
      </c>
      <c r="Y719" s="0" t="n">
        <v>8.90754064556726</v>
      </c>
      <c r="Z719" s="0" t="n">
        <v>0.535984369117836</v>
      </c>
      <c r="AA719" s="0" t="n">
        <v>0</v>
      </c>
    </row>
    <row r="720" customFormat="false" ht="15" hidden="false" customHeight="false" outlineLevel="0" collapsed="false">
      <c r="A720" s="0" t="s">
        <v>754</v>
      </c>
      <c r="B720" s="0" t="s">
        <v>3013</v>
      </c>
      <c r="C720" s="0" t="s">
        <v>3036</v>
      </c>
      <c r="D720" s="0" t="n">
        <v>-2.37389324357624</v>
      </c>
      <c r="E720" s="0" t="n">
        <v>0.294802430444801</v>
      </c>
      <c r="F720" s="0" t="n">
        <v>5.89804263392102</v>
      </c>
      <c r="G720" s="0" t="n">
        <v>0.546933667083855</v>
      </c>
      <c r="H720" s="0" t="n">
        <v>0.249061326658323</v>
      </c>
      <c r="I720" s="0" t="n">
        <v>0.210134821013482</v>
      </c>
      <c r="J720" s="0" t="n">
        <v>0.360424961699568</v>
      </c>
      <c r="K720" s="0" t="n">
        <v>0.667715717403612</v>
      </c>
      <c r="L720" s="1" t="b">
        <f aca="false">FALSE()</f>
        <v>0</v>
      </c>
      <c r="N720" s="0" t="n">
        <v>0</v>
      </c>
      <c r="O720" s="0" t="n">
        <v>0</v>
      </c>
      <c r="P720" s="0" t="n">
        <v>1</v>
      </c>
      <c r="Q720" s="0" t="n">
        <v>2.37389324357624</v>
      </c>
      <c r="R720" s="0" t="n">
        <v>3.93194443368294</v>
      </c>
      <c r="S720" s="0" t="n">
        <v>1.20949338201735</v>
      </c>
      <c r="T720" s="0" t="n">
        <v>0.228206298493838</v>
      </c>
      <c r="U720" s="0" t="n">
        <v>0.0711297071129707</v>
      </c>
      <c r="V720" s="0" t="n">
        <v>0.0725244072524407</v>
      </c>
      <c r="W720" s="0" t="n">
        <v>0.486750348675035</v>
      </c>
      <c r="X720" s="0" t="n">
        <v>0.294802430444801</v>
      </c>
      <c r="Y720" s="0" t="n">
        <v>5.89804263392102</v>
      </c>
      <c r="Z720" s="0" t="n">
        <v>0.360424961699568</v>
      </c>
      <c r="AA720" s="0" t="n">
        <v>0</v>
      </c>
    </row>
    <row r="721" customFormat="false" ht="15" hidden="false" customHeight="false" outlineLevel="0" collapsed="false">
      <c r="A721" s="0" t="s">
        <v>755</v>
      </c>
      <c r="B721" s="0" t="s">
        <v>3013</v>
      </c>
      <c r="C721" s="0" t="s">
        <v>3036</v>
      </c>
      <c r="D721" s="0" t="n">
        <v>17.761627612304</v>
      </c>
      <c r="E721" s="0" t="n">
        <v>0.282094127176265</v>
      </c>
      <c r="F721" s="0" t="n">
        <v>7.01093286218899</v>
      </c>
      <c r="G721" s="0" t="n">
        <v>0.470588235294118</v>
      </c>
      <c r="H721" s="0" t="n">
        <v>0.416770963704631</v>
      </c>
      <c r="I721" s="0" t="n">
        <v>0.173872617387262</v>
      </c>
      <c r="J721" s="0" t="n">
        <v>0.389718203076952</v>
      </c>
      <c r="K721" s="0" t="n">
        <v>0.667715717403612</v>
      </c>
      <c r="L721" s="1" t="b">
        <f aca="false">FALSE()</f>
        <v>0</v>
      </c>
      <c r="N721" s="0" t="n">
        <v>2.37389324357537</v>
      </c>
      <c r="O721" s="0" t="n">
        <v>1</v>
      </c>
      <c r="P721" s="0" t="n">
        <v>0</v>
      </c>
      <c r="Q721" s="0" t="n">
        <v>0</v>
      </c>
      <c r="R721" s="0" t="n">
        <v>3.70119525712842</v>
      </c>
      <c r="S721" s="0" t="n">
        <v>0.96551724137931</v>
      </c>
      <c r="T721" s="0" t="n">
        <v>0.220689655172417</v>
      </c>
      <c r="U721" s="0" t="n">
        <v>0.0557880055788006</v>
      </c>
      <c r="V721" s="0" t="n">
        <v>0.0251046025104603</v>
      </c>
      <c r="W721" s="0" t="n">
        <v>0.440725244072524</v>
      </c>
      <c r="X721" s="0" t="n">
        <v>0.282094127176265</v>
      </c>
      <c r="Y721" s="0" t="n">
        <v>7.01093286218899</v>
      </c>
      <c r="Z721" s="0" t="n">
        <v>0.389718203076952</v>
      </c>
      <c r="AA721" s="0" t="n">
        <v>0</v>
      </c>
    </row>
    <row r="722" customFormat="false" ht="15" hidden="false" customHeight="false" outlineLevel="0" collapsed="false">
      <c r="A722" s="0" t="s">
        <v>756</v>
      </c>
      <c r="B722" s="0" t="s">
        <v>3013</v>
      </c>
      <c r="C722" s="0" t="s">
        <v>3034</v>
      </c>
      <c r="D722" s="0" t="n">
        <v>13.8033950160473</v>
      </c>
      <c r="E722" s="0" t="n">
        <v>0.337449430641393</v>
      </c>
      <c r="F722" s="0" t="n">
        <v>9.96243026048143</v>
      </c>
      <c r="G722" s="0" t="n">
        <v>0.770963704630788</v>
      </c>
      <c r="H722" s="0" t="n">
        <v>0.784730913642053</v>
      </c>
      <c r="I722" s="0" t="n">
        <v>0.280334728033473</v>
      </c>
      <c r="J722" s="0" t="n">
        <v>0.678344792915831</v>
      </c>
      <c r="K722" s="0" t="n">
        <v>0.667715717403612</v>
      </c>
      <c r="L722" s="1" t="b">
        <f aca="false">TRUE()</f>
        <v>1</v>
      </c>
      <c r="M722" s="0" t="s">
        <v>3035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7.95548013152603</v>
      </c>
      <c r="S722" s="0" t="n">
        <v>1.70141385094657</v>
      </c>
      <c r="T722" s="0" t="n">
        <v>0.191708602923559</v>
      </c>
      <c r="U722" s="0" t="n">
        <v>0.384937238493724</v>
      </c>
      <c r="V722" s="0" t="n">
        <v>0.192468619246862</v>
      </c>
      <c r="W722" s="0" t="n">
        <v>0.263598326359833</v>
      </c>
      <c r="X722" s="0" t="n">
        <v>0.337449430641393</v>
      </c>
      <c r="Y722" s="0" t="n">
        <v>9.96243026048143</v>
      </c>
      <c r="Z722" s="0" t="n">
        <v>0.678344792915831</v>
      </c>
      <c r="AA722" s="0" t="n">
        <v>0</v>
      </c>
    </row>
    <row r="723" customFormat="false" ht="15" hidden="false" customHeight="false" outlineLevel="0" collapsed="false">
      <c r="A723" s="0" t="s">
        <v>757</v>
      </c>
      <c r="B723" s="0" t="s">
        <v>3013</v>
      </c>
      <c r="C723" s="0" t="s">
        <v>3036</v>
      </c>
      <c r="D723" s="0" t="n">
        <v>26.1352351411737</v>
      </c>
      <c r="E723" s="0" t="n">
        <v>0.317554620556193</v>
      </c>
      <c r="F723" s="0" t="n">
        <v>7.96529574015114</v>
      </c>
      <c r="G723" s="0" t="n">
        <v>0.655819774718398</v>
      </c>
      <c r="H723" s="0" t="n">
        <v>0.538172715894869</v>
      </c>
      <c r="I723" s="0" t="n">
        <v>0.163644816364482</v>
      </c>
      <c r="J723" s="0" t="n">
        <v>0.510325959518203</v>
      </c>
      <c r="K723" s="0" t="n">
        <v>0.667715717403612</v>
      </c>
      <c r="L723" s="1" t="b">
        <f aca="false">FALSE()</f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7.25581799956986</v>
      </c>
      <c r="S723" s="0" t="n">
        <v>1.20218579234973</v>
      </c>
      <c r="T723" s="0" t="n">
        <v>0.140515222482441</v>
      </c>
      <c r="U723" s="0" t="n">
        <v>0.333333333333333</v>
      </c>
      <c r="V723" s="0" t="n">
        <v>0.0697350069735007</v>
      </c>
      <c r="W723" s="0" t="n">
        <v>0.0878661087866109</v>
      </c>
      <c r="X723" s="0" t="n">
        <v>0.317554620556193</v>
      </c>
      <c r="Y723" s="0" t="n">
        <v>7.96529574015114</v>
      </c>
      <c r="Z723" s="0" t="n">
        <v>0.510325959518203</v>
      </c>
      <c r="AA723" s="0" t="n">
        <v>0</v>
      </c>
    </row>
    <row r="724" customFormat="false" ht="15" hidden="false" customHeight="false" outlineLevel="0" collapsed="false">
      <c r="A724" s="0" t="s">
        <v>758</v>
      </c>
      <c r="B724" s="0" t="s">
        <v>3013</v>
      </c>
      <c r="C724" s="0" t="s">
        <v>3036</v>
      </c>
      <c r="D724" s="0" t="n">
        <v>31.6786667076533</v>
      </c>
      <c r="E724" s="0" t="n">
        <v>0.309665468161453</v>
      </c>
      <c r="F724" s="0" t="n">
        <v>6.02760003253211</v>
      </c>
      <c r="G724" s="0" t="n">
        <v>0.617021276595745</v>
      </c>
      <c r="H724" s="0" t="n">
        <v>0.270337922403004</v>
      </c>
      <c r="I724" s="0" t="n">
        <v>0.208275220827522</v>
      </c>
      <c r="J724" s="0" t="n">
        <v>0.396598723765004</v>
      </c>
      <c r="K724" s="0" t="n">
        <v>0.667715717403612</v>
      </c>
      <c r="L724" s="1" t="b">
        <f aca="false">FALSE()</f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8.14187413294911</v>
      </c>
      <c r="S724" s="0" t="n">
        <v>1.58761270090161</v>
      </c>
      <c r="T724" s="0" t="n">
        <v>0.137201097608773</v>
      </c>
      <c r="U724" s="0" t="n">
        <v>0.391910739191074</v>
      </c>
      <c r="V724" s="0" t="n">
        <v>0.152022315202232</v>
      </c>
      <c r="W724" s="0" t="n">
        <v>0.0808926080892608</v>
      </c>
      <c r="X724" s="0" t="n">
        <v>0.309665468161453</v>
      </c>
      <c r="Y724" s="0" t="n">
        <v>6.02760003253211</v>
      </c>
      <c r="Z724" s="0" t="n">
        <v>0.396598723765004</v>
      </c>
      <c r="AA724" s="0" t="n">
        <v>0</v>
      </c>
    </row>
    <row r="725" customFormat="false" ht="15" hidden="false" customHeight="false" outlineLevel="0" collapsed="false">
      <c r="A725" s="0" t="s">
        <v>759</v>
      </c>
      <c r="B725" s="0" t="s">
        <v>3013</v>
      </c>
      <c r="C725" s="0" t="s">
        <v>3038</v>
      </c>
      <c r="D725" s="0" t="n">
        <v>-36.970173236981</v>
      </c>
      <c r="E725" s="0" t="n">
        <v>0.23638800072279</v>
      </c>
      <c r="F725" s="0" t="n">
        <v>8.52950923326881</v>
      </c>
      <c r="G725" s="0" t="n">
        <v>0.206508135168961</v>
      </c>
      <c r="H725" s="0" t="n">
        <v>0.612015018773467</v>
      </c>
      <c r="I725" s="0" t="n">
        <v>0.632728963272896</v>
      </c>
      <c r="J725" s="0" t="n">
        <v>0.453955054231551</v>
      </c>
      <c r="K725" s="0" t="n">
        <v>0.667715717403612</v>
      </c>
      <c r="L725" s="1" t="b">
        <f aca="false">FALSE()</f>
        <v>0</v>
      </c>
      <c r="N725" s="0" t="n">
        <v>0</v>
      </c>
      <c r="O725" s="0" t="n">
        <v>0</v>
      </c>
      <c r="P725" s="0" t="n">
        <v>1</v>
      </c>
      <c r="Q725" s="0" t="n">
        <v>36.970173236981</v>
      </c>
      <c r="R725" s="0" t="n">
        <v>35.2795416443755</v>
      </c>
      <c r="S725" s="0" t="n">
        <v>15.7909215955983</v>
      </c>
      <c r="T725" s="0" t="n">
        <v>0.110041265474547</v>
      </c>
      <c r="U725" s="0" t="n">
        <v>0.928870292887029</v>
      </c>
      <c r="V725" s="0" t="n">
        <v>0.938633193863319</v>
      </c>
      <c r="W725" s="0" t="n">
        <v>0.0306834030683403</v>
      </c>
      <c r="X725" s="0" t="n">
        <v>0.236388000722791</v>
      </c>
      <c r="Y725" s="0" t="n">
        <v>8.52950923326881</v>
      </c>
      <c r="Z725" s="0" t="n">
        <v>0.453955054231551</v>
      </c>
      <c r="AA725" s="0" t="n">
        <v>0</v>
      </c>
    </row>
    <row r="726" customFormat="false" ht="15" hidden="false" customHeight="false" outlineLevel="0" collapsed="false">
      <c r="A726" s="0" t="s">
        <v>760</v>
      </c>
      <c r="B726" s="0" t="s">
        <v>3013</v>
      </c>
      <c r="C726" s="0" t="s">
        <v>3033</v>
      </c>
      <c r="D726" s="0" t="n">
        <v>35.1421973244435</v>
      </c>
      <c r="E726" s="0" t="n">
        <v>0.305835125963001</v>
      </c>
      <c r="F726" s="0" t="n">
        <v>10.1581549123048</v>
      </c>
      <c r="G726" s="0" t="n">
        <v>0.596996245306633</v>
      </c>
      <c r="H726" s="0" t="n">
        <v>0.807259073842303</v>
      </c>
      <c r="I726" s="0" t="n">
        <v>0.311018131101813</v>
      </c>
      <c r="J726" s="0" t="n">
        <v>0.623905753879937</v>
      </c>
      <c r="K726" s="0" t="n">
        <v>0.667715717403612</v>
      </c>
      <c r="L726" s="1" t="b">
        <f aca="false">FALSE()</f>
        <v>0</v>
      </c>
      <c r="N726" s="0" t="n">
        <v>36.9701732369813</v>
      </c>
      <c r="O726" s="0" t="n">
        <v>1</v>
      </c>
      <c r="P726" s="0" t="n">
        <v>0</v>
      </c>
      <c r="Q726" s="0" t="n">
        <v>0</v>
      </c>
      <c r="R726" s="0" t="n">
        <v>9.14716487173155</v>
      </c>
      <c r="S726" s="0" t="n">
        <v>2.73167714668591</v>
      </c>
      <c r="T726" s="0" t="n">
        <v>0.123698587774455</v>
      </c>
      <c r="U726" s="0" t="n">
        <v>0.454672245467225</v>
      </c>
      <c r="V726" s="0" t="n">
        <v>0.429567642956764</v>
      </c>
      <c r="W726" s="0" t="n">
        <v>0.0488145048814505</v>
      </c>
      <c r="X726" s="0" t="n">
        <v>0.305835125963001</v>
      </c>
      <c r="Y726" s="0" t="n">
        <v>10.1581549123048</v>
      </c>
      <c r="Z726" s="0" t="n">
        <v>0.623905753879937</v>
      </c>
      <c r="AA726" s="0" t="n">
        <v>0</v>
      </c>
    </row>
    <row r="727" customFormat="false" ht="15" hidden="false" customHeight="false" outlineLevel="0" collapsed="false">
      <c r="A727" s="0" t="s">
        <v>761</v>
      </c>
      <c r="B727" s="0" t="s">
        <v>3013</v>
      </c>
      <c r="C727" s="0" t="s">
        <v>3033</v>
      </c>
      <c r="D727" s="0" t="n">
        <v>13.8904513523786</v>
      </c>
      <c r="E727" s="0" t="n">
        <v>0.371286298934279</v>
      </c>
      <c r="F727" s="0" t="n">
        <v>11.5488374888949</v>
      </c>
      <c r="G727" s="0" t="n">
        <v>0.879849812265332</v>
      </c>
      <c r="H727" s="0" t="n">
        <v>0.904881101376721</v>
      </c>
      <c r="I727" s="0" t="n">
        <v>0.166899116689912</v>
      </c>
      <c r="J727" s="0" t="n">
        <v>0.747272188794803</v>
      </c>
      <c r="K727" s="0" t="n">
        <v>0.667715717403612</v>
      </c>
      <c r="L727" s="1" t="b">
        <f aca="false">TRUE()</f>
        <v>1</v>
      </c>
      <c r="M727" s="0" t="s">
        <v>3035</v>
      </c>
      <c r="N727" s="0" t="n">
        <v>1.82797591253802</v>
      </c>
      <c r="O727" s="0" t="n">
        <v>0</v>
      </c>
      <c r="P727" s="0" t="n">
        <v>0</v>
      </c>
      <c r="Q727" s="0" t="n">
        <v>0</v>
      </c>
      <c r="R727" s="0" t="n">
        <v>9.34601598899875</v>
      </c>
      <c r="S727" s="0" t="n">
        <v>1.05185909980432</v>
      </c>
      <c r="T727" s="0" t="n">
        <v>0.0733855185909938</v>
      </c>
      <c r="U727" s="0" t="n">
        <v>0.463040446304045</v>
      </c>
      <c r="V727" s="0" t="n">
        <v>0.0334728033472803</v>
      </c>
      <c r="W727" s="0" t="n">
        <v>0.00418410041841004</v>
      </c>
      <c r="X727" s="0" t="n">
        <v>0.371286298934279</v>
      </c>
      <c r="Y727" s="0" t="n">
        <v>11.5488374888949</v>
      </c>
      <c r="Z727" s="0" t="n">
        <v>0.747272188794803</v>
      </c>
      <c r="AA727" s="0" t="n">
        <v>0</v>
      </c>
    </row>
    <row r="728" customFormat="false" ht="15" hidden="false" customHeight="false" outlineLevel="0" collapsed="false">
      <c r="A728" s="0" t="s">
        <v>762</v>
      </c>
      <c r="B728" s="0" t="s">
        <v>3013</v>
      </c>
      <c r="C728" s="0" t="s">
        <v>3033</v>
      </c>
      <c r="D728" s="0" t="n">
        <v>2.78709178884214</v>
      </c>
      <c r="E728" s="0" t="n">
        <v>0.3013351630387</v>
      </c>
      <c r="F728" s="0" t="n">
        <v>8.95616625397774</v>
      </c>
      <c r="G728" s="0" t="n">
        <v>0.575719649561952</v>
      </c>
      <c r="H728" s="0" t="n">
        <v>0.675844806007509</v>
      </c>
      <c r="I728" s="0" t="n">
        <v>0.562064156206416</v>
      </c>
      <c r="J728" s="0" t="n">
        <v>0.613038613469068</v>
      </c>
      <c r="K728" s="0" t="n">
        <v>0.667715717403612</v>
      </c>
      <c r="L728" s="1" t="b">
        <f aca="false">FALSE()</f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16.943187929016</v>
      </c>
      <c r="S728" s="0" t="n">
        <v>4.0275299515677</v>
      </c>
      <c r="T728" s="0" t="n">
        <v>0.203925567167979</v>
      </c>
      <c r="U728" s="0" t="n">
        <v>0.747559274755927</v>
      </c>
      <c r="V728" s="0" t="n">
        <v>0.601115760111576</v>
      </c>
      <c r="W728" s="0" t="n">
        <v>0.337517433751743</v>
      </c>
      <c r="X728" s="0" t="n">
        <v>0.3013351630387</v>
      </c>
      <c r="Y728" s="0" t="n">
        <v>8.95616625397774</v>
      </c>
      <c r="Z728" s="0" t="n">
        <v>0.613038613469068</v>
      </c>
      <c r="AA728" s="0" t="n">
        <v>0</v>
      </c>
    </row>
    <row r="729" customFormat="false" ht="15" hidden="false" customHeight="false" outlineLevel="0" collapsed="false">
      <c r="A729" s="0" t="s">
        <v>763</v>
      </c>
      <c r="B729" s="0" t="s">
        <v>3013</v>
      </c>
      <c r="C729" s="0" t="s">
        <v>3036</v>
      </c>
      <c r="D729" s="0" t="n">
        <v>-13.3826845176093</v>
      </c>
      <c r="E729" s="0" t="n">
        <v>0.537064335208131</v>
      </c>
      <c r="F729" s="0" t="n">
        <v>14.4045225699646</v>
      </c>
      <c r="G729" s="0" t="n">
        <v>1</v>
      </c>
      <c r="H729" s="0" t="n">
        <v>0.978723404255319</v>
      </c>
      <c r="I729" s="0" t="n">
        <v>0.160390516039052</v>
      </c>
      <c r="J729" s="0" t="n">
        <v>0.823567464909938</v>
      </c>
      <c r="K729" s="0" t="n">
        <v>0.667715717403612</v>
      </c>
      <c r="L729" s="1" t="b">
        <f aca="false">TRUE()</f>
        <v>1</v>
      </c>
      <c r="M729" s="0" t="s">
        <v>3035</v>
      </c>
      <c r="N729" s="0" t="n">
        <v>0</v>
      </c>
      <c r="O729" s="0" t="n">
        <v>0</v>
      </c>
      <c r="P729" s="0" t="n">
        <v>1</v>
      </c>
      <c r="Q729" s="0" t="n">
        <v>13.3826845176093</v>
      </c>
      <c r="R729" s="0" t="n">
        <v>7.68360153513898</v>
      </c>
      <c r="S729" s="0" t="n">
        <v>0.729467991447611</v>
      </c>
      <c r="T729" s="0" t="n">
        <v>0.150924412023643</v>
      </c>
      <c r="U729" s="0" t="n">
        <v>0.366806136680614</v>
      </c>
      <c r="V729" s="0" t="n">
        <v>0.00557880055788006</v>
      </c>
      <c r="W729" s="0" t="n">
        <v>0.108786610878661</v>
      </c>
      <c r="X729" s="0" t="n">
        <v>0.537064335208131</v>
      </c>
      <c r="Y729" s="0" t="n">
        <v>14.4045225699646</v>
      </c>
      <c r="Z729" s="0" t="n">
        <v>0.823567464909938</v>
      </c>
      <c r="AA729" s="0" t="n">
        <v>0</v>
      </c>
    </row>
    <row r="730" customFormat="false" ht="15" hidden="false" customHeight="false" outlineLevel="0" collapsed="false">
      <c r="A730" s="0" t="s">
        <v>764</v>
      </c>
      <c r="B730" s="0" t="s">
        <v>3013</v>
      </c>
      <c r="C730" s="0" t="s">
        <v>3038</v>
      </c>
      <c r="D730" s="0" t="n">
        <v>68.6927437121288</v>
      </c>
      <c r="E730" s="0" t="n">
        <v>0.324122608990985</v>
      </c>
      <c r="F730" s="0" t="n">
        <v>9.74610253881585</v>
      </c>
      <c r="G730" s="0" t="n">
        <v>0.699624530663329</v>
      </c>
      <c r="H730" s="0" t="n">
        <v>0.758448060075094</v>
      </c>
      <c r="I730" s="0" t="n">
        <v>0.610878661087866</v>
      </c>
      <c r="J730" s="0" t="n">
        <v>0.705404768512943</v>
      </c>
      <c r="K730" s="0" t="n">
        <v>0.667715717403612</v>
      </c>
      <c r="L730" s="1" t="b">
        <f aca="false">TRUE()</f>
        <v>1</v>
      </c>
      <c r="M730" s="0" t="s">
        <v>3035</v>
      </c>
      <c r="N730" s="0" t="n">
        <v>13.38268451761</v>
      </c>
      <c r="O730" s="0" t="n">
        <v>1</v>
      </c>
      <c r="P730" s="0" t="n">
        <v>0</v>
      </c>
      <c r="Q730" s="0" t="n">
        <v>0</v>
      </c>
      <c r="R730" s="0" t="n">
        <v>22.9253470642822</v>
      </c>
      <c r="S730" s="0" t="n">
        <v>9.04761904761908</v>
      </c>
      <c r="T730" s="0" t="n">
        <v>0.163690476190471</v>
      </c>
      <c r="U730" s="0" t="n">
        <v>0.835425383542538</v>
      </c>
      <c r="V730" s="0" t="n">
        <v>0.847977684797769</v>
      </c>
      <c r="W730" s="0" t="n">
        <v>0.149232914923292</v>
      </c>
      <c r="X730" s="0" t="n">
        <v>0.324122608990985</v>
      </c>
      <c r="Y730" s="0" t="n">
        <v>9.74610253881585</v>
      </c>
      <c r="Z730" s="0" t="n">
        <v>0.705404768512943</v>
      </c>
      <c r="AA730" s="0" t="n">
        <v>0</v>
      </c>
    </row>
    <row r="731" customFormat="false" ht="15" hidden="false" customHeight="false" outlineLevel="0" collapsed="false">
      <c r="A731" s="0" t="s">
        <v>765</v>
      </c>
      <c r="B731" s="0" t="s">
        <v>3013</v>
      </c>
      <c r="C731" s="0" t="s">
        <v>3033</v>
      </c>
      <c r="D731" s="0" t="n">
        <v>103.697999672002</v>
      </c>
      <c r="E731" s="0" t="n">
        <v>0.220348471525751</v>
      </c>
      <c r="F731" s="0" t="n">
        <v>12.3780888749703</v>
      </c>
      <c r="G731" s="0" t="n">
        <v>0.145181476846058</v>
      </c>
      <c r="H731" s="0" t="n">
        <v>0.934918648310388</v>
      </c>
      <c r="I731" s="0" t="n">
        <v>0.666666666666667</v>
      </c>
      <c r="J731" s="0" t="n">
        <v>0.565373383395912</v>
      </c>
      <c r="K731" s="0" t="n">
        <v>0.667715717403612</v>
      </c>
      <c r="L731" s="1" t="b">
        <f aca="false">FALSE()</f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55.0468694763738</v>
      </c>
      <c r="S731" s="0" t="n">
        <v>47.3856209150327</v>
      </c>
      <c r="T731" s="0" t="n">
        <v>0.0980392156862782</v>
      </c>
      <c r="U731" s="0" t="n">
        <v>0.98326359832636</v>
      </c>
      <c r="V731" s="0" t="n">
        <v>1</v>
      </c>
      <c r="W731" s="0" t="n">
        <v>0.0167364016736402</v>
      </c>
      <c r="X731" s="0" t="n">
        <v>0.220348471525751</v>
      </c>
      <c r="Y731" s="0" t="n">
        <v>12.3780888749703</v>
      </c>
      <c r="Z731" s="0" t="n">
        <v>0.565373383395912</v>
      </c>
      <c r="AA731" s="0" t="n">
        <v>0</v>
      </c>
    </row>
    <row r="732" customFormat="false" ht="15" hidden="false" customHeight="false" outlineLevel="0" collapsed="false">
      <c r="A732" s="0" t="s">
        <v>766</v>
      </c>
      <c r="B732" s="0" t="s">
        <v>3013</v>
      </c>
      <c r="C732" s="0" t="s">
        <v>3033</v>
      </c>
      <c r="D732" s="0" t="n">
        <v>31.695393823832</v>
      </c>
      <c r="E732" s="0" t="n">
        <v>0.290108944643239</v>
      </c>
      <c r="F732" s="0" t="n">
        <v>6.60613600642507</v>
      </c>
      <c r="G732" s="0" t="n">
        <v>0.524405506883605</v>
      </c>
      <c r="H732" s="0" t="n">
        <v>0.361702127659575</v>
      </c>
      <c r="I732" s="0" t="n">
        <v>0.328684332868433</v>
      </c>
      <c r="J732" s="0" t="n">
        <v>0.420179920390958</v>
      </c>
      <c r="K732" s="0" t="n">
        <v>0.667715717403612</v>
      </c>
      <c r="L732" s="1" t="b">
        <f aca="false">FALSE()</f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7.46396973770537</v>
      </c>
      <c r="S732" s="0" t="n">
        <v>2.27317651709824</v>
      </c>
      <c r="T732" s="0" t="n">
        <v>0.197667523225934</v>
      </c>
      <c r="U732" s="0" t="n">
        <v>0.354253835425384</v>
      </c>
      <c r="V732" s="0" t="n">
        <v>0.330543933054393</v>
      </c>
      <c r="W732" s="0" t="n">
        <v>0.301255230125523</v>
      </c>
      <c r="X732" s="0" t="n">
        <v>0.290108944643239</v>
      </c>
      <c r="Y732" s="0" t="n">
        <v>6.60613600642507</v>
      </c>
      <c r="Z732" s="0" t="n">
        <v>0.420179920390958</v>
      </c>
      <c r="AA732" s="0" t="n">
        <v>-5.55111512312578E-017</v>
      </c>
    </row>
    <row r="733" customFormat="false" ht="15" hidden="false" customHeight="false" outlineLevel="0" collapsed="false">
      <c r="A733" s="0" t="s">
        <v>767</v>
      </c>
      <c r="B733" s="0" t="s">
        <v>3013</v>
      </c>
      <c r="C733" s="0" t="s">
        <v>3036</v>
      </c>
      <c r="D733" s="0" t="n">
        <v>7.67195099565182</v>
      </c>
      <c r="E733" s="0" t="n">
        <v>0.27815637992476</v>
      </c>
      <c r="F733" s="0" t="n">
        <v>5.29915419754926</v>
      </c>
      <c r="G733" s="0" t="n">
        <v>0.454317897371715</v>
      </c>
      <c r="H733" s="0" t="n">
        <v>0.171464330413016</v>
      </c>
      <c r="I733" s="0" t="n">
        <v>0.149697814969782</v>
      </c>
      <c r="J733" s="0" t="n">
        <v>0.280252454107849</v>
      </c>
      <c r="K733" s="0" t="n">
        <v>0.667715717403612</v>
      </c>
      <c r="L733" s="1" t="b">
        <f aca="false">FALSE()</f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3.78472631215082</v>
      </c>
      <c r="S733" s="0" t="n">
        <v>1.27388535031846</v>
      </c>
      <c r="T733" s="0" t="n">
        <v>0.197671864704592</v>
      </c>
      <c r="U733" s="0" t="n">
        <v>0.0627615062761506</v>
      </c>
      <c r="V733" s="0" t="n">
        <v>0.0836820083682008</v>
      </c>
      <c r="W733" s="0" t="n">
        <v>0.302649930264993</v>
      </c>
      <c r="X733" s="0" t="n">
        <v>0.27815637992476</v>
      </c>
      <c r="Y733" s="0" t="n">
        <v>5.29915419754926</v>
      </c>
      <c r="Z733" s="0" t="n">
        <v>0.280252454107849</v>
      </c>
      <c r="AA733" s="0" t="n">
        <v>-5.55111512312578E-017</v>
      </c>
    </row>
    <row r="734" customFormat="false" ht="15" hidden="false" customHeight="false" outlineLevel="0" collapsed="false">
      <c r="A734" s="0" t="s">
        <v>768</v>
      </c>
      <c r="B734" s="0" t="s">
        <v>33</v>
      </c>
      <c r="C734" s="0" t="s">
        <v>33</v>
      </c>
      <c r="D734" s="0" t="n">
        <v>-3.95222160407788</v>
      </c>
      <c r="E734" s="0" t="n">
        <v>0.322221351144175</v>
      </c>
      <c r="F734" s="0" t="n">
        <v>8.38050862381332</v>
      </c>
      <c r="G734" s="0" t="n">
        <v>0.682102628285357</v>
      </c>
      <c r="H734" s="0" t="n">
        <v>0.589486858573217</v>
      </c>
      <c r="I734" s="0" t="n">
        <v>0.5</v>
      </c>
      <c r="J734" s="0" t="n">
        <v>0.608635794743429</v>
      </c>
      <c r="K734" s="0" t="n">
        <v>0.667715717403612</v>
      </c>
      <c r="L734" s="1" t="b">
        <f aca="false">FALSE()</f>
        <v>0</v>
      </c>
      <c r="N734" s="0" t="n">
        <v>0</v>
      </c>
      <c r="O734" s="0" t="n">
        <v>0</v>
      </c>
      <c r="P734" s="0" t="n">
        <v>1</v>
      </c>
      <c r="Q734" s="0" t="n">
        <v>3.95222160407788</v>
      </c>
      <c r="U734" s="0" t="n">
        <v>0.5</v>
      </c>
      <c r="V734" s="0" t="n">
        <v>0.5</v>
      </c>
      <c r="W734" s="0" t="n">
        <v>0.5</v>
      </c>
      <c r="X734" s="0" t="n">
        <v>0.322221351144175</v>
      </c>
      <c r="Y734" s="0" t="n">
        <v>8.38050862381333</v>
      </c>
      <c r="Z734" s="0" t="n">
        <v>0.608635794743429</v>
      </c>
      <c r="AA734" s="0" t="n">
        <v>0</v>
      </c>
    </row>
    <row r="735" customFormat="false" ht="15" hidden="false" customHeight="false" outlineLevel="0" collapsed="false">
      <c r="A735" s="0" t="s">
        <v>769</v>
      </c>
      <c r="B735" s="0" t="s">
        <v>33</v>
      </c>
      <c r="C735" s="0" t="s">
        <v>33</v>
      </c>
      <c r="D735" s="0" t="n">
        <v>7.5795901088763</v>
      </c>
      <c r="E735" s="0" t="n">
        <v>0.348091767942455</v>
      </c>
      <c r="F735" s="0" t="n">
        <v>9.67642623576774</v>
      </c>
      <c r="G735" s="0" t="n">
        <v>0.809762202753442</v>
      </c>
      <c r="H735" s="0" t="n">
        <v>0.745932415519399</v>
      </c>
      <c r="I735" s="0" t="n">
        <v>0.5</v>
      </c>
      <c r="J735" s="0" t="n">
        <v>0.722277847309136</v>
      </c>
      <c r="K735" s="0" t="n">
        <v>0.667715717403612</v>
      </c>
      <c r="L735" s="1" t="b">
        <f aca="false">TRUE()</f>
        <v>1</v>
      </c>
      <c r="M735" s="0" t="s">
        <v>3035</v>
      </c>
      <c r="N735" s="0" t="n">
        <v>3.95222160407866</v>
      </c>
      <c r="O735" s="0" t="n">
        <v>1</v>
      </c>
      <c r="P735" s="0" t="n">
        <v>0</v>
      </c>
      <c r="Q735" s="0" t="n">
        <v>0</v>
      </c>
      <c r="U735" s="0" t="n">
        <v>0.5</v>
      </c>
      <c r="V735" s="0" t="n">
        <v>0.5</v>
      </c>
      <c r="W735" s="0" t="n">
        <v>0.5</v>
      </c>
      <c r="X735" s="0" t="n">
        <v>0.348091767942455</v>
      </c>
      <c r="Y735" s="0" t="n">
        <v>9.67642623576774</v>
      </c>
      <c r="Z735" s="0" t="n">
        <v>0.722277847309136</v>
      </c>
      <c r="AA735" s="0" t="n">
        <v>0</v>
      </c>
    </row>
    <row r="736" customFormat="false" ht="15" hidden="false" customHeight="false" outlineLevel="0" collapsed="false">
      <c r="A736" s="0" t="s">
        <v>770</v>
      </c>
      <c r="B736" s="0" t="s">
        <v>3013</v>
      </c>
      <c r="C736" s="0" t="s">
        <v>3033</v>
      </c>
      <c r="D736" s="0" t="n">
        <v>-1.5772480006039</v>
      </c>
      <c r="E736" s="0" t="n">
        <v>0.240222947202026</v>
      </c>
      <c r="F736" s="0" t="n">
        <v>3.85973852752411</v>
      </c>
      <c r="G736" s="0" t="n">
        <v>0.222778473091364</v>
      </c>
      <c r="H736" s="0" t="n">
        <v>0.0463078848560701</v>
      </c>
      <c r="I736" s="0" t="n">
        <v>0.467224546722455</v>
      </c>
      <c r="J736" s="0" t="n">
        <v>0.201079452523465</v>
      </c>
      <c r="K736" s="0" t="n">
        <v>0.667715717403612</v>
      </c>
      <c r="L736" s="1" t="b">
        <f aca="false">FALSE()</f>
        <v>0</v>
      </c>
      <c r="N736" s="0" t="n">
        <v>0</v>
      </c>
      <c r="O736" s="0" t="n">
        <v>0</v>
      </c>
      <c r="P736" s="0" t="n">
        <v>1</v>
      </c>
      <c r="Q736" s="0" t="n">
        <v>1.5772480006039</v>
      </c>
      <c r="R736" s="0" t="n">
        <v>8.98200669745282</v>
      </c>
      <c r="S736" s="0" t="n">
        <v>5.03072196620585</v>
      </c>
      <c r="T736" s="0" t="n">
        <v>0.192012288786477</v>
      </c>
      <c r="U736" s="0" t="n">
        <v>0.442119944211994</v>
      </c>
      <c r="V736" s="0" t="n">
        <v>0.691771269177127</v>
      </c>
      <c r="W736" s="0" t="n">
        <v>0.267782426778243</v>
      </c>
      <c r="X736" s="0" t="n">
        <v>0.240222947202026</v>
      </c>
      <c r="Y736" s="0" t="n">
        <v>3.85973852752411</v>
      </c>
      <c r="Z736" s="0" t="n">
        <v>0.201079452523465</v>
      </c>
      <c r="AA736" s="0" t="n">
        <v>-5.55111512312578E-017</v>
      </c>
    </row>
    <row r="737" customFormat="false" ht="15" hidden="false" customHeight="false" outlineLevel="0" collapsed="false">
      <c r="A737" s="0" t="s">
        <v>771</v>
      </c>
      <c r="B737" s="0" t="s">
        <v>3013</v>
      </c>
      <c r="C737" s="0" t="s">
        <v>3036</v>
      </c>
      <c r="D737" s="0" t="n">
        <v>25.8236707764498</v>
      </c>
      <c r="E737" s="0" t="n">
        <v>0.302324942986283</v>
      </c>
      <c r="F737" s="0" t="n">
        <v>4.24548960651727</v>
      </c>
      <c r="G737" s="0" t="n">
        <v>0.578222778473091</v>
      </c>
      <c r="H737" s="0" t="n">
        <v>0.0688360450563204</v>
      </c>
      <c r="I737" s="0" t="n">
        <v>0.611808461180846</v>
      </c>
      <c r="J737" s="0" t="n">
        <v>0.381185221647934</v>
      </c>
      <c r="K737" s="0" t="n">
        <v>0.667715717403612</v>
      </c>
      <c r="L737" s="1" t="b">
        <f aca="false">FALSE()</f>
        <v>0</v>
      </c>
      <c r="N737" s="0" t="n">
        <v>1.5772480006035</v>
      </c>
      <c r="O737" s="0" t="n">
        <v>1</v>
      </c>
      <c r="P737" s="0" t="n">
        <v>0</v>
      </c>
      <c r="Q737" s="0" t="n">
        <v>0</v>
      </c>
      <c r="R737" s="0" t="n">
        <v>24.5837433971362</v>
      </c>
      <c r="S737" s="0" t="n">
        <v>12.6008968609865</v>
      </c>
      <c r="T737" s="0" t="n">
        <v>0.134529147982062</v>
      </c>
      <c r="U737" s="0" t="n">
        <v>0.852161785216179</v>
      </c>
      <c r="V737" s="0" t="n">
        <v>0.907949790794979</v>
      </c>
      <c r="W737" s="0" t="n">
        <v>0.0753138075313808</v>
      </c>
      <c r="X737" s="0" t="n">
        <v>0.302324942986283</v>
      </c>
      <c r="Y737" s="0" t="n">
        <v>4.24548960651726</v>
      </c>
      <c r="Z737" s="0" t="n">
        <v>0.381185221647934</v>
      </c>
      <c r="AA737" s="0" t="n">
        <v>0</v>
      </c>
    </row>
    <row r="738" customFormat="false" ht="15" hidden="false" customHeight="false" outlineLevel="0" collapsed="false">
      <c r="A738" s="0" t="s">
        <v>772</v>
      </c>
      <c r="B738" s="0" t="s">
        <v>3013</v>
      </c>
      <c r="C738" s="0" t="s">
        <v>3036</v>
      </c>
      <c r="D738" s="0" t="n">
        <v>-15.6701101522417</v>
      </c>
      <c r="E738" s="0" t="n">
        <v>0.371482703999014</v>
      </c>
      <c r="F738" s="0" t="n">
        <v>5.30338719680778</v>
      </c>
      <c r="G738" s="0" t="n">
        <v>0.881101376720901</v>
      </c>
      <c r="H738" s="0" t="n">
        <v>0.172715894868586</v>
      </c>
      <c r="I738" s="0" t="n">
        <v>0.303114830311483</v>
      </c>
      <c r="J738" s="0" t="n">
        <v>0.482149874698091</v>
      </c>
      <c r="K738" s="0" t="n">
        <v>0.667715717403612</v>
      </c>
      <c r="L738" s="1" t="b">
        <f aca="false">FALSE()</f>
        <v>0</v>
      </c>
      <c r="N738" s="0" t="n">
        <v>0</v>
      </c>
      <c r="O738" s="0" t="n">
        <v>0</v>
      </c>
      <c r="P738" s="0" t="n">
        <v>1</v>
      </c>
      <c r="Q738" s="0" t="n">
        <v>15.6701101522417</v>
      </c>
      <c r="R738" s="0" t="n">
        <v>8.28656905575823</v>
      </c>
      <c r="S738" s="0" t="n">
        <v>1.84569528831824</v>
      </c>
      <c r="T738" s="0" t="n">
        <v>0.194887080132987</v>
      </c>
      <c r="U738" s="0" t="n">
        <v>0.397489539748954</v>
      </c>
      <c r="V738" s="0" t="n">
        <v>0.228730822873082</v>
      </c>
      <c r="W738" s="0" t="n">
        <v>0.283124128312413</v>
      </c>
      <c r="X738" s="0" t="n">
        <v>0.371482703999014</v>
      </c>
      <c r="Y738" s="0" t="n">
        <v>5.30338719680778</v>
      </c>
      <c r="Z738" s="0" t="n">
        <v>0.482149874698091</v>
      </c>
      <c r="AA738" s="0" t="n">
        <v>0</v>
      </c>
    </row>
    <row r="739" customFormat="false" ht="15" hidden="false" customHeight="false" outlineLevel="0" collapsed="false">
      <c r="A739" s="0" t="s">
        <v>773</v>
      </c>
      <c r="B739" s="0" t="s">
        <v>3013</v>
      </c>
      <c r="C739" s="0" t="s">
        <v>3036</v>
      </c>
      <c r="D739" s="0" t="n">
        <v>24.6375560683165</v>
      </c>
      <c r="E739" s="0" t="n">
        <v>0.485118504998715</v>
      </c>
      <c r="F739" s="0" t="n">
        <v>11.8317408437859</v>
      </c>
      <c r="G739" s="0" t="n">
        <v>0.989987484355444</v>
      </c>
      <c r="H739" s="0" t="n">
        <v>0.914893617021277</v>
      </c>
      <c r="I739" s="0" t="n">
        <v>0.548582054858206</v>
      </c>
      <c r="J739" s="0" t="n">
        <v>0.871668851522329</v>
      </c>
      <c r="K739" s="0" t="n">
        <v>0.667715717403612</v>
      </c>
      <c r="L739" s="1" t="b">
        <f aca="false">TRUE()</f>
        <v>1</v>
      </c>
      <c r="M739" s="0" t="s">
        <v>3035</v>
      </c>
      <c r="N739" s="0" t="n">
        <v>15.6701101522413</v>
      </c>
      <c r="O739" s="0" t="n">
        <v>1</v>
      </c>
      <c r="P739" s="0" t="n">
        <v>0</v>
      </c>
      <c r="Q739" s="0" t="n">
        <v>0</v>
      </c>
      <c r="R739" s="0" t="n">
        <v>19.8569042140763</v>
      </c>
      <c r="S739" s="0" t="n">
        <v>3.54394491697043</v>
      </c>
      <c r="T739" s="0" t="n">
        <v>0.202511138112596</v>
      </c>
      <c r="U739" s="0" t="n">
        <v>0.786610878661088</v>
      </c>
      <c r="V739" s="0" t="n">
        <v>0.531380753138075</v>
      </c>
      <c r="W739" s="0" t="n">
        <v>0.327754532775453</v>
      </c>
      <c r="X739" s="0" t="n">
        <v>0.485118504998715</v>
      </c>
      <c r="Y739" s="0" t="n">
        <v>11.8317408437859</v>
      </c>
      <c r="Z739" s="0" t="n">
        <v>0.871668851522329</v>
      </c>
      <c r="AA739" s="0" t="n">
        <v>0</v>
      </c>
    </row>
    <row r="740" customFormat="false" ht="15" hidden="false" customHeight="false" outlineLevel="0" collapsed="false">
      <c r="A740" s="0" t="s">
        <v>774</v>
      </c>
      <c r="B740" s="0" t="s">
        <v>33</v>
      </c>
      <c r="C740" s="0" t="s">
        <v>33</v>
      </c>
      <c r="D740" s="0" t="n">
        <v>75.5990813404787</v>
      </c>
      <c r="E740" s="0" t="n">
        <v>0.465156966729541</v>
      </c>
      <c r="F740" s="0" t="n">
        <v>16.7887172265263</v>
      </c>
      <c r="G740" s="0" t="n">
        <v>0.987484355444305</v>
      </c>
      <c r="H740" s="0" t="n">
        <v>0.993742177722153</v>
      </c>
      <c r="I740" s="0" t="n">
        <v>0.5</v>
      </c>
      <c r="J740" s="0" t="n">
        <v>0.892490613266583</v>
      </c>
      <c r="K740" s="0" t="n">
        <v>0.667715717403612</v>
      </c>
      <c r="L740" s="1" t="b">
        <f aca="false">TRUE()</f>
        <v>1</v>
      </c>
      <c r="M740" s="0" t="s">
        <v>3035</v>
      </c>
      <c r="N740" s="0" t="n">
        <v>0</v>
      </c>
      <c r="O740" s="0" t="n">
        <v>0</v>
      </c>
      <c r="P740" s="0" t="n">
        <v>0</v>
      </c>
      <c r="Q740" s="0" t="n">
        <v>0</v>
      </c>
      <c r="U740" s="0" t="n">
        <v>0.5</v>
      </c>
      <c r="V740" s="0" t="n">
        <v>0.5</v>
      </c>
      <c r="W740" s="0" t="n">
        <v>0.5</v>
      </c>
      <c r="X740" s="0" t="n">
        <v>0.465156966729541</v>
      </c>
      <c r="Y740" s="0" t="n">
        <v>16.7887172265263</v>
      </c>
      <c r="Z740" s="0" t="n">
        <v>0.892490613266583</v>
      </c>
      <c r="AA740" s="0" t="n">
        <v>0</v>
      </c>
    </row>
    <row r="741" customFormat="false" ht="15" hidden="false" customHeight="false" outlineLevel="0" collapsed="false">
      <c r="A741" s="0" t="s">
        <v>775</v>
      </c>
      <c r="B741" s="0" t="s">
        <v>3013</v>
      </c>
      <c r="C741" s="0" t="s">
        <v>3036</v>
      </c>
      <c r="D741" s="0" t="n">
        <v>15.4282926967327</v>
      </c>
      <c r="E741" s="0" t="n">
        <v>0.452199930876097</v>
      </c>
      <c r="F741" s="0" t="n">
        <v>10.6215387008006</v>
      </c>
      <c r="G741" s="0" t="n">
        <v>0.981226533166458</v>
      </c>
      <c r="H741" s="0" t="n">
        <v>0.852315394242804</v>
      </c>
      <c r="I741" s="0" t="n">
        <v>0.359832635983264</v>
      </c>
      <c r="J741" s="0" t="n">
        <v>0.805383298160358</v>
      </c>
      <c r="K741" s="0" t="n">
        <v>0.667715717403612</v>
      </c>
      <c r="L741" s="1" t="b">
        <f aca="false">TRUE()</f>
        <v>1</v>
      </c>
      <c r="M741" s="0" t="s">
        <v>3035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11.635670004769</v>
      </c>
      <c r="S741" s="0" t="n">
        <v>2.79207085617884</v>
      </c>
      <c r="T741" s="0" t="n">
        <v>0.126528890763381</v>
      </c>
      <c r="U741" s="0" t="n">
        <v>0.580195258019526</v>
      </c>
      <c r="V741" s="0" t="n">
        <v>0.443514644351464</v>
      </c>
      <c r="W741" s="0" t="n">
        <v>0.0557880055788006</v>
      </c>
      <c r="X741" s="0" t="n">
        <v>0.452199930876097</v>
      </c>
      <c r="Y741" s="0" t="n">
        <v>10.6215387008006</v>
      </c>
      <c r="Z741" s="0" t="n">
        <v>0.805383298160358</v>
      </c>
      <c r="AA741" s="0" t="n">
        <v>0</v>
      </c>
    </row>
    <row r="742" customFormat="false" ht="15" hidden="false" customHeight="false" outlineLevel="0" collapsed="false">
      <c r="A742" s="0" t="s">
        <v>776</v>
      </c>
      <c r="B742" s="0" t="s">
        <v>3013</v>
      </c>
      <c r="C742" s="0" t="s">
        <v>3036</v>
      </c>
      <c r="D742" s="0" t="n">
        <v>-12.9682550543479</v>
      </c>
      <c r="E742" s="0" t="n">
        <v>0.397475969763478</v>
      </c>
      <c r="F742" s="0" t="n">
        <v>6.35680675144285</v>
      </c>
      <c r="G742" s="0" t="n">
        <v>0.936170212765958</v>
      </c>
      <c r="H742" s="0" t="n">
        <v>0.321652065081352</v>
      </c>
      <c r="I742" s="0" t="n">
        <v>0.128312412831241</v>
      </c>
      <c r="J742" s="0" t="n">
        <v>0.528791393705172</v>
      </c>
      <c r="K742" s="0" t="n">
        <v>0.667715717403612</v>
      </c>
      <c r="L742" s="1" t="b">
        <f aca="false">FALSE()</f>
        <v>0</v>
      </c>
      <c r="N742" s="0" t="n">
        <v>0</v>
      </c>
      <c r="O742" s="0" t="n">
        <v>0</v>
      </c>
      <c r="P742" s="0" t="n">
        <v>1</v>
      </c>
      <c r="Q742" s="0" t="n">
        <v>12.9682550543479</v>
      </c>
      <c r="R742" s="0" t="n">
        <v>6.22231124768088</v>
      </c>
      <c r="S742" s="0" t="n">
        <v>1.39427612957334</v>
      </c>
      <c r="T742" s="0" t="n">
        <v>0.11531607086697</v>
      </c>
      <c r="U742" s="0" t="n">
        <v>0.239888423988842</v>
      </c>
      <c r="V742" s="0" t="n">
        <v>0.107391910739191</v>
      </c>
      <c r="W742" s="0" t="n">
        <v>0.0376569037656904</v>
      </c>
      <c r="X742" s="0" t="n">
        <v>0.397475969763478</v>
      </c>
      <c r="Y742" s="0" t="n">
        <v>6.35680675144285</v>
      </c>
      <c r="Z742" s="0" t="n">
        <v>0.528791393705172</v>
      </c>
      <c r="AA742" s="0" t="n">
        <v>0</v>
      </c>
    </row>
    <row r="743" customFormat="false" ht="15" hidden="false" customHeight="false" outlineLevel="0" collapsed="false">
      <c r="A743" s="0" t="s">
        <v>777</v>
      </c>
      <c r="B743" s="0" t="s">
        <v>33</v>
      </c>
      <c r="C743" s="0" t="s">
        <v>33</v>
      </c>
      <c r="D743" s="0" t="n">
        <v>-39.2760772080976</v>
      </c>
      <c r="E743" s="0" t="n">
        <v>0.461399317041127</v>
      </c>
      <c r="F743" s="0" t="n">
        <v>16.9595145409738</v>
      </c>
      <c r="G743" s="0" t="n">
        <v>0.983729662077597</v>
      </c>
      <c r="H743" s="0" t="n">
        <v>0.994993742177722</v>
      </c>
      <c r="I743" s="0" t="n">
        <v>0.5</v>
      </c>
      <c r="J743" s="0" t="n">
        <v>0.891489361702128</v>
      </c>
      <c r="K743" s="0" t="n">
        <v>0.667715717403612</v>
      </c>
      <c r="L743" s="1" t="b">
        <f aca="false">TRUE()</f>
        <v>1</v>
      </c>
      <c r="M743" s="0" t="s">
        <v>3035</v>
      </c>
      <c r="N743" s="0" t="n">
        <v>12.9682550543475</v>
      </c>
      <c r="O743" s="0" t="n">
        <v>1</v>
      </c>
      <c r="P743" s="0" t="n">
        <v>1</v>
      </c>
      <c r="Q743" s="0" t="n">
        <v>39.2760772080976</v>
      </c>
      <c r="U743" s="0" t="n">
        <v>0.5</v>
      </c>
      <c r="V743" s="0" t="n">
        <v>0.5</v>
      </c>
      <c r="W743" s="0" t="n">
        <v>0.5</v>
      </c>
      <c r="X743" s="0" t="n">
        <v>0.461399317041127</v>
      </c>
      <c r="Y743" s="0" t="n">
        <v>16.9595145409738</v>
      </c>
      <c r="Z743" s="0" t="n">
        <v>0.891489361702128</v>
      </c>
      <c r="AA743" s="0" t="n">
        <v>0</v>
      </c>
    </row>
    <row r="744" customFormat="false" ht="15" hidden="false" customHeight="false" outlineLevel="0" collapsed="false">
      <c r="A744" s="0" t="s">
        <v>778</v>
      </c>
      <c r="B744" s="0" t="s">
        <v>33</v>
      </c>
      <c r="C744" s="0" t="s">
        <v>33</v>
      </c>
      <c r="D744" s="0" t="n">
        <v>42.6927459204074</v>
      </c>
      <c r="E744" s="0" t="n">
        <v>0.424108463309813</v>
      </c>
      <c r="F744" s="0" t="n">
        <v>15.0519941315586</v>
      </c>
      <c r="G744" s="0" t="n">
        <v>0.966207759699625</v>
      </c>
      <c r="H744" s="0" t="n">
        <v>0.984981226533166</v>
      </c>
      <c r="I744" s="0" t="n">
        <v>0.5</v>
      </c>
      <c r="J744" s="0" t="n">
        <v>0.880475594493116</v>
      </c>
      <c r="K744" s="0" t="n">
        <v>0.667715717403612</v>
      </c>
      <c r="L744" s="1" t="b">
        <f aca="false">TRUE()</f>
        <v>1</v>
      </c>
      <c r="M744" s="0" t="s">
        <v>3035</v>
      </c>
      <c r="N744" s="0" t="n">
        <v>52.2443322624458</v>
      </c>
      <c r="O744" s="0" t="n">
        <v>2</v>
      </c>
      <c r="P744" s="0" t="n">
        <v>0</v>
      </c>
      <c r="Q744" s="0" t="n">
        <v>0</v>
      </c>
      <c r="U744" s="0" t="n">
        <v>0.5</v>
      </c>
      <c r="V744" s="0" t="n">
        <v>0.5</v>
      </c>
      <c r="W744" s="0" t="n">
        <v>0.5</v>
      </c>
      <c r="X744" s="0" t="n">
        <v>0.424108463309813</v>
      </c>
      <c r="Y744" s="0" t="n">
        <v>15.0519941315586</v>
      </c>
      <c r="Z744" s="0" t="n">
        <v>0.880475594493116</v>
      </c>
      <c r="AA744" s="0" t="n">
        <v>0</v>
      </c>
    </row>
    <row r="745" customFormat="false" ht="15" hidden="false" customHeight="false" outlineLevel="0" collapsed="false">
      <c r="A745" s="0" t="s">
        <v>779</v>
      </c>
      <c r="B745" s="0" t="s">
        <v>3013</v>
      </c>
      <c r="C745" s="0" t="s">
        <v>3036</v>
      </c>
      <c r="D745" s="0" t="n">
        <v>-10.4569419182046</v>
      </c>
      <c r="E745" s="0" t="n">
        <v>0.393035713476288</v>
      </c>
      <c r="F745" s="0" t="n">
        <v>5.25005915393885</v>
      </c>
      <c r="G745" s="0" t="n">
        <v>0.928660826032541</v>
      </c>
      <c r="H745" s="0" t="n">
        <v>0.165206508135169</v>
      </c>
      <c r="I745" s="0" t="n">
        <v>0.274291027429103</v>
      </c>
      <c r="J745" s="0" t="n">
        <v>0.492405139152904</v>
      </c>
      <c r="K745" s="0" t="n">
        <v>0.667715717403612</v>
      </c>
      <c r="L745" s="1" t="b">
        <f aca="false">FALSE()</f>
        <v>0</v>
      </c>
      <c r="N745" s="0" t="n">
        <v>9.55158634203872</v>
      </c>
      <c r="O745" s="0" t="n">
        <v>0</v>
      </c>
      <c r="P745" s="0" t="n">
        <v>1</v>
      </c>
      <c r="Q745" s="0" t="n">
        <v>10.4569419182046</v>
      </c>
      <c r="R745" s="0" t="n">
        <v>9.44396509167241</v>
      </c>
      <c r="S745" s="0" t="n">
        <v>1.66666666666667</v>
      </c>
      <c r="T745" s="0" t="n">
        <v>0.170940170940167</v>
      </c>
      <c r="U745" s="0" t="n">
        <v>0.474198047419805</v>
      </c>
      <c r="V745" s="0" t="n">
        <v>0.177126917712692</v>
      </c>
      <c r="W745" s="0" t="n">
        <v>0.171548117154812</v>
      </c>
      <c r="X745" s="0" t="n">
        <v>0.393035713476288</v>
      </c>
      <c r="Y745" s="0" t="n">
        <v>5.25005915393885</v>
      </c>
      <c r="Z745" s="0" t="n">
        <v>0.492405139152904</v>
      </c>
      <c r="AA745" s="0" t="n">
        <v>0</v>
      </c>
    </row>
    <row r="746" customFormat="false" ht="15" hidden="false" customHeight="false" outlineLevel="0" collapsed="false">
      <c r="A746" s="0" t="s">
        <v>780</v>
      </c>
      <c r="B746" s="0" t="s">
        <v>3013</v>
      </c>
      <c r="C746" s="0" t="s">
        <v>3034</v>
      </c>
      <c r="D746" s="0" t="n">
        <v>73.722058746507</v>
      </c>
      <c r="E746" s="0" t="n">
        <v>0.499946196613423</v>
      </c>
      <c r="F746" s="0" t="n">
        <v>15.1511748412364</v>
      </c>
      <c r="G746" s="0" t="n">
        <v>0.994993742177722</v>
      </c>
      <c r="H746" s="0" t="n">
        <v>0.986232790988736</v>
      </c>
      <c r="I746" s="0" t="n">
        <v>0.314272431427243</v>
      </c>
      <c r="J746" s="0" t="n">
        <v>0.855345099552032</v>
      </c>
      <c r="K746" s="0" t="n">
        <v>0.667715717403612</v>
      </c>
      <c r="L746" s="1" t="b">
        <f aca="false">TRUE()</f>
        <v>1</v>
      </c>
      <c r="M746" s="0" t="s">
        <v>3035</v>
      </c>
      <c r="N746" s="0" t="n">
        <v>20.0085282602431</v>
      </c>
      <c r="O746" s="0" t="n">
        <v>1</v>
      </c>
      <c r="P746" s="0" t="n">
        <v>0</v>
      </c>
      <c r="Q746" s="0" t="n">
        <v>0</v>
      </c>
      <c r="R746" s="0" t="n">
        <v>11.4151715594095</v>
      </c>
      <c r="S746" s="0" t="n">
        <v>1.54448553404395</v>
      </c>
      <c r="T746" s="0" t="n">
        <v>0.184903197737654</v>
      </c>
      <c r="U746" s="0" t="n">
        <v>0.569037656903766</v>
      </c>
      <c r="V746" s="0" t="n">
        <v>0.142259414225941</v>
      </c>
      <c r="W746" s="0" t="n">
        <v>0.231520223152022</v>
      </c>
      <c r="X746" s="0" t="n">
        <v>0.499946196613423</v>
      </c>
      <c r="Y746" s="0" t="n">
        <v>15.1511748412364</v>
      </c>
      <c r="Z746" s="0" t="n">
        <v>0.855345099552032</v>
      </c>
      <c r="AA746" s="0" t="n">
        <v>0</v>
      </c>
    </row>
    <row r="747" customFormat="false" ht="15" hidden="false" customHeight="false" outlineLevel="0" collapsed="false">
      <c r="A747" s="0" t="s">
        <v>781</v>
      </c>
      <c r="B747" s="0" t="s">
        <v>33</v>
      </c>
      <c r="C747" s="0" t="s">
        <v>33</v>
      </c>
      <c r="D747" s="0" t="n">
        <v>55.728603852728</v>
      </c>
      <c r="E747" s="0" t="n">
        <v>0.488833751599476</v>
      </c>
      <c r="F747" s="0" t="n">
        <v>18.1449188446752</v>
      </c>
      <c r="G747" s="0" t="n">
        <v>0.991239048811014</v>
      </c>
      <c r="H747" s="0" t="n">
        <v>0.996245306633292</v>
      </c>
      <c r="I747" s="0" t="n">
        <v>0.5</v>
      </c>
      <c r="J747" s="0" t="n">
        <v>0.894993742177722</v>
      </c>
      <c r="K747" s="0" t="n">
        <v>0.667715717403612</v>
      </c>
      <c r="L747" s="1" t="b">
        <f aca="false">TRUE()</f>
        <v>1</v>
      </c>
      <c r="M747" s="0" t="s">
        <v>3035</v>
      </c>
      <c r="N747" s="0" t="n">
        <v>0</v>
      </c>
      <c r="O747" s="0" t="n">
        <v>0</v>
      </c>
      <c r="P747" s="0" t="n">
        <v>0</v>
      </c>
      <c r="Q747" s="0" t="n">
        <v>0</v>
      </c>
      <c r="U747" s="0" t="n">
        <v>0.5</v>
      </c>
      <c r="V747" s="0" t="n">
        <v>0.5</v>
      </c>
      <c r="W747" s="0" t="n">
        <v>0.5</v>
      </c>
      <c r="X747" s="0" t="n">
        <v>0.488833751599476</v>
      </c>
      <c r="Y747" s="0" t="n">
        <v>18.1449188446752</v>
      </c>
      <c r="Z747" s="0" t="n">
        <v>0.894993742177722</v>
      </c>
      <c r="AA747" s="0" t="n">
        <v>0</v>
      </c>
    </row>
    <row r="748" customFormat="false" ht="15" hidden="false" customHeight="false" outlineLevel="0" collapsed="false">
      <c r="A748" s="0" t="s">
        <v>782</v>
      </c>
      <c r="B748" s="0" t="s">
        <v>3013</v>
      </c>
      <c r="C748" s="0" t="s">
        <v>3038</v>
      </c>
      <c r="D748" s="0" t="n">
        <v>71.4037528892845</v>
      </c>
      <c r="E748" s="0" t="n">
        <v>0.26087017262842</v>
      </c>
      <c r="F748" s="0" t="n">
        <v>8.62503490553511</v>
      </c>
      <c r="G748" s="0" t="n">
        <v>0.337922403003755</v>
      </c>
      <c r="H748" s="0" t="n">
        <v>0.6270337922403</v>
      </c>
      <c r="I748" s="0" t="n">
        <v>0.671780567178057</v>
      </c>
      <c r="J748" s="0" t="n">
        <v>0.520338591533234</v>
      </c>
      <c r="K748" s="0" t="n">
        <v>0.667715717403612</v>
      </c>
      <c r="L748" s="1" t="b">
        <f aca="false">FALSE()</f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35.7905312068322</v>
      </c>
      <c r="S748" s="0" t="n">
        <v>9.97227173697761</v>
      </c>
      <c r="T748" s="0" t="n">
        <v>0.178253119429597</v>
      </c>
      <c r="U748" s="0" t="n">
        <v>0.934449093444909</v>
      </c>
      <c r="V748" s="0" t="n">
        <v>0.880055788005579</v>
      </c>
      <c r="W748" s="0" t="n">
        <v>0.200836820083682</v>
      </c>
      <c r="X748" s="0" t="n">
        <v>0.26087017262842</v>
      </c>
      <c r="Y748" s="0" t="n">
        <v>8.62503490553511</v>
      </c>
      <c r="Z748" s="0" t="n">
        <v>0.520338591533234</v>
      </c>
      <c r="AA748" s="0" t="n">
        <v>0</v>
      </c>
    </row>
    <row r="749" customFormat="false" ht="15" hidden="false" customHeight="false" outlineLevel="0" collapsed="false">
      <c r="A749" s="0" t="s">
        <v>783</v>
      </c>
      <c r="B749" s="0" t="s">
        <v>3013</v>
      </c>
      <c r="C749" s="0" t="s">
        <v>3033</v>
      </c>
      <c r="D749" s="0" t="n">
        <v>19.7741868034009</v>
      </c>
      <c r="E749" s="0" t="n">
        <v>0.379181432377768</v>
      </c>
      <c r="F749" s="0" t="n">
        <v>12.6309421410091</v>
      </c>
      <c r="G749" s="0" t="n">
        <v>0.897371714643304</v>
      </c>
      <c r="H749" s="0" t="n">
        <v>0.946182728410513</v>
      </c>
      <c r="I749" s="0" t="n">
        <v>0.415620641562064</v>
      </c>
      <c r="J749" s="0" t="n">
        <v>0.82054590553394</v>
      </c>
      <c r="K749" s="0" t="n">
        <v>0.667715717403612</v>
      </c>
      <c r="L749" s="1" t="b">
        <f aca="false">TRUE()</f>
        <v>1</v>
      </c>
      <c r="M749" s="0" t="s">
        <v>3035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11.538325773486</v>
      </c>
      <c r="S749" s="0" t="n">
        <v>2.55914467697907</v>
      </c>
      <c r="T749" s="0" t="n">
        <v>0.193357597816195</v>
      </c>
      <c r="U749" s="0" t="n">
        <v>0.574616457461646</v>
      </c>
      <c r="V749" s="0" t="n">
        <v>0.397489539748954</v>
      </c>
      <c r="W749" s="0" t="n">
        <v>0.274755927475593</v>
      </c>
      <c r="X749" s="0" t="n">
        <v>0.379181432377768</v>
      </c>
      <c r="Y749" s="0" t="n">
        <v>12.6309421410091</v>
      </c>
      <c r="Z749" s="0" t="n">
        <v>0.82054590553394</v>
      </c>
      <c r="AA749" s="0" t="n">
        <v>0</v>
      </c>
    </row>
    <row r="750" customFormat="false" ht="15" hidden="false" customHeight="false" outlineLevel="0" collapsed="false">
      <c r="A750" s="0" t="s">
        <v>784</v>
      </c>
      <c r="B750" s="0" t="s">
        <v>33</v>
      </c>
      <c r="C750" s="0" t="s">
        <v>33</v>
      </c>
      <c r="D750" s="0" t="n">
        <v>21.9681828857342</v>
      </c>
      <c r="E750" s="0" t="n">
        <v>0.492040977491774</v>
      </c>
      <c r="F750" s="0" t="n">
        <v>18.6333424363671</v>
      </c>
      <c r="G750" s="0" t="n">
        <v>0.992490613266583</v>
      </c>
      <c r="H750" s="0" t="n">
        <v>0.997496871088861</v>
      </c>
      <c r="I750" s="0" t="n">
        <v>0.5</v>
      </c>
      <c r="J750" s="0" t="n">
        <v>0.895994993742178</v>
      </c>
      <c r="K750" s="0" t="n">
        <v>0.667715717403612</v>
      </c>
      <c r="L750" s="1" t="b">
        <f aca="false">TRUE()</f>
        <v>1</v>
      </c>
      <c r="M750" s="0" t="s">
        <v>3035</v>
      </c>
      <c r="N750" s="0" t="n">
        <v>0</v>
      </c>
      <c r="O750" s="0" t="n">
        <v>0</v>
      </c>
      <c r="P750" s="0" t="n">
        <v>0</v>
      </c>
      <c r="Q750" s="0" t="n">
        <v>0</v>
      </c>
      <c r="U750" s="0" t="n">
        <v>0.5</v>
      </c>
      <c r="V750" s="0" t="n">
        <v>0.5</v>
      </c>
      <c r="W750" s="0" t="n">
        <v>0.5</v>
      </c>
      <c r="X750" s="0" t="n">
        <v>0.492040977491774</v>
      </c>
      <c r="Y750" s="0" t="n">
        <v>18.6333424363671</v>
      </c>
      <c r="Z750" s="0" t="n">
        <v>0.895994993742178</v>
      </c>
      <c r="AA750" s="0" t="n">
        <v>0</v>
      </c>
    </row>
    <row r="751" customFormat="false" ht="15" hidden="false" customHeight="false" outlineLevel="0" collapsed="false">
      <c r="A751" s="0" t="s">
        <v>785</v>
      </c>
      <c r="B751" s="0" t="s">
        <v>3013</v>
      </c>
      <c r="C751" s="0" t="s">
        <v>3036</v>
      </c>
      <c r="D751" s="0" t="n">
        <v>13.8679992522828</v>
      </c>
      <c r="E751" s="0" t="n">
        <v>0.325741492051072</v>
      </c>
      <c r="F751" s="0" t="n">
        <v>4.92422208543105</v>
      </c>
      <c r="G751" s="0" t="n">
        <v>0.709637046307885</v>
      </c>
      <c r="H751" s="0" t="n">
        <v>0.131414267834794</v>
      </c>
      <c r="I751" s="0" t="n">
        <v>0.539284053928405</v>
      </c>
      <c r="J751" s="0" t="n">
        <v>0.444277336442752</v>
      </c>
      <c r="K751" s="0" t="n">
        <v>0.667715717403612</v>
      </c>
      <c r="L751" s="1" t="b">
        <f aca="false">FALSE()</f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8.54349337720173</v>
      </c>
      <c r="S751" s="0" t="n">
        <v>3.92655367231639</v>
      </c>
      <c r="T751" s="0" t="n">
        <v>0.254237288135595</v>
      </c>
      <c r="U751" s="0" t="n">
        <v>0.422594142259414</v>
      </c>
      <c r="V751" s="0" t="n">
        <v>0.587168758716876</v>
      </c>
      <c r="W751" s="0" t="n">
        <v>0.608089260808926</v>
      </c>
      <c r="X751" s="0" t="n">
        <v>0.325741492051072</v>
      </c>
      <c r="Y751" s="0" t="n">
        <v>4.92422208543104</v>
      </c>
      <c r="Z751" s="0" t="n">
        <v>0.444277336442752</v>
      </c>
      <c r="AA751" s="0" t="n">
        <v>0</v>
      </c>
    </row>
    <row r="752" customFormat="false" ht="15" hidden="false" customHeight="false" outlineLevel="0" collapsed="false">
      <c r="A752" s="0" t="s">
        <v>786</v>
      </c>
      <c r="B752" s="0" t="s">
        <v>3013</v>
      </c>
      <c r="C752" s="0" t="s">
        <v>3033</v>
      </c>
      <c r="D752" s="0" t="n">
        <v>2.81429305705275</v>
      </c>
      <c r="E752" s="0" t="n">
        <v>0.284476537806568</v>
      </c>
      <c r="F752" s="0" t="n">
        <v>7.5514377338262</v>
      </c>
      <c r="G752" s="0" t="n">
        <v>0.485607008760951</v>
      </c>
      <c r="H752" s="0" t="n">
        <v>0.48936170212766</v>
      </c>
      <c r="I752" s="0" t="n">
        <v>0.440725244072524</v>
      </c>
      <c r="J752" s="0" t="n">
        <v>0.478132533169949</v>
      </c>
      <c r="K752" s="0" t="n">
        <v>0.667715717403612</v>
      </c>
      <c r="L752" s="1" t="b">
        <f aca="false">FALSE()</f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23.0390421720048</v>
      </c>
      <c r="S752" s="0" t="n">
        <v>3.08046638836909</v>
      </c>
      <c r="T752" s="0" t="n">
        <v>0.0863682164963244</v>
      </c>
      <c r="U752" s="0" t="n">
        <v>0.836820083682008</v>
      </c>
      <c r="V752" s="0" t="n">
        <v>0.474198047419805</v>
      </c>
      <c r="W752" s="0" t="n">
        <v>0.0111576011157601</v>
      </c>
      <c r="X752" s="0" t="n">
        <v>0.284476537806568</v>
      </c>
      <c r="Y752" s="0" t="n">
        <v>7.5514377338262</v>
      </c>
      <c r="Z752" s="0" t="n">
        <v>0.478132533169949</v>
      </c>
      <c r="AA752" s="0" t="n">
        <v>5.55111512312578E-017</v>
      </c>
    </row>
    <row r="753" customFormat="false" ht="15" hidden="false" customHeight="false" outlineLevel="0" collapsed="false">
      <c r="A753" s="0" t="s">
        <v>787</v>
      </c>
      <c r="B753" s="0" t="s">
        <v>3013</v>
      </c>
      <c r="C753" s="0" t="s">
        <v>3033</v>
      </c>
      <c r="D753" s="0" t="n">
        <v>-39.9310023855034</v>
      </c>
      <c r="E753" s="0" t="n">
        <v>0.286793661954087</v>
      </c>
      <c r="F753" s="0" t="n">
        <v>7.61723647242244</v>
      </c>
      <c r="G753" s="0" t="n">
        <v>0.504380475594493</v>
      </c>
      <c r="H753" s="0" t="n">
        <v>0.499374217772215</v>
      </c>
      <c r="I753" s="0" t="n">
        <v>0.686192468619247</v>
      </c>
      <c r="J753" s="0" t="n">
        <v>0.538740371070533</v>
      </c>
      <c r="K753" s="0" t="n">
        <v>0.667715717403612</v>
      </c>
      <c r="L753" s="1" t="b">
        <f aca="false">FALSE()</f>
        <v>0</v>
      </c>
      <c r="N753" s="0" t="n">
        <v>0</v>
      </c>
      <c r="O753" s="0" t="n">
        <v>0</v>
      </c>
      <c r="P753" s="0" t="n">
        <v>1</v>
      </c>
      <c r="Q753" s="0" t="n">
        <v>39.9310023855034</v>
      </c>
      <c r="R753" s="0" t="n">
        <v>19.4088341100982</v>
      </c>
      <c r="S753" s="0" t="n">
        <v>3.99779937649</v>
      </c>
      <c r="T753" s="0" t="n">
        <v>0.275077938749312</v>
      </c>
      <c r="U753" s="0" t="n">
        <v>0.781032078103208</v>
      </c>
      <c r="V753" s="0" t="n">
        <v>0.598326359832636</v>
      </c>
      <c r="W753" s="0" t="n">
        <v>0.679218967921897</v>
      </c>
      <c r="X753" s="0" t="n">
        <v>0.286793661954087</v>
      </c>
      <c r="Y753" s="0" t="n">
        <v>7.61723647242244</v>
      </c>
      <c r="Z753" s="0" t="n">
        <v>0.538740371070533</v>
      </c>
      <c r="AA753" s="0" t="n">
        <v>0</v>
      </c>
    </row>
    <row r="754" customFormat="false" ht="15" hidden="false" customHeight="false" outlineLevel="0" collapsed="false">
      <c r="A754" s="0" t="s">
        <v>788</v>
      </c>
      <c r="B754" s="0" t="s">
        <v>33</v>
      </c>
      <c r="C754" s="0" t="s">
        <v>33</v>
      </c>
      <c r="D754" s="0" t="n">
        <v>19.4787886983517</v>
      </c>
      <c r="E754" s="0" t="n">
        <v>0.386274260347157</v>
      </c>
      <c r="F754" s="0" t="n">
        <v>11.7569982543299</v>
      </c>
      <c r="G754" s="0" t="n">
        <v>0.917396745932416</v>
      </c>
      <c r="H754" s="0" t="n">
        <v>0.911138923654568</v>
      </c>
      <c r="I754" s="0" t="n">
        <v>0.5</v>
      </c>
      <c r="J754" s="0" t="n">
        <v>0.831414267834793</v>
      </c>
      <c r="K754" s="0" t="n">
        <v>0.667715717403612</v>
      </c>
      <c r="L754" s="1" t="b">
        <f aca="false">TRUE()</f>
        <v>1</v>
      </c>
      <c r="M754" s="0" t="s">
        <v>3035</v>
      </c>
      <c r="N754" s="0" t="n">
        <v>39.9310023855032</v>
      </c>
      <c r="O754" s="0" t="n">
        <v>1</v>
      </c>
      <c r="P754" s="0" t="n">
        <v>0</v>
      </c>
      <c r="Q754" s="0" t="n">
        <v>0</v>
      </c>
      <c r="U754" s="0" t="n">
        <v>0.5</v>
      </c>
      <c r="V754" s="0" t="n">
        <v>0.5</v>
      </c>
      <c r="W754" s="0" t="n">
        <v>0.5</v>
      </c>
      <c r="X754" s="0" t="n">
        <v>0.386274260347157</v>
      </c>
      <c r="Y754" s="0" t="n">
        <v>11.7569982543299</v>
      </c>
      <c r="Z754" s="0" t="n">
        <v>0.831414267834793</v>
      </c>
      <c r="AA754" s="0" t="n">
        <v>0</v>
      </c>
    </row>
    <row r="755" customFormat="false" ht="15" hidden="false" customHeight="false" outlineLevel="0" collapsed="false">
      <c r="A755" s="0" t="s">
        <v>789</v>
      </c>
      <c r="B755" s="0" t="s">
        <v>3013</v>
      </c>
      <c r="C755" s="0" t="s">
        <v>3033</v>
      </c>
      <c r="D755" s="0" t="n">
        <v>16.7119709940505</v>
      </c>
      <c r="E755" s="0" t="n">
        <v>0.276319877029902</v>
      </c>
      <c r="F755" s="0" t="n">
        <v>6.1808968385534</v>
      </c>
      <c r="G755" s="0" t="n">
        <v>0.435544430538173</v>
      </c>
      <c r="H755" s="0" t="n">
        <v>0.291614518147685</v>
      </c>
      <c r="I755" s="0" t="n">
        <v>0.447233844723385</v>
      </c>
      <c r="J755" s="0" t="n">
        <v>0.38031034841902</v>
      </c>
      <c r="K755" s="0" t="n">
        <v>0.667715717403612</v>
      </c>
      <c r="L755" s="1" t="b">
        <f aca="false">FALSE()</f>
        <v>0</v>
      </c>
      <c r="N755" s="0" t="n">
        <v>20.452213687151</v>
      </c>
      <c r="O755" s="0" t="n">
        <v>0</v>
      </c>
      <c r="P755" s="0" t="n">
        <v>0</v>
      </c>
      <c r="Q755" s="0" t="n">
        <v>0</v>
      </c>
      <c r="R755" s="0" t="n">
        <v>12.7076744547135</v>
      </c>
      <c r="S755" s="0" t="n">
        <v>2.55237690098905</v>
      </c>
      <c r="T755" s="0" t="n">
        <v>0.202063171328303</v>
      </c>
      <c r="U755" s="0" t="n">
        <v>0.623430962343096</v>
      </c>
      <c r="V755" s="0" t="n">
        <v>0.394700139470014</v>
      </c>
      <c r="W755" s="0" t="n">
        <v>0.323570432357043</v>
      </c>
      <c r="X755" s="0" t="n">
        <v>0.276319877029902</v>
      </c>
      <c r="Y755" s="0" t="n">
        <v>6.1808968385534</v>
      </c>
      <c r="Z755" s="0" t="n">
        <v>0.38031034841902</v>
      </c>
      <c r="AA755" s="0" t="n">
        <v>5.55111512312578E-017</v>
      </c>
    </row>
    <row r="756" customFormat="false" ht="15" hidden="false" customHeight="false" outlineLevel="0" collapsed="false">
      <c r="A756" s="0" t="s">
        <v>790</v>
      </c>
      <c r="B756" s="0" t="s">
        <v>3013</v>
      </c>
      <c r="C756" s="0" t="s">
        <v>3036</v>
      </c>
      <c r="D756" s="0" t="n">
        <v>35.6111796190705</v>
      </c>
      <c r="E756" s="0" t="n">
        <v>0.357074867670685</v>
      </c>
      <c r="F756" s="0" t="n">
        <v>7.41767895072719</v>
      </c>
      <c r="G756" s="0" t="n">
        <v>0.834793491864831</v>
      </c>
      <c r="H756" s="0" t="n">
        <v>0.46433041301627</v>
      </c>
      <c r="I756" s="0" t="n">
        <v>0.210599721059972</v>
      </c>
      <c r="J756" s="0" t="n">
        <v>0.561769506164435</v>
      </c>
      <c r="K756" s="0" t="n">
        <v>0.667715717403612</v>
      </c>
      <c r="L756" s="1" t="b">
        <f aca="false">FALSE()</f>
        <v>0</v>
      </c>
      <c r="N756" s="0" t="n">
        <v>3.7402426931003</v>
      </c>
      <c r="O756" s="0" t="n">
        <v>0</v>
      </c>
      <c r="P756" s="0" t="n">
        <v>0</v>
      </c>
      <c r="Q756" s="0" t="n">
        <v>0</v>
      </c>
      <c r="R756" s="0" t="n">
        <v>5.42045788386919</v>
      </c>
      <c r="S756" s="0" t="n">
        <v>1.33115366651097</v>
      </c>
      <c r="T756" s="0" t="n">
        <v>0.210182157870155</v>
      </c>
      <c r="U756" s="0" t="n">
        <v>0.161785216178522</v>
      </c>
      <c r="V756" s="0" t="n">
        <v>0.0920502092050209</v>
      </c>
      <c r="W756" s="0" t="n">
        <v>0.377963737796374</v>
      </c>
      <c r="X756" s="0" t="n">
        <v>0.357074867670685</v>
      </c>
      <c r="Y756" s="0" t="n">
        <v>7.41767895072718</v>
      </c>
      <c r="Z756" s="0" t="n">
        <v>0.561769506164435</v>
      </c>
      <c r="AA756" s="0" t="n">
        <v>0</v>
      </c>
    </row>
    <row r="757" customFormat="false" ht="15" hidden="false" customHeight="false" outlineLevel="0" collapsed="false">
      <c r="A757" s="0" t="s">
        <v>791</v>
      </c>
      <c r="B757" s="0" t="s">
        <v>33</v>
      </c>
      <c r="C757" s="0" t="s">
        <v>33</v>
      </c>
      <c r="D757" s="0" t="n">
        <v>50.1104494979788</v>
      </c>
      <c r="E757" s="0" t="n">
        <v>0.400029395395398</v>
      </c>
      <c r="F757" s="0" t="n">
        <v>12.085001711488</v>
      </c>
      <c r="G757" s="0" t="n">
        <v>0.941176470588235</v>
      </c>
      <c r="H757" s="0" t="n">
        <v>0.921151439299124</v>
      </c>
      <c r="I757" s="0" t="n">
        <v>0.5</v>
      </c>
      <c r="J757" s="0" t="n">
        <v>0.844931163954944</v>
      </c>
      <c r="K757" s="0" t="n">
        <v>0.667715717403612</v>
      </c>
      <c r="L757" s="1" t="b">
        <f aca="false">TRUE()</f>
        <v>1</v>
      </c>
      <c r="M757" s="0" t="s">
        <v>3035</v>
      </c>
      <c r="N757" s="0" t="n">
        <v>0</v>
      </c>
      <c r="O757" s="0" t="n">
        <v>0</v>
      </c>
      <c r="P757" s="0" t="n">
        <v>0</v>
      </c>
      <c r="Q757" s="0" t="n">
        <v>0</v>
      </c>
      <c r="U757" s="0" t="n">
        <v>0.5</v>
      </c>
      <c r="V757" s="0" t="n">
        <v>0.5</v>
      </c>
      <c r="W757" s="0" t="n">
        <v>0.5</v>
      </c>
      <c r="X757" s="0" t="n">
        <v>0.400029395395398</v>
      </c>
      <c r="Y757" s="0" t="n">
        <v>12.085001711488</v>
      </c>
      <c r="Z757" s="0" t="n">
        <v>0.844931163954944</v>
      </c>
      <c r="AA757" s="0" t="n">
        <v>0</v>
      </c>
    </row>
    <row r="758" customFormat="false" ht="15" hidden="false" customHeight="false" outlineLevel="0" collapsed="false">
      <c r="A758" s="0" t="s">
        <v>792</v>
      </c>
      <c r="B758" s="0" t="s">
        <v>33</v>
      </c>
      <c r="C758" s="0" t="s">
        <v>33</v>
      </c>
      <c r="D758" s="0" t="n">
        <v>31.2968886371379</v>
      </c>
      <c r="E758" s="0" t="n">
        <v>0.389511667916587</v>
      </c>
      <c r="F758" s="0" t="n">
        <v>11.2736078749146</v>
      </c>
      <c r="G758" s="0" t="n">
        <v>0.922403003754693</v>
      </c>
      <c r="H758" s="0" t="n">
        <v>0.898623279098874</v>
      </c>
      <c r="I758" s="0" t="n">
        <v>0.5</v>
      </c>
      <c r="J758" s="0" t="n">
        <v>0.828410513141427</v>
      </c>
      <c r="K758" s="0" t="n">
        <v>0.667715717403612</v>
      </c>
      <c r="L758" s="1" t="b">
        <f aca="false">TRUE()</f>
        <v>1</v>
      </c>
      <c r="M758" s="0" t="s">
        <v>3035</v>
      </c>
      <c r="N758" s="0" t="n">
        <v>0</v>
      </c>
      <c r="O758" s="0" t="n">
        <v>0</v>
      </c>
      <c r="P758" s="0" t="n">
        <v>0</v>
      </c>
      <c r="Q758" s="0" t="n">
        <v>0</v>
      </c>
      <c r="U758" s="0" t="n">
        <v>0.5</v>
      </c>
      <c r="V758" s="0" t="n">
        <v>0.5</v>
      </c>
      <c r="W758" s="0" t="n">
        <v>0.5</v>
      </c>
      <c r="X758" s="0" t="n">
        <v>0.389511667916587</v>
      </c>
      <c r="Y758" s="0" t="n">
        <v>11.2736078749146</v>
      </c>
      <c r="Z758" s="0" t="n">
        <v>0.828410513141427</v>
      </c>
      <c r="AA758" s="0" t="n">
        <v>0</v>
      </c>
    </row>
    <row r="759" customFormat="false" ht="15" hidden="false" customHeight="false" outlineLevel="0" collapsed="false">
      <c r="A759" s="0" t="s">
        <v>793</v>
      </c>
      <c r="B759" s="0" t="s">
        <v>3013</v>
      </c>
      <c r="C759" s="0" t="s">
        <v>3034</v>
      </c>
      <c r="D759" s="0" t="n">
        <v>-0.0967989566916007</v>
      </c>
      <c r="E759" s="0" t="n">
        <v>0.410853216244915</v>
      </c>
      <c r="F759" s="0" t="n">
        <v>10.2114074902289</v>
      </c>
      <c r="G759" s="0" t="n">
        <v>0.957446808510638</v>
      </c>
      <c r="H759" s="0" t="n">
        <v>0.811013767209011</v>
      </c>
      <c r="I759" s="0" t="n">
        <v>0.148303114830312</v>
      </c>
      <c r="J759" s="0" t="n">
        <v>0.737044853253922</v>
      </c>
      <c r="K759" s="0" t="n">
        <v>0.667715717403612</v>
      </c>
      <c r="L759" s="1" t="b">
        <f aca="false">TRUE()</f>
        <v>1</v>
      </c>
      <c r="M759" s="0" t="s">
        <v>3035</v>
      </c>
      <c r="N759" s="0" t="n">
        <v>0</v>
      </c>
      <c r="O759" s="0" t="n">
        <v>0</v>
      </c>
      <c r="P759" s="0" t="n">
        <v>1</v>
      </c>
      <c r="Q759" s="0" t="n">
        <v>0.0967989566916007</v>
      </c>
      <c r="R759" s="0" t="n">
        <v>4.62415110044287</v>
      </c>
      <c r="S759" s="0" t="n">
        <v>1.54941896788705</v>
      </c>
      <c r="T759" s="0" t="n">
        <v>0.174934399600154</v>
      </c>
      <c r="U759" s="0" t="n">
        <v>0.108786610878661</v>
      </c>
      <c r="V759" s="0" t="n">
        <v>0.146443514644352</v>
      </c>
      <c r="W759" s="0" t="n">
        <v>0.189679218967922</v>
      </c>
      <c r="X759" s="0" t="n">
        <v>0.410853216244915</v>
      </c>
      <c r="Y759" s="0" t="n">
        <v>10.2114074902289</v>
      </c>
      <c r="Z759" s="0" t="n">
        <v>0.737044853253922</v>
      </c>
      <c r="AA759" s="0" t="n">
        <v>0</v>
      </c>
    </row>
    <row r="760" customFormat="false" ht="15" hidden="false" customHeight="false" outlineLevel="0" collapsed="false">
      <c r="A760" s="0" t="s">
        <v>794</v>
      </c>
      <c r="B760" s="0" t="s">
        <v>33</v>
      </c>
      <c r="C760" s="0" t="s">
        <v>33</v>
      </c>
      <c r="D760" s="0" t="n">
        <v>-43.9806106551875</v>
      </c>
      <c r="E760" s="0" t="n">
        <v>0.391543030407226</v>
      </c>
      <c r="F760" s="0" t="n">
        <v>12.0601758921503</v>
      </c>
      <c r="G760" s="0" t="n">
        <v>0.924906132665832</v>
      </c>
      <c r="H760" s="0" t="n">
        <v>0.919899874843554</v>
      </c>
      <c r="I760" s="0" t="n">
        <v>0.5</v>
      </c>
      <c r="J760" s="0" t="n">
        <v>0.837922403003755</v>
      </c>
      <c r="K760" s="0" t="n">
        <v>0.667715717403612</v>
      </c>
      <c r="L760" s="1" t="b">
        <f aca="false">TRUE()</f>
        <v>1</v>
      </c>
      <c r="M760" s="0" t="s">
        <v>3035</v>
      </c>
      <c r="N760" s="0" t="n">
        <v>0.0967989566925098</v>
      </c>
      <c r="O760" s="0" t="n">
        <v>1</v>
      </c>
      <c r="P760" s="0" t="n">
        <v>1</v>
      </c>
      <c r="Q760" s="0" t="n">
        <v>43.9806106551875</v>
      </c>
      <c r="U760" s="0" t="n">
        <v>0.5</v>
      </c>
      <c r="V760" s="0" t="n">
        <v>0.5</v>
      </c>
      <c r="W760" s="0" t="n">
        <v>0.5</v>
      </c>
      <c r="X760" s="0" t="n">
        <v>0.391543030407226</v>
      </c>
      <c r="Y760" s="0" t="n">
        <v>12.0601758921503</v>
      </c>
      <c r="Z760" s="0" t="n">
        <v>0.837922403003755</v>
      </c>
      <c r="AA760" s="0" t="n">
        <v>0</v>
      </c>
    </row>
    <row r="761" customFormat="false" ht="15" hidden="false" customHeight="false" outlineLevel="0" collapsed="false">
      <c r="A761" s="0" t="s">
        <v>795</v>
      </c>
      <c r="B761" s="0" t="s">
        <v>3013</v>
      </c>
      <c r="C761" s="0" t="s">
        <v>3036</v>
      </c>
      <c r="D761" s="0" t="n">
        <v>38.0561641661326</v>
      </c>
      <c r="E761" s="0" t="n">
        <v>0.226635249609175</v>
      </c>
      <c r="F761" s="0" t="n">
        <v>0.782033628698107</v>
      </c>
      <c r="G761" s="0" t="n">
        <v>0.161451814768461</v>
      </c>
      <c r="H761" s="0" t="n">
        <v>0.00625782227784731</v>
      </c>
      <c r="I761" s="0" t="n">
        <v>0.576476057647606</v>
      </c>
      <c r="J761" s="0" t="n">
        <v>0.182379066348044</v>
      </c>
      <c r="K761" s="0" t="n">
        <v>0.667715717403612</v>
      </c>
      <c r="L761" s="1" t="b">
        <f aca="false">FALSE()</f>
        <v>0</v>
      </c>
      <c r="N761" s="0" t="n">
        <v>44.0774096118803</v>
      </c>
      <c r="O761" s="0" t="n">
        <v>2</v>
      </c>
      <c r="P761" s="0" t="n">
        <v>0</v>
      </c>
      <c r="Q761" s="0" t="n">
        <v>0</v>
      </c>
      <c r="R761" s="0" t="n">
        <v>7.92645250681983</v>
      </c>
      <c r="S761" s="0" t="n">
        <v>4.52776795189247</v>
      </c>
      <c r="T761" s="0" t="n">
        <v>0.282985496993283</v>
      </c>
      <c r="U761" s="0" t="n">
        <v>0.380753138075314</v>
      </c>
      <c r="V761" s="0" t="n">
        <v>0.645746164574616</v>
      </c>
      <c r="W761" s="0" t="n">
        <v>0.702928870292887</v>
      </c>
      <c r="X761" s="0" t="n">
        <v>0.226635249609175</v>
      </c>
      <c r="Y761" s="0" t="n">
        <v>0.782033628698106</v>
      </c>
      <c r="Z761" s="0" t="n">
        <v>0.182379066348044</v>
      </c>
      <c r="AA761" s="0" t="n">
        <v>0</v>
      </c>
    </row>
    <row r="762" customFormat="false" ht="15" hidden="false" customHeight="false" outlineLevel="0" collapsed="false">
      <c r="A762" s="0" t="s">
        <v>796</v>
      </c>
      <c r="B762" s="0" t="s">
        <v>3013</v>
      </c>
      <c r="C762" s="0" t="s">
        <v>3036</v>
      </c>
      <c r="D762" s="0" t="n">
        <v>27.678486091155</v>
      </c>
      <c r="E762" s="0" t="n">
        <v>0.293797508922636</v>
      </c>
      <c r="F762" s="0" t="n">
        <v>4.72821996723518</v>
      </c>
      <c r="G762" s="0" t="n">
        <v>0.545682102628285</v>
      </c>
      <c r="H762" s="0" t="n">
        <v>0.102628285356696</v>
      </c>
      <c r="I762" s="0" t="n">
        <v>0.408647140864714</v>
      </c>
      <c r="J762" s="0" t="n">
        <v>0.341053583366935</v>
      </c>
      <c r="K762" s="0" t="n">
        <v>0.667715717403612</v>
      </c>
      <c r="L762" s="1" t="b">
        <f aca="false">FALSE()</f>
        <v>0</v>
      </c>
      <c r="N762" s="0" t="n">
        <v>6.0212454457469</v>
      </c>
      <c r="O762" s="0" t="n">
        <v>0</v>
      </c>
      <c r="P762" s="0" t="n">
        <v>0</v>
      </c>
      <c r="Q762" s="0" t="n">
        <v>0</v>
      </c>
      <c r="R762" s="0" t="n">
        <v>11.417316331923</v>
      </c>
      <c r="S762" s="0" t="n">
        <v>0.873831059328502</v>
      </c>
      <c r="T762" s="0" t="n">
        <v>0.260616280852367</v>
      </c>
      <c r="U762" s="0" t="n">
        <v>0.570432357043236</v>
      </c>
      <c r="V762" s="0" t="n">
        <v>0.0167364016736402</v>
      </c>
      <c r="W762" s="0" t="n">
        <v>0.638772663877266</v>
      </c>
      <c r="X762" s="0" t="n">
        <v>0.293797508922636</v>
      </c>
      <c r="Y762" s="0" t="n">
        <v>4.72821996723518</v>
      </c>
      <c r="Z762" s="0" t="n">
        <v>0.341053583366935</v>
      </c>
      <c r="AA762" s="0" t="n">
        <v>0</v>
      </c>
    </row>
    <row r="763" customFormat="false" ht="15" hidden="false" customHeight="false" outlineLevel="0" collapsed="false">
      <c r="A763" s="0" t="s">
        <v>797</v>
      </c>
      <c r="B763" s="0" t="s">
        <v>3013</v>
      </c>
      <c r="C763" s="0" t="s">
        <v>3033</v>
      </c>
      <c r="D763" s="0" t="n">
        <v>3.12500577788252</v>
      </c>
      <c r="E763" s="0" t="n">
        <v>0.208108126689264</v>
      </c>
      <c r="F763" s="0" t="n">
        <v>2.80064772776557</v>
      </c>
      <c r="G763" s="0" t="n">
        <v>0.117647058823529</v>
      </c>
      <c r="H763" s="0" t="n">
        <v>0.0200250312891114</v>
      </c>
      <c r="I763" s="0" t="n">
        <v>0.527661552766155</v>
      </c>
      <c r="J763" s="0" t="n">
        <v>0.160601146598287</v>
      </c>
      <c r="K763" s="0" t="n">
        <v>0.667715717403612</v>
      </c>
      <c r="L763" s="1" t="b">
        <f aca="false">FALSE()</f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16.9202595846302</v>
      </c>
      <c r="S763" s="0" t="n">
        <v>3.99253731343283</v>
      </c>
      <c r="T763" s="0" t="n">
        <v>0.186567164179104</v>
      </c>
      <c r="U763" s="0" t="n">
        <v>0.746164574616458</v>
      </c>
      <c r="V763" s="0" t="n">
        <v>0.596931659693166</v>
      </c>
      <c r="W763" s="0" t="n">
        <v>0.239888423988842</v>
      </c>
      <c r="X763" s="0" t="n">
        <v>0.208108126689264</v>
      </c>
      <c r="Y763" s="0" t="n">
        <v>2.80064772776558</v>
      </c>
      <c r="Z763" s="0" t="n">
        <v>0.160601146598287</v>
      </c>
      <c r="AA763" s="0" t="n">
        <v>-2.77555756156289E-017</v>
      </c>
    </row>
    <row r="764" customFormat="false" ht="15" hidden="false" customHeight="false" outlineLevel="0" collapsed="false">
      <c r="A764" s="0" t="s">
        <v>798</v>
      </c>
      <c r="B764" s="0" t="s">
        <v>3013</v>
      </c>
      <c r="C764" s="0" t="s">
        <v>3033</v>
      </c>
      <c r="D764" s="0" t="n">
        <v>-39.0815826842622</v>
      </c>
      <c r="E764" s="0" t="n">
        <v>0.249984157086589</v>
      </c>
      <c r="F764" s="0" t="n">
        <v>8.56802449662749</v>
      </c>
      <c r="G764" s="0" t="n">
        <v>0.266583229036295</v>
      </c>
      <c r="H764" s="0" t="n">
        <v>0.615769712140175</v>
      </c>
      <c r="I764" s="0" t="n">
        <v>0.607159460715946</v>
      </c>
      <c r="J764" s="0" t="n">
        <v>0.474373068613778</v>
      </c>
      <c r="K764" s="0" t="n">
        <v>0.667715717403612</v>
      </c>
      <c r="L764" s="1" t="b">
        <f aca="false">FALSE()</f>
        <v>0</v>
      </c>
      <c r="N764" s="0" t="n">
        <v>0</v>
      </c>
      <c r="O764" s="0" t="n">
        <v>0</v>
      </c>
      <c r="P764" s="0" t="n">
        <v>1</v>
      </c>
      <c r="Q764" s="0" t="n">
        <v>39.0815826842622</v>
      </c>
      <c r="R764" s="0" t="n">
        <v>22.2316008457804</v>
      </c>
      <c r="S764" s="0" t="n">
        <v>2.59287504085412</v>
      </c>
      <c r="T764" s="0" t="n">
        <v>0.250571957729595</v>
      </c>
      <c r="U764" s="0" t="n">
        <v>0.822873082287308</v>
      </c>
      <c r="V764" s="0" t="n">
        <v>0.407252440725244</v>
      </c>
      <c r="W764" s="0" t="n">
        <v>0.591352859135286</v>
      </c>
      <c r="X764" s="0" t="n">
        <v>0.249984157086589</v>
      </c>
      <c r="Y764" s="0" t="n">
        <v>8.56802449662749</v>
      </c>
      <c r="Z764" s="0" t="n">
        <v>0.474373068613778</v>
      </c>
      <c r="AA764" s="0" t="n">
        <v>0</v>
      </c>
    </row>
    <row r="765" customFormat="false" ht="15" hidden="false" customHeight="false" outlineLevel="0" collapsed="false">
      <c r="A765" s="0" t="s">
        <v>799</v>
      </c>
      <c r="B765" s="0" t="s">
        <v>3013</v>
      </c>
      <c r="C765" s="0" t="s">
        <v>3037</v>
      </c>
      <c r="D765" s="0" t="n">
        <v>1.09741832659948</v>
      </c>
      <c r="E765" s="0" t="n">
        <v>0.287249945958904</v>
      </c>
      <c r="F765" s="0" t="n">
        <v>8.22888166039422</v>
      </c>
      <c r="G765" s="0" t="n">
        <v>0.505632040050063</v>
      </c>
      <c r="H765" s="0" t="n">
        <v>0.571964956195244</v>
      </c>
      <c r="I765" s="0" t="n">
        <v>0.470013947001395</v>
      </c>
      <c r="J765" s="0" t="n">
        <v>0.525041587898402</v>
      </c>
      <c r="K765" s="0" t="n">
        <v>0.667715717403612</v>
      </c>
      <c r="L765" s="1" t="b">
        <f aca="false">FALSE()</f>
        <v>0</v>
      </c>
      <c r="N765" s="0" t="n">
        <v>39.0815826842627</v>
      </c>
      <c r="O765" s="0" t="n">
        <v>1</v>
      </c>
      <c r="P765" s="0" t="n">
        <v>0</v>
      </c>
      <c r="Q765" s="0" t="n">
        <v>0</v>
      </c>
      <c r="R765" s="0" t="n">
        <v>14.4233603692396</v>
      </c>
      <c r="S765" s="0" t="n">
        <v>1.35096292037943</v>
      </c>
      <c r="T765" s="0" t="n">
        <v>0.258695027306691</v>
      </c>
      <c r="U765" s="0" t="n">
        <v>0.688981868898187</v>
      </c>
      <c r="V765" s="0" t="n">
        <v>0.097629009762901</v>
      </c>
      <c r="W765" s="0" t="n">
        <v>0.623430962343096</v>
      </c>
      <c r="X765" s="0" t="n">
        <v>0.287249945958904</v>
      </c>
      <c r="Y765" s="0" t="n">
        <v>8.22888166039422</v>
      </c>
      <c r="Z765" s="0" t="n">
        <v>0.525041587898402</v>
      </c>
      <c r="AA765" s="0" t="n">
        <v>0</v>
      </c>
    </row>
    <row r="766" customFormat="false" ht="15" hidden="false" customHeight="false" outlineLevel="0" collapsed="false">
      <c r="A766" s="0" t="s">
        <v>800</v>
      </c>
      <c r="B766" s="0" t="s">
        <v>3013</v>
      </c>
      <c r="C766" s="0" t="s">
        <v>3033</v>
      </c>
      <c r="D766" s="0" t="n">
        <v>14.7685393356288</v>
      </c>
      <c r="E766" s="0" t="n">
        <v>0.306016696974131</v>
      </c>
      <c r="F766" s="0" t="n">
        <v>7.88382930368661</v>
      </c>
      <c r="G766" s="0" t="n">
        <v>0.599499374217772</v>
      </c>
      <c r="H766" s="0" t="n">
        <v>0.525657071339174</v>
      </c>
      <c r="I766" s="0" t="n">
        <v>0.528126452812645</v>
      </c>
      <c r="J766" s="0" t="n">
        <v>0.555687868785308</v>
      </c>
      <c r="K766" s="0" t="n">
        <v>0.667715717403612</v>
      </c>
      <c r="L766" s="1" t="b">
        <f aca="false">FALSE()</f>
        <v>0</v>
      </c>
      <c r="N766" s="0" t="n">
        <v>37.9841643576638</v>
      </c>
      <c r="O766" s="0" t="n">
        <v>0</v>
      </c>
      <c r="P766" s="0" t="n">
        <v>0</v>
      </c>
      <c r="Q766" s="0" t="n">
        <v>0</v>
      </c>
      <c r="R766" s="0" t="n">
        <v>13.7574207826779</v>
      </c>
      <c r="S766" s="0" t="n">
        <v>2.1522879363357</v>
      </c>
      <c r="T766" s="0" t="n">
        <v>0.253210345451253</v>
      </c>
      <c r="U766" s="0" t="n">
        <v>0.673640167364017</v>
      </c>
      <c r="V766" s="0" t="n">
        <v>0.305439330543933</v>
      </c>
      <c r="W766" s="0" t="n">
        <v>0.605299860529986</v>
      </c>
      <c r="X766" s="0" t="n">
        <v>0.306016696974131</v>
      </c>
      <c r="Y766" s="0" t="n">
        <v>7.88382930368661</v>
      </c>
      <c r="Z766" s="0" t="n">
        <v>0.555687868785308</v>
      </c>
      <c r="AA766" s="0" t="n">
        <v>0</v>
      </c>
    </row>
    <row r="767" customFormat="false" ht="15" hidden="false" customHeight="false" outlineLevel="0" collapsed="false">
      <c r="A767" s="0" t="s">
        <v>801</v>
      </c>
      <c r="B767" s="0" t="s">
        <v>3013</v>
      </c>
      <c r="C767" s="0" t="s">
        <v>3033</v>
      </c>
      <c r="D767" s="0" t="n">
        <v>18.7807343625111</v>
      </c>
      <c r="E767" s="0" t="n">
        <v>0.233918630308743</v>
      </c>
      <c r="F767" s="0" t="n">
        <v>5.31343096199599</v>
      </c>
      <c r="G767" s="0" t="n">
        <v>0.193992490613267</v>
      </c>
      <c r="H767" s="0" t="n">
        <v>0.175219023779725</v>
      </c>
      <c r="I767" s="0" t="n">
        <v>0.503951650395165</v>
      </c>
      <c r="J767" s="0" t="n">
        <v>0.24847493583623</v>
      </c>
      <c r="K767" s="0" t="n">
        <v>0.667715717403612</v>
      </c>
      <c r="L767" s="1" t="b">
        <f aca="false">FALSE()</f>
        <v>0</v>
      </c>
      <c r="N767" s="0" t="n">
        <v>23.2156250220342</v>
      </c>
      <c r="O767" s="0" t="n">
        <v>0</v>
      </c>
      <c r="P767" s="0" t="n">
        <v>0</v>
      </c>
      <c r="Q767" s="0" t="n">
        <v>0</v>
      </c>
      <c r="R767" s="0" t="n">
        <v>13.1555090802547</v>
      </c>
      <c r="S767" s="0" t="n">
        <v>7.1641791044776</v>
      </c>
      <c r="T767" s="0" t="n">
        <v>0.132669983416263</v>
      </c>
      <c r="U767" s="0" t="n">
        <v>0.649930264993027</v>
      </c>
      <c r="V767" s="0" t="n">
        <v>0.793584379358438</v>
      </c>
      <c r="W767" s="0" t="n">
        <v>0.0683403068340307</v>
      </c>
      <c r="X767" s="0" t="n">
        <v>0.233918630308743</v>
      </c>
      <c r="Y767" s="0" t="n">
        <v>5.313430961996</v>
      </c>
      <c r="Z767" s="0" t="n">
        <v>0.24847493583623</v>
      </c>
      <c r="AA767" s="0" t="n">
        <v>2.77555756156289E-017</v>
      </c>
    </row>
    <row r="768" customFormat="false" ht="15" hidden="false" customHeight="false" outlineLevel="0" collapsed="false">
      <c r="A768" s="0" t="s">
        <v>802</v>
      </c>
      <c r="B768" s="0" t="s">
        <v>33</v>
      </c>
      <c r="C768" s="0" t="s">
        <v>33</v>
      </c>
      <c r="D768" s="0" t="n">
        <v>12.8753126778195</v>
      </c>
      <c r="E768" s="0" t="n">
        <v>0.346847236621269</v>
      </c>
      <c r="F768" s="0" t="n">
        <v>10.347946736793</v>
      </c>
      <c r="G768" s="0" t="n">
        <v>0.804755944931164</v>
      </c>
      <c r="H768" s="0" t="n">
        <v>0.824780976220275</v>
      </c>
      <c r="I768" s="0" t="n">
        <v>0.5</v>
      </c>
      <c r="J768" s="0" t="n">
        <v>0.751814768460576</v>
      </c>
      <c r="K768" s="0" t="n">
        <v>0.667715717403612</v>
      </c>
      <c r="L768" s="1" t="b">
        <f aca="false">TRUE()</f>
        <v>1</v>
      </c>
      <c r="M768" s="0" t="s">
        <v>3035</v>
      </c>
      <c r="N768" s="0" t="n">
        <v>4.43489065952235</v>
      </c>
      <c r="O768" s="0" t="n">
        <v>0</v>
      </c>
      <c r="P768" s="0" t="n">
        <v>0</v>
      </c>
      <c r="Q768" s="0" t="n">
        <v>0</v>
      </c>
      <c r="U768" s="0" t="n">
        <v>0.5</v>
      </c>
      <c r="V768" s="0" t="n">
        <v>0.5</v>
      </c>
      <c r="W768" s="0" t="n">
        <v>0.5</v>
      </c>
      <c r="X768" s="0" t="n">
        <v>0.346847236621269</v>
      </c>
      <c r="Y768" s="0" t="n">
        <v>10.347946736793</v>
      </c>
      <c r="Z768" s="0" t="n">
        <v>0.751814768460576</v>
      </c>
      <c r="AA768" s="0" t="n">
        <v>0</v>
      </c>
    </row>
    <row r="769" customFormat="false" ht="15" hidden="false" customHeight="false" outlineLevel="0" collapsed="false">
      <c r="A769" s="0" t="s">
        <v>803</v>
      </c>
      <c r="B769" s="0" t="s">
        <v>3013</v>
      </c>
      <c r="C769" s="0" t="s">
        <v>3036</v>
      </c>
      <c r="D769" s="0" t="n">
        <v>29.6631549658002</v>
      </c>
      <c r="E769" s="0" t="n">
        <v>0.309589597728639</v>
      </c>
      <c r="F769" s="0" t="n">
        <v>6.4483637631103</v>
      </c>
      <c r="G769" s="0" t="n">
        <v>0.614518147684606</v>
      </c>
      <c r="H769" s="0" t="n">
        <v>0.332916145181477</v>
      </c>
      <c r="I769" s="0" t="n">
        <v>0.139005113900511</v>
      </c>
      <c r="J769" s="0" t="n">
        <v>0.406774739926535</v>
      </c>
      <c r="K769" s="0" t="n">
        <v>0.667715717403612</v>
      </c>
      <c r="L769" s="1" t="b">
        <f aca="false">FALSE()</f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6.57787578464661</v>
      </c>
      <c r="S769" s="0" t="n">
        <v>0.864880192825767</v>
      </c>
      <c r="T769" s="0" t="n">
        <v>0.155962001984966</v>
      </c>
      <c r="U769" s="0" t="n">
        <v>0.280334728033473</v>
      </c>
      <c r="V769" s="0" t="n">
        <v>0.0153417015341702</v>
      </c>
      <c r="W769" s="0" t="n">
        <v>0.121338912133891</v>
      </c>
      <c r="X769" s="0" t="n">
        <v>0.309589597728639</v>
      </c>
      <c r="Y769" s="0" t="n">
        <v>6.4483637631103</v>
      </c>
      <c r="Z769" s="0" t="n">
        <v>0.406774739926535</v>
      </c>
      <c r="AA769" s="0" t="n">
        <v>0</v>
      </c>
    </row>
    <row r="770" customFormat="false" ht="15" hidden="false" customHeight="false" outlineLevel="0" collapsed="false">
      <c r="A770" s="0" t="s">
        <v>804</v>
      </c>
      <c r="B770" s="0" t="s">
        <v>33</v>
      </c>
      <c r="C770" s="0" t="s">
        <v>33</v>
      </c>
      <c r="D770" s="0" t="n">
        <v>-3.50747142239041</v>
      </c>
      <c r="E770" s="0" t="n">
        <v>0.4006811722284</v>
      </c>
      <c r="F770" s="0" t="n">
        <v>12.2953313694694</v>
      </c>
      <c r="G770" s="0" t="n">
        <v>0.943679599499374</v>
      </c>
      <c r="H770" s="0" t="n">
        <v>0.932415519399249</v>
      </c>
      <c r="I770" s="0" t="n">
        <v>0.5</v>
      </c>
      <c r="J770" s="0" t="n">
        <v>0.850438047559449</v>
      </c>
      <c r="K770" s="0" t="n">
        <v>0.667715717403612</v>
      </c>
      <c r="L770" s="1" t="b">
        <f aca="false">TRUE()</f>
        <v>1</v>
      </c>
      <c r="M770" s="0" t="s">
        <v>3035</v>
      </c>
      <c r="N770" s="0" t="n">
        <v>0</v>
      </c>
      <c r="O770" s="0" t="n">
        <v>0</v>
      </c>
      <c r="P770" s="0" t="n">
        <v>1</v>
      </c>
      <c r="Q770" s="0" t="n">
        <v>3.50747142239041</v>
      </c>
      <c r="U770" s="0" t="n">
        <v>0.5</v>
      </c>
      <c r="V770" s="0" t="n">
        <v>0.5</v>
      </c>
      <c r="W770" s="0" t="n">
        <v>0.5</v>
      </c>
      <c r="X770" s="0" t="n">
        <v>0.4006811722284</v>
      </c>
      <c r="Y770" s="0" t="n">
        <v>12.2953313694694</v>
      </c>
      <c r="Z770" s="0" t="n">
        <v>0.850438047559449</v>
      </c>
      <c r="AA770" s="0" t="n">
        <v>0</v>
      </c>
    </row>
    <row r="771" customFormat="false" ht="15" hidden="false" customHeight="false" outlineLevel="0" collapsed="false">
      <c r="A771" s="0" t="s">
        <v>805</v>
      </c>
      <c r="B771" s="0" t="s">
        <v>3013</v>
      </c>
      <c r="C771" s="0" t="s">
        <v>3036</v>
      </c>
      <c r="D771" s="0" t="n">
        <v>-19.2645886819596</v>
      </c>
      <c r="E771" s="0" t="n">
        <v>0.272070974796772</v>
      </c>
      <c r="F771" s="0" t="n">
        <v>2.98951270854127</v>
      </c>
      <c r="G771" s="0" t="n">
        <v>0.403003754693367</v>
      </c>
      <c r="H771" s="0" t="n">
        <v>0.0237797246558198</v>
      </c>
      <c r="I771" s="0" t="n">
        <v>0.416550441655044</v>
      </c>
      <c r="J771" s="0" t="n">
        <v>0.254023480070683</v>
      </c>
      <c r="K771" s="0" t="n">
        <v>0.667715717403612</v>
      </c>
      <c r="L771" s="1" t="b">
        <f aca="false">FALSE()</f>
        <v>0</v>
      </c>
      <c r="N771" s="0" t="n">
        <v>3.50747142239015</v>
      </c>
      <c r="O771" s="0" t="n">
        <v>1</v>
      </c>
      <c r="P771" s="0" t="n">
        <v>1</v>
      </c>
      <c r="Q771" s="0" t="n">
        <v>19.2645886819596</v>
      </c>
      <c r="R771" s="0" t="n">
        <v>5.58961878800022</v>
      </c>
      <c r="S771" s="0" t="n">
        <v>3.06208053691276</v>
      </c>
      <c r="T771" s="0" t="n">
        <v>0.251677852348997</v>
      </c>
      <c r="U771" s="0" t="n">
        <v>0.177126917712692</v>
      </c>
      <c r="V771" s="0" t="n">
        <v>0.471408647140865</v>
      </c>
      <c r="W771" s="0" t="n">
        <v>0.601115760111576</v>
      </c>
      <c r="X771" s="0" t="n">
        <v>0.272070974796772</v>
      </c>
      <c r="Y771" s="0" t="n">
        <v>2.98951270854127</v>
      </c>
      <c r="Z771" s="0" t="n">
        <v>0.254023480070683</v>
      </c>
      <c r="AA771" s="0" t="n">
        <v>0</v>
      </c>
    </row>
    <row r="772" customFormat="false" ht="15" hidden="false" customHeight="false" outlineLevel="0" collapsed="false">
      <c r="A772" s="0" t="s">
        <v>806</v>
      </c>
      <c r="B772" s="0" t="s">
        <v>3013</v>
      </c>
      <c r="C772" s="0" t="s">
        <v>3036</v>
      </c>
      <c r="D772" s="0" t="n">
        <v>11.7307398638185</v>
      </c>
      <c r="E772" s="0" t="n">
        <v>0.298446485375013</v>
      </c>
      <c r="F772" s="0" t="n">
        <v>7.41544554836056</v>
      </c>
      <c r="G772" s="0" t="n">
        <v>0.55944931163955</v>
      </c>
      <c r="H772" s="0" t="n">
        <v>0.461827284105131</v>
      </c>
      <c r="I772" s="0" t="n">
        <v>0.321245932124593</v>
      </c>
      <c r="J772" s="0" t="n">
        <v>0.472759824722791</v>
      </c>
      <c r="K772" s="0" t="n">
        <v>0.667715717403612</v>
      </c>
      <c r="L772" s="1" t="b">
        <f aca="false">FALSE()</f>
        <v>0</v>
      </c>
      <c r="N772" s="0" t="n">
        <v>22.7720601043493</v>
      </c>
      <c r="O772" s="0" t="n">
        <v>2</v>
      </c>
      <c r="P772" s="0" t="n">
        <v>0</v>
      </c>
      <c r="Q772" s="0" t="n">
        <v>0</v>
      </c>
      <c r="R772" s="0" t="n">
        <v>6.00044684178702</v>
      </c>
      <c r="S772" s="0" t="n">
        <v>1.26800250469633</v>
      </c>
      <c r="T772" s="0" t="n">
        <v>0.266123982467115</v>
      </c>
      <c r="U772" s="0" t="n">
        <v>0.227336122733612</v>
      </c>
      <c r="V772" s="0" t="n">
        <v>0.0822873082287308</v>
      </c>
      <c r="W772" s="0" t="n">
        <v>0.654114365411437</v>
      </c>
      <c r="X772" s="0" t="n">
        <v>0.298446485375013</v>
      </c>
      <c r="Y772" s="0" t="n">
        <v>7.41544554836056</v>
      </c>
      <c r="Z772" s="0" t="n">
        <v>0.472759824722791</v>
      </c>
      <c r="AA772" s="0" t="n">
        <v>5.55111512312578E-017</v>
      </c>
    </row>
    <row r="773" customFormat="false" ht="15" hidden="false" customHeight="false" outlineLevel="0" collapsed="false">
      <c r="A773" s="0" t="s">
        <v>807</v>
      </c>
      <c r="B773" s="0" t="s">
        <v>3013</v>
      </c>
      <c r="C773" s="0" t="s">
        <v>3033</v>
      </c>
      <c r="D773" s="0" t="n">
        <v>50.6348048468661</v>
      </c>
      <c r="E773" s="0" t="n">
        <v>0.173945327194109</v>
      </c>
      <c r="F773" s="0" t="n">
        <v>2.91913243207722</v>
      </c>
      <c r="G773" s="0" t="n">
        <v>0.0475594493116396</v>
      </c>
      <c r="H773" s="0" t="n">
        <v>0.0225281602002503</v>
      </c>
      <c r="I773" s="0" t="n">
        <v>0.590887959088796</v>
      </c>
      <c r="J773" s="0" t="n">
        <v>0.146212635622515</v>
      </c>
      <c r="K773" s="0" t="n">
        <v>0.667715717403612</v>
      </c>
      <c r="L773" s="1" t="b">
        <f aca="false">FALSE()</f>
        <v>0</v>
      </c>
      <c r="N773" s="0" t="n">
        <v>11.0413202405307</v>
      </c>
      <c r="O773" s="0" t="n">
        <v>0</v>
      </c>
      <c r="P773" s="0" t="n">
        <v>0</v>
      </c>
      <c r="Q773" s="0" t="n">
        <v>0</v>
      </c>
      <c r="R773" s="0" t="n">
        <v>5.31656141166481</v>
      </c>
      <c r="S773" s="0" t="n">
        <v>9.18407567993694</v>
      </c>
      <c r="T773" s="0" t="n">
        <v>0.315333070555768</v>
      </c>
      <c r="U773" s="0" t="n">
        <v>0.150627615062762</v>
      </c>
      <c r="V773" s="0" t="n">
        <v>0.856345885634589</v>
      </c>
      <c r="W773" s="0" t="n">
        <v>0.765690376569038</v>
      </c>
      <c r="X773" s="0" t="n">
        <v>0.173945327194109</v>
      </c>
      <c r="Y773" s="0" t="n">
        <v>2.91913243207722</v>
      </c>
      <c r="Z773" s="0" t="n">
        <v>0.146212635622515</v>
      </c>
      <c r="AA773" s="0" t="n">
        <v>-5.55111512312578E-017</v>
      </c>
    </row>
    <row r="774" customFormat="false" ht="15" hidden="false" customHeight="false" outlineLevel="0" collapsed="false">
      <c r="A774" s="0" t="s">
        <v>808</v>
      </c>
      <c r="B774" s="0" t="s">
        <v>3013</v>
      </c>
      <c r="C774" s="0" t="s">
        <v>3033</v>
      </c>
      <c r="D774" s="0" t="n">
        <v>8.89994032778276</v>
      </c>
      <c r="E774" s="0" t="n">
        <v>0.289018896424515</v>
      </c>
      <c r="F774" s="0" t="n">
        <v>8.69535985682766</v>
      </c>
      <c r="G774" s="0" t="n">
        <v>0.519399249061327</v>
      </c>
      <c r="H774" s="0" t="n">
        <v>0.633291614518148</v>
      </c>
      <c r="I774" s="0" t="n">
        <v>0.503951650395165</v>
      </c>
      <c r="J774" s="0" t="n">
        <v>0.561866675510823</v>
      </c>
      <c r="K774" s="0" t="n">
        <v>0.667715717403612</v>
      </c>
      <c r="L774" s="1" t="b">
        <f aca="false">FALSE()</f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13.7517622829225</v>
      </c>
      <c r="S774" s="0" t="n">
        <v>3.67481625918704</v>
      </c>
      <c r="T774" s="0" t="n">
        <v>0.194990250487477</v>
      </c>
      <c r="U774" s="0" t="n">
        <v>0.672245467224547</v>
      </c>
      <c r="V774" s="0" t="n">
        <v>0.555090655509066</v>
      </c>
      <c r="W774" s="0" t="n">
        <v>0.284518828451883</v>
      </c>
      <c r="X774" s="0" t="n">
        <v>0.289018896424515</v>
      </c>
      <c r="Y774" s="0" t="n">
        <v>8.69535985682766</v>
      </c>
      <c r="Z774" s="0" t="n">
        <v>0.561866675510823</v>
      </c>
      <c r="AA774" s="0" t="n">
        <v>0</v>
      </c>
    </row>
    <row r="775" customFormat="false" ht="15" hidden="false" customHeight="false" outlineLevel="0" collapsed="false">
      <c r="A775" s="0" t="s">
        <v>809</v>
      </c>
      <c r="B775" s="0" t="s">
        <v>33</v>
      </c>
      <c r="C775" s="0" t="s">
        <v>33</v>
      </c>
      <c r="D775" s="0" t="n">
        <v>26.986535278191</v>
      </c>
      <c r="E775" s="0" t="n">
        <v>0.357528453962729</v>
      </c>
      <c r="F775" s="0" t="n">
        <v>10.3988760221068</v>
      </c>
      <c r="G775" s="0" t="n">
        <v>0.838548185231539</v>
      </c>
      <c r="H775" s="0" t="n">
        <v>0.829787234042553</v>
      </c>
      <c r="I775" s="0" t="n">
        <v>0.5</v>
      </c>
      <c r="J775" s="0" t="n">
        <v>0.767334167709637</v>
      </c>
      <c r="K775" s="0" t="n">
        <v>0.667715717403612</v>
      </c>
      <c r="L775" s="1" t="b">
        <f aca="false">TRUE()</f>
        <v>1</v>
      </c>
      <c r="M775" s="0" t="s">
        <v>3035</v>
      </c>
      <c r="N775" s="0" t="n">
        <v>0</v>
      </c>
      <c r="O775" s="0" t="n">
        <v>0</v>
      </c>
      <c r="P775" s="0" t="n">
        <v>0</v>
      </c>
      <c r="Q775" s="0" t="n">
        <v>0</v>
      </c>
      <c r="U775" s="0" t="n">
        <v>0.5</v>
      </c>
      <c r="V775" s="0" t="n">
        <v>0.5</v>
      </c>
      <c r="W775" s="0" t="n">
        <v>0.5</v>
      </c>
      <c r="X775" s="0" t="n">
        <v>0.357528453962729</v>
      </c>
      <c r="Y775" s="0" t="n">
        <v>10.3988760221068</v>
      </c>
      <c r="Z775" s="0" t="n">
        <v>0.767334167709637</v>
      </c>
      <c r="AA775" s="0" t="n">
        <v>0</v>
      </c>
    </row>
    <row r="776" customFormat="false" ht="15" hidden="false" customHeight="false" outlineLevel="0" collapsed="false">
      <c r="A776" s="0" t="s">
        <v>810</v>
      </c>
      <c r="B776" s="0" t="s">
        <v>3013</v>
      </c>
      <c r="C776" s="0" t="s">
        <v>3033</v>
      </c>
      <c r="D776" s="0" t="n">
        <v>24.9668845312297</v>
      </c>
      <c r="E776" s="0" t="n">
        <v>0.295918142583547</v>
      </c>
      <c r="F776" s="0" t="n">
        <v>8.50786925823438</v>
      </c>
      <c r="G776" s="0" t="n">
        <v>0.550688360450563</v>
      </c>
      <c r="H776" s="0" t="n">
        <v>0.60575719649562</v>
      </c>
      <c r="I776" s="0" t="n">
        <v>0.154811715481172</v>
      </c>
      <c r="J776" s="0" t="n">
        <v>0.493540565874708</v>
      </c>
      <c r="K776" s="0" t="n">
        <v>0.667715717403612</v>
      </c>
      <c r="L776" s="1" t="b">
        <f aca="false">FALSE()</f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6.08921004449548</v>
      </c>
      <c r="S776" s="0" t="n">
        <v>1.30458416379778</v>
      </c>
      <c r="T776" s="0" t="n">
        <v>0.16307302047472</v>
      </c>
      <c r="U776" s="0" t="n">
        <v>0.230125523012552</v>
      </c>
      <c r="V776" s="0" t="n">
        <v>0.0878661087866109</v>
      </c>
      <c r="W776" s="0" t="n">
        <v>0.146443514644352</v>
      </c>
      <c r="X776" s="0" t="n">
        <v>0.295918142583547</v>
      </c>
      <c r="Y776" s="0" t="n">
        <v>8.50786925823438</v>
      </c>
      <c r="Z776" s="0" t="n">
        <v>0.493540565874708</v>
      </c>
      <c r="AA776" s="0" t="n">
        <v>-5.55111512312578E-017</v>
      </c>
    </row>
    <row r="777" customFormat="false" ht="15" hidden="false" customHeight="false" outlineLevel="0" collapsed="false">
      <c r="A777" s="0" t="s">
        <v>811</v>
      </c>
      <c r="B777" s="0" t="s">
        <v>3013</v>
      </c>
      <c r="C777" s="0" t="s">
        <v>3033</v>
      </c>
      <c r="D777" s="0" t="n">
        <v>33.5208098888202</v>
      </c>
      <c r="E777" s="0" t="n">
        <v>0.252184431405078</v>
      </c>
      <c r="F777" s="0" t="n">
        <v>3.10396067901321</v>
      </c>
      <c r="G777" s="0" t="n">
        <v>0.27909887359199</v>
      </c>
      <c r="H777" s="0" t="n">
        <v>0.0275344180225282</v>
      </c>
      <c r="I777" s="0" t="n">
        <v>0.359832635983264</v>
      </c>
      <c r="J777" s="0" t="n">
        <v>0.19461984384246</v>
      </c>
      <c r="K777" s="0" t="n">
        <v>0.667715717403612</v>
      </c>
      <c r="L777" s="1" t="b">
        <f aca="false">FALSE()</f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9.2959273000122</v>
      </c>
      <c r="S777" s="0" t="n">
        <v>3.84220258886378</v>
      </c>
      <c r="T777" s="0" t="n">
        <v>0.123279227450173</v>
      </c>
      <c r="U777" s="0" t="n">
        <v>0.460251046025105</v>
      </c>
      <c r="V777" s="0" t="n">
        <v>0.573221757322176</v>
      </c>
      <c r="W777" s="0" t="n">
        <v>0.0460251046025105</v>
      </c>
      <c r="X777" s="0" t="n">
        <v>0.252184431405078</v>
      </c>
      <c r="Y777" s="0" t="n">
        <v>3.1039606790132</v>
      </c>
      <c r="Z777" s="0" t="n">
        <v>0.19461984384246</v>
      </c>
      <c r="AA777" s="0" t="n">
        <v>-2.77555756156289E-017</v>
      </c>
    </row>
    <row r="778" customFormat="false" ht="15" hidden="false" customHeight="false" outlineLevel="0" collapsed="false">
      <c r="A778" s="0" t="s">
        <v>812</v>
      </c>
      <c r="B778" s="0" t="s">
        <v>3013</v>
      </c>
      <c r="C778" s="0" t="s">
        <v>3036</v>
      </c>
      <c r="D778" s="0" t="n">
        <v>-43.7959742053806</v>
      </c>
      <c r="E778" s="0" t="n">
        <v>0.273503186696166</v>
      </c>
      <c r="F778" s="0" t="n">
        <v>5.46249026580775</v>
      </c>
      <c r="G778" s="0" t="n">
        <v>0.413016270337922</v>
      </c>
      <c r="H778" s="0" t="n">
        <v>0.192740926157697</v>
      </c>
      <c r="I778" s="0" t="n">
        <v>0.400743840074384</v>
      </c>
      <c r="J778" s="0" t="n">
        <v>0.322451646613125</v>
      </c>
      <c r="K778" s="0" t="n">
        <v>0.667715717403612</v>
      </c>
      <c r="L778" s="1" t="b">
        <f aca="false">FALSE()</f>
        <v>0</v>
      </c>
      <c r="N778" s="0" t="n">
        <v>0</v>
      </c>
      <c r="O778" s="0" t="n">
        <v>0</v>
      </c>
      <c r="P778" s="0" t="n">
        <v>1</v>
      </c>
      <c r="Q778" s="0" t="n">
        <v>43.7959742053806</v>
      </c>
      <c r="R778" s="0" t="n">
        <v>5.50915897679923</v>
      </c>
      <c r="S778" s="0" t="n">
        <v>2.17927631578947</v>
      </c>
      <c r="T778" s="0" t="n">
        <v>0.28782894736841</v>
      </c>
      <c r="U778" s="0" t="n">
        <v>0.168758716875872</v>
      </c>
      <c r="V778" s="0" t="n">
        <v>0.311018131101813</v>
      </c>
      <c r="W778" s="0" t="n">
        <v>0.722454672245467</v>
      </c>
      <c r="X778" s="0" t="n">
        <v>0.273503186696166</v>
      </c>
      <c r="Y778" s="0" t="n">
        <v>5.46249026580775</v>
      </c>
      <c r="Z778" s="0" t="n">
        <v>0.322451646613125</v>
      </c>
      <c r="AA778" s="0" t="n">
        <v>5.55111512312578E-017</v>
      </c>
    </row>
    <row r="779" customFormat="false" ht="15" hidden="false" customHeight="false" outlineLevel="0" collapsed="false">
      <c r="A779" s="0" t="s">
        <v>813</v>
      </c>
      <c r="B779" s="0" t="s">
        <v>3013</v>
      </c>
      <c r="C779" s="0" t="s">
        <v>3038</v>
      </c>
      <c r="D779" s="0" t="n">
        <v>29.375870857088</v>
      </c>
      <c r="E779" s="0" t="n">
        <v>0.226453690446437</v>
      </c>
      <c r="F779" s="0" t="n">
        <v>5.55225661208002</v>
      </c>
      <c r="G779" s="0" t="n">
        <v>0.160200250312891</v>
      </c>
      <c r="H779" s="0" t="n">
        <v>0.2090112640801</v>
      </c>
      <c r="I779" s="0" t="n">
        <v>0.557415155741516</v>
      </c>
      <c r="J779" s="0" t="n">
        <v>0.2591676369055</v>
      </c>
      <c r="K779" s="0" t="n">
        <v>0.667715717403612</v>
      </c>
      <c r="L779" s="1" t="b">
        <f aca="false">FALSE()</f>
        <v>0</v>
      </c>
      <c r="N779" s="0" t="n">
        <v>43.7959742053808</v>
      </c>
      <c r="O779" s="0" t="n">
        <v>1</v>
      </c>
      <c r="P779" s="0" t="n">
        <v>0</v>
      </c>
      <c r="Q779" s="0" t="n">
        <v>0</v>
      </c>
      <c r="R779" s="0" t="n">
        <v>20.757806104551</v>
      </c>
      <c r="S779" s="0" t="n">
        <v>3.98150909633163</v>
      </c>
      <c r="T779" s="0" t="n">
        <v>0.193856248135999</v>
      </c>
      <c r="U779" s="0" t="n">
        <v>0.800557880055788</v>
      </c>
      <c r="V779" s="0" t="n">
        <v>0.594142259414226</v>
      </c>
      <c r="W779" s="0" t="n">
        <v>0.277545327754533</v>
      </c>
      <c r="X779" s="0" t="n">
        <v>0.226453690446437</v>
      </c>
      <c r="Y779" s="0" t="n">
        <v>5.55225661208002</v>
      </c>
      <c r="Z779" s="0" t="n">
        <v>0.2591676369055</v>
      </c>
      <c r="AA779" s="0" t="n">
        <v>0</v>
      </c>
    </row>
    <row r="780" customFormat="false" ht="15" hidden="false" customHeight="false" outlineLevel="0" collapsed="false">
      <c r="A780" s="0" t="s">
        <v>814</v>
      </c>
      <c r="B780" s="0" t="s">
        <v>3013</v>
      </c>
      <c r="C780" s="0" t="s">
        <v>3036</v>
      </c>
      <c r="D780" s="0" t="n">
        <v>20.7054942296481</v>
      </c>
      <c r="E780" s="0" t="n">
        <v>0.299955988675826</v>
      </c>
      <c r="F780" s="0" t="n">
        <v>7.68017767984448</v>
      </c>
      <c r="G780" s="0" t="n">
        <v>0.566958698372966</v>
      </c>
      <c r="H780" s="0" t="n">
        <v>0.51188986232791</v>
      </c>
      <c r="I780" s="0" t="n">
        <v>0.132961413296141</v>
      </c>
      <c r="J780" s="0" t="n">
        <v>0.458131706939579</v>
      </c>
      <c r="K780" s="0" t="n">
        <v>0.667715717403612</v>
      </c>
      <c r="L780" s="1" t="b">
        <f aca="false">FALSE()</f>
        <v>0</v>
      </c>
      <c r="N780" s="0" t="n">
        <v>14.4201033482932</v>
      </c>
      <c r="O780" s="0" t="n">
        <v>0</v>
      </c>
      <c r="P780" s="0" t="n">
        <v>0</v>
      </c>
      <c r="Q780" s="0" t="n">
        <v>0</v>
      </c>
      <c r="R780" s="0" t="n">
        <v>3.85748060890094</v>
      </c>
      <c r="S780" s="0" t="n">
        <v>1.21951219512197</v>
      </c>
      <c r="T780" s="0" t="n">
        <v>0.190548780487799</v>
      </c>
      <c r="U780" s="0" t="n">
        <v>0.0655509065550907</v>
      </c>
      <c r="V780" s="0" t="n">
        <v>0.0753138075313808</v>
      </c>
      <c r="W780" s="0" t="n">
        <v>0.258019525801953</v>
      </c>
      <c r="X780" s="0" t="n">
        <v>0.299955988675826</v>
      </c>
      <c r="Y780" s="0" t="n">
        <v>7.68017767984448</v>
      </c>
      <c r="Z780" s="0" t="n">
        <v>0.458131706939579</v>
      </c>
      <c r="AA780" s="0" t="n">
        <v>0</v>
      </c>
    </row>
    <row r="781" customFormat="false" ht="15" hidden="false" customHeight="false" outlineLevel="0" collapsed="false">
      <c r="A781" s="0" t="s">
        <v>815</v>
      </c>
      <c r="B781" s="0" t="s">
        <v>3013</v>
      </c>
      <c r="C781" s="0" t="s">
        <v>3034</v>
      </c>
      <c r="D781" s="0" t="n">
        <v>30.1616760619976</v>
      </c>
      <c r="E781" s="0" t="n">
        <v>0.335994915199819</v>
      </c>
      <c r="F781" s="0" t="n">
        <v>7.42368237300132</v>
      </c>
      <c r="G781" s="0" t="n">
        <v>0.760951188986233</v>
      </c>
      <c r="H781" s="0" t="n">
        <v>0.466833541927409</v>
      </c>
      <c r="I781" s="0" t="n">
        <v>0.591120409112041</v>
      </c>
      <c r="J781" s="0" t="n">
        <v>0.609337974187865</v>
      </c>
      <c r="K781" s="0" t="n">
        <v>0.667715717403612</v>
      </c>
      <c r="L781" s="1" t="b">
        <f aca="false">FALSE()</f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15.9977240351385</v>
      </c>
      <c r="S781" s="0" t="n">
        <v>5.45592321293255</v>
      </c>
      <c r="T781" s="0" t="n">
        <v>0.202071230108616</v>
      </c>
      <c r="U781" s="0" t="n">
        <v>0.729428172942817</v>
      </c>
      <c r="V781" s="0" t="n">
        <v>0.718270571827057</v>
      </c>
      <c r="W781" s="0" t="n">
        <v>0.325662482566248</v>
      </c>
      <c r="X781" s="0" t="n">
        <v>0.335994915199819</v>
      </c>
      <c r="Y781" s="0" t="n">
        <v>7.42368237300132</v>
      </c>
      <c r="Z781" s="0" t="n">
        <v>0.609337974187865</v>
      </c>
      <c r="AA781" s="0" t="n">
        <v>0</v>
      </c>
    </row>
    <row r="782" customFormat="false" ht="15" hidden="false" customHeight="false" outlineLevel="0" collapsed="false">
      <c r="A782" s="0" t="s">
        <v>816</v>
      </c>
      <c r="B782" s="0" t="s">
        <v>3013</v>
      </c>
      <c r="C782" s="0" t="s">
        <v>3036</v>
      </c>
      <c r="D782" s="0" t="n">
        <v>36.8325459861976</v>
      </c>
      <c r="E782" s="0" t="n">
        <v>0.235004588087242</v>
      </c>
      <c r="F782" s="0" t="n">
        <v>3.29126363429199</v>
      </c>
      <c r="G782" s="0" t="n">
        <v>0.200250312891114</v>
      </c>
      <c r="H782" s="0" t="n">
        <v>0.032540675844806</v>
      </c>
      <c r="I782" s="0" t="n">
        <v>0.726173872617387</v>
      </c>
      <c r="J782" s="0" t="n">
        <v>0.238351170017845</v>
      </c>
      <c r="K782" s="0" t="n">
        <v>0.667715717403612</v>
      </c>
      <c r="L782" s="1" t="b">
        <f aca="false">FALSE()</f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13.4206192153391</v>
      </c>
      <c r="S782" s="0" t="n">
        <v>4.82022915843541</v>
      </c>
      <c r="T782" s="0" t="n">
        <v>0.35559067562228</v>
      </c>
      <c r="U782" s="0" t="n">
        <v>0.658298465829847</v>
      </c>
      <c r="V782" s="0" t="n">
        <v>0.676429567642957</v>
      </c>
      <c r="W782" s="0" t="n">
        <v>0.843793584379359</v>
      </c>
      <c r="X782" s="0" t="n">
        <v>0.235004588087242</v>
      </c>
      <c r="Y782" s="0" t="n">
        <v>3.29126363429199</v>
      </c>
      <c r="Z782" s="0" t="n">
        <v>0.238351170017845</v>
      </c>
      <c r="AA782" s="0" t="n">
        <v>5.55111512312578E-017</v>
      </c>
    </row>
    <row r="783" customFormat="false" ht="15" hidden="false" customHeight="false" outlineLevel="0" collapsed="false">
      <c r="A783" s="0" t="s">
        <v>817</v>
      </c>
      <c r="B783" s="0" t="s">
        <v>33</v>
      </c>
      <c r="C783" s="0" t="s">
        <v>33</v>
      </c>
      <c r="D783" s="0" t="n">
        <v>10.4060070461831</v>
      </c>
      <c r="E783" s="0" t="n">
        <v>0.333669491622883</v>
      </c>
      <c r="F783" s="0" t="n">
        <v>9.66378269059429</v>
      </c>
      <c r="G783" s="0" t="n">
        <v>0.752190237797247</v>
      </c>
      <c r="H783" s="0" t="n">
        <v>0.74342928660826</v>
      </c>
      <c r="I783" s="0" t="n">
        <v>0.5</v>
      </c>
      <c r="J783" s="0" t="n">
        <v>0.698247809762203</v>
      </c>
      <c r="K783" s="0" t="n">
        <v>0.667715717403612</v>
      </c>
      <c r="L783" s="1" t="b">
        <f aca="false">TRUE()</f>
        <v>1</v>
      </c>
      <c r="M783" s="0" t="s">
        <v>3035</v>
      </c>
      <c r="N783" s="0" t="n">
        <v>0</v>
      </c>
      <c r="O783" s="0" t="n">
        <v>0</v>
      </c>
      <c r="P783" s="0" t="n">
        <v>0</v>
      </c>
      <c r="Q783" s="0" t="n">
        <v>0</v>
      </c>
      <c r="U783" s="0" t="n">
        <v>0.5</v>
      </c>
      <c r="V783" s="0" t="n">
        <v>0.5</v>
      </c>
      <c r="W783" s="0" t="n">
        <v>0.5</v>
      </c>
      <c r="X783" s="0" t="n">
        <v>0.333669491622883</v>
      </c>
      <c r="Y783" s="0" t="n">
        <v>9.66378269059429</v>
      </c>
      <c r="Z783" s="0" t="n">
        <v>0.698247809762203</v>
      </c>
      <c r="AA783" s="0" t="n">
        <v>0</v>
      </c>
    </row>
    <row r="784" customFormat="false" ht="15" hidden="false" customHeight="false" outlineLevel="0" collapsed="false">
      <c r="A784" s="0" t="s">
        <v>818</v>
      </c>
      <c r="B784" s="0" t="s">
        <v>3013</v>
      </c>
      <c r="C784" s="0" t="s">
        <v>3038</v>
      </c>
      <c r="D784" s="0" t="n">
        <v>11.9670689775183</v>
      </c>
      <c r="E784" s="0" t="n">
        <v>0.204849956651233</v>
      </c>
      <c r="F784" s="0" t="n">
        <v>4.27148005114244</v>
      </c>
      <c r="G784" s="0" t="n">
        <v>0.111389236545682</v>
      </c>
      <c r="H784" s="0" t="n">
        <v>0.0713391739674593</v>
      </c>
      <c r="I784" s="0" t="n">
        <v>0.681078568107857</v>
      </c>
      <c r="J784" s="0" t="n">
        <v>0.209307077826828</v>
      </c>
      <c r="K784" s="0" t="n">
        <v>0.667715717403612</v>
      </c>
      <c r="L784" s="1" t="b">
        <f aca="false">FALSE()</f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26.9657132410384</v>
      </c>
      <c r="S784" s="0" t="n">
        <v>3.14407814407815</v>
      </c>
      <c r="T784" s="0" t="n">
        <v>0.274725274725276</v>
      </c>
      <c r="U784" s="0" t="n">
        <v>0.881450488145049</v>
      </c>
      <c r="V784" s="0" t="n">
        <v>0.485355648535565</v>
      </c>
      <c r="W784" s="0" t="n">
        <v>0.676429567642957</v>
      </c>
      <c r="X784" s="0" t="n">
        <v>0.204849956651233</v>
      </c>
      <c r="Y784" s="0" t="n">
        <v>4.27148005114244</v>
      </c>
      <c r="Z784" s="0" t="n">
        <v>0.209307077826828</v>
      </c>
      <c r="AA784" s="0" t="n">
        <v>2.77555756156289E-017</v>
      </c>
    </row>
    <row r="785" customFormat="false" ht="15" hidden="false" customHeight="false" outlineLevel="0" collapsed="false">
      <c r="A785" s="0" t="s">
        <v>819</v>
      </c>
      <c r="B785" s="0" t="s">
        <v>33</v>
      </c>
      <c r="C785" s="0" t="s">
        <v>33</v>
      </c>
      <c r="D785" s="0" t="n">
        <v>4.716074904991</v>
      </c>
      <c r="E785" s="0" t="n">
        <v>0.332348510412735</v>
      </c>
      <c r="F785" s="0" t="n">
        <v>8.84353371463497</v>
      </c>
      <c r="G785" s="0" t="n">
        <v>0.747183979974969</v>
      </c>
      <c r="H785" s="0" t="n">
        <v>0.658322903629537</v>
      </c>
      <c r="I785" s="0" t="n">
        <v>0.5</v>
      </c>
      <c r="J785" s="0" t="n">
        <v>0.662202753441802</v>
      </c>
      <c r="K785" s="0" t="n">
        <v>0.667715717403612</v>
      </c>
      <c r="L785" s="1" t="b">
        <f aca="false">FALSE()</f>
        <v>0</v>
      </c>
      <c r="N785" s="0" t="n">
        <v>0</v>
      </c>
      <c r="O785" s="0" t="n">
        <v>0</v>
      </c>
      <c r="P785" s="0" t="n">
        <v>0</v>
      </c>
      <c r="Q785" s="0" t="n">
        <v>0</v>
      </c>
      <c r="U785" s="0" t="n">
        <v>0.5</v>
      </c>
      <c r="V785" s="0" t="n">
        <v>0.5</v>
      </c>
      <c r="W785" s="0" t="n">
        <v>0.5</v>
      </c>
      <c r="X785" s="0" t="n">
        <v>0.332348510412735</v>
      </c>
      <c r="Y785" s="0" t="n">
        <v>8.84353371463497</v>
      </c>
      <c r="Z785" s="0" t="n">
        <v>0.662202753441802</v>
      </c>
      <c r="AA785" s="0" t="n">
        <v>0</v>
      </c>
    </row>
    <row r="786" customFormat="false" ht="15" hidden="false" customHeight="false" outlineLevel="0" collapsed="false">
      <c r="A786" s="0" t="s">
        <v>820</v>
      </c>
      <c r="B786" s="0" t="s">
        <v>3013</v>
      </c>
      <c r="C786" s="0" t="s">
        <v>3038</v>
      </c>
      <c r="D786" s="0" t="n">
        <v>33.4347250991975</v>
      </c>
      <c r="E786" s="0" t="n">
        <v>0.231482506333867</v>
      </c>
      <c r="F786" s="0" t="n">
        <v>5.5956600606415</v>
      </c>
      <c r="G786" s="0" t="n">
        <v>0.182728410513141</v>
      </c>
      <c r="H786" s="0" t="n">
        <v>0.217772215269086</v>
      </c>
      <c r="I786" s="0" t="n">
        <v>0.769409576940958</v>
      </c>
      <c r="J786" s="0" t="n">
        <v>0.314082165701083</v>
      </c>
      <c r="K786" s="0" t="n">
        <v>0.667715717403612</v>
      </c>
      <c r="L786" s="1" t="b">
        <f aca="false">FALSE()</f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19.4182251011024</v>
      </c>
      <c r="S786" s="0" t="n">
        <v>12.4577786608385</v>
      </c>
      <c r="T786" s="0" t="n">
        <v>0.258295251341145</v>
      </c>
      <c r="U786" s="0" t="n">
        <v>0.782426778242678</v>
      </c>
      <c r="V786" s="0" t="n">
        <v>0.906555090655509</v>
      </c>
      <c r="W786" s="0" t="n">
        <v>0.619246861924686</v>
      </c>
      <c r="X786" s="0" t="n">
        <v>0.231482506333867</v>
      </c>
      <c r="Y786" s="0" t="n">
        <v>5.5956600606415</v>
      </c>
      <c r="Z786" s="0" t="n">
        <v>0.314082165701083</v>
      </c>
      <c r="AA786" s="0" t="n">
        <v>-5.55111512312578E-017</v>
      </c>
    </row>
    <row r="787" customFormat="false" ht="15" hidden="false" customHeight="false" outlineLevel="0" collapsed="false">
      <c r="A787" s="0" t="s">
        <v>821</v>
      </c>
      <c r="B787" s="0" t="s">
        <v>3013</v>
      </c>
      <c r="C787" s="0" t="s">
        <v>3033</v>
      </c>
      <c r="D787" s="0" t="n">
        <v>47.2703843257335</v>
      </c>
      <c r="E787" s="0" t="n">
        <v>0.328865867302974</v>
      </c>
      <c r="F787" s="0" t="n">
        <v>9.71774182635353</v>
      </c>
      <c r="G787" s="0" t="n">
        <v>0.729662077596996</v>
      </c>
      <c r="H787" s="0" t="n">
        <v>0.752190237797247</v>
      </c>
      <c r="I787" s="0" t="n">
        <v>0.410041841004184</v>
      </c>
      <c r="J787" s="0" t="n">
        <v>0.674749294358534</v>
      </c>
      <c r="K787" s="0" t="n">
        <v>0.667715717403612</v>
      </c>
      <c r="L787" s="1" t="b">
        <f aca="false">TRUE()</f>
        <v>1</v>
      </c>
      <c r="M787" s="0" t="s">
        <v>3035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5.85630101387123</v>
      </c>
      <c r="S787" s="0" t="n">
        <v>3.72471632955107</v>
      </c>
      <c r="T787" s="0" t="n">
        <v>0.222002960039469</v>
      </c>
      <c r="U787" s="0" t="n">
        <v>0.214783821478382</v>
      </c>
      <c r="V787" s="0" t="n">
        <v>0.563458856345886</v>
      </c>
      <c r="W787" s="0" t="n">
        <v>0.451882845188285</v>
      </c>
      <c r="X787" s="0" t="n">
        <v>0.328865867302974</v>
      </c>
      <c r="Y787" s="0" t="n">
        <v>9.71774182635353</v>
      </c>
      <c r="Z787" s="0" t="n">
        <v>0.674749294358534</v>
      </c>
      <c r="AA787" s="0" t="n">
        <v>0</v>
      </c>
    </row>
    <row r="788" customFormat="false" ht="15" hidden="false" customHeight="false" outlineLevel="0" collapsed="false">
      <c r="A788" s="0" t="s">
        <v>822</v>
      </c>
      <c r="B788" s="0" t="s">
        <v>3013</v>
      </c>
      <c r="C788" s="0" t="s">
        <v>3038</v>
      </c>
      <c r="D788" s="0" t="n">
        <v>39.8331516428007</v>
      </c>
      <c r="E788" s="0" t="n">
        <v>0.196399277175399</v>
      </c>
      <c r="F788" s="0" t="n">
        <v>4.76617914794679</v>
      </c>
      <c r="G788" s="0" t="n">
        <v>0.097622027534418</v>
      </c>
      <c r="H788" s="0" t="n">
        <v>0.107634543178974</v>
      </c>
      <c r="I788" s="0" t="n">
        <v>0.875871687587169</v>
      </c>
      <c r="J788" s="0" t="n">
        <v>0.257276965802791</v>
      </c>
      <c r="K788" s="0" t="n">
        <v>0.667715717403612</v>
      </c>
      <c r="L788" s="1" t="b">
        <f aca="false">FALSE()</f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26.689702664488</v>
      </c>
      <c r="S788" s="0" t="n">
        <v>12.814465408805</v>
      </c>
      <c r="T788" s="0" t="n">
        <v>0.353773584905652</v>
      </c>
      <c r="U788" s="0" t="n">
        <v>0.877266387726639</v>
      </c>
      <c r="V788" s="0" t="n">
        <v>0.909344490934449</v>
      </c>
      <c r="W788" s="0" t="n">
        <v>0.841004184100418</v>
      </c>
      <c r="X788" s="0" t="n">
        <v>0.196399277175399</v>
      </c>
      <c r="Y788" s="0" t="n">
        <v>4.76617914794679</v>
      </c>
      <c r="Z788" s="0" t="n">
        <v>0.257276965802791</v>
      </c>
      <c r="AA788" s="0" t="n">
        <v>-5.55111512312578E-017</v>
      </c>
    </row>
    <row r="789" customFormat="false" ht="15" hidden="false" customHeight="false" outlineLevel="0" collapsed="false">
      <c r="A789" s="0" t="s">
        <v>823</v>
      </c>
      <c r="B789" s="0" t="s">
        <v>3013</v>
      </c>
      <c r="C789" s="0" t="s">
        <v>3036</v>
      </c>
      <c r="D789" s="0" t="n">
        <v>11.7990887978417</v>
      </c>
      <c r="E789" s="0" t="n">
        <v>0.284692596062691</v>
      </c>
      <c r="F789" s="0" t="n">
        <v>6.26534724469859</v>
      </c>
      <c r="G789" s="0" t="n">
        <v>0.490613266583229</v>
      </c>
      <c r="H789" s="0" t="n">
        <v>0.305381727158949</v>
      </c>
      <c r="I789" s="0" t="n">
        <v>0.157136215713622</v>
      </c>
      <c r="J789" s="0" t="n">
        <v>0.349825240639595</v>
      </c>
      <c r="K789" s="0" t="n">
        <v>0.667715717403612</v>
      </c>
      <c r="L789" s="1" t="b">
        <f aca="false">FALSE()</f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5.76685937247661</v>
      </c>
      <c r="S789" s="0" t="n">
        <v>1.17349702112295</v>
      </c>
      <c r="T789" s="0" t="n">
        <v>0.180538003249684</v>
      </c>
      <c r="U789" s="0" t="n">
        <v>0.202231520223152</v>
      </c>
      <c r="V789" s="0" t="n">
        <v>0.0613668061366806</v>
      </c>
      <c r="W789" s="0" t="n">
        <v>0.207810320781032</v>
      </c>
      <c r="X789" s="0" t="n">
        <v>0.284692596062691</v>
      </c>
      <c r="Y789" s="0" t="n">
        <v>6.26534724469859</v>
      </c>
      <c r="Z789" s="0" t="n">
        <v>0.349825240639595</v>
      </c>
      <c r="AA789" s="0" t="n">
        <v>0</v>
      </c>
    </row>
    <row r="790" customFormat="false" ht="15" hidden="false" customHeight="false" outlineLevel="0" collapsed="false">
      <c r="A790" s="0" t="s">
        <v>824</v>
      </c>
      <c r="B790" s="0" t="s">
        <v>3013</v>
      </c>
      <c r="C790" s="0" t="s">
        <v>3033</v>
      </c>
      <c r="D790" s="0" t="n">
        <v>21.8749417087137</v>
      </c>
      <c r="E790" s="0" t="n">
        <v>0.261340808500158</v>
      </c>
      <c r="F790" s="0" t="n">
        <v>7.19100494812367</v>
      </c>
      <c r="G790" s="0" t="n">
        <v>0.339173967459324</v>
      </c>
      <c r="H790" s="0" t="n">
        <v>0.44180225281602</v>
      </c>
      <c r="I790" s="0" t="n">
        <v>0.333798233379823</v>
      </c>
      <c r="J790" s="0" t="n">
        <v>0.379150134786102</v>
      </c>
      <c r="K790" s="0" t="n">
        <v>0.667715717403612</v>
      </c>
      <c r="L790" s="1" t="b">
        <f aca="false">FALSE()</f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5.85967112083596</v>
      </c>
      <c r="S790" s="0" t="n">
        <v>1.69562486916475</v>
      </c>
      <c r="T790" s="0" t="n">
        <v>0.251203684320707</v>
      </c>
      <c r="U790" s="0" t="n">
        <v>0.216178521617852</v>
      </c>
      <c r="V790" s="0" t="n">
        <v>0.189679218967922</v>
      </c>
      <c r="W790" s="0" t="n">
        <v>0.595536959553696</v>
      </c>
      <c r="X790" s="0" t="n">
        <v>0.261340808500158</v>
      </c>
      <c r="Y790" s="0" t="n">
        <v>7.19100494812367</v>
      </c>
      <c r="Z790" s="0" t="n">
        <v>0.379150134786102</v>
      </c>
      <c r="AA790" s="0" t="n">
        <v>0</v>
      </c>
    </row>
    <row r="791" customFormat="false" ht="15" hidden="false" customHeight="false" outlineLevel="0" collapsed="false">
      <c r="A791" s="0" t="s">
        <v>825</v>
      </c>
      <c r="B791" s="0" t="s">
        <v>3013</v>
      </c>
      <c r="C791" s="0" t="s">
        <v>3036</v>
      </c>
      <c r="D791" s="0" t="n">
        <v>21.5369462352086</v>
      </c>
      <c r="E791" s="0" t="n">
        <v>0.268558510817312</v>
      </c>
      <c r="F791" s="0" t="n">
        <v>4.83707219456526</v>
      </c>
      <c r="G791" s="0" t="n">
        <v>0.385481852315394</v>
      </c>
      <c r="H791" s="0" t="n">
        <v>0.11639549436796</v>
      </c>
      <c r="I791" s="0" t="n">
        <v>0.235704323570432</v>
      </c>
      <c r="J791" s="0" t="n">
        <v>0.247891803387428</v>
      </c>
      <c r="K791" s="0" t="n">
        <v>0.667715717403612</v>
      </c>
      <c r="L791" s="1" t="b">
        <f aca="false">FALSE()</f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4.88600697291135</v>
      </c>
      <c r="S791" s="0" t="n">
        <v>1.18908382066275</v>
      </c>
      <c r="T791" s="0" t="n">
        <v>0.233918128654963</v>
      </c>
      <c r="U791" s="0" t="n">
        <v>0.124128312412831</v>
      </c>
      <c r="V791" s="0" t="n">
        <v>0.0655509065550907</v>
      </c>
      <c r="W791" s="0" t="n">
        <v>0.517433751743375</v>
      </c>
      <c r="X791" s="0" t="n">
        <v>0.268558510817312</v>
      </c>
      <c r="Y791" s="0" t="n">
        <v>4.83707219456526</v>
      </c>
      <c r="Z791" s="0" t="n">
        <v>0.247891803387428</v>
      </c>
      <c r="AA791" s="0" t="n">
        <v>-2.77555756156289E-017</v>
      </c>
    </row>
    <row r="792" customFormat="false" ht="15" hidden="false" customHeight="false" outlineLevel="0" collapsed="false">
      <c r="A792" s="0" t="s">
        <v>826</v>
      </c>
      <c r="B792" s="0" t="s">
        <v>3013</v>
      </c>
      <c r="C792" s="0" t="s">
        <v>3036</v>
      </c>
      <c r="D792" s="0" t="n">
        <v>-16.7777528686039</v>
      </c>
      <c r="E792" s="0" t="n">
        <v>0.272319089632657</v>
      </c>
      <c r="F792" s="0" t="n">
        <v>7.09290410051134</v>
      </c>
      <c r="G792" s="0" t="n">
        <v>0.406758448060075</v>
      </c>
      <c r="H792" s="0" t="n">
        <v>0.428035043804756</v>
      </c>
      <c r="I792" s="0" t="n">
        <v>0.508135750813575</v>
      </c>
      <c r="J792" s="0" t="n">
        <v>0.435544546908648</v>
      </c>
      <c r="K792" s="0" t="n">
        <v>0.667715717403612</v>
      </c>
      <c r="L792" s="1" t="b">
        <f aca="false">FALSE()</f>
        <v>0</v>
      </c>
      <c r="N792" s="0" t="n">
        <v>0</v>
      </c>
      <c r="O792" s="0" t="n">
        <v>0</v>
      </c>
      <c r="P792" s="0" t="n">
        <v>1</v>
      </c>
      <c r="Q792" s="0" t="n">
        <v>16.7777528686039</v>
      </c>
      <c r="R792" s="0" t="n">
        <v>13.5072251300273</v>
      </c>
      <c r="S792" s="0" t="n">
        <v>1.78485287023638</v>
      </c>
      <c r="T792" s="0" t="n">
        <v>0.265315967197304</v>
      </c>
      <c r="U792" s="0" t="n">
        <v>0.662482566248257</v>
      </c>
      <c r="V792" s="0" t="n">
        <v>0.209205020920502</v>
      </c>
      <c r="W792" s="0" t="n">
        <v>0.652719665271967</v>
      </c>
      <c r="X792" s="0" t="n">
        <v>0.272319089632657</v>
      </c>
      <c r="Y792" s="0" t="n">
        <v>7.09290410051134</v>
      </c>
      <c r="Z792" s="0" t="n">
        <v>0.435544546908648</v>
      </c>
      <c r="AA792" s="0" t="n">
        <v>-5.55111512312578E-017</v>
      </c>
    </row>
    <row r="793" customFormat="false" ht="15" hidden="false" customHeight="false" outlineLevel="0" collapsed="false">
      <c r="A793" s="0" t="s">
        <v>827</v>
      </c>
      <c r="B793" s="0" t="s">
        <v>33</v>
      </c>
      <c r="C793" s="0" t="s">
        <v>33</v>
      </c>
      <c r="D793" s="0" t="n">
        <v>-36.9494614389038</v>
      </c>
      <c r="E793" s="0" t="n">
        <v>0.398812192832403</v>
      </c>
      <c r="F793" s="0" t="n">
        <v>13.0085199127314</v>
      </c>
      <c r="G793" s="0" t="n">
        <v>0.938673341677096</v>
      </c>
      <c r="H793" s="0" t="n">
        <v>0.95244055068836</v>
      </c>
      <c r="I793" s="0" t="n">
        <v>0.5</v>
      </c>
      <c r="J793" s="0" t="n">
        <v>0.856445556946183</v>
      </c>
      <c r="K793" s="0" t="n">
        <v>0.667715717403612</v>
      </c>
      <c r="L793" s="1" t="b">
        <f aca="false">TRUE()</f>
        <v>1</v>
      </c>
      <c r="M793" s="0" t="s">
        <v>3035</v>
      </c>
      <c r="N793" s="0" t="n">
        <v>16.7777528686038</v>
      </c>
      <c r="O793" s="0" t="n">
        <v>1</v>
      </c>
      <c r="P793" s="0" t="n">
        <v>1</v>
      </c>
      <c r="Q793" s="0" t="n">
        <v>36.9494614389038</v>
      </c>
      <c r="U793" s="0" t="n">
        <v>0.5</v>
      </c>
      <c r="V793" s="0" t="n">
        <v>0.5</v>
      </c>
      <c r="W793" s="0" t="n">
        <v>0.5</v>
      </c>
      <c r="X793" s="0" t="n">
        <v>0.398812192832403</v>
      </c>
      <c r="Y793" s="0" t="n">
        <v>13.0085199127314</v>
      </c>
      <c r="Z793" s="0" t="n">
        <v>0.856445556946183</v>
      </c>
      <c r="AA793" s="0" t="n">
        <v>0</v>
      </c>
    </row>
    <row r="794" customFormat="false" ht="15" hidden="false" customHeight="false" outlineLevel="0" collapsed="false">
      <c r="A794" s="0" t="s">
        <v>828</v>
      </c>
      <c r="B794" s="0" t="s">
        <v>3013</v>
      </c>
      <c r="C794" s="0" t="s">
        <v>3036</v>
      </c>
      <c r="D794" s="0" t="n">
        <v>3.43773906366328</v>
      </c>
      <c r="E794" s="0" t="n">
        <v>0.313717983181064</v>
      </c>
      <c r="F794" s="0" t="n">
        <v>6.99021621364646</v>
      </c>
      <c r="G794" s="0" t="n">
        <v>0.635794743429287</v>
      </c>
      <c r="H794" s="0" t="n">
        <v>0.415519399249061</v>
      </c>
      <c r="I794" s="0" t="n">
        <v>0.241283124128312</v>
      </c>
      <c r="J794" s="0" t="n">
        <v>0.468782281897002</v>
      </c>
      <c r="K794" s="0" t="n">
        <v>0.667715717403612</v>
      </c>
      <c r="L794" s="1" t="b">
        <f aca="false">FALSE()</f>
        <v>0</v>
      </c>
      <c r="N794" s="0" t="n">
        <v>53.7272143075079</v>
      </c>
      <c r="O794" s="0" t="n">
        <v>2</v>
      </c>
      <c r="P794" s="0" t="n">
        <v>0</v>
      </c>
      <c r="Q794" s="0" t="n">
        <v>0</v>
      </c>
      <c r="R794" s="0" t="n">
        <v>4.40150531481767</v>
      </c>
      <c r="S794" s="0" t="n">
        <v>1.55597722960151</v>
      </c>
      <c r="T794" s="0" t="n">
        <v>0.227703984819738</v>
      </c>
      <c r="U794" s="0" t="n">
        <v>0.0920502092050209</v>
      </c>
      <c r="V794" s="0" t="n">
        <v>0.147838214783822</v>
      </c>
      <c r="W794" s="0" t="n">
        <v>0.483960948396095</v>
      </c>
      <c r="X794" s="0" t="n">
        <v>0.313717983181064</v>
      </c>
      <c r="Y794" s="0" t="n">
        <v>6.99021621364645</v>
      </c>
      <c r="Z794" s="0" t="n">
        <v>0.468782281897002</v>
      </c>
      <c r="AA794" s="0" t="n">
        <v>0</v>
      </c>
    </row>
    <row r="795" customFormat="false" ht="15" hidden="false" customHeight="false" outlineLevel="0" collapsed="false">
      <c r="A795" s="0" t="s">
        <v>829</v>
      </c>
      <c r="B795" s="0" t="s">
        <v>3013</v>
      </c>
      <c r="C795" s="0" t="s">
        <v>3034</v>
      </c>
      <c r="D795" s="0" t="n">
        <v>-29.9517591618315</v>
      </c>
      <c r="E795" s="0" t="n">
        <v>0.328145429151277</v>
      </c>
      <c r="F795" s="0" t="n">
        <v>10.106767401371</v>
      </c>
      <c r="G795" s="0" t="n">
        <v>0.723404255319149</v>
      </c>
      <c r="H795" s="0" t="n">
        <v>0.802252816020025</v>
      </c>
      <c r="I795" s="0" t="n">
        <v>0.471408647140865</v>
      </c>
      <c r="J795" s="0" t="n">
        <v>0.704544557963843</v>
      </c>
      <c r="K795" s="0" t="n">
        <v>0.667715717403612</v>
      </c>
      <c r="L795" s="1" t="b">
        <f aca="false">TRUE()</f>
        <v>1</v>
      </c>
      <c r="M795" s="0" t="s">
        <v>3035</v>
      </c>
      <c r="N795" s="0" t="n">
        <v>50.2894752438442</v>
      </c>
      <c r="O795" s="0" t="n">
        <v>0</v>
      </c>
      <c r="P795" s="0" t="n">
        <v>1</v>
      </c>
      <c r="Q795" s="0" t="n">
        <v>29.9517591618315</v>
      </c>
      <c r="R795" s="0" t="n">
        <v>12.4583048667772</v>
      </c>
      <c r="S795" s="0" t="n">
        <v>4.1374474053296</v>
      </c>
      <c r="T795" s="0" t="n">
        <v>0.17531556802245</v>
      </c>
      <c r="U795" s="0" t="n">
        <v>0.615062761506276</v>
      </c>
      <c r="V795" s="0" t="n">
        <v>0.608089260808926</v>
      </c>
      <c r="W795" s="0" t="n">
        <v>0.191073919107392</v>
      </c>
      <c r="X795" s="0" t="n">
        <v>0.328145429151277</v>
      </c>
      <c r="Y795" s="0" t="n">
        <v>10.106767401371</v>
      </c>
      <c r="Z795" s="0" t="n">
        <v>0.704544557963843</v>
      </c>
      <c r="AA795" s="0" t="n">
        <v>0</v>
      </c>
    </row>
    <row r="796" customFormat="false" ht="15" hidden="false" customHeight="false" outlineLevel="0" collapsed="false">
      <c r="A796" s="0" t="s">
        <v>830</v>
      </c>
      <c r="B796" s="0" t="s">
        <v>33</v>
      </c>
      <c r="C796" s="0" t="s">
        <v>33</v>
      </c>
      <c r="D796" s="0" t="n">
        <v>-40.7453033444513</v>
      </c>
      <c r="E796" s="0" t="n">
        <v>0.340691205131255</v>
      </c>
      <c r="F796" s="0" t="n">
        <v>10.215191491582</v>
      </c>
      <c r="G796" s="0" t="n">
        <v>0.787234042553192</v>
      </c>
      <c r="H796" s="0" t="n">
        <v>0.81351689612015</v>
      </c>
      <c r="I796" s="0" t="n">
        <v>0.5</v>
      </c>
      <c r="J796" s="0" t="n">
        <v>0.740300375469337</v>
      </c>
      <c r="K796" s="0" t="n">
        <v>0.667715717403612</v>
      </c>
      <c r="L796" s="1" t="b">
        <f aca="false">TRUE()</f>
        <v>1</v>
      </c>
      <c r="M796" s="0" t="s">
        <v>3035</v>
      </c>
      <c r="N796" s="0" t="n">
        <v>80.2412344056756</v>
      </c>
      <c r="O796" s="0" t="n">
        <v>1</v>
      </c>
      <c r="P796" s="0" t="n">
        <v>1</v>
      </c>
      <c r="Q796" s="0" t="n">
        <v>40.7453033444513</v>
      </c>
      <c r="U796" s="0" t="n">
        <v>0.5</v>
      </c>
      <c r="V796" s="0" t="n">
        <v>0.5</v>
      </c>
      <c r="W796" s="0" t="n">
        <v>0.5</v>
      </c>
      <c r="X796" s="0" t="n">
        <v>0.340691205131255</v>
      </c>
      <c r="Y796" s="0" t="n">
        <v>10.215191491582</v>
      </c>
      <c r="Z796" s="0" t="n">
        <v>0.740300375469337</v>
      </c>
      <c r="AA796" s="0" t="n">
        <v>0</v>
      </c>
    </row>
    <row r="797" customFormat="false" ht="15" hidden="false" customHeight="false" outlineLevel="0" collapsed="false">
      <c r="A797" s="0" t="s">
        <v>831</v>
      </c>
      <c r="B797" s="0" t="s">
        <v>3013</v>
      </c>
      <c r="C797" s="0" t="s">
        <v>3036</v>
      </c>
      <c r="D797" s="0" t="n">
        <v>38.743541430536</v>
      </c>
      <c r="E797" s="0" t="n">
        <v>0.255284499629449</v>
      </c>
      <c r="F797" s="0" t="n">
        <v>4.20589112390569</v>
      </c>
      <c r="G797" s="0" t="n">
        <v>0.296620775969962</v>
      </c>
      <c r="H797" s="0" t="n">
        <v>0.065081351689612</v>
      </c>
      <c r="I797" s="0" t="n">
        <v>0.399814039981404</v>
      </c>
      <c r="J797" s="0" t="n">
        <v>0.224643659060111</v>
      </c>
      <c r="K797" s="0" t="n">
        <v>0.667715717403612</v>
      </c>
      <c r="L797" s="1" t="b">
        <f aca="false">FALSE()</f>
        <v>0</v>
      </c>
      <c r="N797" s="0" t="n">
        <v>120.986537750126</v>
      </c>
      <c r="O797" s="0" t="n">
        <v>2</v>
      </c>
      <c r="P797" s="0" t="n">
        <v>0</v>
      </c>
      <c r="Q797" s="0" t="n">
        <v>0</v>
      </c>
      <c r="R797" s="0" t="n">
        <v>5.42184139011587</v>
      </c>
      <c r="S797" s="0" t="n">
        <v>3.62042682926829</v>
      </c>
      <c r="T797" s="0" t="n">
        <v>0.228658536585364</v>
      </c>
      <c r="U797" s="0" t="n">
        <v>0.163179916317992</v>
      </c>
      <c r="V797" s="0" t="n">
        <v>0.545327754532776</v>
      </c>
      <c r="W797" s="0" t="n">
        <v>0.490934449093445</v>
      </c>
      <c r="X797" s="0" t="n">
        <v>0.255284499629449</v>
      </c>
      <c r="Y797" s="0" t="n">
        <v>4.20589112390569</v>
      </c>
      <c r="Z797" s="0" t="n">
        <v>0.224643659060111</v>
      </c>
      <c r="AA797" s="0" t="n">
        <v>0</v>
      </c>
    </row>
    <row r="798" customFormat="false" ht="15" hidden="false" customHeight="false" outlineLevel="0" collapsed="false">
      <c r="A798" s="0" t="s">
        <v>832</v>
      </c>
      <c r="B798" s="0" t="s">
        <v>3013</v>
      </c>
      <c r="C798" s="0" t="s">
        <v>3038</v>
      </c>
      <c r="D798" s="0" t="n">
        <v>-33.695614660597</v>
      </c>
      <c r="E798" s="0" t="n">
        <v>0.224063946460502</v>
      </c>
      <c r="F798" s="0" t="n">
        <v>5.16332659591345</v>
      </c>
      <c r="G798" s="0" t="n">
        <v>0.155193992490613</v>
      </c>
      <c r="H798" s="0" t="n">
        <v>0.158948685857322</v>
      </c>
      <c r="I798" s="0" t="n">
        <v>0.525801952580195</v>
      </c>
      <c r="J798" s="0" t="n">
        <v>0.230817461855213</v>
      </c>
      <c r="K798" s="0" t="n">
        <v>0.667715717403612</v>
      </c>
      <c r="L798" s="1" t="b">
        <f aca="false">FALSE()</f>
        <v>0</v>
      </c>
      <c r="N798" s="0" t="n">
        <v>82.24299631959</v>
      </c>
      <c r="O798" s="0" t="n">
        <v>0</v>
      </c>
      <c r="P798" s="0" t="n">
        <v>1</v>
      </c>
      <c r="Q798" s="0" t="n">
        <v>33.695614660597</v>
      </c>
      <c r="R798" s="0" t="n">
        <v>22.7694383538536</v>
      </c>
      <c r="S798" s="0" t="n">
        <v>3.54686934491495</v>
      </c>
      <c r="T798" s="0" t="n">
        <v>0.180962721679334</v>
      </c>
      <c r="U798" s="0" t="n">
        <v>0.832635983263598</v>
      </c>
      <c r="V798" s="0" t="n">
        <v>0.532775453277545</v>
      </c>
      <c r="W798" s="0" t="n">
        <v>0.211994421199442</v>
      </c>
      <c r="X798" s="0" t="n">
        <v>0.224063946460502</v>
      </c>
      <c r="Y798" s="0" t="n">
        <v>5.16332659591344</v>
      </c>
      <c r="Z798" s="0" t="n">
        <v>0.230817461855213</v>
      </c>
      <c r="AA798" s="0" t="n">
        <v>0</v>
      </c>
    </row>
    <row r="799" customFormat="false" ht="15" hidden="false" customHeight="false" outlineLevel="0" collapsed="false">
      <c r="A799" s="0" t="s">
        <v>833</v>
      </c>
      <c r="B799" s="0" t="s">
        <v>3013</v>
      </c>
      <c r="C799" s="0" t="s">
        <v>3034</v>
      </c>
      <c r="D799" s="0" t="n">
        <v>43.9584132406701</v>
      </c>
      <c r="E799" s="0" t="n">
        <v>0.336152333610413</v>
      </c>
      <c r="F799" s="0" t="n">
        <v>9.97661382534474</v>
      </c>
      <c r="G799" s="0" t="n">
        <v>0.762202753441802</v>
      </c>
      <c r="H799" s="0" t="n">
        <v>0.787234042553192</v>
      </c>
      <c r="I799" s="0" t="n">
        <v>0.433751743375174</v>
      </c>
      <c r="J799" s="0" t="n">
        <v>0.706525067073032</v>
      </c>
      <c r="K799" s="0" t="n">
        <v>0.667715717403612</v>
      </c>
      <c r="L799" s="1" t="b">
        <f aca="false">TRUE()</f>
        <v>1</v>
      </c>
      <c r="M799" s="0" t="s">
        <v>3035</v>
      </c>
      <c r="N799" s="0" t="n">
        <v>115.938610980187</v>
      </c>
      <c r="O799" s="0" t="n">
        <v>1</v>
      </c>
      <c r="P799" s="0" t="n">
        <v>0</v>
      </c>
      <c r="Q799" s="0" t="n">
        <v>0</v>
      </c>
      <c r="R799" s="0" t="n">
        <v>9.78910950392808</v>
      </c>
      <c r="S799" s="0" t="n">
        <v>2.29770229770231</v>
      </c>
      <c r="T799" s="0" t="n">
        <v>0.224775224775226</v>
      </c>
      <c r="U799" s="0" t="n">
        <v>0.493723849372385</v>
      </c>
      <c r="V799" s="0" t="n">
        <v>0.338912133891213</v>
      </c>
      <c r="W799" s="0" t="n">
        <v>0.468619246861925</v>
      </c>
      <c r="X799" s="0" t="n">
        <v>0.336152333610413</v>
      </c>
      <c r="Y799" s="0" t="n">
        <v>9.97661382534474</v>
      </c>
      <c r="Z799" s="0" t="n">
        <v>0.706525067073032</v>
      </c>
      <c r="AA799" s="0" t="n">
        <v>0</v>
      </c>
    </row>
    <row r="800" customFormat="false" ht="15" hidden="false" customHeight="false" outlineLevel="0" collapsed="false">
      <c r="A800" s="0" t="s">
        <v>834</v>
      </c>
      <c r="B800" s="0" t="s">
        <v>3013</v>
      </c>
      <c r="C800" s="0" t="s">
        <v>3033</v>
      </c>
      <c r="D800" s="0" t="n">
        <v>10.8348972628641</v>
      </c>
      <c r="E800" s="0" t="n">
        <v>0.261837058388051</v>
      </c>
      <c r="F800" s="0" t="n">
        <v>6.43542573773656</v>
      </c>
      <c r="G800" s="0" t="n">
        <v>0.344180225281602</v>
      </c>
      <c r="H800" s="0" t="n">
        <v>0.329161451814769</v>
      </c>
      <c r="I800" s="0" t="n">
        <v>0.5</v>
      </c>
      <c r="J800" s="0" t="n">
        <v>0.369336670838548</v>
      </c>
      <c r="K800" s="0" t="n">
        <v>0.667715717403612</v>
      </c>
      <c r="L800" s="1" t="b">
        <f aca="false">TRUE()</f>
        <v>1</v>
      </c>
      <c r="M800" s="0" t="s">
        <v>3040</v>
      </c>
      <c r="N800" s="0" t="n">
        <v>71.9801977395164</v>
      </c>
      <c r="O800" s="0" t="n">
        <v>0</v>
      </c>
      <c r="P800" s="0" t="n">
        <v>0</v>
      </c>
      <c r="Q800" s="0" t="n">
        <v>0</v>
      </c>
      <c r="U800" s="0" t="n">
        <v>0.5</v>
      </c>
      <c r="V800" s="0" t="n">
        <v>0.5</v>
      </c>
      <c r="W800" s="0" t="n">
        <v>0.5</v>
      </c>
      <c r="X800" s="0" t="n">
        <v>0.261837058388051</v>
      </c>
      <c r="Y800" s="0" t="n">
        <v>6.43542573773657</v>
      </c>
      <c r="Z800" s="0" t="n">
        <v>0.369336670838548</v>
      </c>
      <c r="AA800" s="0" t="n">
        <v>-5.55111512312578E-017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3041</v>
      </c>
    </row>
    <row r="2" customFormat="false" ht="15" hidden="false" customHeight="false" outlineLevel="0" collapsed="false">
      <c r="A2" s="0" t="s">
        <v>3042</v>
      </c>
    </row>
    <row r="4" customFormat="false" ht="15" hidden="false" customHeight="false" outlineLevel="0" collapsed="false">
      <c r="A4" s="0" t="s">
        <v>3043</v>
      </c>
    </row>
    <row r="5" customFormat="false" ht="15" hidden="false" customHeight="false" outlineLevel="0" collapsed="false">
      <c r="A5" s="0" t="s">
        <v>3044</v>
      </c>
    </row>
    <row r="6" customFormat="false" ht="15" hidden="false" customHeight="false" outlineLevel="0" collapsed="false">
      <c r="A6" s="0" t="s">
        <v>3045</v>
      </c>
    </row>
    <row r="7" customFormat="false" ht="15" hidden="false" customHeight="false" outlineLevel="0" collapsed="false">
      <c r="A7" s="0" t="s">
        <v>3046</v>
      </c>
    </row>
    <row r="9" customFormat="false" ht="15" hidden="false" customHeight="false" outlineLevel="0" collapsed="false">
      <c r="A9" s="0" t="s">
        <v>3047</v>
      </c>
    </row>
    <row r="11" customFormat="false" ht="15" hidden="false" customHeight="false" outlineLevel="0" collapsed="false">
      <c r="A11" s="0" t="s">
        <v>3048</v>
      </c>
    </row>
    <row r="12" customFormat="false" ht="15" hidden="false" customHeight="false" outlineLevel="0" collapsed="false">
      <c r="A12" s="0" t="s">
        <v>3049</v>
      </c>
    </row>
    <row r="13" customFormat="false" ht="15" hidden="false" customHeight="false" outlineLevel="0" collapsed="false">
      <c r="A13" s="0" t="s">
        <v>3050</v>
      </c>
    </row>
    <row r="14" customFormat="false" ht="15" hidden="false" customHeight="false" outlineLevel="0" collapsed="false">
      <c r="A14" s="0" t="s">
        <v>3051</v>
      </c>
    </row>
    <row r="16" customFormat="false" ht="15" hidden="false" customHeight="false" outlineLevel="0" collapsed="false">
      <c r="A16" s="0" t="s">
        <v>3052</v>
      </c>
    </row>
    <row r="17" customFormat="false" ht="15" hidden="false" customHeight="false" outlineLevel="0" collapsed="false">
      <c r="A17" s="0" t="s">
        <v>3053</v>
      </c>
    </row>
    <row r="18" customFormat="false" ht="15" hidden="false" customHeight="false" outlineLevel="0" collapsed="false">
      <c r="A18" s="0" t="s">
        <v>3054</v>
      </c>
    </row>
    <row r="19" customFormat="false" ht="15" hidden="false" customHeight="false" outlineLevel="0" collapsed="false">
      <c r="A19" s="0" t="s">
        <v>3055</v>
      </c>
    </row>
    <row r="20" customFormat="false" ht="15" hidden="false" customHeight="false" outlineLevel="0" collapsed="false">
      <c r="A20" s="0" t="s">
        <v>3056</v>
      </c>
    </row>
    <row r="21" customFormat="false" ht="15" hidden="false" customHeight="false" outlineLevel="0" collapsed="false">
      <c r="A21" s="0" t="s">
        <v>3057</v>
      </c>
    </row>
    <row r="22" customFormat="false" ht="15" hidden="false" customHeight="false" outlineLevel="0" collapsed="false">
      <c r="A22" s="0" t="s">
        <v>3058</v>
      </c>
    </row>
    <row r="23" customFormat="false" ht="15" hidden="false" customHeight="false" outlineLevel="0" collapsed="false">
      <c r="A23" s="0" t="s">
        <v>3059</v>
      </c>
    </row>
    <row r="25" customFormat="false" ht="15" hidden="false" customHeight="false" outlineLevel="0" collapsed="false">
      <c r="A25" s="0" t="s">
        <v>3060</v>
      </c>
    </row>
    <row r="27" customFormat="false" ht="15" hidden="false" customHeight="false" outlineLevel="0" collapsed="false">
      <c r="A27" s="0" t="s">
        <v>3061</v>
      </c>
    </row>
    <row r="29" customFormat="false" ht="15" hidden="false" customHeight="false" outlineLevel="0" collapsed="false">
      <c r="A29" s="0" t="s">
        <v>3062</v>
      </c>
    </row>
    <row r="30" customFormat="false" ht="15" hidden="false" customHeight="false" outlineLevel="0" collapsed="false">
      <c r="A30" s="0" t="s">
        <v>3063</v>
      </c>
    </row>
    <row r="32" customFormat="false" ht="15" hidden="false" customHeight="false" outlineLevel="0" collapsed="false">
      <c r="A32" s="0" t="s">
        <v>3064</v>
      </c>
    </row>
    <row r="33" customFormat="false" ht="15" hidden="false" customHeight="false" outlineLevel="0" collapsed="false">
      <c r="A33" s="0" t="s">
        <v>3065</v>
      </c>
    </row>
    <row r="34" customFormat="false" ht="15" hidden="false" customHeight="false" outlineLevel="0" collapsed="false">
      <c r="A34" s="0" t="s">
        <v>3066</v>
      </c>
    </row>
    <row r="35" customFormat="false" ht="15" hidden="false" customHeight="false" outlineLevel="0" collapsed="false">
      <c r="A35" s="0" t="s">
        <v>3067</v>
      </c>
    </row>
    <row r="36" customFormat="false" ht="15" hidden="false" customHeight="false" outlineLevel="0" collapsed="false">
      <c r="A36" s="0" t="s">
        <v>3068</v>
      </c>
    </row>
    <row r="38" customFormat="false" ht="15" hidden="false" customHeight="false" outlineLevel="0" collapsed="false">
      <c r="A38" s="0" t="s">
        <v>3069</v>
      </c>
    </row>
    <row r="40" customFormat="false" ht="15" hidden="false" customHeight="false" outlineLevel="0" collapsed="false">
      <c r="A40" s="0" t="s">
        <v>3070</v>
      </c>
    </row>
    <row r="41" customFormat="false" ht="15" hidden="false" customHeight="false" outlineLevel="0" collapsed="false">
      <c r="A41" s="0" t="s">
        <v>3071</v>
      </c>
    </row>
    <row r="42" customFormat="false" ht="15" hidden="false" customHeight="false" outlineLevel="0" collapsed="false">
      <c r="A42" s="0" t="s">
        <v>3072</v>
      </c>
    </row>
    <row r="43" customFormat="false" ht="15" hidden="false" customHeight="false" outlineLevel="0" collapsed="false">
      <c r="A43" s="0" t="s">
        <v>3073</v>
      </c>
    </row>
    <row r="44" customFormat="false" ht="15" hidden="false" customHeight="false" outlineLevel="0" collapsed="false">
      <c r="A44" s="0" t="s">
        <v>3074</v>
      </c>
    </row>
    <row r="46" customFormat="false" ht="15" hidden="false" customHeight="false" outlineLevel="0" collapsed="false">
      <c r="A46" s="0" t="s">
        <v>3075</v>
      </c>
    </row>
    <row r="47" customFormat="false" ht="15" hidden="false" customHeight="false" outlineLevel="0" collapsed="false">
      <c r="A47" s="0" t="s">
        <v>3076</v>
      </c>
    </row>
    <row r="48" customFormat="false" ht="15" hidden="false" customHeight="false" outlineLevel="0" collapsed="false">
      <c r="A48" s="0" t="s">
        <v>3077</v>
      </c>
    </row>
    <row r="49" customFormat="false" ht="15" hidden="false" customHeight="false" outlineLevel="0" collapsed="false">
      <c r="A49" s="0" t="s">
        <v>3078</v>
      </c>
    </row>
    <row r="50" customFormat="false" ht="15" hidden="false" customHeight="false" outlineLevel="0" collapsed="false">
      <c r="A50" s="0" t="s">
        <v>3079</v>
      </c>
    </row>
    <row r="52" customFormat="false" ht="15" hidden="false" customHeight="false" outlineLevel="0" collapsed="false">
      <c r="A52" s="0" t="s">
        <v>3080</v>
      </c>
    </row>
    <row r="54" customFormat="false" ht="15" hidden="false" customHeight="false" outlineLevel="0" collapsed="false">
      <c r="A54" s="0" t="s">
        <v>3081</v>
      </c>
    </row>
    <row r="56" customFormat="false" ht="15" hidden="false" customHeight="false" outlineLevel="0" collapsed="false">
      <c r="A56" s="0" t="s">
        <v>3082</v>
      </c>
    </row>
    <row r="57" customFormat="false" ht="15" hidden="false" customHeight="false" outlineLevel="0" collapsed="false">
      <c r="A57" s="0" t="s">
        <v>3083</v>
      </c>
    </row>
    <row r="58" customFormat="false" ht="15" hidden="false" customHeight="false" outlineLevel="0" collapsed="false">
      <c r="A58" s="0" t="s">
        <v>3084</v>
      </c>
    </row>
    <row r="59" customFormat="false" ht="15" hidden="false" customHeight="false" outlineLevel="0" collapsed="false">
      <c r="A59" s="0" t="s">
        <v>3085</v>
      </c>
    </row>
    <row r="61" customFormat="false" ht="15" hidden="false" customHeight="false" outlineLevel="0" collapsed="false">
      <c r="A61" s="0" t="s">
        <v>3086</v>
      </c>
    </row>
    <row r="62" customFormat="false" ht="15" hidden="false" customHeight="false" outlineLevel="0" collapsed="false">
      <c r="A62" s="0" t="s">
        <v>3087</v>
      </c>
    </row>
    <row r="63" customFormat="false" ht="15" hidden="false" customHeight="false" outlineLevel="0" collapsed="false">
      <c r="A63" s="0" t="s">
        <v>3088</v>
      </c>
    </row>
    <row r="64" customFormat="false" ht="15" hidden="false" customHeight="false" outlineLevel="0" collapsed="false">
      <c r="A64" s="0" t="s">
        <v>3089</v>
      </c>
    </row>
    <row r="65" customFormat="false" ht="15" hidden="false" customHeight="false" outlineLevel="0" collapsed="false">
      <c r="A65" s="0" t="s">
        <v>3090</v>
      </c>
    </row>
    <row r="66" customFormat="false" ht="15" hidden="false" customHeight="false" outlineLevel="0" collapsed="false">
      <c r="A66" s="0" t="s">
        <v>3091</v>
      </c>
    </row>
    <row r="68" customFormat="false" ht="15" hidden="false" customHeight="false" outlineLevel="0" collapsed="false">
      <c r="A68" s="0" t="s">
        <v>3092</v>
      </c>
    </row>
    <row r="69" customFormat="false" ht="15" hidden="false" customHeight="false" outlineLevel="0" collapsed="false">
      <c r="A69" s="0" t="s">
        <v>3093</v>
      </c>
    </row>
    <row r="70" customFormat="false" ht="15" hidden="false" customHeight="false" outlineLevel="0" collapsed="false">
      <c r="A70" s="0" t="s">
        <v>3094</v>
      </c>
    </row>
    <row r="72" customFormat="false" ht="15" hidden="false" customHeight="false" outlineLevel="0" collapsed="false">
      <c r="A72" s="0" t="s">
        <v>3095</v>
      </c>
    </row>
    <row r="73" customFormat="false" ht="15" hidden="false" customHeight="false" outlineLevel="0" collapsed="false">
      <c r="A73" s="0" t="s">
        <v>3096</v>
      </c>
    </row>
    <row r="75" customFormat="false" ht="15" hidden="false" customHeight="false" outlineLevel="0" collapsed="false">
      <c r="A75" s="0" t="s">
        <v>3097</v>
      </c>
    </row>
    <row r="76" customFormat="false" ht="15" hidden="false" customHeight="false" outlineLevel="0" collapsed="false">
      <c r="A76" s="0" t="s">
        <v>3098</v>
      </c>
    </row>
    <row r="77" customFormat="false" ht="15" hidden="false" customHeight="false" outlineLevel="0" collapsed="false">
      <c r="A77" s="0" t="s">
        <v>3099</v>
      </c>
    </row>
    <row r="78" customFormat="false" ht="15" hidden="false" customHeight="false" outlineLevel="0" collapsed="false">
      <c r="A78" s="0" t="s">
        <v>3100</v>
      </c>
    </row>
    <row r="79" customFormat="false" ht="15" hidden="false" customHeight="false" outlineLevel="0" collapsed="false">
      <c r="A79" s="0" t="s">
        <v>3101</v>
      </c>
    </row>
    <row r="80" customFormat="false" ht="15" hidden="false" customHeight="false" outlineLevel="0" collapsed="false">
      <c r="A80" s="0" t="s">
        <v>3102</v>
      </c>
    </row>
    <row r="81" customFormat="false" ht="15" hidden="false" customHeight="false" outlineLevel="0" collapsed="false">
      <c r="A81" s="0" t="s">
        <v>3103</v>
      </c>
    </row>
    <row r="82" customFormat="false" ht="15" hidden="false" customHeight="false" outlineLevel="0" collapsed="false">
      <c r="A82" s="0" t="s">
        <v>3104</v>
      </c>
    </row>
    <row r="83" customFormat="false" ht="15" hidden="false" customHeight="false" outlineLevel="0" collapsed="false">
      <c r="A83" s="0" t="s">
        <v>3105</v>
      </c>
    </row>
    <row r="84" customFormat="false" ht="15" hidden="false" customHeight="false" outlineLevel="0" collapsed="false">
      <c r="A84" s="0" t="s">
        <v>3106</v>
      </c>
    </row>
    <row r="85" customFormat="false" ht="15" hidden="false" customHeight="false" outlineLevel="0" collapsed="false">
      <c r="A85" s="0" t="s">
        <v>3107</v>
      </c>
    </row>
    <row r="86" customFormat="false" ht="15" hidden="false" customHeight="false" outlineLevel="0" collapsed="false">
      <c r="A86" s="0" t="s">
        <v>3108</v>
      </c>
    </row>
    <row r="87" customFormat="false" ht="15" hidden="false" customHeight="false" outlineLevel="0" collapsed="false">
      <c r="A87" s="0" t="s">
        <v>3109</v>
      </c>
    </row>
    <row r="89" customFormat="false" ht="15" hidden="false" customHeight="false" outlineLevel="0" collapsed="false">
      <c r="A89" s="0" t="s">
        <v>3110</v>
      </c>
    </row>
    <row r="91" customFormat="false" ht="15" hidden="false" customHeight="false" outlineLevel="0" collapsed="false">
      <c r="A91" s="0" t="s">
        <v>3111</v>
      </c>
    </row>
    <row r="92" customFormat="false" ht="15" hidden="false" customHeight="false" outlineLevel="0" collapsed="false">
      <c r="A92" s="0" t="s">
        <v>3112</v>
      </c>
    </row>
    <row r="93" customFormat="false" ht="15" hidden="false" customHeight="false" outlineLevel="0" collapsed="false">
      <c r="A93" s="0" t="s">
        <v>3113</v>
      </c>
    </row>
    <row r="94" customFormat="false" ht="15" hidden="false" customHeight="false" outlineLevel="0" collapsed="false">
      <c r="A94" s="0" t="s">
        <v>3114</v>
      </c>
    </row>
    <row r="95" customFormat="false" ht="15" hidden="false" customHeight="false" outlineLevel="0" collapsed="false">
      <c r="A95" s="0" t="s">
        <v>3115</v>
      </c>
    </row>
    <row r="97" customFormat="false" ht="15" hidden="false" customHeight="false" outlineLevel="0" collapsed="false">
      <c r="A97" s="0" t="s">
        <v>3116</v>
      </c>
    </row>
    <row r="98" customFormat="false" ht="15" hidden="false" customHeight="false" outlineLevel="0" collapsed="false">
      <c r="A98" s="0" t="s">
        <v>3117</v>
      </c>
    </row>
    <row r="100" customFormat="false" ht="15" hidden="false" customHeight="false" outlineLevel="0" collapsed="false">
      <c r="A100" s="0" t="s">
        <v>3118</v>
      </c>
    </row>
    <row r="101" customFormat="false" ht="15" hidden="false" customHeight="false" outlineLevel="0" collapsed="false">
      <c r="A101" s="0" t="s">
        <v>3119</v>
      </c>
    </row>
    <row r="102" customFormat="false" ht="15" hidden="false" customHeight="false" outlineLevel="0" collapsed="false">
      <c r="A102" s="0" t="s">
        <v>3120</v>
      </c>
    </row>
    <row r="103" customFormat="false" ht="15" hidden="false" customHeight="false" outlineLevel="0" collapsed="false">
      <c r="A103" s="0" t="s">
        <v>3121</v>
      </c>
    </row>
    <row r="105" customFormat="false" ht="15" hidden="false" customHeight="false" outlineLevel="0" collapsed="false">
      <c r="A105" s="0" t="s">
        <v>3122</v>
      </c>
    </row>
    <row r="106" customFormat="false" ht="15" hidden="false" customHeight="false" outlineLevel="0" collapsed="false">
      <c r="A106" s="0" t="s">
        <v>3123</v>
      </c>
    </row>
    <row r="107" customFormat="false" ht="15" hidden="false" customHeight="false" outlineLevel="0" collapsed="false">
      <c r="A107" s="0" t="s">
        <v>3124</v>
      </c>
    </row>
    <row r="108" customFormat="false" ht="15" hidden="false" customHeight="false" outlineLevel="0" collapsed="false">
      <c r="A108" s="0" t="s">
        <v>3125</v>
      </c>
    </row>
    <row r="109" customFormat="false" ht="15" hidden="false" customHeight="false" outlineLevel="0" collapsed="false">
      <c r="A109" s="0" t="s">
        <v>3126</v>
      </c>
    </row>
    <row r="110" customFormat="false" ht="15" hidden="false" customHeight="false" outlineLevel="0" collapsed="false">
      <c r="A110" s="0" t="s">
        <v>3127</v>
      </c>
    </row>
    <row r="111" customFormat="false" ht="15" hidden="false" customHeight="false" outlineLevel="0" collapsed="false">
      <c r="A111" s="0" t="s">
        <v>3128</v>
      </c>
    </row>
    <row r="113" customFormat="false" ht="15" hidden="false" customHeight="false" outlineLevel="0" collapsed="false">
      <c r="A113" s="0" t="s">
        <v>3129</v>
      </c>
    </row>
    <row r="115" customFormat="false" ht="15" hidden="false" customHeight="false" outlineLevel="0" collapsed="false">
      <c r="A115" s="0" t="s">
        <v>3130</v>
      </c>
    </row>
    <row r="116" customFormat="false" ht="15" hidden="false" customHeight="false" outlineLevel="0" collapsed="false">
      <c r="A116" s="0" t="s">
        <v>3131</v>
      </c>
    </row>
    <row r="117" customFormat="false" ht="15" hidden="false" customHeight="false" outlineLevel="0" collapsed="false">
      <c r="A117" s="0" t="s">
        <v>3132</v>
      </c>
    </row>
    <row r="118" customFormat="false" ht="15" hidden="false" customHeight="false" outlineLevel="0" collapsed="false">
      <c r="A118" s="0" t="s">
        <v>3133</v>
      </c>
    </row>
    <row r="119" customFormat="false" ht="15" hidden="false" customHeight="false" outlineLevel="0" collapsed="false">
      <c r="A119" s="0" t="s">
        <v>3134</v>
      </c>
    </row>
    <row r="120" customFormat="false" ht="15" hidden="false" customHeight="false" outlineLevel="0" collapsed="false">
      <c r="A120" s="0" t="s">
        <v>3135</v>
      </c>
    </row>
    <row r="121" customFormat="false" ht="15" hidden="false" customHeight="false" outlineLevel="0" collapsed="false">
      <c r="A121" s="0" t="s">
        <v>3136</v>
      </c>
    </row>
    <row r="122" customFormat="false" ht="15" hidden="false" customHeight="false" outlineLevel="0" collapsed="false">
      <c r="A122" s="0" t="s">
        <v>3137</v>
      </c>
    </row>
    <row r="124" customFormat="false" ht="15" hidden="false" customHeight="false" outlineLevel="0" collapsed="false">
      <c r="A124" s="0" t="s">
        <v>3138</v>
      </c>
    </row>
    <row r="125" customFormat="false" ht="15" hidden="false" customHeight="false" outlineLevel="0" collapsed="false">
      <c r="A125" s="0" t="s">
        <v>3139</v>
      </c>
    </row>
    <row r="126" customFormat="false" ht="15" hidden="false" customHeight="false" outlineLevel="0" collapsed="false">
      <c r="A126" s="0" t="s">
        <v>3140</v>
      </c>
    </row>
    <row r="127" customFormat="false" ht="15" hidden="false" customHeight="false" outlineLevel="0" collapsed="false">
      <c r="A127" s="0" t="s">
        <v>3141</v>
      </c>
    </row>
    <row r="128" customFormat="false" ht="15" hidden="false" customHeight="false" outlineLevel="0" collapsed="false">
      <c r="A128" s="0" t="s">
        <v>3142</v>
      </c>
    </row>
    <row r="130" customFormat="false" ht="15" hidden="false" customHeight="false" outlineLevel="0" collapsed="false">
      <c r="A130" s="0" t="s">
        <v>3143</v>
      </c>
    </row>
    <row r="131" customFormat="false" ht="15" hidden="false" customHeight="false" outlineLevel="0" collapsed="false">
      <c r="A131" s="0" t="s">
        <v>3144</v>
      </c>
    </row>
    <row r="132" customFormat="false" ht="15" hidden="false" customHeight="false" outlineLevel="0" collapsed="false">
      <c r="A132" s="0" t="s">
        <v>3145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2026-10-21T11:21:22Z</dcterms:created>
  <dc:creator>openpyxl</dc:creator>
  <dc:description/>
  <dc:language>en-US</dc:language>
  <cp:lastModifiedBy/>
  <dcterms:modified xsi:type="dcterms:W3CDTF">2026-10-21T11:21:22Z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